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8ba1e2863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94ebfa45dba4f0b"/>
    <x:sheet xmlns:r="http://schemas.openxmlformats.org/officeDocument/2006/relationships" name="分配规则" sheetId="2" r:id="R48e841ed616a4068"/>
    <x:sheet xmlns:r="http://schemas.openxmlformats.org/officeDocument/2006/relationships" name="源数据" sheetId="3" r:id="R0156a0ce5dc745b4"/>
    <x:sheet xmlns:r="http://schemas.openxmlformats.org/officeDocument/2006/relationships" name="关键词分站结果" sheetId="4" r:id="R6895cd985b274040"/>
    <x:sheet xmlns:r="http://schemas.openxmlformats.org/officeDocument/2006/relationships" name="内容日历P0P1" sheetId="5" r:id="R03b68d9a13de40c9"/>
    <x:sheet xmlns:r="http://schemas.openxmlformats.org/officeDocument/2006/relationships" name="AI写作Brief" sheetId="6" r:id="R8e8c1ab0369c4844"/>
    <x:sheet xmlns:r="http://schemas.openxmlformats.org/officeDocument/2006/relationships" name="仪表盘" sheetId="7" r:id="Re577c56eb455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"/>
    <x:numFmt numFmtId="203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2033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A"/>
      </x:patternFill>
    </x:fill>
    <x:fill>
      <x:patternFill patternType="solid">
        <x:fgColor rgb="FFE7F6F1"/>
      </x:patternFill>
    </x:fill>
    <x:fill>
      <x:patternFill patternType="solid">
        <x:fgColor rgb="FF0F766E"/>
      </x:patternFill>
    </x:fill>
    <x:fill>
      <x:patternFill patternType="solid">
        <x:fgColor rgb="FF2F6B9A"/>
      </x:patternFill>
    </x:fill>
    <x:fill>
      <x:patternFill patternType="solid">
        <x:fgColor rgb="FFFFF4D8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2" fillId="4" borderId="5" xfId="0" applyNumberFormat="1" applyFont="1" applyFill="1" applyBorder="1"/>
    <x:xf numFmtId="0" fontId="2" fillId="4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1" xfId="0" applyNumberFormat="1" applyFont="1" applyFill="1" applyBorder="1"/>
    <x:xf numFmtId="203" fontId="0" fillId="0" borderId="5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202" fontId="0" fillId="0" borderId="5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2" fillId="7" borderId="7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532D"/>
      </x:font>
      <x:fill>
        <x:patternFill patternType="solid">
          <x:bgColor rgb="FFDFF5E8"/>
        </x:patternFill>
      </x:fill>
    </x:dxf>
    <x:dxf>
      <x:font>
        <x:b/>
        <x:color rgb="FF174569"/>
      </x:font>
      <x:fill>
        <x:patternFill patternType="solid">
          <x:bgColor rgb="FFEAF3FA"/>
        </x:patternFill>
      </x:fill>
    </x:dxf>
    <x:dxf>
      <x:font>
        <x:color rgb="FF52525B"/>
      </x:font>
      <x:fill>
        <x:patternFill patternType="solid">
          <x:bgColor rgb="FFF4F4F5"/>
        </x:patternFill>
      </x:fill>
    </x:dxf>
    <x:dxf>
      <x:font>
        <x:color rgb="FF134E4A"/>
      </x:font>
      <x:fill>
        <x:patternFill patternType="solid">
          <x:bgColor rgb="FFE7F6F1"/>
        </x:patternFill>
      </x:fill>
    </x:dxf>
    <x:dxf>
      <x:font>
        <x:color rgb="FF4C1D95"/>
      </x:font>
      <x:fill>
        <x:patternFill patternType="solid">
          <x:bgColor rgb="FFF1EDFF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8b386d81d4957" /><Relationship Type="http://schemas.openxmlformats.org/officeDocument/2006/relationships/theme" Target="/xl/theme/theme1.xml" Id="R6ae4f7f1b5ed4222" /><Relationship Type="http://schemas.openxmlformats.org/officeDocument/2006/relationships/sharedStrings" Target="/xl/sharedStrings.xml" Id="Rc546e79cdd324bed" /><Relationship Type="http://schemas.openxmlformats.org/officeDocument/2006/relationships/worksheet" Target="/xl/worksheets/sheet1.xml" Id="Ra94ebfa45dba4f0b" /><Relationship Type="http://schemas.openxmlformats.org/officeDocument/2006/relationships/worksheet" Target="/xl/worksheets/sheet2.xml" Id="R48e841ed616a4068" /><Relationship Type="http://schemas.openxmlformats.org/officeDocument/2006/relationships/worksheet" Target="/xl/worksheets/sheet3.xml" Id="R0156a0ce5dc745b4" /><Relationship Type="http://schemas.openxmlformats.org/officeDocument/2006/relationships/worksheet" Target="/xl/worksheets/sheet4.xml" Id="R6895cd985b274040" /><Relationship Type="http://schemas.openxmlformats.org/officeDocument/2006/relationships/worksheet" Target="/xl/worksheets/sheet5.xml" Id="R03b68d9a13de40c9" /><Relationship Type="http://schemas.openxmlformats.org/officeDocument/2006/relationships/worksheet" Target="/xl/worksheets/sheet6.xml" Id="R8e8c1ab0369c4844" /><Relationship Type="http://schemas.openxmlformats.org/officeDocument/2006/relationships/worksheet" Target="/xl/worksheets/sheet7.xml" Id="Re577c56eb4554054" /></Relationships>
</file>

<file path=xl/tables/table1.xml><?xml version="1.0" encoding="utf-8"?>
<x:table xmlns:x="http://schemas.openxmlformats.org/spreadsheetml/2006/main" id="1" name="SourceDataTable" displayName="SourceDataTable" ref="A1:H1267" headerRowCount="1">
  <x:tableColumns count="8">
    <x:tableColumn id="1" name="url"/>
    <x:tableColumn id="2" name="title"/>
    <x:tableColumn id="3" name="description"/>
    <x:tableColumn id="4" name="keyword"/>
    <x:tableColumn id="5" name="keyword type"/>
    <x:tableColumn id="6" name="volume"/>
    <x:tableColumn id="7" name="keyword difficulty"/>
    <x:tableColumn id="8" name="intent"/>
  </x:tableColumns>
  <x:tableStyleInfo name="TableStyleMedium2" showRowStripes="1"/>
</x:table>
</file>

<file path=xl/tables/table2.xml><?xml version="1.0" encoding="utf-8"?>
<x:table xmlns:x="http://schemas.openxmlformats.org/spreadsheetml/2006/main" id="2" name="KeywordAllocationTable" displayName="KeywordAllocationTable" ref="A1:AD1267" headerRowCount="1">
  <x:tableColumns count="30">
    <x:tableColumn id="1" name="原始行号"/>
    <x:tableColumn id="2" name="url"/>
    <x:tableColumn id="3" name="关键词"/>
    <x:tableColumn id="4" name="keyword type"/>
    <x:tableColumn id="5" name="volume"/>
    <x:tableColumn id="6" name="keyword difficulty"/>
    <x:tableColumn id="7" name="Semrush intent"/>
    <x:tableColumn id="8" name="主题簇"/>
    <x:tableColumn id="9" name="关键词角色"/>
    <x:tableColumn id="10" name="推荐站点"/>
    <x:tableColumn id="11" name="人工确认站点"/>
    <x:tableColumn id="12" name="最终站点"/>
    <x:tableColumn id="13" name="推荐页面/文章类型"/>
    <x:tableColumn id="14" name="博客标题方向/页面角度"/>
    <x:tableColumn id="15" name="主站承接页/内链目标"/>
    <x:tableColumn id="16" name="是否可导流主站"/>
    <x:tableColumn id="17" name="推荐锚文本类型"/>
    <x:tableColumn id="18" name="合规/竞争风险"/>
    <x:tableColumn id="19" name="意图校验备注"/>
    <x:tableColumn id="20" name="需求分(0-20)"/>
    <x:tableColumn id="21" name="难度分(0-15)"/>
    <x:tableColumn id="22" name="商业价值分(0-20)"/>
    <x:tableColumn id="23" name="内容可写分(0-15)"/>
    <x:tableColumn id="24" name="站点匹配分(0-15)"/>
    <x:tableColumn id="25" name="风险扣分(0-20)"/>
    <x:tableColumn id="26" name="总分(公式)"/>
    <x:tableColumn id="27" name="优先级(公式)"/>
    <x:tableColumn id="28" name="下一步动作(公式)"/>
    <x:tableColumn id="29" name="原始title"/>
    <x:tableColumn id="30" name="原始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ContentCalendarTable" displayName="ContentCalendarTable" ref="A1:M161" headerRowCount="1">
  <x:tableColumns count="13">
    <x:tableColumn id="1" name="排期周"/>
    <x:tableColumn id="2" name="推荐站点"/>
    <x:tableColumn id="3" name="关键词"/>
    <x:tableColumn id="4" name="volume"/>
    <x:tableColumn id="5" name="KD"/>
    <x:tableColumn id="6" name="intent"/>
    <x:tableColumn id="7" name="优先级"/>
    <x:tableColumn id="8" name="文章类型"/>
    <x:tableColumn id="9" name="建议标题/角度"/>
    <x:tableColumn id="10" name="H2大纲"/>
    <x:tableColumn id="11" name="主站链接目标"/>
    <x:tableColumn id="12" name="CTA/导流方式"/>
    <x:tableColumn id="13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ArticleBriefTable" displayName="ArticleBriefTable" ref="A1:K81" headerRowCount="1">
  <x:tableColumns count="11">
    <x:tableColumn id="1" name="关键词"/>
    <x:tableColumn id="2" name="推荐站点"/>
    <x:tableColumn id="3" name="搜索意图"/>
    <x:tableColumn id="4" name="目标读者问题"/>
    <x:tableColumn id="5" name="H1建议"/>
    <x:tableColumn id="6" name="文章骨架"/>
    <x:tableColumn id="7" name="必须覆盖"/>
    <x:tableColumn id="8" name="不要写"/>
    <x:tableColumn id="9" name="主站内链/锚文本"/>
    <x:tableColumn id="10" name="转化方式"/>
    <x:tableColumn id="11" name="评分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2dba8f968a740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bde179f0af74b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d7170cbc74d4f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cc1f878a6ef4c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0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</x:cols>
  <x:sheetData>
    <x:row r="1" ht="19.200000762939453" hidden="0" customHeight="1">
      <x:c r="A1" s="2" t="str">
        <x:v>Exdivo Semrush 关键词分站结果</x:v>
      </x:c>
      <x:c r="B1" t="str"/>
      <x:c r="C1" t="str"/>
      <x:c r="D1" t="str"/>
      <x:c r="E1" t="str"/>
      <x:c r="F1" t="str"/>
      <x:c r="G1" t="str"/>
      <x:c r="H1" t="str"/>
    </x:row>
    <x:row r="2" ht="39.599998474121094" hidden="0" customHeight="1">
      <x:c r="A2" s="14" t="str">
        <x:v>这份表做什么</x:v>
      </x:c>
      <x:c r="B2" s="15" t="str">
        <x:v>把 Semrush 导出的关键词分到：主站、博客A、博客B、博客C、暂不做，并给出分数、风险、页面类型和写作方向。</x:v>
      </x:c>
      <x:c r="C2" s="15" t="str"/>
      <x:c r="D2" s="15" t="str"/>
      <x:c r="E2" s="15" t="str"/>
      <x:c r="F2" s="15" t="str"/>
      <x:c r="G2" s="15" t="str"/>
      <x:c r="H2" s="16" t="str"/>
    </x:row>
    <x:row r="3" ht="39.599998474121094" hidden="0" customHeight="1">
      <x:c r="A3" s="17" t="str">
        <x:v>使用步骤</x:v>
      </x:c>
      <x:c r="B3" s="18" t="str">
        <x:v>1. 先看“仪表盘”了解总量；2. 在“关键词分站结果”筛选 P0/P1；3. 人工确认 Google SERP 意图；4. 主站词建商业页，博客词进入内容日历；5. 写作时用“AI写作Brief”。</x:v>
      </x:c>
      <x:c r="C3" s="18" t="str"/>
      <x:c r="D3" s="18" t="str"/>
      <x:c r="E3" s="18" t="str"/>
      <x:c r="F3" s="18" t="str"/>
      <x:c r="G3" s="18" t="str"/>
      <x:c r="H3" s="19" t="str"/>
    </x:row>
    <x:row r="4" ht="26.399999618530273" hidden="0" customHeight="1">
      <x:c r="A4" s="17" t="str">
        <x:v>人工确认站点</x:v>
      </x:c>
      <x:c r="B4" s="18" t="str">
        <x:v>如果你人工判断某个词应该改站点，在“关键词分站结果”的 K 列选择主站/博客A/博客B/博客C/暂不做，L 列会变成最终站点。</x:v>
      </x:c>
      <x:c r="C4" s="18" t="str"/>
      <x:c r="D4" s="18" t="str"/>
      <x:c r="E4" s="18" t="str"/>
      <x:c r="F4" s="18" t="str"/>
      <x:c r="G4" s="18" t="str"/>
      <x:c r="H4" s="19" t="str"/>
    </x:row>
    <x:row r="5" ht="26.399999618530273" hidden="0" customHeight="1">
      <x:c r="A5" s="17" t="str">
        <x:v>主站原则</x:v>
      </x:c>
      <x:c r="B5" s="18" t="str">
        <x:v>交易词、品类词、购买词、价格词、可直接下单的词归主站，避免博客抢主站的商业排名。</x:v>
      </x:c>
      <x:c r="C5" s="18" t="str"/>
      <x:c r="D5" s="18" t="str"/>
      <x:c r="E5" s="18" t="str"/>
      <x:c r="F5" s="18" t="str"/>
      <x:c r="G5" s="18" t="str"/>
      <x:c r="H5" s="19" t="str"/>
    </x:row>
    <x:row r="6" ht="26.399999618530273" hidden="0" customHeight="1">
      <x:c r="A6" s="17" t="str">
        <x:v>博客A</x:v>
      </x:c>
      <x:c r="B6" s="18" t="str">
        <x:v>负责知识教程：what/how/guide/FAQ/法律或健康风险科普。合规类内容默认不导流主站。</x:v>
      </x:c>
      <x:c r="C6" s="18" t="str"/>
      <x:c r="D6" s="18" t="str"/>
      <x:c r="E6" s="18" t="str"/>
      <x:c r="F6" s="18" t="str"/>
      <x:c r="G6" s="18" t="str"/>
      <x:c r="H6" s="19" t="str"/>
    </x:row>
    <x:row r="7" ht="26.399999618530273" hidden="0" customHeight="1">
      <x:c r="A7" s="17" t="str">
        <x:v>博客B</x:v>
      </x:c>
      <x:c r="B7" s="18" t="str">
        <x:v>负责人群场景：口味、尼古丁、使用场景、选购问题、具体需求。可以软性导流到最相关集合页。</x:v>
      </x:c>
      <x:c r="C7" s="18" t="str"/>
      <x:c r="D7" s="18" t="str"/>
      <x:c r="E7" s="18" t="str"/>
      <x:c r="F7" s="18" t="str"/>
      <x:c r="G7" s="18" t="str"/>
      <x:c r="H7" s="19" t="str"/>
    </x:row>
    <x:row r="8" ht="26.399999618530273" hidden="0" customHeight="1">
      <x:c r="A8" s="17" t="str">
        <x:v>博客C</x:v>
      </x:c>
      <x:c r="B8" s="18" t="str">
        <x:v>负责对比评测：best/top/review/vs/alternative/竞品替代。可导流，但必须客观、中立、避免商标误导。</x:v>
      </x:c>
      <x:c r="C8" s="18" t="str"/>
      <x:c r="D8" s="18" t="str"/>
      <x:c r="E8" s="18" t="str"/>
      <x:c r="F8" s="18" t="str"/>
      <x:c r="G8" s="18" t="str"/>
      <x:c r="H8" s="19" t="str"/>
    </x:row>
    <x:row r="9" ht="26.399999618530273" hidden="0" customHeight="1">
      <x:c r="A9" s="17" t="str">
        <x:v>评分解释</x:v>
      </x:c>
      <x:c r="B9" s="18" t="str">
        <x:v>总分 = (需求分 + 难度分 + 商业价值分 + 内容可写分 + 站点匹配分 - 风险扣分) / 85 * 100。P0&gt;=75，P1&gt;=60，P2&gt;=45。</x:v>
      </x:c>
      <x:c r="C9" s="18" t="str"/>
      <x:c r="D9" s="18" t="str"/>
      <x:c r="E9" s="18" t="str"/>
      <x:c r="F9" s="18" t="str"/>
      <x:c r="G9" s="18" t="str"/>
      <x:c r="H9" s="19" t="str"/>
    </x:row>
    <x:row r="10" ht="39.599998474121094" hidden="0" customHeight="1">
      <x:c r="A10" s="20" t="str">
        <x:v>合规提醒</x:v>
      </x:c>
      <x:c r="B10" s="21" t="str">
        <x:v>Vape / nicotine 属于敏感和强监管品类。本表只做关键词和内容规划，不等于法律建议；涉及年龄、健康、戒烟、THC/CBD/大麻等词必须人工复核。</x:v>
      </x:c>
      <x:c r="C10" s="21" t="str"/>
      <x:c r="D10" s="21" t="str"/>
      <x:c r="E10" s="21" t="str"/>
      <x:c r="F10" s="21" t="str"/>
      <x:c r="G10" s="21" t="str"/>
      <x:c r="H10" s="22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26" hidden="0" customWidth="1"/>
    <x:col min="5" max="5" width="34" hidden="0" customWidth="1"/>
    <x:col min="6" max="6" width="28" hidden="0" customWidth="1"/>
    <x:col min="7" max="7" width="28" hidden="0" customWidth="1"/>
    <x:col min="8" max="8" width="38" hidden="0" customWidth="1"/>
  </x:cols>
  <x:sheetData>
    <x:row r="1" ht="15" hidden="0" customHeight="1">
      <x:c r="A1" s="27" t="str">
        <x:v>站点/桶</x:v>
      </x:c>
      <x:c r="B1" s="27" t="str">
        <x:v>负责的搜索意图</x:v>
      </x:c>
      <x:c r="C1" s="27" t="str">
        <x:v>典型关键词信号</x:v>
      </x:c>
      <x:c r="D1" s="27" t="str">
        <x:v>页面/内容形态</x:v>
      </x:c>
      <x:c r="E1" s="27" t="str">
        <x:v>导流规则</x:v>
      </x:c>
      <x:c r="F1" s="27" t="str">
        <x:v>不要承接</x:v>
      </x:c>
      <x:c r="G1" s="27" t="str">
        <x:v>示例</x:v>
      </x:c>
      <x:c r="H1" s="27" t="str">
        <x:v>备注</x:v>
      </x:c>
    </x:row>
    <x:row r="2" ht="26.399999618530273" hidden="0" customHeight="1">
      <x:c r="A2" s="29" t="str">
        <x:v>主站</x:v>
      </x:c>
      <x:c r="B2" s="18" t="str">
        <x:v>交易/品类/购买</x:v>
      </x:c>
      <x:c r="C2" s="18" t="str">
        <x:v>buy, shop, online, price, sale, disposable vapes, pod kits</x:v>
      </x:c>
      <x:c r="D2" s="18" t="str">
        <x:v>分类页、集合页、产品页、FAQ模块</x:v>
      </x:c>
      <x:c r="E2" s="18" t="str">
        <x:v>自身承接，不需要外链导流</x:v>
      </x:c>
      <x:c r="F2" s="18" t="str">
        <x:v>what/how纯知识、竞品纯品牌词</x:v>
      </x:c>
      <x:c r="G2" s="18" t="str">
        <x:v>buy disposable vapes online</x:v>
      </x:c>
      <x:c r="H2" s="18" t="str">
        <x:v>主站吃商业词，博客不抢核心交易词</x:v>
      </x:c>
    </x:row>
    <x:row r="3" ht="26.399999618530273" hidden="0" customHeight="1">
      <x:c r="A3" s="29" t="str">
        <x:v>博客A-知识教程</x:v>
      </x:c>
      <x:c r="B3" s="18" t="str">
        <x:v>信息/教程/FAQ/合规科普</x:v>
      </x:c>
      <x:c r="C3" s="18" t="str">
        <x:v>what, how, guide, meaning, legal, safe, age</x:v>
      </x:c>
      <x:c r="D3" s="18" t="str">
        <x:v>百科、教程、FAQ、合规说明</x:v>
      </x:c>
      <x:c r="E3" s="18" t="str">
        <x:v>普通知识词谨慎导流；健康/法律/年龄词不导流</x:v>
      </x:c>
      <x:c r="F3" s="18" t="str">
        <x:v>购买词、榜单评测词</x:v>
      </x:c>
      <x:c r="G3" s="18" t="str">
        <x:v>what are disposable vapes</x:v>
      </x:c>
      <x:c r="H3" s="18" t="str">
        <x:v>先解决信息需求，再考虑是否有自然内链</x:v>
      </x:c>
    </x:row>
    <x:row r="4" ht="26.399999618530273" hidden="0" customHeight="1">
      <x:c r="A4" s="29" t="str">
        <x:v>博客B-场景人群</x:v>
      </x:c>
      <x:c r="B4" s="18" t="str">
        <x:v>场景/人群/问题解决</x:v>
      </x:c>
      <x:c r="C4" s="18" t="str">
        <x:v>for, flavor, nicotine free, rechargeable, beginner, travel</x:v>
      </x:c>
      <x:c r="D4" s="18" t="str">
        <x:v>场景选购指南、需求解决文章</x:v>
      </x:c>
      <x:c r="E4" s="18" t="str">
        <x:v>可用自然句导流到相关集合页</x:v>
      </x:c>
      <x:c r="F4" s="18" t="str">
        <x:v>纯交易词、竞品品牌词</x:v>
      </x:c>
      <x:c r="G4" s="18" t="str">
        <x:v>nicotine free disposable vapes</x:v>
      </x:c>
      <x:c r="H4" s="18" t="str">
        <x:v>适合从长尾流量反哺主站</x:v>
      </x:c>
    </x:row>
    <x:row r="5" ht="15" hidden="0" customHeight="1">
      <x:c r="A5" s="29" t="str">
        <x:v>博客C-对比评测</x:v>
      </x:c>
      <x:c r="B5" s="18" t="str">
        <x:v>商业调查/比较/评测</x:v>
      </x:c>
      <x:c r="C5" s="18" t="str">
        <x:v>best, top, review, vs, alternative, brands</x:v>
      </x:c>
      <x:c r="D5" s="18" t="str">
        <x:v>榜单、评测、对比、替代方案</x:v>
      </x:c>
      <x:c r="E5" s="18" t="str">
        <x:v>可导流，但锚文本必须自然</x:v>
      </x:c>
      <x:c r="F5" s="18" t="str">
        <x:v>健康疗效承诺、虚假对比</x:v>
      </x:c>
      <x:c r="G5" s="18" t="str">
        <x:v>best disposable vapes</x:v>
      </x:c>
      <x:c r="H5" s="18" t="str">
        <x:v>适合临近购买前的流量</x:v>
      </x:c>
    </x:row>
    <x:row r="6" ht="26.399999618530273" hidden="0" customHeight="1">
      <x:c r="A6" s="29" t="str">
        <x:v>暂不做</x:v>
      </x:c>
      <x:c r="B6" s="18" t="str">
        <x:v>弱相关/高风险/本地错配</x:v>
      </x:c>
      <x:c r="C6" s="18" t="str">
        <x:v>THC, CBD, weed, kids, school, near me, 纯竞品品牌</x:v>
      </x:c>
      <x:c r="D6" s="18" t="str">
        <x:v>不建页或人工复核</x:v>
      </x:c>
      <x:c r="E6" s="18" t="str">
        <x:v>不导流</x:v>
      </x:c>
      <x:c r="F6" s="18" t="str">
        <x:v>任何不符合产品/法规/品牌定位的词</x:v>
      </x:c>
      <x:c r="G6" s="18" t="str">
        <x:v>vape shop near me</x:v>
      </x:c>
      <x:c r="H6" s="18" t="str">
        <x:v>先删掉会拖累站点主题和合规性的词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5" hidden="0" customWidth="1"/>
    <x:col min="3" max="3" width="60" hidden="0" customWidth="1"/>
    <x:col min="4" max="4" width="34" hidden="0" customWidth="1"/>
    <x:col min="5" max="5" width="18" hidden="0" customWidth="1"/>
    <x:col min="6" max="6" width="12" hidden="0" customWidth="1"/>
    <x:col min="7" max="7" width="18" hidden="0" customWidth="1"/>
    <x:col min="8" max="8" width="24" hidden="0" customWidth="1"/>
  </x:cols>
  <x:sheetData>
    <x:row r="1">
      <x:c r="A1" s="24" t="str">
        <x:v>url</x:v>
      </x:c>
      <x:c r="B1" s="24" t="str">
        <x:v>title</x:v>
      </x:c>
      <x:c r="C1" s="24" t="str">
        <x:v>description</x:v>
      </x:c>
      <x:c r="D1" s="24" t="str">
        <x:v>keyword</x:v>
      </x:c>
      <x:c r="E1" s="24" t="str">
        <x:v>keyword type</x:v>
      </x:c>
      <x:c r="F1" s="24" t="str">
        <x:v>volume</x:v>
      </x:c>
      <x:c r="G1" s="24" t="str">
        <x:v>keyword difficulty</x:v>
      </x:c>
      <x:c r="H1" s="24" t="str">
        <x:v>intent</x:v>
      </x:c>
    </x:row>
    <x:row r="2">
      <x:c r="A2" s="30" t="str">
        <x:v>https://exdivo.com/</x:v>
      </x:c>
      <x:c r="B2" s="30" t="str">
        <x:v>Exdivo Official – High Quality Disposable Vape, Pod Kits &amp; E-Cigarettes</x:v>
      </x:c>
      <x:c r="C2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" s="30" t="str">
        <x:v>what are disposable vapes</x:v>
      </x:c>
      <x:c r="E2" s="30" t="str">
        <x:v>recommended</x:v>
      </x:c>
      <x:c r="F2" s="30" t="n">
        <x:v>320</x:v>
      </x:c>
      <x:c r="G2" s="30" t="n">
        <x:v>27</x:v>
      </x:c>
      <x:c r="H2" s="30" t="str">
        <x:v>informational</x:v>
      </x:c>
    </x:row>
    <x:row r="3">
      <x:c r="A3" s="30" t="str">
        <x:v>https://exdivo.com/</x:v>
      </x:c>
      <x:c r="B3" s="30" t="str">
        <x:v>Exdivo Official – High Quality Disposable Vape, Pod Kits &amp; E-Cigarettes</x:v>
      </x:c>
      <x:c r="C3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3" s="30" t="str">
        <x:v>disposable vapes</x:v>
      </x:c>
      <x:c r="E3" s="30" t="str">
        <x:v>recommended</x:v>
      </x:c>
      <x:c r="F3" s="30" t="n">
        <x:v>22200</x:v>
      </x:c>
      <x:c r="G3" s="30" t="n">
        <x:v>47</x:v>
      </x:c>
      <x:c r="H3" s="30" t="str">
        <x:v>informational</x:v>
      </x:c>
    </x:row>
    <x:row r="4">
      <x:c r="A4" s="30" t="str">
        <x:v>https://exdivo.com/</x:v>
      </x:c>
      <x:c r="B4" s="30" t="str">
        <x:v>Exdivo Official – High Quality Disposable Vape, Pod Kits &amp; E-Cigarettes</x:v>
      </x:c>
      <x:c r="C4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4" s="30" t="str">
        <x:v>vapes flavored</x:v>
      </x:c>
      <x:c r="E4" s="30" t="str">
        <x:v>recommended</x:v>
      </x:c>
      <x:c r="F4" s="30" t="n">
        <x:v>3600</x:v>
      </x:c>
      <x:c r="G4" s="30" t="n">
        <x:v>30</x:v>
      </x:c>
      <x:c r="H4" s="30" t="str">
        <x:v>informational, commercial</x:v>
      </x:c>
    </x:row>
    <x:row r="5">
      <x:c r="A5" s="30" t="str">
        <x:v>https://exdivo.com/</x:v>
      </x:c>
      <x:c r="B5" s="30" t="str">
        <x:v>Exdivo Official – High Quality Disposable Vape, Pod Kits &amp; E-Cigarettes</x:v>
      </x:c>
      <x:c r="C5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5" s="30" t="str">
        <x:v>disposable vaping</x:v>
      </x:c>
      <x:c r="E5" s="30" t="str">
        <x:v>recommended</x:v>
      </x:c>
      <x:c r="F5" s="30" t="n">
        <x:v>8100</x:v>
      </x:c>
      <x:c r="G5" s="30" t="n">
        <x:v>49</x:v>
      </x:c>
      <x:c r="H5" s="30" t="str">
        <x:v>informational</x:v>
      </x:c>
    </x:row>
    <x:row r="6">
      <x:c r="A6" s="30" t="str">
        <x:v>https://exdivo.com/</x:v>
      </x:c>
      <x:c r="B6" s="30" t="str">
        <x:v>Exdivo Official – High Quality Disposable Vape, Pod Kits &amp; E-Cigarettes</x:v>
      </x:c>
      <x:c r="C6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6" s="30" t="str">
        <x:v>refillable vapes</x:v>
      </x:c>
      <x:c r="E6" s="30" t="str">
        <x:v>recommended</x:v>
      </x:c>
      <x:c r="F6" s="30" t="n">
        <x:v>4400</x:v>
      </x:c>
      <x:c r="G6" s="30" t="n">
        <x:v>40</x:v>
      </x:c>
      <x:c r="H6" s="30" t="str">
        <x:v>informational</x:v>
      </x:c>
    </x:row>
    <x:row r="7">
      <x:c r="A7" s="30" t="str">
        <x:v>https://exdivo.com/</x:v>
      </x:c>
      <x:c r="B7" s="30" t="str">
        <x:v>Exdivo Official – High Quality Disposable Vape, Pod Kits &amp; E-Cigarettes</x:v>
      </x:c>
      <x:c r="C7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7" s="30" t="str">
        <x:v>nicotine vapes</x:v>
      </x:c>
      <x:c r="E7" s="30" t="str">
        <x:v>recommended</x:v>
      </x:c>
      <x:c r="F7" s="30" t="n">
        <x:v>4400</x:v>
      </x:c>
      <x:c r="G7" s="30" t="n">
        <x:v>53</x:v>
      </x:c>
      <x:c r="H7" s="30" t="str">
        <x:v>informational</x:v>
      </x:c>
    </x:row>
    <x:row r="8">
      <x:c r="A8" s="30" t="str">
        <x:v>https://exdivo.com/</x:v>
      </x:c>
      <x:c r="B8" s="30" t="str">
        <x:v>Exdivo Official – High Quality Disposable Vape, Pod Kits &amp; E-Cigarettes</x:v>
      </x:c>
      <x:c r="C8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8" s="30" t="str">
        <x:v>vapes brands</x:v>
      </x:c>
      <x:c r="E8" s="30" t="str">
        <x:v>recommended</x:v>
      </x:c>
      <x:c r="F8" s="30" t="n">
        <x:v>2400</x:v>
      </x:c>
      <x:c r="G8" s="30" t="n">
        <x:v>38</x:v>
      </x:c>
      <x:c r="H8" s="30" t="str">
        <x:v>informational, commercial</x:v>
      </x:c>
    </x:row>
    <x:row r="9">
      <x:c r="A9" s="30" t="str">
        <x:v>https://exdivo.com/</x:v>
      </x:c>
      <x:c r="B9" s="30" t="str">
        <x:v>Exdivo Official – High Quality Disposable Vape, Pod Kits &amp; E-Cigarettes</x:v>
      </x:c>
      <x:c r="C9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9" s="30" t="str">
        <x:v>disposable vapor cigarettes</x:v>
      </x:c>
      <x:c r="E9" s="30" t="str">
        <x:v>recommended</x:v>
      </x:c>
      <x:c r="F9" s="30" t="n">
        <x:v>1900</x:v>
      </x:c>
      <x:c r="G9" s="30" t="n">
        <x:v>39</x:v>
      </x:c>
      <x:c r="H9" s="30" t="str">
        <x:v>informational</x:v>
      </x:c>
    </x:row>
    <x:row r="10">
      <x:c r="A10" s="30" t="str">
        <x:v>https://exdivo.com/</x:v>
      </x:c>
      <x:c r="B10" s="30" t="str">
        <x:v>Exdivo Official – High Quality Disposable Vape, Pod Kits &amp; E-Cigarettes</x:v>
      </x:c>
      <x:c r="C10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0" s="30" t="str">
        <x:v>buy disposable vapes online</x:v>
      </x:c>
      <x:c r="E10" s="30" t="str">
        <x:v>recommended</x:v>
      </x:c>
      <x:c r="F10" s="30" t="n">
        <x:v>1900</x:v>
      </x:c>
      <x:c r="G10" s="30" t="n">
        <x:v>47</x:v>
      </x:c>
      <x:c r="H10" s="30" t="str">
        <x:v>transactional</x:v>
      </x:c>
    </x:row>
    <x:row r="11">
      <x:c r="A11" s="30" t="str">
        <x:v>https://exdivo.com/</x:v>
      </x:c>
      <x:c r="B11" s="30" t="str">
        <x:v>Exdivo Official – High Quality Disposable Vape, Pod Kits &amp; E-Cigarettes</x:v>
      </x:c>
      <x:c r="C11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1" s="30" t="str">
        <x:v>different vapes</x:v>
      </x:c>
      <x:c r="E11" s="30" t="str">
        <x:v>recommended</x:v>
      </x:c>
      <x:c r="F11" s="30" t="n">
        <x:v>880</x:v>
      </x:c>
      <x:c r="G11" s="30" t="n">
        <x:v>28</x:v>
      </x:c>
      <x:c r="H11" s="30" t="str">
        <x:v>informational</x:v>
      </x:c>
    </x:row>
    <x:row r="12">
      <x:c r="A12" s="30" t="str">
        <x:v>https://exdivo.com/</x:v>
      </x:c>
      <x:c r="B12" s="30" t="str">
        <x:v>Exdivo Official – High Quality Disposable Vape, Pod Kits &amp; E-Cigarettes</x:v>
      </x:c>
      <x:c r="C12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2" s="30" t="str">
        <x:v>reusable vapes</x:v>
      </x:c>
      <x:c r="E12" s="30" t="str">
        <x:v>recommended</x:v>
      </x:c>
      <x:c r="F12" s="30" t="n">
        <x:v>1000</x:v>
      </x:c>
      <x:c r="G12" s="30" t="n">
        <x:v>37</x:v>
      </x:c>
      <x:c r="H12" s="30" t="str">
        <x:v>commercial</x:v>
      </x:c>
    </x:row>
    <x:row r="13">
      <x:c r="A13" s="30" t="str">
        <x:v>https://exdivo.com/</x:v>
      </x:c>
      <x:c r="B13" s="30" t="str">
        <x:v>Exdivo Official – High Quality Disposable Vape, Pod Kits &amp; E-Cigarettes</x:v>
      </x:c>
      <x:c r="C13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3" s="30" t="str">
        <x:v>vapes for sale</x:v>
      </x:c>
      <x:c r="E13" s="30" t="str">
        <x:v>recommended</x:v>
      </x:c>
      <x:c r="F13" s="30" t="n">
        <x:v>3600</x:v>
      </x:c>
      <x:c r="G13" s="30" t="n">
        <x:v>75</x:v>
      </x:c>
      <x:c r="H13" s="30" t="str">
        <x:v>transactional</x:v>
      </x:c>
    </x:row>
    <x:row r="14">
      <x:c r="A14" s="30" t="str">
        <x:v>https://exdivo.com/</x:v>
      </x:c>
      <x:c r="B14" s="30" t="str">
        <x:v>Exdivo Official – High Quality Disposable Vape, Pod Kits &amp; E-Cigarettes</x:v>
      </x:c>
      <x:c r="C14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4" s="30" t="str">
        <x:v>long lasting vapes</x:v>
      </x:c>
      <x:c r="E14" s="30" t="str">
        <x:v>recommended</x:v>
      </x:c>
      <x:c r="F14" s="30" t="n">
        <x:v>260</x:v>
      </x:c>
      <x:c r="G14" s="30" t="n">
        <x:v>13</x:v>
      </x:c>
      <x:c r="H14" s="30" t="str">
        <x:v>informational</x:v>
      </x:c>
    </x:row>
    <x:row r="15">
      <x:c r="A15" s="30" t="str">
        <x:v>https://exdivo.com/</x:v>
      </x:c>
      <x:c r="B15" s="30" t="str">
        <x:v>Exdivo Official – High Quality Disposable Vape, Pod Kits &amp; E-Cigarettes</x:v>
      </x:c>
      <x:c r="C15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5" s="30" t="str">
        <x:v>different kinds of vapes</x:v>
      </x:c>
      <x:c r="E15" s="30" t="str">
        <x:v>recommended</x:v>
      </x:c>
      <x:c r="F15" s="30" t="n">
        <x:v>480</x:v>
      </x:c>
      <x:c r="G15" s="30" t="n">
        <x:v>25</x:v>
      </x:c>
      <x:c r="H15" s="30" t="str">
        <x:v>informational</x:v>
      </x:c>
    </x:row>
    <x:row r="16">
      <x:c r="A16" s="30" t="str">
        <x:v>https://exdivo.com/</x:v>
      </x:c>
      <x:c r="B16" s="30" t="str">
        <x:v>Exdivo Official – High Quality Disposable Vape, Pod Kits &amp; E-Cigarettes</x:v>
      </x:c>
      <x:c r="C16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6" s="30" t="str">
        <x:v>disposable vaping devices</x:v>
      </x:c>
      <x:c r="E16" s="30" t="str">
        <x:v>recommended</x:v>
      </x:c>
      <x:c r="F16" s="30" t="n">
        <x:v>390</x:v>
      </x:c>
      <x:c r="G16" s="30" t="n">
        <x:v>41</x:v>
      </x:c>
      <x:c r="H16" s="30" t="str">
        <x:v>commercial</x:v>
      </x:c>
    </x:row>
    <x:row r="17">
      <x:c r="A17" s="30" t="str">
        <x:v>https://exdivo.com/</x:v>
      </x:c>
      <x:c r="B17" s="30" t="str">
        <x:v>Exdivo Official – High Quality Disposable Vape, Pod Kits &amp; E-Cigarettes</x:v>
      </x:c>
      <x:c r="C17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7" s="30" t="str">
        <x:v>tobacco flavored disposable vapes</x:v>
      </x:c>
      <x:c r="E17" s="30" t="str">
        <x:v>recommended</x:v>
      </x:c>
      <x:c r="F17" s="30" t="n">
        <x:v>90</x:v>
      </x:c>
      <x:c r="G17" s="30" t="n">
        <x:v>1</x:v>
      </x:c>
      <x:c r="H17" s="30" t="str">
        <x:v>commercial</x:v>
      </x:c>
    </x:row>
    <x:row r="18">
      <x:c r="A18" s="30" t="str">
        <x:v>https://exdivo.com/</x:v>
      </x:c>
      <x:c r="B18" s="30" t="str">
        <x:v>Exdivo Official – High Quality Disposable Vape, Pod Kits &amp; E-Cigarettes</x:v>
      </x:c>
      <x:c r="C18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8" s="30" t="str">
        <x:v>types of disposable vapes</x:v>
      </x:c>
      <x:c r="E18" s="30" t="str">
        <x:v>recommended</x:v>
      </x:c>
      <x:c r="F18" s="30" t="n">
        <x:v>260</x:v>
      </x:c>
      <x:c r="G18" s="30" t="n">
        <x:v>32</x:v>
      </x:c>
      <x:c r="H18" s="30" t="str">
        <x:v>informational</x:v>
      </x:c>
    </x:row>
    <x:row r="19">
      <x:c r="A19" s="30" t="str">
        <x:v>https://exdivo.com/</x:v>
      </x:c>
      <x:c r="B19" s="30" t="str">
        <x:v>Exdivo Official – High Quality Disposable Vape, Pod Kits &amp; E-Cigarettes</x:v>
      </x:c>
      <x:c r="C19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19" s="30" t="str">
        <x:v>best vapes disposable</x:v>
      </x:c>
      <x:c r="E19" s="30" t="str">
        <x:v>recommended</x:v>
      </x:c>
      <x:c r="F19" s="30" t="n">
        <x:v>260</x:v>
      </x:c>
      <x:c r="G19" s="30" t="n">
        <x:v>32</x:v>
      </x:c>
      <x:c r="H19" s="30" t="str">
        <x:v>commercial</x:v>
      </x:c>
    </x:row>
    <x:row r="20">
      <x:c r="A20" s="30" t="str">
        <x:v>https://exdivo.com/</x:v>
      </x:c>
      <x:c r="B20" s="30" t="str">
        <x:v>Exdivo Official – High Quality Disposable Vape, Pod Kits &amp; E-Cigarettes</x:v>
      </x:c>
      <x:c r="C20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0" s="30" t="str">
        <x:v>best vaping devices</x:v>
      </x:c>
      <x:c r="E20" s="30" t="str">
        <x:v>recommended</x:v>
      </x:c>
      <x:c r="F20" s="30" t="n">
        <x:v>170</x:v>
      </x:c>
      <x:c r="G20" s="30" t="n">
        <x:v>20</x:v>
      </x:c>
      <x:c r="H20" s="30" t="str">
        <x:v>commercial</x:v>
      </x:c>
    </x:row>
    <x:row r="21">
      <x:c r="A21" s="30" t="str">
        <x:v>https://exdivo.com/</x:v>
      </x:c>
      <x:c r="B21" s="30" t="str">
        <x:v>Exdivo Official – High Quality Disposable Vape, Pod Kits &amp; E-Cigarettes</x:v>
      </x:c>
      <x:c r="C21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1" s="30" t="str">
        <x:v>good disposable vapes</x:v>
      </x:c>
      <x:c r="E21" s="30" t="str">
        <x:v>recommended</x:v>
      </x:c>
      <x:c r="F21" s="30" t="n">
        <x:v>320</x:v>
      </x:c>
      <x:c r="G21" s="30" t="n">
        <x:v>34</x:v>
      </x:c>
      <x:c r="H21" s="30" t="str">
        <x:v>informational</x:v>
      </x:c>
    </x:row>
    <x:row r="22">
      <x:c r="A22" s="30" t="str">
        <x:v>https://exdivo.com/</x:v>
      </x:c>
      <x:c r="B22" s="30" t="str">
        <x:v>Exdivo Official – High Quality Disposable Vape, Pod Kits &amp; E-Cigarettes</x:v>
      </x:c>
      <x:c r="C22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2" s="30" t="str">
        <x:v>disposable vapes for sale</x:v>
      </x:c>
      <x:c r="E22" s="30" t="str">
        <x:v>recommended</x:v>
      </x:c>
      <x:c r="F22" s="30" t="n">
        <x:v>480</x:v>
      </x:c>
      <x:c r="G22" s="30" t="n">
        <x:v>56</x:v>
      </x:c>
      <x:c r="H22" s="30" t="str">
        <x:v>transactional</x:v>
      </x:c>
    </x:row>
    <x:row r="23">
      <x:c r="A23" s="30" t="str">
        <x:v>https://exdivo.com/</x:v>
      </x:c>
      <x:c r="B23" s="30" t="str">
        <x:v>Exdivo Official – High Quality Disposable Vape, Pod Kits &amp; E-Cigarettes</x:v>
      </x:c>
      <x:c r="C23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3" s="30" t="str">
        <x:v>disposable vape pods</x:v>
      </x:c>
      <x:c r="E23" s="30" t="str">
        <x:v>recommended</x:v>
      </x:c>
      <x:c r="F23" s="30" t="n">
        <x:v>210</x:v>
      </x:c>
      <x:c r="G23" s="30" t="n">
        <x:v>35</x:v>
      </x:c>
      <x:c r="H23" s="30" t="str">
        <x:v>commercial</x:v>
      </x:c>
    </x:row>
    <x:row r="24">
      <x:c r="A24" s="30" t="str">
        <x:v>https://exdivo.com/</x:v>
      </x:c>
      <x:c r="B24" s="30" t="str">
        <x:v>Exdivo Official – High Quality Disposable Vape, Pod Kits &amp; E-Cigarettes</x:v>
      </x:c>
      <x:c r="C24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4" s="30" t="str">
        <x:v>vape disposables</x:v>
      </x:c>
      <x:c r="E24" s="30" t="str">
        <x:v>recommended</x:v>
      </x:c>
      <x:c r="F24" s="30" t="n">
        <x:v>320</x:v>
      </x:c>
      <x:c r="G24" s="30" t="n">
        <x:v>51</x:v>
      </x:c>
      <x:c r="H24" s="30" t="str">
        <x:v>commercial</x:v>
      </x:c>
    </x:row>
    <x:row r="25">
      <x:c r="A25" s="30" t="str">
        <x:v>https://exdivo.com/</x:v>
      </x:c>
      <x:c r="B25" s="30" t="str">
        <x:v>Exdivo Official – High Quality Disposable Vape, Pod Kits &amp; E-Cigarettes</x:v>
      </x:c>
      <x:c r="C25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5" s="30" t="str">
        <x:v>vaping cartridges</x:v>
      </x:c>
      <x:c r="E25" s="30" t="str">
        <x:v>recommended</x:v>
      </x:c>
      <x:c r="F25" s="30" t="n">
        <x:v>2400</x:v>
      </x:c>
      <x:c r="G25" s="30" t="n">
        <x:v>50</x:v>
      </x:c>
      <x:c r="H25" s="30" t="str">
        <x:v>informational</x:v>
      </x:c>
    </x:row>
    <x:row r="26">
      <x:c r="A26" s="30" t="str">
        <x:v>https://exdivo.com/</x:v>
      </x:c>
      <x:c r="B26" s="30" t="str">
        <x:v>Exdivo Official – High Quality Disposable Vape, Pod Kits &amp; E-Cigarettes</x:v>
      </x:c>
      <x:c r="C26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6" s="30" t="str">
        <x:v>small refillable vapes</x:v>
      </x:c>
      <x:c r="E26" s="30" t="str">
        <x:v>recommended</x:v>
      </x:c>
      <x:c r="F26" s="30" t="n">
        <x:v>260</x:v>
      </x:c>
      <x:c r="G26" s="30" t="n">
        <x:v>27</x:v>
      </x:c>
      <x:c r="H26" s="30" t="str">
        <x:v>commercial</x:v>
      </x:c>
    </x:row>
    <x:row r="27">
      <x:c r="A27" s="30" t="str">
        <x:v>https://exdivo.com/</x:v>
      </x:c>
      <x:c r="B27" s="30" t="str">
        <x:v>Exdivo Official – High Quality Disposable Vape, Pod Kits &amp; E-Cigarettes</x:v>
      </x:c>
      <x:c r="C27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7" s="30" t="str">
        <x:v>buy disposable vapes</x:v>
      </x:c>
      <x:c r="E27" s="30" t="str">
        <x:v>recommended</x:v>
      </x:c>
      <x:c r="F27" s="30" t="n">
        <x:v>590</x:v>
      </x:c>
      <x:c r="G27" s="30" t="n">
        <x:v>55</x:v>
      </x:c>
      <x:c r="H27" s="30" t="str">
        <x:v>transactional</x:v>
      </x:c>
    </x:row>
    <x:row r="28">
      <x:c r="A28" s="30" t="str">
        <x:v>https://exdivo.com/</x:v>
      </x:c>
      <x:c r="B28" s="30" t="str">
        <x:v>Exdivo Official – High Quality Disposable Vape, Pod Kits &amp; E-Cigarettes</x:v>
      </x:c>
      <x:c r="C28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8" s="30" t="str">
        <x:v>small disposable vapes</x:v>
      </x:c>
      <x:c r="E28" s="30" t="str">
        <x:v>recommended</x:v>
      </x:c>
      <x:c r="F28" s="30" t="n">
        <x:v>110</x:v>
      </x:c>
      <x:c r="G28" s="30" t="n">
        <x:v>19</x:v>
      </x:c>
      <x:c r="H28" s="30" t="str">
        <x:v>informational</x:v>
      </x:c>
    </x:row>
    <x:row r="29">
      <x:c r="A29" s="30" t="str">
        <x:v>https://exdivo.com/</x:v>
      </x:c>
      <x:c r="B29" s="30" t="str">
        <x:v>Exdivo Official – High Quality Disposable Vape, Pod Kits &amp; E-Cigarettes</x:v>
      </x:c>
      <x:c r="C29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29" s="30" t="str">
        <x:v>vaping brands</x:v>
      </x:c>
      <x:c r="E29" s="30" t="str">
        <x:v>recommended</x:v>
      </x:c>
      <x:c r="F29" s="30" t="n">
        <x:v>140</x:v>
      </x:c>
      <x:c r="G29" s="30" t="n">
        <x:v>26</x:v>
      </x:c>
      <x:c r="H29" s="30" t="str">
        <x:v>informational, commercial</x:v>
      </x:c>
    </x:row>
    <x:row r="30">
      <x:c r="A30" s="30" t="str">
        <x:v>https://exdivo.com/</x:v>
      </x:c>
      <x:c r="B30" s="30" t="str">
        <x:v>Exdivo Official – High Quality Disposable Vape, Pod Kits &amp; E-Cigarettes</x:v>
      </x:c>
      <x:c r="C30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30" s="30" t="str">
        <x:v>rechargable vapes</x:v>
      </x:c>
      <x:c r="E30" s="30" t="str">
        <x:v>recommended</x:v>
      </x:c>
      <x:c r="F30" s="30" t="n">
        <x:v>320</x:v>
      </x:c>
      <x:c r="G30" s="30" t="n">
        <x:v>48</x:v>
      </x:c>
      <x:c r="H30" s="30" t="str">
        <x:v>informational</x:v>
      </x:c>
    </x:row>
    <x:row r="31">
      <x:c r="A31" s="30" t="str">
        <x:v>https://exdivo.com/</x:v>
      </x:c>
      <x:c r="B31" s="30" t="str">
        <x:v>Exdivo Official – High Quality Disposable Vape, Pod Kits &amp; E-Cigarettes</x:v>
      </x:c>
      <x:c r="C31" s="30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  <x:c r="D31" s="30" t="str">
        <x:v>rechargeable disposable vapes</x:v>
      </x:c>
      <x:c r="E31" s="30" t="str">
        <x:v>recommended</x:v>
      </x:c>
      <x:c r="F31" s="30" t="n">
        <x:v>170</x:v>
      </x:c>
      <x:c r="G31" s="30" t="n">
        <x:v>35</x:v>
      </x:c>
      <x:c r="H31" s="30" t="str">
        <x:v>informational, commercial</x:v>
      </x:c>
    </x:row>
    <x:row r="32">
      <x:c r="A32" s="30" t="str">
        <x:v>https://exdivo.com/comments/exdivo-bright-mirror-35k-replaceable-vape-kit_9fb2cea3</x:v>
      </x:c>
      <x:c r="B32" s="30" t="str">
        <x:v>Reviews - WHITE GUMMY - ExDivo BRIGHT MIRROR 35K Replaceable VAPE kit - ExDivo</x:v>
      </x:c>
      <x:c r="C32" s="30" t="str">
        <x:v>48</x:v>
      </x:c>
      <x:c r="D32" s="30" t="str">
        <x:v>bright mirror 35k vape kit review</x:v>
      </x:c>
      <x:c r="E32" s="30" t="str">
        <x:v>recommended</x:v>
      </x:c>
      <x:c r="F32" s="30" t="n">
        <x:v>0</x:v>
      </x:c>
      <x:c r="G32" s="30" t="n">
        <x:v>0</x:v>
      </x:c>
      <x:c r="H32" s="30" t="str">
        <x:v>48</x:v>
      </x:c>
    </x:row>
    <x:row r="33">
      <x:c r="A33" s="30" t="str">
        <x:v>https://exdivo.com/comments/exdivo-bright-mirror-35k-replaceable-vape-kit_9fb2cea3</x:v>
      </x:c>
      <x:c r="B33" s="30" t="str">
        <x:v>Reviews - WHITE GUMMY - ExDivo BRIGHT MIRROR 35K Replaceable VAPE kit - ExDivo</x:v>
      </x:c>
      <x:c r="C33" s="30" t="str">
        <x:v>48</x:v>
      </x:c>
      <x:c r="D33" s="30" t="str">
        <x:v>vape kit flavor reviews</x:v>
      </x:c>
      <x:c r="E33" s="30" t="str">
        <x:v>recommended</x:v>
      </x:c>
      <x:c r="F33" s="30" t="n">
        <x:v>0</x:v>
      </x:c>
      <x:c r="G33" s="30" t="n">
        <x:v>0</x:v>
      </x:c>
      <x:c r="H33" s="30" t="str">
        <x:v>48</x:v>
      </x:c>
    </x:row>
    <x:row r="34">
      <x:c r="A34" s="30" t="str">
        <x:v>https://exdivo.com/collections/meifu/products/exdivo-flora-40k-disposable-vape_bd748695?data_from=index_index&amp;spm=index_index..block_collection_list-11702354.10.</x:v>
      </x:c>
      <x:c r="B34" s="30" t="str">
        <x:v>ExDivo FLORA 40K Disposable Vape</x:v>
      </x:c>
      <x:c r="C34" s="30" t="str">
        <x:v>40000 puffs</x:v>
      </x:c>
      <x:c r="D34" s="30" t="str">
        <x:v>40k puff vape</x:v>
      </x:c>
      <x:c r="E34" s="30" t="str">
        <x:v>recommended</x:v>
      </x:c>
      <x:c r="F34" s="30" t="n">
        <x:v>90</x:v>
      </x:c>
      <x:c r="G34" s="30" t="n">
        <x:v>3</x:v>
      </x:c>
      <x:c r="H34" s="30" t="str">
        <x:v>informational</x:v>
      </x:c>
    </x:row>
    <x:row r="35">
      <x:c r="A35" s="30" t="str">
        <x:v>https://exdivo.com/collections/meifu/products/exdivo-flora-40k-disposable-vape_bd748695?data_from=index_index&amp;spm=index_index..block_collection_list-11702354.10.</x:v>
      </x:c>
      <x:c r="B35" s="30" t="str">
        <x:v>ExDivo FLORA 40K Disposable Vape</x:v>
      </x:c>
      <x:c r="C35" s="30" t="str">
        <x:v>40000 puffs</x:v>
      </x:c>
      <x:c r="D35" s="30" t="str">
        <x:v>40k vape</x:v>
      </x:c>
      <x:c r="E35" s="30" t="str">
        <x:v>recommended</x:v>
      </x:c>
      <x:c r="F35" s="30" t="n">
        <x:v>40</x:v>
      </x:c>
      <x:c r="G35" s="30" t="n">
        <x:v>2</x:v>
      </x:c>
      <x:c r="H35" s="30" t="str">
        <x:v>commercial</x:v>
      </x:c>
    </x:row>
    <x:row r="36">
      <x:c r="A36" s="30" t="str">
        <x:v>https://exdivo.com/collections/meifu/products/exdivo-flora-40k-disposable-vape_bd748695?data_from=index_index&amp;spm=index_index..block_collection_list-11702354.10.</x:v>
      </x:c>
      <x:c r="B36" s="30" t="str">
        <x:v>ExDivo FLORA 40K Disposable Vape</x:v>
      </x:c>
      <x:c r="C36" s="30" t="str">
        <x:v>40000 puffs</x:v>
      </x:c>
      <x:c r="D36" s="30" t="str">
        <x:v>flora 40k vape</x:v>
      </x:c>
      <x:c r="E36" s="30" t="str">
        <x:v>recommended</x:v>
      </x:c>
      <x:c r="F36" s="30" t="n">
        <x:v>0</x:v>
      </x:c>
      <x:c r="G36" s="30" t="n">
        <x:v>0</x:v>
      </x:c>
      <x:c r="H36" s="30" t="str">
        <x:v>48</x:v>
      </x:c>
    </x:row>
    <x:row r="37">
      <x:c r="A37" s="30" t="str">
        <x:v>https://exdivo.com/collections/meifu?data_from=index_index</x:v>
      </x:c>
      <x:c r="B37" s="30" t="str">
        <x:v>FLORA - ExDivo</x:v>
      </x:c>
      <x:c r="C37" s="30" t="str">
        <x:v>flora</x:v>
      </x:c>
      <x:c r="D37" s="30" t="str">
        <x:v>vape devices flora</x:v>
      </x:c>
      <x:c r="E37" s="30" t="str">
        <x:v>recommended</x:v>
      </x:c>
      <x:c r="F37" s="30" t="n">
        <x:v>0</x:v>
      </x:c>
      <x:c r="G37" s="30" t="n">
        <x:v>0</x:v>
      </x:c>
      <x:c r="H37" s="30" t="str">
        <x:v>48</x:v>
      </x:c>
    </x:row>
    <x:row r="38">
      <x:c r="A38" s="30" t="str">
        <x:v>https://exdivo.com/collections/meifu?data_from=index_index</x:v>
      </x:c>
      <x:c r="B38" s="30" t="str">
        <x:v>FLORA - ExDivo</x:v>
      </x:c>
      <x:c r="C38" s="30" t="str">
        <x:v>flora</x:v>
      </x:c>
      <x:c r="D38" s="30" t="str">
        <x:v>flora disposable vape</x:v>
      </x:c>
      <x:c r="E38" s="30" t="str">
        <x:v>recommended</x:v>
      </x:c>
      <x:c r="F38" s="30" t="n">
        <x:v>0</x:v>
      </x:c>
      <x:c r="G38" s="30" t="n">
        <x:v>0</x:v>
      </x:c>
      <x:c r="H38" s="30" t="str">
        <x:v>48</x:v>
      </x:c>
    </x:row>
    <x:row r="39">
      <x:c r="A39" s="30" t="str">
        <x:v>https://exdivo.com/products/exdivo-bright-mirror-35k-replaceable-vape-kit_9d9e42e4</x:v>
      </x:c>
      <x:c r="B39" s="30" t="str">
        <x:v>ExDivo BRIGHT MIRROR 35K Replaceable VAPE kit</x:v>
      </x:c>
      <x:c r="C39" s="30" t="str">
        <x:v>35000 puffs</x:v>
      </x:c>
      <x:c r="D39" s="30" t="str">
        <x:v>35k vape kit performance</x:v>
      </x:c>
      <x:c r="E39" s="30" t="str">
        <x:v>recommended</x:v>
      </x:c>
      <x:c r="F39" s="30" t="n">
        <x:v>0</x:v>
      </x:c>
      <x:c r="G39" s="30" t="n">
        <x:v>0</x:v>
      </x:c>
      <x:c r="H39" s="30" t="str">
        <x:v>48</x:v>
      </x:c>
    </x:row>
    <x:row r="40">
      <x:c r="A40" s="30" t="str">
        <x:v>https://exdivo.com/collections/all?page=2</x:v>
      </x:c>
      <x:c r="B40" s="30" t="str">
        <x:v>All Products - ExDivo</x:v>
      </x:c>
      <x:c r="C40" s="30" t="str">
        <x:v>all products</x:v>
      </x:c>
      <x:c r="D40" s="30" t="str">
        <x:v>buy vape online</x:v>
      </x:c>
      <x:c r="E40" s="30" t="str">
        <x:v>recommended</x:v>
      </x:c>
      <x:c r="F40" s="30" t="n">
        <x:v>8100</x:v>
      </x:c>
      <x:c r="G40" s="30" t="n">
        <x:v>84</x:v>
      </x:c>
      <x:c r="H40" s="30" t="str">
        <x:v>transactional</x:v>
      </x:c>
    </x:row>
    <x:row r="41">
      <x:c r="A41" s="30" t="str">
        <x:v>https://exdivo.com/collections/all?page=2</x:v>
      </x:c>
      <x:c r="B41" s="30" t="str">
        <x:v>All Products - ExDivo</x:v>
      </x:c>
      <x:c r="C41" s="30" t="str">
        <x:v>all products</x:v>
      </x:c>
      <x:c r="D41" s="30" t="str">
        <x:v>vape device</x:v>
      </x:c>
      <x:c r="E41" s="30" t="str">
        <x:v>recommended</x:v>
      </x:c>
      <x:c r="F41" s="30" t="n">
        <x:v>880</x:v>
      </x:c>
      <x:c r="G41" s="30" t="n">
        <x:v>50</x:v>
      </x:c>
      <x:c r="H41" s="30" t="str">
        <x:v>commercial</x:v>
      </x:c>
    </x:row>
    <x:row r="42">
      <x:c r="A42" s="30" t="str">
        <x:v>https://exdivo.com/collections/all?page=2</x:v>
      </x:c>
      <x:c r="B42" s="30" t="str">
        <x:v>All Products - ExDivo</x:v>
      </x:c>
      <x:c r="C42" s="30" t="str">
        <x:v>all products</x:v>
      </x:c>
      <x:c r="D42" s="30" t="str">
        <x:v>vape for sale</x:v>
      </x:c>
      <x:c r="E42" s="30" t="str">
        <x:v>recommended</x:v>
      </x:c>
      <x:c r="F42" s="30" t="n">
        <x:v>1300</x:v>
      </x:c>
      <x:c r="G42" s="30" t="n">
        <x:v>73</x:v>
      </x:c>
      <x:c r="H42" s="30" t="str">
        <x:v>transactional</x:v>
      </x:c>
    </x:row>
    <x:row r="43">
      <x:c r="A43" s="30" t="str">
        <x:v>https://exdivo.com/collections/all?page=2</x:v>
      </x:c>
      <x:c r="B43" s="30" t="str">
        <x:v>All Products - ExDivo</x:v>
      </x:c>
      <x:c r="C43" s="30" t="str">
        <x:v>all products</x:v>
      </x:c>
      <x:c r="D43" s="30" t="str">
        <x:v>buy vape</x:v>
      </x:c>
      <x:c r="E43" s="30" t="str">
        <x:v>recommended</x:v>
      </x:c>
      <x:c r="F43" s="30" t="n">
        <x:v>1900</x:v>
      </x:c>
      <x:c r="G43" s="30" t="n">
        <x:v>85</x:v>
      </x:c>
      <x:c r="H43" s="30" t="str">
        <x:v>transactional</x:v>
      </x:c>
    </x:row>
    <x:row r="44">
      <x:c r="A44" s="30" t="str">
        <x:v>https://exdivo.com/collections/all?page=2</x:v>
      </x:c>
      <x:c r="B44" s="30" t="str">
        <x:v>All Products - ExDivo</x:v>
      </x:c>
      <x:c r="C44" s="30" t="str">
        <x:v>all products</x:v>
      </x:c>
      <x:c r="D44" s="30" t="str">
        <x:v>vape kinds</x:v>
      </x:c>
      <x:c r="E44" s="30" t="str">
        <x:v>recommended</x:v>
      </x:c>
      <x:c r="F44" s="30" t="n">
        <x:v>140</x:v>
      </x:c>
      <x:c r="G44" s="30" t="n">
        <x:v>20</x:v>
      </x:c>
      <x:c r="H44" s="30" t="str">
        <x:v>informational</x:v>
      </x:c>
    </x:row>
    <x:row r="45">
      <x:c r="A45" s="30" t="str">
        <x:v>https://exdivo.com/collections/all?page=2</x:v>
      </x:c>
      <x:c r="B45" s="30" t="str">
        <x:v>All Products - ExDivo</x:v>
      </x:c>
      <x:c r="C45" s="30" t="str">
        <x:v>all products</x:v>
      </x:c>
      <x:c r="D45" s="30" t="str">
        <x:v>vape kits for sale</x:v>
      </x:c>
      <x:c r="E45" s="30" t="str">
        <x:v>recommended</x:v>
      </x:c>
      <x:c r="F45" s="30" t="n">
        <x:v>260</x:v>
      </x:c>
      <x:c r="G45" s="30" t="n">
        <x:v>36</x:v>
      </x:c>
      <x:c r="H45" s="30" t="str">
        <x:v>transactional</x:v>
      </x:c>
    </x:row>
    <x:row r="46">
      <x:c r="A46" s="30" t="str">
        <x:v>https://exdivo.com/collections/all?page=2</x:v>
      </x:c>
      <x:c r="B46" s="30" t="str">
        <x:v>All Products - ExDivo</x:v>
      </x:c>
      <x:c r="C46" s="30" t="str">
        <x:v>all products</x:v>
      </x:c>
      <x:c r="D46" s="30" t="str">
        <x:v>all types of vapes</x:v>
      </x:c>
      <x:c r="E46" s="30" t="str">
        <x:v>recommended</x:v>
      </x:c>
      <x:c r="F46" s="30" t="n">
        <x:v>140</x:v>
      </x:c>
      <x:c r="G46" s="30" t="n">
        <x:v>24</x:v>
      </x:c>
      <x:c r="H46" s="30" t="str">
        <x:v>informational</x:v>
      </x:c>
    </x:row>
    <x:row r="47">
      <x:c r="A47" s="30" t="str">
        <x:v>https://exdivo.com/collections/all?page=2</x:v>
      </x:c>
      <x:c r="B47" s="30" t="str">
        <x:v>All Products - ExDivo</x:v>
      </x:c>
      <x:c r="C47" s="30" t="str">
        <x:v>all products</x:v>
      </x:c>
      <x:c r="D47" s="30" t="str">
        <x:v>brands of vape</x:v>
      </x:c>
      <x:c r="E47" s="30" t="str">
        <x:v>recommended</x:v>
      </x:c>
      <x:c r="F47" s="30" t="n">
        <x:v>70</x:v>
      </x:c>
      <x:c r="G47" s="30" t="n">
        <x:v>15</x:v>
      </x:c>
      <x:c r="H47" s="30" t="str">
        <x:v>informational</x:v>
      </x:c>
    </x:row>
    <x:row r="48">
      <x:c r="A48" s="30" t="str">
        <x:v>https://exdivo.com/collections/all?page=2</x:v>
      </x:c>
      <x:c r="B48" s="30" t="str">
        <x:v>All Products - ExDivo</x:v>
      </x:c>
      <x:c r="C48" s="30" t="str">
        <x:v>all products</x:v>
      </x:c>
      <x:c r="D48" s="30" t="str">
        <x:v>buy disposable vape online</x:v>
      </x:c>
      <x:c r="E48" s="30" t="str">
        <x:v>recommended</x:v>
      </x:c>
      <x:c r="F48" s="30" t="n">
        <x:v>140</x:v>
      </x:c>
      <x:c r="G48" s="30" t="n">
        <x:v>58</x:v>
      </x:c>
      <x:c r="H48" s="30" t="str">
        <x:v>transactional</x:v>
      </x:c>
    </x:row>
    <x:row r="49">
      <x:c r="A49" s="30" t="str">
        <x:v>https://exdivo.com/collections/all?page=2</x:v>
      </x:c>
      <x:c r="B49" s="30" t="str">
        <x:v>All Products - ExDivo</x:v>
      </x:c>
      <x:c r="C49" s="30" t="str">
        <x:v>all products</x:v>
      </x:c>
      <x:c r="D49" s="30" t="str">
        <x:v>vape supplies online</x:v>
      </x:c>
      <x:c r="E49" s="30" t="str">
        <x:v>recommended</x:v>
      </x:c>
      <x:c r="F49" s="30" t="n">
        <x:v>320</x:v>
      </x:c>
      <x:c r="G49" s="30" t="n">
        <x:v>68</x:v>
      </x:c>
      <x:c r="H49" s="30" t="str">
        <x:v>commercial</x:v>
      </x:c>
    </x:row>
    <x:row r="50">
      <x:c r="A50" s="30" t="str">
        <x:v>https://exdivo.com/collections/all?page=2</x:v>
      </x:c>
      <x:c r="B50" s="30" t="str">
        <x:v>All Products - ExDivo</x:v>
      </x:c>
      <x:c r="C50" s="30" t="str">
        <x:v>all products</x:v>
      </x:c>
      <x:c r="D50" s="30" t="str">
        <x:v>vape kits online</x:v>
      </x:c>
      <x:c r="E50" s="30" t="str">
        <x:v>recommended</x:v>
      </x:c>
      <x:c r="F50" s="30" t="n">
        <x:v>170</x:v>
      </x:c>
      <x:c r="G50" s="30" t="n">
        <x:v>68</x:v>
      </x:c>
      <x:c r="H50" s="30" t="str">
        <x:v>commercial</x:v>
      </x:c>
    </x:row>
    <x:row r="51">
      <x:c r="A51" s="30" t="str">
        <x:v>https://exdivo.com/collections/all?page=2</x:v>
      </x:c>
      <x:c r="B51" s="30" t="str">
        <x:v>All Products - ExDivo</x:v>
      </x:c>
      <x:c r="C51" s="30" t="str">
        <x:v>all products</x:v>
      </x:c>
      <x:c r="D51" s="30" t="str">
        <x:v>vape pods online</x:v>
      </x:c>
      <x:c r="E51" s="30" t="str">
        <x:v>recommended</x:v>
      </x:c>
      <x:c r="F51" s="30" t="n">
        <x:v>110</x:v>
      </x:c>
      <x:c r="G51" s="30" t="n">
        <x:v>64</x:v>
      </x:c>
      <x:c r="H51" s="30" t="str">
        <x:v>commercial</x:v>
      </x:c>
    </x:row>
    <x:row r="52">
      <x:c r="A52" s="30" t="str">
        <x:v>https://exdivo.com/collections/all?page=2</x:v>
      </x:c>
      <x:c r="B52" s="30" t="str">
        <x:v>All Products - ExDivo</x:v>
      </x:c>
      <x:c r="C52" s="30" t="str">
        <x:v>all products</x:v>
      </x:c>
      <x:c r="D52" s="30" t="str">
        <x:v>vape systems</x:v>
      </x:c>
      <x:c r="E52" s="30" t="str">
        <x:v>recommended</x:v>
      </x:c>
      <x:c r="F52" s="30" t="n">
        <x:v>50</x:v>
      </x:c>
      <x:c r="G52" s="30" t="n">
        <x:v>49</x:v>
      </x:c>
      <x:c r="H52" s="30" t="str">
        <x:v>informational</x:v>
      </x:c>
    </x:row>
    <x:row r="53">
      <x:c r="A53" s="30" t="str">
        <x:v>https://exdivo.com/collections/all?page=2</x:v>
      </x:c>
      <x:c r="B53" s="30" t="str">
        <x:v>All Products - ExDivo</x:v>
      </x:c>
      <x:c r="C53" s="30" t="str">
        <x:v>all products</x:v>
      </x:c>
      <x:c r="D53" s="30" t="str">
        <x:v>disposable vape shop online</x:v>
      </x:c>
      <x:c r="E53" s="30" t="str">
        <x:v>recommended</x:v>
      </x:c>
      <x:c r="F53" s="30" t="n">
        <x:v>50</x:v>
      </x:c>
      <x:c r="G53" s="30" t="n">
        <x:v>57</x:v>
      </x:c>
      <x:c r="H53" s="30" t="str">
        <x:v>commercial</x:v>
      </x:c>
    </x:row>
    <x:row r="54">
      <x:c r="A54" s="30" t="str">
        <x:v>https://exdivo.com/collections/all?page=2</x:v>
      </x:c>
      <x:c r="B54" s="30" t="str">
        <x:v>All Products - ExDivo</x:v>
      </x:c>
      <x:c r="C54" s="30" t="str">
        <x:v>all products</x:v>
      </x:c>
      <x:c r="D54" s="30" t="str">
        <x:v>vape for sale online</x:v>
      </x:c>
      <x:c r="E54" s="30" t="str">
        <x:v>recommended</x:v>
      </x:c>
      <x:c r="F54" s="30" t="n">
        <x:v>110</x:v>
      </x:c>
      <x:c r="G54" s="30" t="n">
        <x:v>70</x:v>
      </x:c>
      <x:c r="H54" s="30" t="str">
        <x:v>commercial</x:v>
      </x:c>
    </x:row>
    <x:row r="55">
      <x:c r="A55" s="30" t="str">
        <x:v>https://exdivo.com/collections/all?page=2</x:v>
      </x:c>
      <x:c r="B55" s="30" t="str">
        <x:v>All Products - ExDivo</x:v>
      </x:c>
      <x:c r="C55" s="30" t="str">
        <x:v>all products</x:v>
      </x:c>
      <x:c r="D55" s="30" t="str">
        <x:v>vape accessories online</x:v>
      </x:c>
      <x:c r="E55" s="30" t="str">
        <x:v>recommended</x:v>
      </x:c>
      <x:c r="F55" s="30" t="n">
        <x:v>90</x:v>
      </x:c>
      <x:c r="G55" s="30" t="n">
        <x:v>69</x:v>
      </x:c>
      <x:c r="H55" s="30" t="str">
        <x:v>commercial</x:v>
      </x:c>
    </x:row>
    <x:row r="56">
      <x:c r="A56" s="30" t="str">
        <x:v>https://exdivo.com/collections/all?page=2</x:v>
      </x:c>
      <x:c r="B56" s="30" t="str">
        <x:v>All Products - ExDivo</x:v>
      </x:c>
      <x:c r="C56" s="30" t="str">
        <x:v>all products</x:v>
      </x:c>
      <x:c r="D56" s="30" t="str">
        <x:v>e liquid vape device</x:v>
      </x:c>
      <x:c r="E56" s="30" t="str">
        <x:v>recommended</x:v>
      </x:c>
      <x:c r="F56" s="30" t="n">
        <x:v>40</x:v>
      </x:c>
      <x:c r="G56" s="30" t="n">
        <x:v>48</x:v>
      </x:c>
      <x:c r="H56" s="30" t="str">
        <x:v>informational</x:v>
      </x:c>
    </x:row>
    <x:row r="57">
      <x:c r="A57" s="30" t="str">
        <x:v>https://exdivo.com/collections/all?page=2</x:v>
      </x:c>
      <x:c r="B57" s="30" t="str">
        <x:v>All Products - ExDivo</x:v>
      </x:c>
      <x:c r="C57" s="30" t="str">
        <x:v>all products</x:v>
      </x:c>
      <x:c r="D57" s="30" t="str">
        <x:v>vape online shopping</x:v>
      </x:c>
      <x:c r="E57" s="30" t="str">
        <x:v>recommended</x:v>
      </x:c>
      <x:c r="F57" s="30" t="n">
        <x:v>90</x:v>
      </x:c>
      <x:c r="G57" s="30" t="n">
        <x:v>74</x:v>
      </x:c>
      <x:c r="H57" s="30" t="str">
        <x:v>commercial</x:v>
      </x:c>
    </x:row>
    <x:row r="58">
      <x:c r="A58" s="30" t="str">
        <x:v>https://exdivo.com/collections/all?page=2</x:v>
      </x:c>
      <x:c r="B58" s="30" t="str">
        <x:v>All Products - ExDivo</x:v>
      </x:c>
      <x:c r="C58" s="30" t="str">
        <x:v>all products</x:v>
      </x:c>
      <x:c r="D58" s="30" t="str">
        <x:v>vape eliquid</x:v>
      </x:c>
      <x:c r="E58" s="30" t="str">
        <x:v>recommended</x:v>
      </x:c>
      <x:c r="F58" s="30" t="n">
        <x:v>70</x:v>
      </x:c>
      <x:c r="G58" s="30" t="n">
        <x:v>48</x:v>
      </x:c>
      <x:c r="H58" s="30" t="str">
        <x:v>commercial</x:v>
      </x:c>
    </x:row>
    <x:row r="59">
      <x:c r="A59" s="30" t="str">
        <x:v>https://exdivo.com/collections/all?page=2</x:v>
      </x:c>
      <x:c r="B59" s="30" t="str">
        <x:v>All Products - ExDivo</x:v>
      </x:c>
      <x:c r="C59" s="30" t="str">
        <x:v>all products</x:v>
      </x:c>
      <x:c r="D59" s="30" t="str">
        <x:v>vape devices for sale</x:v>
      </x:c>
      <x:c r="E59" s="30" t="str">
        <x:v>recommended</x:v>
      </x:c>
      <x:c r="F59" s="30" t="n">
        <x:v>90</x:v>
      </x:c>
      <x:c r="G59" s="30" t="n">
        <x:v>75</x:v>
      </x:c>
      <x:c r="H59" s="30" t="str">
        <x:v>transactional</x:v>
      </x:c>
    </x:row>
    <x:row r="60">
      <x:c r="A60" s="30" t="str">
        <x:v>https://exdivo.com/collections/all?page=2</x:v>
      </x:c>
      <x:c r="B60" s="30" t="str">
        <x:v>All Products - ExDivo</x:v>
      </x:c>
      <x:c r="C60" s="30" t="str">
        <x:v>all products</x:v>
      </x:c>
      <x:c r="D60" s="30" t="str">
        <x:v>electronic cigarette vape</x:v>
      </x:c>
      <x:c r="E60" s="30" t="str">
        <x:v>recommended</x:v>
      </x:c>
      <x:c r="F60" s="30" t="n">
        <x:v>390</x:v>
      </x:c>
      <x:c r="G60" s="30" t="n">
        <x:v>84</x:v>
      </x:c>
      <x:c r="H60" s="30" t="str">
        <x:v>informational</x:v>
      </x:c>
    </x:row>
    <x:row r="61">
      <x:c r="A61" s="30" t="str">
        <x:v>https://exdivo.com/collections/all?page=2</x:v>
      </x:c>
      <x:c r="B61" s="30" t="str">
        <x:v>All Products - ExDivo</x:v>
      </x:c>
      <x:c r="C61" s="30" t="str">
        <x:v>all products</x:v>
      </x:c>
      <x:c r="D61" s="30" t="str">
        <x:v>vape supplies</x:v>
      </x:c>
      <x:c r="E61" s="30" t="str">
        <x:v>recommended</x:v>
      </x:c>
      <x:c r="F61" s="30" t="n">
        <x:v>1000</x:v>
      </x:c>
      <x:c r="G61" s="30" t="n">
        <x:v>69</x:v>
      </x:c>
      <x:c r="H61" s="30" t="str">
        <x:v>commercial</x:v>
      </x:c>
    </x:row>
    <x:row r="62">
      <x:c r="A62" s="30" t="str">
        <x:v>https://exdivo.com/collections/all?page=2</x:v>
      </x:c>
      <x:c r="B62" s="30" t="str">
        <x:v>All Products - ExDivo</x:v>
      </x:c>
      <x:c r="C62" s="30" t="str">
        <x:v>all products</x:v>
      </x:c>
      <x:c r="D62" s="30" t="str">
        <x:v>vape electronic</x:v>
      </x:c>
      <x:c r="E62" s="30" t="str">
        <x:v>recommended</x:v>
      </x:c>
      <x:c r="F62" s="30" t="n">
        <x:v>70</x:v>
      </x:c>
      <x:c r="G62" s="30" t="n">
        <x:v>77</x:v>
      </x:c>
      <x:c r="H62" s="30" t="str">
        <x:v>informational</x:v>
      </x:c>
    </x:row>
    <x:row r="63">
      <x:c r="A63" s="30" t="str">
        <x:v>https://exdivo.com/collections/all?page=2</x:v>
      </x:c>
      <x:c r="B63" s="30" t="str">
        <x:v>All Products - ExDivo</x:v>
      </x:c>
      <x:c r="C63" s="30" t="str">
        <x:v>all products</x:v>
      </x:c>
      <x:c r="D63" s="30" t="str">
        <x:v>different vape devices</x:v>
      </x:c>
      <x:c r="E63" s="30" t="str">
        <x:v>recommended</x:v>
      </x:c>
      <x:c r="F63" s="30" t="n">
        <x:v>50</x:v>
      </x:c>
      <x:c r="G63" s="30" t="n">
        <x:v>31</x:v>
      </x:c>
      <x:c r="H63" s="30" t="str">
        <x:v>informational</x:v>
      </x:c>
    </x:row>
    <x:row r="64">
      <x:c r="A64" s="30" t="str">
        <x:v>https://exdivo.com/collections/all?page=2</x:v>
      </x:c>
      <x:c r="B64" s="30" t="str">
        <x:v>All Products - ExDivo</x:v>
      </x:c>
      <x:c r="C64" s="30" t="str">
        <x:v>all products</x:v>
      </x:c>
      <x:c r="D64" s="30" t="str">
        <x:v>vape to buy</x:v>
      </x:c>
      <x:c r="E64" s="30" t="str">
        <x:v>recommended</x:v>
      </x:c>
      <x:c r="F64" s="30" t="n">
        <x:v>40</x:v>
      </x:c>
      <x:c r="G64" s="30" t="n">
        <x:v>70</x:v>
      </x:c>
      <x:c r="H64" s="30" t="str">
        <x:v>transactional</x:v>
      </x:c>
    </x:row>
    <x:row r="65">
      <x:c r="A65" s="30" t="str">
        <x:v>https://exdivo.com/collections/all?page=2</x:v>
      </x:c>
      <x:c r="B65" s="30" t="str">
        <x:v>All Products - ExDivo</x:v>
      </x:c>
      <x:c r="C65" s="30" t="str">
        <x:v>all products</x:v>
      </x:c>
      <x:c r="D65" s="30" t="str">
        <x:v>shop vape</x:v>
      </x:c>
      <x:c r="E65" s="30" t="str">
        <x:v>recommended</x:v>
      </x:c>
      <x:c r="F65" s="30" t="n">
        <x:v>70</x:v>
      </x:c>
      <x:c r="G65" s="30" t="n">
        <x:v>82</x:v>
      </x:c>
      <x:c r="H65" s="30" t="str">
        <x:v>commercial</x:v>
      </x:c>
    </x:row>
    <x:row r="66">
      <x:c r="A66" s="30" t="str">
        <x:v>https://exdivo.com/collections/all?page=2</x:v>
      </x:c>
      <x:c r="B66" s="30" t="str">
        <x:v>All Products - ExDivo</x:v>
      </x:c>
      <x:c r="C66" s="30" t="str">
        <x:v>all products</x:v>
      </x:c>
      <x:c r="D66" s="30" t="str">
        <x:v>buy vape accessories</x:v>
      </x:c>
      <x:c r="E66" s="30" t="str">
        <x:v>recommended</x:v>
      </x:c>
      <x:c r="F66" s="30" t="n">
        <x:v>50</x:v>
      </x:c>
      <x:c r="G66" s="30" t="n">
        <x:v>79</x:v>
      </x:c>
      <x:c r="H66" s="30" t="str">
        <x:v>commercial</x:v>
      </x:c>
    </x:row>
    <x:row r="67">
      <x:c r="A67" s="30" t="str">
        <x:v>https://exdivo.com/collections/all?page=2</x:v>
      </x:c>
      <x:c r="B67" s="30" t="str">
        <x:v>All Products - ExDivo</x:v>
      </x:c>
      <x:c r="C67" s="30" t="str">
        <x:v>all products</x:v>
      </x:c>
      <x:c r="D67" s="30" t="str">
        <x:v>vape sellers</x:v>
      </x:c>
      <x:c r="E67" s="30" t="str">
        <x:v>recommended</x:v>
      </x:c>
      <x:c r="F67" s="30" t="n">
        <x:v>50</x:v>
      </x:c>
      <x:c r="G67" s="30" t="n">
        <x:v>81</x:v>
      </x:c>
      <x:c r="H67" s="30" t="str">
        <x:v>commercial</x:v>
      </x:c>
    </x:row>
    <x:row r="68">
      <x:c r="A68" s="30" t="str">
        <x:v>https://exdivo.com/collections/all?page=2</x:v>
      </x:c>
      <x:c r="B68" s="30" t="str">
        <x:v>All Products - ExDivo</x:v>
      </x:c>
      <x:c r="C68" s="30" t="str">
        <x:v>all products</x:v>
      </x:c>
      <x:c r="D68" s="30" t="str">
        <x:v>vaping accessories</x:v>
      </x:c>
      <x:c r="E68" s="30" t="str">
        <x:v>recommended</x:v>
      </x:c>
      <x:c r="F68" s="30" t="n">
        <x:v>210</x:v>
      </x:c>
      <x:c r="G68" s="30" t="n">
        <x:v>61</x:v>
      </x:c>
      <x:c r="H68" s="30" t="str">
        <x:v>commercial</x:v>
      </x:c>
    </x:row>
    <x:row r="69">
      <x:c r="A69" s="30" t="str">
        <x:v>https://exdivo.com/collections/all?page=2</x:v>
      </x:c>
      <x:c r="B69" s="30" t="str">
        <x:v>All Products - ExDivo</x:v>
      </x:c>
      <x:c r="C69" s="30" t="str">
        <x:v>all products</x:v>
      </x:c>
      <x:c r="D69" s="30" t="str">
        <x:v>all vape products</x:v>
      </x:c>
      <x:c r="E69" s="30" t="str">
        <x:v>recommended</x:v>
      </x:c>
      <x:c r="F69" s="30" t="n">
        <x:v>0</x:v>
      </x:c>
      <x:c r="G69" s="30" t="n">
        <x:v>0</x:v>
      </x:c>
      <x:c r="H69" s="30" t="str">
        <x:v>48</x:v>
      </x:c>
    </x:row>
    <x:row r="70">
      <x:c r="A70" s="30" t="str">
        <x:v>https://exdivo.com/comments/exdivo-kuz-25k-replaceable-pod-vape_64dec8c7</x:v>
      </x:c>
      <x:c r="B70" s="30" t="str">
        <x:v>Reviews - MR.BLUE - ExDivo KUZ 25K Replaceable Pod Vape - ExDivo</x:v>
      </x:c>
      <x:c r="C70" s="30" t="str">
        <x:v>48</x:v>
      </x:c>
      <x:c r="D70" s="30" t="str">
        <x:v>mr blue vape flavor review</x:v>
      </x:c>
      <x:c r="E70" s="30" t="str">
        <x:v>recommended</x:v>
      </x:c>
      <x:c r="F70" s="30" t="n">
        <x:v>0</x:v>
      </x:c>
      <x:c r="G70" s="30" t="n">
        <x:v>0</x:v>
      </x:c>
      <x:c r="H70" s="30" t="str">
        <x:v>48</x:v>
      </x:c>
    </x:row>
    <x:row r="71">
      <x:c r="A71" s="30" t="str">
        <x:v>https://exdivo.com/comments/exdivo-kuz-25k-replaceable-pod-vape_64dec8c7</x:v>
      </x:c>
      <x:c r="B71" s="30" t="str">
        <x:v>Reviews - MR.BLUE - ExDivo KUZ 25K Replaceable Pod Vape - ExDivo</x:v>
      </x:c>
      <x:c r="C71" s="30" t="str">
        <x:v>48</x:v>
      </x:c>
      <x:c r="D71" s="30" t="str">
        <x:v>mr blue vape</x:v>
      </x:c>
      <x:c r="E71" s="30" t="str">
        <x:v>recommended</x:v>
      </x:c>
      <x:c r="F71" s="30" t="n">
        <x:v>50</x:v>
      </x:c>
      <x:c r="G71" s="30" t="n">
        <x:v>0</x:v>
      </x:c>
      <x:c r="H71" s="30" t="str">
        <x:v>informational</x:v>
      </x:c>
    </x:row>
    <x:row r="72">
      <x:c r="A72" s="30" t="str">
        <x:v>https://exdivo.com/comments/exdivo-kuz-25k-replaceable-pod-vape_0f3c5b24?writeComment=true</x:v>
      </x:c>
      <x:c r="B72" s="30" t="str">
        <x:v>Reviews - BLUEBERRY SOUR RASPBERRY - ExDivo KUZ 25K Replaceable Pod Vape - ExDivo</x:v>
      </x:c>
      <x:c r="C72" s="30" t="str">
        <x:v>48</x:v>
      </x:c>
      <x:c r="D72" s="30" t="str">
        <x:v>vape flavor reviews blueberry sour raspberry</x:v>
      </x:c>
      <x:c r="E72" s="30" t="str">
        <x:v>recommended</x:v>
      </x:c>
      <x:c r="F72" s="30" t="n">
        <x:v>0</x:v>
      </x:c>
      <x:c r="G72" s="30" t="n">
        <x:v>0</x:v>
      </x:c>
      <x:c r="H72" s="30" t="str">
        <x:v>48</x:v>
      </x:c>
    </x:row>
    <x:row r="73">
      <x:c r="A73" s="30" t="str">
        <x:v>https://exdivo.com/comments/exdivo-kuz-25k-replaceable-pod-vape_0f3c5b24?writeComment=true</x:v>
      </x:c>
      <x:c r="B73" s="30" t="str">
        <x:v>Reviews - BLUEBERRY SOUR RASPBERRY - ExDivo KUZ 25K Replaceable Pod Vape - ExDivo</x:v>
      </x:c>
      <x:c r="C73" s="30" t="str">
        <x:v>48</x:v>
      </x:c>
      <x:c r="D73" s="30" t="str">
        <x:v>blueberry sour raspberry vape review</x:v>
      </x:c>
      <x:c r="E73" s="30" t="str">
        <x:v>recommended</x:v>
      </x:c>
      <x:c r="F73" s="30" t="n">
        <x:v>0</x:v>
      </x:c>
      <x:c r="G73" s="30" t="n">
        <x:v>0</x:v>
      </x:c>
      <x:c r="H73" s="30" t="str">
        <x:v>48</x:v>
      </x:c>
    </x:row>
    <x:row r="74">
      <x:c r="A74" s="30" t="str">
        <x:v>https://exdivo.com/comments/exdivo-bright-mirror-35k-replaceable-vape-kit_9d9e42e4</x:v>
      </x:c>
      <x:c r="B74" s="30" t="str">
        <x:v>Reviews - COOL MINT - ExDivo BRIGHT MIRROR 35K Replaceable VAPE kit - ExDivo</x:v>
      </x:c>
      <x:c r="C74" s="30" t="str">
        <x:v>48</x:v>
      </x:c>
      <x:c r="D74" s="30" t="str">
        <x:v>35k vape kit flavor</x:v>
      </x:c>
      <x:c r="E74" s="30" t="str">
        <x:v>recommended</x:v>
      </x:c>
      <x:c r="F74" s="30" t="n">
        <x:v>0</x:v>
      </x:c>
      <x:c r="G74" s="30" t="n">
        <x:v>0</x:v>
      </x:c>
      <x:c r="H74" s="30" t="str">
        <x:v>48</x:v>
      </x:c>
    </x:row>
    <x:row r="75">
      <x:c r="A75" s="30" t="str">
        <x:v>https://exdivo.com/comments/luxury-women-s-vape-18ml-dual-mesh-40000-puffs_151a2c79</x:v>
      </x:c>
      <x:c r="B75" s="30" t="str">
        <x:v>Reviews - WHITE GUMMY ICE - ExDivo FLORA 40K Disposable Vape - ExDivo</x:v>
      </x:c>
      <x:c r="C75" s="30" t="str">
        <x:v>48</x:v>
      </x:c>
      <x:c r="D75" s="30" t="str">
        <x:v>40k vape flavor review</x:v>
      </x:c>
      <x:c r="E75" s="30" t="str">
        <x:v>recommended</x:v>
      </x:c>
      <x:c r="F75" s="30" t="n">
        <x:v>0</x:v>
      </x:c>
      <x:c r="G75" s="30" t="n">
        <x:v>0</x:v>
      </x:c>
      <x:c r="H75" s="30" t="str">
        <x:v>48</x:v>
      </x:c>
    </x:row>
    <x:row r="76">
      <x:c r="A76" s="30" t="str">
        <x:v>https://exdivo.com/comments/luxury-women-s-vape-18ml-dual-mesh-40000-puffs_151a2c79</x:v>
      </x:c>
      <x:c r="B76" s="30" t="str">
        <x:v>Reviews - WHITE GUMMY ICE - ExDivo FLORA 40K Disposable Vape - ExDivo</x:v>
      </x:c>
      <x:c r="C76" s="30" t="str">
        <x:v>48</x:v>
      </x:c>
      <x:c r="D76" s="30" t="str">
        <x:v>exdivo 40k vape review</x:v>
      </x:c>
      <x:c r="E76" s="30" t="str">
        <x:v>recommended</x:v>
      </x:c>
      <x:c r="F76" s="30" t="n">
        <x:v>0</x:v>
      </x:c>
      <x:c r="G76" s="30" t="n">
        <x:v>0</x:v>
      </x:c>
      <x:c r="H76" s="30" t="str">
        <x:v>48</x:v>
      </x:c>
    </x:row>
    <x:row r="77">
      <x:c r="A77" s="30" t="str">
        <x:v>https://exdivo.com/blogs/why-more-vapers-are-choosing-high-puff-disposable-vapes-in-2026_718a66ce?data_from=index_index</x:v>
      </x:c>
      <x:c r="B77" s="30" t="str">
        <x:v>Why More Vapers Are Choosing High-Puff Disposable Vapes in 2026</x:v>
      </x:c>
      <x:c r="C77" s="30" t="str">
        <x:v>discover why high-puff disposable vapes are trending in 2026, offering longer use, consistent flavor, and better value. explore exdivo’s premium devices.</x:v>
      </x:c>
      <x:c r="D77" s="30" t="str">
        <x:v>best vapes</x:v>
      </x:c>
      <x:c r="E77" s="30" t="str">
        <x:v>recommended</x:v>
      </x:c>
      <x:c r="F77" s="30" t="n">
        <x:v>6600</x:v>
      </x:c>
      <x:c r="G77" s="30" t="n">
        <x:v>30</x:v>
      </x:c>
      <x:c r="H77" s="30" t="str">
        <x:v>commercial</x:v>
      </x:c>
    </x:row>
    <x:row r="78">
      <x:c r="A78" s="30" t="str">
        <x:v>https://exdivo.com/blogs/why-more-vapers-are-choosing-high-puff-disposable-vapes-in-2026_718a66ce?data_from=index_index</x:v>
      </x:c>
      <x:c r="B78" s="30" t="str">
        <x:v>Why More Vapers Are Choosing High-Puff Disposable Vapes in 2026</x:v>
      </x:c>
      <x:c r="C78" s="30" t="str">
        <x:v>discover why high-puff disposable vapes are trending in 2026, offering longer use, consistent flavor, and better value. explore exdivo’s premium devices.</x:v>
      </x:c>
      <x:c r="D78" s="30" t="str">
        <x:v>popular vapes</x:v>
      </x:c>
      <x:c r="E78" s="30" t="str">
        <x:v>recommended</x:v>
      </x:c>
      <x:c r="F78" s="30" t="n">
        <x:v>1900</x:v>
      </x:c>
      <x:c r="G78" s="30" t="n">
        <x:v>27</x:v>
      </x:c>
      <x:c r="H78" s="30" t="str">
        <x:v>informational, commercial</x:v>
      </x:c>
    </x:row>
    <x:row r="79">
      <x:c r="A79" s="30" t="str">
        <x:v>https://exdivo.com/blogs/why-more-vapers-are-choosing-high-puff-disposable-vapes-in-2026_718a66ce?data_from=index_index</x:v>
      </x:c>
      <x:c r="B79" s="30" t="str">
        <x:v>Why More Vapers Are Choosing High-Puff Disposable Vapes in 2026</x:v>
      </x:c>
      <x:c r="C79" s="30" t="str">
        <x:v>discover why high-puff disposable vapes are trending in 2026, offering longer use, consistent flavor, and better value. explore exdivo’s premium devices.</x:v>
      </x:c>
      <x:c r="D79" s="30" t="str">
        <x:v>new vapes</x:v>
      </x:c>
      <x:c r="E79" s="30" t="str">
        <x:v>recommended</x:v>
      </x:c>
      <x:c r="F79" s="30" t="n">
        <x:v>1900</x:v>
      </x:c>
      <x:c r="G79" s="30" t="n">
        <x:v>56</x:v>
      </x:c>
      <x:c r="H79" s="30" t="str">
        <x:v>informational</x:v>
      </x:c>
    </x:row>
    <x:row r="80">
      <x:c r="A80" s="30" t="str">
        <x:v>https://exdivo.com/blogs/why-more-vapers-are-choosing-high-puff-disposable-vapes-in-2026_718a66ce?data_from=index_index</x:v>
      </x:c>
      <x:c r="B80" s="30" t="str">
        <x:v>Why More Vapers Are Choosing High-Puff Disposable Vapes in 2026</x:v>
      </x:c>
      <x:c r="C80" s="30" t="str">
        <x:v>discover why high-puff disposable vapes are trending in 2026, offering longer use, consistent flavor, and better value. explore exdivo’s premium devices.</x:v>
      </x:c>
      <x:c r="D80" s="30" t="str">
        <x:v>flavor vapes</x:v>
      </x:c>
      <x:c r="E80" s="30" t="str">
        <x:v>recommended</x:v>
      </x:c>
      <x:c r="F80" s="30" t="n">
        <x:v>590</x:v>
      </x:c>
      <x:c r="G80" s="30" t="n">
        <x:v>33</x:v>
      </x:c>
      <x:c r="H80" s="30" t="str">
        <x:v>informational</x:v>
      </x:c>
    </x:row>
    <x:row r="81">
      <x:c r="A81" t="str">
        <x:v>https://exdivo.com/blogs/why-more-vapers-are-choosing-high-puff-disposable-vapes-in-2026_718a66ce?data_from=index_index</x:v>
      </x:c>
      <x:c r="B81" t="str">
        <x:v>Why More Vapers Are Choosing High-Puff Disposable Vapes in 2026</x:v>
      </x:c>
      <x:c r="C81" t="str">
        <x:v>discover why high-puff disposable vapes are trending in 2026, offering longer use, consistent flavor, and better value. explore exdivo’s premium devices.</x:v>
      </x:c>
      <x:c r="D81" t="str">
        <x:v>high end vape</x:v>
      </x:c>
      <x:c r="E81" t="str">
        <x:v>recommended</x:v>
      </x:c>
      <x:c r="F81" t="n">
        <x:v>320</x:v>
      </x:c>
      <x:c r="G81" t="n">
        <x:v>41</x:v>
      </x:c>
      <x:c r="H81" t="str">
        <x:v>commercial</x:v>
      </x:c>
    </x:row>
    <x:row r="82">
      <x:c r="A82" t="str">
        <x:v>https://exdivo.com/blogs/why-more-vapers-are-choosing-high-puff-disposable-vapes-in-2026_718a66ce?data_from=index_index</x:v>
      </x:c>
      <x:c r="B82" t="str">
        <x:v>Why More Vapers Are Choosing High-Puff Disposable Vapes in 2026</x:v>
      </x:c>
      <x:c r="C82" t="str">
        <x:v>discover why high-puff disposable vapes are trending in 2026, offering longer use, consistent flavor, and better value. explore exdivo’s premium devices.</x:v>
      </x:c>
      <x:c r="D82" t="str">
        <x:v>newest vapes</x:v>
      </x:c>
      <x:c r="E82" t="str">
        <x:v>recommended</x:v>
      </x:c>
      <x:c r="F82" t="n">
        <x:v>110</x:v>
      </x:c>
      <x:c r="G82" t="n">
        <x:v>27</x:v>
      </x:c>
      <x:c r="H82" t="str">
        <x:v>informational, commercial</x:v>
      </x:c>
    </x:row>
    <x:row r="83">
      <x:c r="A83" t="str">
        <x:v>https://exdivo.com/blogs/why-more-vapers-are-choosing-high-puff-disposable-vapes-in-2026_718a66ce?data_from=index_index</x:v>
      </x:c>
      <x:c r="B83" t="str">
        <x:v>Why More Vapers Are Choosing High-Puff Disposable Vapes in 2026</x:v>
      </x:c>
      <x:c r="C83" t="str">
        <x:v>discover why high-puff disposable vapes are trending in 2026, offering longer use, consistent flavor, and better value. explore exdivo’s premium devices.</x:v>
      </x:c>
      <x:c r="D83" t="str">
        <x:v>high quality vapes</x:v>
      </x:c>
      <x:c r="E83" t="str">
        <x:v>recommended</x:v>
      </x:c>
      <x:c r="F83" t="n">
        <x:v>260</x:v>
      </x:c>
      <x:c r="G83" t="n">
        <x:v>60</x:v>
      </x:c>
      <x:c r="H83" t="str">
        <x:v>informational, commercial</x:v>
      </x:c>
    </x:row>
    <x:row r="84">
      <x:c r="A84" t="str">
        <x:v>https://exdivo.com/blogs/why-more-vapers-are-choosing-high-puff-disposable-vapes-in-2026_718a66ce?data_from=index_index</x:v>
      </x:c>
      <x:c r="B84" t="str">
        <x:v>Why More Vapers Are Choosing High-Puff Disposable Vapes in 2026</x:v>
      </x:c>
      <x:c r="C84" t="str">
        <x:v>discover why high-puff disposable vapes are trending in 2026, offering longer use, consistent flavor, and better value. explore exdivo’s premium devices.</x:v>
      </x:c>
      <x:c r="D84" t="str">
        <x:v>good flavor vapes</x:v>
      </x:c>
      <x:c r="E84" t="str">
        <x:v>recommended</x:v>
      </x:c>
      <x:c r="F84" t="n">
        <x:v>70</x:v>
      </x:c>
      <x:c r="G84" t="n">
        <x:v>28</x:v>
      </x:c>
      <x:c r="H84" t="str">
        <x:v>informational</x:v>
      </x:c>
    </x:row>
    <x:row r="85">
      <x:c r="A85" t="str">
        <x:v>https://exdivo.com/blogs/why-more-vapers-are-choosing-high-puff-disposable-vapes-in-2026_718a66ce?data_from=index_index</x:v>
      </x:c>
      <x:c r="B85" t="str">
        <x:v>Why More Vapers Are Choosing High-Puff Disposable Vapes in 2026</x:v>
      </x:c>
      <x:c r="C85" t="str">
        <x:v>discover why high-puff disposable vapes are trending in 2026, offering longer use, consistent flavor, and better value. explore exdivo’s premium devices.</x:v>
      </x:c>
      <x:c r="D85" t="str">
        <x:v>high nicotine vapes</x:v>
      </x:c>
      <x:c r="E85" t="str">
        <x:v>recommended</x:v>
      </x:c>
      <x:c r="F85" t="n">
        <x:v>40</x:v>
      </x:c>
      <x:c r="G85" t="n">
        <x:v>7</x:v>
      </x:c>
      <x:c r="H85" t="str">
        <x:v>informational</x:v>
      </x:c>
    </x:row>
    <x:row r="86">
      <x:c r="A86" t="str">
        <x:v>https://exdivo.com/blogs/why-more-vapers-are-choosing-high-puff-disposable-vapes-in-2026_718a66ce?data_from=index_index</x:v>
      </x:c>
      <x:c r="B86" t="str">
        <x:v>Why More Vapers Are Choosing High-Puff Disposable Vapes in 2026</x:v>
      </x:c>
      <x:c r="C86" t="str">
        <x:v>discover why high-puff disposable vapes are trending in 2026, offering longer use, consistent flavor, and better value. explore exdivo’s premium devices.</x:v>
      </x:c>
      <x:c r="D86" t="str">
        <x:v>trending vapes</x:v>
      </x:c>
      <x:c r="E86" t="str">
        <x:v>recommended</x:v>
      </x:c>
      <x:c r="F86" t="n">
        <x:v>50</x:v>
      </x:c>
      <x:c r="G86" t="n">
        <x:v>37</x:v>
      </x:c>
      <x:c r="H86" t="str">
        <x:v>commercial</x:v>
      </x:c>
    </x:row>
    <x:row r="87">
      <x:c r="A87" t="str">
        <x:v>https://exdivo.com/blogs/why-more-vapers-are-choosing-high-puff-disposable-vapes-in-2026_718a66ce?data_from=index_index</x:v>
      </x:c>
      <x:c r="B87" t="str">
        <x:v>Why More Vapers Are Choosing High-Puff Disposable Vapes in 2026</x:v>
      </x:c>
      <x:c r="C87" t="str">
        <x:v>discover why high-puff disposable vapes are trending in 2026, offering longer use, consistent flavor, and better value. explore exdivo’s premium devices.</x:v>
      </x:c>
      <x:c r="D87" t="str">
        <x:v>strong vapes</x:v>
      </x:c>
      <x:c r="E87" t="str">
        <x:v>recommended</x:v>
      </x:c>
      <x:c r="F87" t="n">
        <x:v>70</x:v>
      </x:c>
      <x:c r="G87" t="n">
        <x:v>40</x:v>
      </x:c>
      <x:c r="H87" t="str">
        <x:v>commercial</x:v>
      </x:c>
    </x:row>
    <x:row r="88">
      <x:c r="A88" t="str">
        <x:v>https://exdivo.com/blogs/why-more-vapers-are-choosing-high-puff-disposable-vapes-in-2026_718a66ce?data_from=index_index</x:v>
      </x:c>
      <x:c r="B88" t="str">
        <x:v>Why More Vapers Are Choosing High-Puff Disposable Vapes in 2026</x:v>
      </x:c>
      <x:c r="C88" t="str">
        <x:v>discover why high-puff disposable vapes are trending in 2026, offering longer use, consistent flavor, and better value. explore exdivo’s premium devices.</x:v>
      </x:c>
      <x:c r="D88" t="str">
        <x:v>high puff disposable vapes trend</x:v>
      </x:c>
      <x:c r="E88" t="str">
        <x:v>recommended</x:v>
      </x:c>
      <x:c r="F88" t="n">
        <x:v>0</x:v>
      </x:c>
      <x:c r="G88" t="n">
        <x:v>0</x:v>
      </x:c>
      <x:c r="H88" t="str">
        <x:v>48</x:v>
      </x:c>
    </x:row>
    <x:row r="89">
      <x:c r="A89" t="str">
        <x:v>https://exdivo.com/blogs/why-more-vapers-are-choosing-high-puff-disposable-vapes-in-2026_718a66ce?data_from=index_index</x:v>
      </x:c>
      <x:c r="B89" t="str">
        <x:v>Why More Vapers Are Choosing High-Puff Disposable Vapes in 2026</x:v>
      </x:c>
      <x:c r="C89" t="str">
        <x:v>discover why high-puff disposable vapes are trending in 2026, offering longer use, consistent flavor, and better value. explore exdivo’s premium devices.</x:v>
      </x:c>
      <x:c r="D89" t="str">
        <x:v>benefits of high puff vapes</x:v>
      </x:c>
      <x:c r="E89" t="str">
        <x:v>recommended</x:v>
      </x:c>
      <x:c r="F89" t="n">
        <x:v>0</x:v>
      </x:c>
      <x:c r="G89" t="n">
        <x:v>0</x:v>
      </x:c>
      <x:c r="H89" t="str">
        <x:v>48</x:v>
      </x:c>
    </x:row>
    <x:row r="90">
      <x:c r="A90" t="str">
        <x:v>https://exdivo.com/blogs/why-more-vapers-are-choosing-high-puff-disposable-vapes-in-2026_718a66ce?data_from=index_index</x:v>
      </x:c>
      <x:c r="B90" t="str">
        <x:v>Why More Vapers Are Choosing High-Puff Disposable Vapes in 2026</x:v>
      </x:c>
      <x:c r="C90" t="str">
        <x:v>discover why high-puff disposable vapes are trending in 2026, offering longer use, consistent flavor, and better value. explore exdivo’s premium devices.</x:v>
      </x:c>
      <x:c r="D90" t="str">
        <x:v>premium vape devices</x:v>
      </x:c>
      <x:c r="E90" t="str">
        <x:v>recommended</x:v>
      </x:c>
      <x:c r="F90" t="n">
        <x:v>0</x:v>
      </x:c>
      <x:c r="G90" t="n">
        <x:v>0</x:v>
      </x:c>
      <x:c r="H90" t="str">
        <x:v>48</x:v>
      </x:c>
    </x:row>
    <x:row r="91">
      <x:c r="A91" t="str">
        <x:v>https://exdivo.com/blogs/why-more-vapers-are-choosing-high-puff-disposable-vapes-in-2026_718a66ce?data_from=index_index</x:v>
      </x:c>
      <x:c r="B91" t="str">
        <x:v>Why More Vapers Are Choosing High-Puff Disposable Vapes in 2026</x:v>
      </x:c>
      <x:c r="C91" t="str">
        <x:v>discover why high-puff disposable vapes are trending in 2026, offering longer use, consistent flavor, and better value. explore exdivo’s premium devices.</x:v>
      </x:c>
      <x:c r="D91" t="str">
        <x:v>premium disposable vapes</x:v>
      </x:c>
      <x:c r="E91" t="str">
        <x:v>recommended</x:v>
      </x:c>
      <x:c r="F91" t="n">
        <x:v>40</x:v>
      </x:c>
      <x:c r="G91" t="n">
        <x:v>50</x:v>
      </x:c>
      <x:c r="H91" t="str">
        <x:v>informational</x:v>
      </x:c>
    </x:row>
    <x:row r="92">
      <x:c r="A92" t="str">
        <x:v>https://exdivo.com/comments/exdivo-kuz-25k-replaceable-pod-vape_8c92b717?writeComment=true</x:v>
      </x:c>
      <x:c r="B92" t="str">
        <x:v>Reviews - FRESH MINT - ExDivo KUZ 25K Replaceable Pod Vape - ExDivo</x:v>
      </x:c>
      <x:c r="C92" t="str">
        <x:v>48</x:v>
      </x:c>
      <x:c r="D92" t="str">
        <x:v>exdivo fresh mint flavor</x:v>
      </x:c>
      <x:c r="E92" t="str">
        <x:v>recommended</x:v>
      </x:c>
      <x:c r="F92" t="n">
        <x:v>0</x:v>
      </x:c>
      <x:c r="G92" t="n">
        <x:v>0</x:v>
      </x:c>
      <x:c r="H92" t="str">
        <x:v>48</x:v>
      </x:c>
    </x:row>
    <x:row r="93">
      <x:c r="A93" t="str">
        <x:v>https://exdivo.com/comments/exdivo-kuz-25k-replaceable-pod-vape_8c92b717?writeComment=true</x:v>
      </x:c>
      <x:c r="B93" t="str">
        <x:v>Reviews - FRESH MINT - ExDivo KUZ 25K Replaceable Pod Vape - ExDivo</x:v>
      </x:c>
      <x:c r="C93" t="str">
        <x:v>48</x:v>
      </x:c>
      <x:c r="D93" t="str">
        <x:v>fresh mint disposable vape</x:v>
      </x:c>
      <x:c r="E93" t="str">
        <x:v>recommended</x:v>
      </x:c>
      <x:c r="F93" t="n">
        <x:v>0</x:v>
      </x:c>
      <x:c r="G93" t="n">
        <x:v>0</x:v>
      </x:c>
      <x:c r="H93" t="str">
        <x:v>48</x:v>
      </x:c>
    </x:row>
    <x:row r="94">
      <x:c r="A94" t="str">
        <x:v>https://exdivo.com/comments/exdivo-kuz-25k-replaceable-pod-vape_8c92b717?writeComment=true</x:v>
      </x:c>
      <x:c r="B94" t="str">
        <x:v>Reviews - FRESH MINT - ExDivo KUZ 25K Replaceable Pod Vape - ExDivo</x:v>
      </x:c>
      <x:c r="C94" t="str">
        <x:v>48</x:v>
      </x:c>
      <x:c r="D94" t="str">
        <x:v>fresh mint vape review</x:v>
      </x:c>
      <x:c r="E94" t="str">
        <x:v>recommended</x:v>
      </x:c>
      <x:c r="F94" t="n">
        <x:v>0</x:v>
      </x:c>
      <x:c r="G94" t="n">
        <x:v>0</x:v>
      </x:c>
      <x:c r="H94" t="str">
        <x:v>48</x:v>
      </x:c>
    </x:row>
    <x:row r="95">
      <x:c r="A95" t="str">
        <x:v>https://exdivo.com/comments/exdivo-kuz-25k-replaceable-pod-vape_8c92b717?writeComment=true</x:v>
      </x:c>
      <x:c r="B95" t="str">
        <x:v>Reviews - FRESH MINT - ExDivo KUZ 25K Replaceable Pod Vape - ExDivo</x:v>
      </x:c>
      <x:c r="C95" t="str">
        <x:v>48</x:v>
      </x:c>
      <x:c r="D95" t="str">
        <x:v>exdivo kuz fresh mint review</x:v>
      </x:c>
      <x:c r="E95" t="str">
        <x:v>recommended</x:v>
      </x:c>
      <x:c r="F95" t="n">
        <x:v>0</x:v>
      </x:c>
      <x:c r="G95" t="n">
        <x:v>0</x:v>
      </x:c>
      <x:c r="H95" t="str">
        <x:v>48</x:v>
      </x:c>
    </x:row>
    <x:row r="96">
      <x:c r="A96" t="str">
        <x:v>https://exdivo.com/comments/exdivo-bright-mirror-35k-replaceable-vape-kit_25244789</x:v>
      </x:c>
      <x:c r="B96" t="str">
        <x:v>Reviews - SOUR APPLE ICE - ExDivo BRIGHT MIRROR 35K Replaceable VAPE kit - ExDivo</x:v>
      </x:c>
      <x:c r="C96" t="str">
        <x:v>48</x:v>
      </x:c>
      <x:c r="D96" t="str">
        <x:v>sour apple ice vape review</x:v>
      </x:c>
      <x:c r="E96" t="str">
        <x:v>recommended</x:v>
      </x:c>
      <x:c r="F96" t="n">
        <x:v>0</x:v>
      </x:c>
      <x:c r="G96" t="n">
        <x:v>0</x:v>
      </x:c>
      <x:c r="H96" t="str">
        <x:v>48</x:v>
      </x:c>
    </x:row>
    <x:row r="97">
      <x:c r="A97" t="str">
        <x:v>https://exdivo.com/comments/exdivo-bright-mirror-35k-replaceable-vape-kit_25244789</x:v>
      </x:c>
      <x:c r="B97" t="str">
        <x:v>Reviews - SOUR APPLE ICE - ExDivo BRIGHT MIRROR 35K Replaceable VAPE kit - ExDivo</x:v>
      </x:c>
      <x:c r="C97" t="str">
        <x:v>48</x:v>
      </x:c>
      <x:c r="D97" t="str">
        <x:v>vape flavor reviews sour apple ice</x:v>
      </x:c>
      <x:c r="E97" t="str">
        <x:v>recommended</x:v>
      </x:c>
      <x:c r="F97" t="n">
        <x:v>0</x:v>
      </x:c>
      <x:c r="G97" t="n">
        <x:v>0</x:v>
      </x:c>
      <x:c r="H97" t="str">
        <x:v>48</x:v>
      </x:c>
    </x:row>
    <x:row r="98">
      <x:c r="A98" t="str">
        <x:v>https://exdivo.com/comments/exdivo-bright-mirror-35k-replaceable-vape-kit_25244789</x:v>
      </x:c>
      <x:c r="B98" t="str">
        <x:v>Reviews - SOUR APPLE ICE - ExDivo BRIGHT MIRROR 35K Replaceable VAPE kit - ExDivo</x:v>
      </x:c>
      <x:c r="C98" t="str">
        <x:v>48</x:v>
      </x:c>
      <x:c r="D98" t="str">
        <x:v>sour apple ice vape juice</x:v>
      </x:c>
      <x:c r="E98" t="str">
        <x:v>recommended</x:v>
      </x:c>
      <x:c r="F98" t="n">
        <x:v>50</x:v>
      </x:c>
      <x:c r="G98" t="n">
        <x:v>2</x:v>
      </x:c>
      <x:c r="H98" t="str">
        <x:v>informational</x:v>
      </x:c>
    </x:row>
    <x:row r="99">
      <x:c r="A99" t="str">
        <x:v>https://exdivo.com/comments/exdivo-bright-mirror-35k-replaceable-vape-kit_45396b6c</x:v>
      </x:c>
      <x:c r="B99" t="str">
        <x:v>Reviews - PEACH MANGO WATERMELON - ExDivo BRIGHT MIRROR 35K Replaceable VAPE kit - ExDivo</x:v>
      </x:c>
      <x:c r="C99" t="str">
        <x:v>48</x:v>
      </x:c>
      <x:c r="D99" t="str">
        <x:v>peach mango watermelon vape review</x:v>
      </x:c>
      <x:c r="E99" t="str">
        <x:v>recommended</x:v>
      </x:c>
      <x:c r="F99" t="n">
        <x:v>0</x:v>
      </x:c>
      <x:c r="G99" t="n">
        <x:v>0</x:v>
      </x:c>
      <x:c r="H99" t="str">
        <x:v>48</x:v>
      </x:c>
    </x:row>
    <x:row r="100">
      <x:c r="A100" t="str">
        <x:v>https://exdivo.com/comments/exdivo-bright-mirror-35k-replaceable-vape-kit_45396b6c</x:v>
      </x:c>
      <x:c r="B100" t="str">
        <x:v>Reviews - PEACH MANGO WATERMELON - ExDivo BRIGHT MIRROR 35K Replaceable VAPE kit - ExDivo</x:v>
      </x:c>
      <x:c r="C100" t="str">
        <x:v>48</x:v>
      </x:c>
      <x:c r="D100" t="str">
        <x:v>vape flavor reviews peach mango watermelon</x:v>
      </x:c>
      <x:c r="E100" t="str">
        <x:v>recommended</x:v>
      </x:c>
      <x:c r="F100" t="n">
        <x:v>0</x:v>
      </x:c>
      <x:c r="G100" t="n">
        <x:v>0</x:v>
      </x:c>
      <x:c r="H100" t="str">
        <x:v>48</x:v>
      </x:c>
    </x:row>
    <x:row r="101">
      <x:c r="A101" t="str">
        <x:v>https://exdivo.com/comments/exdivo-bright-mirror-35k-replaceable-vape-kit_17dd6a51</x:v>
      </x:c>
      <x:c r="B101" t="str">
        <x:v>Reviews - MEXICAN MANGO - ExDivo BRIGHT MIRROR 35K Replaceable VAPE kit - ExDivo</x:v>
      </x:c>
      <x:c r="C101" t="str">
        <x:v>48</x:v>
      </x:c>
      <x:c r="D101" t="str">
        <x:v>exdivo mexican mango flavor</x:v>
      </x:c>
      <x:c r="E101" t="str">
        <x:v>recommended</x:v>
      </x:c>
      <x:c r="F101" t="n">
        <x:v>0</x:v>
      </x:c>
      <x:c r="G101" t="n">
        <x:v>0</x:v>
      </x:c>
      <x:c r="H101" t="str">
        <x:v>48</x:v>
      </x:c>
    </x:row>
    <x:row r="102">
      <x:c r="A102" t="str">
        <x:v>https://exdivo.com/comments/exdivo-bright-mirror-35k-replaceable-vape-kit_17dd6a51</x:v>
      </x:c>
      <x:c r="B102" t="str">
        <x:v>Reviews - MEXICAN MANGO - ExDivo BRIGHT MIRROR 35K Replaceable VAPE kit - ExDivo</x:v>
      </x:c>
      <x:c r="C102" t="str">
        <x:v>48</x:v>
      </x:c>
      <x:c r="D102" t="str">
        <x:v>exdivo bright mirror 35k review</x:v>
      </x:c>
      <x:c r="E102" t="str">
        <x:v>recommended</x:v>
      </x:c>
      <x:c r="F102" t="n">
        <x:v>0</x:v>
      </x:c>
      <x:c r="G102" t="n">
        <x:v>0</x:v>
      </x:c>
      <x:c r="H102" t="str">
        <x:v>48</x:v>
      </x:c>
    </x:row>
    <x:row r="103">
      <x:c r="A103" t="str">
        <x:v>https://exdivo.com/blogs/exdivo-disposable-vape-review-flavor-performance-and-value?data_from=index_index</x:v>
      </x:c>
      <x:c r="B103" t="str">
        <x:v>EXDIVO Disposable Vape Review: Flavor, Performance, and Value - ExDivo</x:v>
      </x:c>
      <x:c r="C103" t="str">
        <x:v>exdivo disposable vape review: flavor, performance, and value</x:v>
      </x:c>
      <x:c r="D103" t="str">
        <x:v>best vape disposable</x:v>
      </x:c>
      <x:c r="E103" t="str">
        <x:v>recommended</x:v>
      </x:c>
      <x:c r="F103" t="n">
        <x:v>1300</x:v>
      </x:c>
      <x:c r="G103" t="n">
        <x:v>34</x:v>
      </x:c>
      <x:c r="H103" t="str">
        <x:v>commercial</x:v>
      </x:c>
    </x:row>
    <x:row r="104">
      <x:c r="A104" t="str">
        <x:v>https://exdivo.com/blogs/exdivo-disposable-vape-review-flavor-performance-and-value?data_from=index_index</x:v>
      </x:c>
      <x:c r="B104" t="str">
        <x:v>EXDIVO Disposable Vape Review: Flavor, Performance, and Value - ExDivo</x:v>
      </x:c>
      <x:c r="C104" t="str">
        <x:v>exdivo disposable vape review: flavor, performance, and value</x:v>
      </x:c>
      <x:c r="D104" t="str">
        <x:v>disposable vape deals</x:v>
      </x:c>
      <x:c r="E104" t="str">
        <x:v>recommended</x:v>
      </x:c>
      <x:c r="F104" t="n">
        <x:v>390</x:v>
      </x:c>
      <x:c r="G104" t="n">
        <x:v>31</x:v>
      </x:c>
      <x:c r="H104" t="str">
        <x:v>commercial</x:v>
      </x:c>
    </x:row>
    <x:row r="105">
      <x:c r="A105" t="str">
        <x:v>https://exdivo.com/blogs/exdivo-disposable-vape-review-flavor-performance-and-value?data_from=index_index</x:v>
      </x:c>
      <x:c r="B105" t="str">
        <x:v>EXDIVO Disposable Vape Review: Flavor, Performance, and Value - ExDivo</x:v>
      </x:c>
      <x:c r="C105" t="str">
        <x:v>exdivo disposable vape review: flavor, performance, and value</x:v>
      </x:c>
      <x:c r="D105" t="str">
        <x:v>best tasting disposable vape</x:v>
      </x:c>
      <x:c r="E105" t="str">
        <x:v>recommended</x:v>
      </x:c>
      <x:c r="F105" t="n">
        <x:v>140</x:v>
      </x:c>
      <x:c r="G105" t="n">
        <x:v>25</x:v>
      </x:c>
      <x:c r="H105" t="str">
        <x:v>commercial</x:v>
      </x:c>
    </x:row>
    <x:row r="106">
      <x:c r="A106" t="str">
        <x:v>https://exdivo.com/blogs/exdivo-disposable-vape-review-flavor-performance-and-value?data_from=index_index</x:v>
      </x:c>
      <x:c r="B106" t="str">
        <x:v>EXDIVO Disposable Vape Review: Flavor, Performance, and Value - ExDivo</x:v>
      </x:c>
      <x:c r="C106" t="str">
        <x:v>exdivo disposable vape review: flavor, performance, and value</x:v>
      </x:c>
      <x:c r="D106" t="str">
        <x:v>best tobacco disposable vape</x:v>
      </x:c>
      <x:c r="E106" t="str">
        <x:v>recommended</x:v>
      </x:c>
      <x:c r="F106" t="n">
        <x:v>50</x:v>
      </x:c>
      <x:c r="G106" t="n">
        <x:v>4</x:v>
      </x:c>
      <x:c r="H106" t="str">
        <x:v>commercial</x:v>
      </x:c>
    </x:row>
    <x:row r="107">
      <x:c r="A107" t="str">
        <x:v>https://exdivo.com/blogs/exdivo-disposable-vape-review-flavor-performance-and-value?data_from=index_index</x:v>
      </x:c>
      <x:c r="B107" t="str">
        <x:v>EXDIVO Disposable Vape Review: Flavor, Performance, and Value - ExDivo</x:v>
      </x:c>
      <x:c r="C107" t="str">
        <x:v>exdivo disposable vape review: flavor, performance, and value</x:v>
      </x:c>
      <x:c r="D107" t="str">
        <x:v>best disposable vape brand</x:v>
      </x:c>
      <x:c r="E107" t="str">
        <x:v>recommended</x:v>
      </x:c>
      <x:c r="F107" t="n">
        <x:v>90</x:v>
      </x:c>
      <x:c r="G107" t="n">
        <x:v>22</x:v>
      </x:c>
      <x:c r="H107" t="str">
        <x:v>commercial</x:v>
      </x:c>
    </x:row>
    <x:row r="108">
      <x:c r="A108" t="str">
        <x:v>https://exdivo.com/blogs/exdivo-disposable-vape-review-flavor-performance-and-value?data_from=index_index</x:v>
      </x:c>
      <x:c r="B108" t="str">
        <x:v>EXDIVO Disposable Vape Review: Flavor, Performance, and Value - ExDivo</x:v>
      </x:c>
      <x:c r="C108" t="str">
        <x:v>exdivo disposable vape review: flavor, performance, and value</x:v>
      </x:c>
      <x:c r="D108" t="str">
        <x:v>cheap disposable vape</x:v>
      </x:c>
      <x:c r="E108" t="str">
        <x:v>recommended</x:v>
      </x:c>
      <x:c r="F108" t="n">
        <x:v>140</x:v>
      </x:c>
      <x:c r="G108" t="n">
        <x:v>38</x:v>
      </x:c>
      <x:c r="H108" t="str">
        <x:v>commercial</x:v>
      </x:c>
    </x:row>
    <x:row r="109">
      <x:c r="A109" t="str">
        <x:v>https://exdivo.com/blogs/exdivo-disposable-vape-review-flavor-performance-and-value?data_from=index_index</x:v>
      </x:c>
      <x:c r="B109" t="str">
        <x:v>EXDIVO Disposable Vape Review: Flavor, Performance, and Value - ExDivo</x:v>
      </x:c>
      <x:c r="C109" t="str">
        <x:v>exdivo disposable vape review: flavor, performance, and value</x:v>
      </x:c>
      <x:c r="D109" t="str">
        <x:v>the best disposable vape</x:v>
      </x:c>
      <x:c r="E109" t="str">
        <x:v>recommended</x:v>
      </x:c>
      <x:c r="F109" t="n">
        <x:v>50</x:v>
      </x:c>
      <x:c r="G109" t="n">
        <x:v>20</x:v>
      </x:c>
      <x:c r="H109" t="str">
        <x:v>commercial</x:v>
      </x:c>
    </x:row>
    <x:row r="110">
      <x:c r="A110" t="str">
        <x:v>https://exdivo.com/blogs/exdivo-disposable-vape-review-flavor-performance-and-value?data_from=index_index</x:v>
      </x:c>
      <x:c r="B110" t="str">
        <x:v>EXDIVO Disposable Vape Review: Flavor, Performance, and Value - ExDivo</x:v>
      </x:c>
      <x:c r="C110" t="str">
        <x:v>exdivo disposable vape review: flavor, performance, and value</x:v>
      </x:c>
      <x:c r="D110" t="str">
        <x:v>which disposable vape is the best</x:v>
      </x:c>
      <x:c r="E110" t="str">
        <x:v>recommended</x:v>
      </x:c>
      <x:c r="F110" t="n">
        <x:v>50</x:v>
      </x:c>
      <x:c r="G110" t="n">
        <x:v>21</x:v>
      </x:c>
      <x:c r="H110" t="str">
        <x:v>commercial</x:v>
      </x:c>
    </x:row>
    <x:row r="111">
      <x:c r="A111" t="str">
        <x:v>https://exdivo.com/blogs/exdivo-disposable-vape-review-flavor-performance-and-value?data_from=index_index</x:v>
      </x:c>
      <x:c r="B111" t="str">
        <x:v>EXDIVO Disposable Vape Review: Flavor, Performance, and Value - ExDivo</x:v>
      </x:c>
      <x:c r="C111" t="str">
        <x:v>exdivo disposable vape review: flavor, performance, and value</x:v>
      </x:c>
      <x:c r="D111" t="str">
        <x:v>best rechargeable disposable vape</x:v>
      </x:c>
      <x:c r="E111" t="str">
        <x:v>recommended</x:v>
      </x:c>
      <x:c r="F111" t="n">
        <x:v>50</x:v>
      </x:c>
      <x:c r="G111" t="n">
        <x:v>26</x:v>
      </x:c>
      <x:c r="H111" t="str">
        <x:v>commercial</x:v>
      </x:c>
    </x:row>
    <x:row r="112">
      <x:c r="A112" t="str">
        <x:v>https://exdivo.com/blogs/exdivo-disposable-vape-review-flavor-performance-and-value?data_from=index_index</x:v>
      </x:c>
      <x:c r="B112" t="str">
        <x:v>EXDIVO Disposable Vape Review: Flavor, Performance, and Value - ExDivo</x:v>
      </x:c>
      <x:c r="C112" t="str">
        <x:v>exdivo disposable vape review: flavor, performance, and value</x:v>
      </x:c>
      <x:c r="D112" t="str">
        <x:v>vape review</x:v>
      </x:c>
      <x:c r="E112" t="str">
        <x:v>recommended</x:v>
      </x:c>
      <x:c r="F112" t="n">
        <x:v>90</x:v>
      </x:c>
      <x:c r="G112" t="n">
        <x:v>33</x:v>
      </x:c>
      <x:c r="H112" t="str">
        <x:v>commercial</x:v>
      </x:c>
    </x:row>
    <x:row r="113">
      <x:c r="A113" t="str">
        <x:v>https://exdivo.com/blogs/exdivo-disposable-vape-review-flavor-performance-and-value?data_from=index_index</x:v>
      </x:c>
      <x:c r="B113" t="str">
        <x:v>EXDIVO Disposable Vape Review: Flavor, Performance, and Value - ExDivo</x:v>
      </x:c>
      <x:c r="C113" t="str">
        <x:v>exdivo disposable vape review: flavor, performance, and value</x:v>
      </x:c>
      <x:c r="D113" t="str">
        <x:v>best nicotine disposable vape</x:v>
      </x:c>
      <x:c r="E113" t="str">
        <x:v>recommended</x:v>
      </x:c>
      <x:c r="F113" t="n">
        <x:v>40</x:v>
      </x:c>
      <x:c r="G113" t="n">
        <x:v>49</x:v>
      </x:c>
      <x:c r="H113" t="str">
        <x:v>commercial</x:v>
      </x:c>
    </x:row>
    <x:row r="114">
      <x:c r="A114" t="str">
        <x:v>https://exdivo.com/blogs/exdivo-disposable-vape-review-flavor-performance-and-value?data_from=index_index</x:v>
      </x:c>
      <x:c r="B114" t="str">
        <x:v>EXDIVO Disposable Vape Review: Flavor, Performance, and Value - ExDivo</x:v>
      </x:c>
      <x:c r="C114" t="str">
        <x:v>exdivo disposable vape review: flavor, performance, and value</x:v>
      </x:c>
      <x:c r="D114" t="str">
        <x:v>disposable vape performance</x:v>
      </x:c>
      <x:c r="E114" t="str">
        <x:v>recommended</x:v>
      </x:c>
      <x:c r="F114" t="n">
        <x:v>0</x:v>
      </x:c>
      <x:c r="G114" t="n">
        <x:v>0</x:v>
      </x:c>
      <x:c r="H114" t="str">
        <x:v>48</x:v>
      </x:c>
    </x:row>
    <x:row r="115">
      <x:c r="A115" t="str">
        <x:v>https://exdivo.com/blogs/exdivo-disposable-vape-review-flavor-performance-and-value?data_from=index_index</x:v>
      </x:c>
      <x:c r="B115" t="str">
        <x:v>EXDIVO Disposable Vape Review: Flavor, Performance, and Value - ExDivo</x:v>
      </x:c>
      <x:c r="C115" t="str">
        <x:v>exdivo disposable vape review: flavor, performance, and value</x:v>
      </x:c>
      <x:c r="D115" t="str">
        <x:v>vape value for money</x:v>
      </x:c>
      <x:c r="E115" t="str">
        <x:v>recommended</x:v>
      </x:c>
      <x:c r="F115" t="n">
        <x:v>0</x:v>
      </x:c>
      <x:c r="G115" t="n">
        <x:v>0</x:v>
      </x:c>
      <x:c r="H115" t="str">
        <x:v>48</x:v>
      </x:c>
    </x:row>
    <x:row r="116">
      <x:c r="A116" t="str">
        <x:v>https://exdivo.com/blogs/exdivo-disposable-vape-review-flavor-performance-and-value?data_from=index_index</x:v>
      </x:c>
      <x:c r="B116" t="str">
        <x:v>EXDIVO Disposable Vape Review: Flavor, Performance, and Value - ExDivo</x:v>
      </x:c>
      <x:c r="C116" t="str">
        <x:v>exdivo disposable vape review: flavor, performance, and value</x:v>
      </x:c>
      <x:c r="D116" t="str">
        <x:v>menthol disposable vape review</x:v>
      </x:c>
      <x:c r="E116" t="str">
        <x:v>recommended</x:v>
      </x:c>
      <x:c r="F116" t="n">
        <x:v>0</x:v>
      </x:c>
      <x:c r="G116" t="n">
        <x:v>0</x:v>
      </x:c>
      <x:c r="H116" t="str">
        <x:v>48</x:v>
      </x:c>
    </x:row>
    <x:row r="117">
      <x:c r="A117" t="str">
        <x:v>https://exdivo.com/blogs/exdivo-disposable-vape-review-flavor-performance-and-value?data_from=index_index</x:v>
      </x:c>
      <x:c r="B117" t="str">
        <x:v>EXDIVO Disposable Vape Review: Flavor, Performance, and Value - ExDivo</x:v>
      </x:c>
      <x:c r="C117" t="str">
        <x:v>exdivo disposable vape review: flavor, performance, and value</x:v>
      </x:c>
      <x:c r="D117" t="str">
        <x:v>disposable vape flavor review</x:v>
      </x:c>
      <x:c r="E117" t="str">
        <x:v>recommended</x:v>
      </x:c>
      <x:c r="F117" t="n">
        <x:v>0</x:v>
      </x:c>
      <x:c r="G117" t="n">
        <x:v>0</x:v>
      </x:c>
      <x:c r="H117" t="str">
        <x:v>48</x:v>
      </x:c>
    </x:row>
    <x:row r="118">
      <x:c r="A118" t="str">
        <x:v>https://exdivo.com/blogs/exdivo-disposable-vape-review-flavor-performance-and-value?data_from=index_index</x:v>
      </x:c>
      <x:c r="B118" t="str">
        <x:v>EXDIVO Disposable Vape Review: Flavor, Performance, and Value - ExDivo</x:v>
      </x:c>
      <x:c r="C118" t="str">
        <x:v>exdivo disposable vape review: flavor, performance, and value</x:v>
      </x:c>
      <x:c r="D118" t="str">
        <x:v>exdivo vape kit reviews</x:v>
      </x:c>
      <x:c r="E118" t="str">
        <x:v>recommended</x:v>
      </x:c>
      <x:c r="F118" t="n">
        <x:v>0</x:v>
      </x:c>
      <x:c r="G118" t="n">
        <x:v>0</x:v>
      </x:c>
      <x:c r="H118" t="str">
        <x:v>48</x:v>
      </x:c>
    </x:row>
    <x:row r="119">
      <x:c r="A119" t="str">
        <x:v>https://exdivo.com/blogs/exdivo-disposable-vape-review-flavor-performance-and-value?data_from=index_index</x:v>
      </x:c>
      <x:c r="B119" t="str">
        <x:v>EXDIVO Disposable Vape Review: Flavor, Performance, and Value - ExDivo</x:v>
      </x:c>
      <x:c r="C119" t="str">
        <x:v>exdivo disposable vape review: flavor, performance, and value</x:v>
      </x:c>
      <x:c r="D119" t="str">
        <x:v>menthol disposable vape reviews</x:v>
      </x:c>
      <x:c r="E119" t="str">
        <x:v>recommended</x:v>
      </x:c>
      <x:c r="F119" t="n">
        <x:v>0</x:v>
      </x:c>
      <x:c r="G119" t="n">
        <x:v>0</x:v>
      </x:c>
      <x:c r="H119" t="str">
        <x:v>48</x:v>
      </x:c>
    </x:row>
    <x:row r="120">
      <x:c r="A120" t="str">
        <x:v>https://exdivo.com/collections/visionaura-full-screen/products/exdivo-space-45k-disposable-vape_3855e1a8?data_from=collection_detail&amp;spm=collection_detail.313081.collection_detail-11702364.9.</x:v>
      </x:c>
      <x:c r="B120" t="str">
        <x:v>ExDivo SPACE 45K Disposable Vape</x:v>
      </x:c>
      <x:c r="C120" t="str">
        <x:v>45000 puffs</x:v>
      </x:c>
      <x:c r="D120" t="str">
        <x:v>exdivo 45k puffs</x:v>
      </x:c>
      <x:c r="E120" t="str">
        <x:v>recommended</x:v>
      </x:c>
      <x:c r="F120" t="n">
        <x:v>0</x:v>
      </x:c>
      <x:c r="G120" t="n">
        <x:v>0</x:v>
      </x:c>
      <x:c r="H120" t="str">
        <x:v>48</x:v>
      </x:c>
    </x:row>
    <x:row r="121">
      <x:c r="A121" t="str">
        <x:v>https://exdivo.com/collections/interstellar/products/exdivo-interstellar-35k-disposable-vape_d6ea723a?data_from=collection_detail&amp;spm=collection_detail.310720.collection_detail-11702364.1.</x:v>
      </x:c>
      <x:c r="B121" t="str">
        <x:v>ExDivo INTERSTELLAR 35K Disposable Vape</x:v>
      </x:c>
      <x:c r="C121" t="str">
        <x:v>35000 puffs</x:v>
      </x:c>
      <x:c r="D121" t="str">
        <x:v>exdivo interstellar 35k vape</x:v>
      </x:c>
      <x:c r="E121" t="str">
        <x:v>recommended</x:v>
      </x:c>
      <x:c r="F121" t="n">
        <x:v>0</x:v>
      </x:c>
      <x:c r="G121" t="n">
        <x:v>0</x:v>
      </x:c>
      <x:c r="H121" t="str">
        <x:v>48</x:v>
      </x:c>
    </x:row>
    <x:row r="122">
      <x:c r="A122" t="str">
        <x:v>https://exdivo.com/collections/interstellar/products/exdivo-interstellar-35k-disposable-vape_d6ea723a?data_from=collection_detail&amp;spm=collection_detail.310720.collection_detail-11702364.1.</x:v>
      </x:c>
      <x:c r="B122" t="str">
        <x:v>ExDivo INTERSTELLAR 35K Disposable Vape</x:v>
      </x:c>
      <x:c r="C122" t="str">
        <x:v>35000 puffs</x:v>
      </x:c>
      <x:c r="D122" t="str">
        <x:v>interstellar 35k vape</x:v>
      </x:c>
      <x:c r="E122" t="str">
        <x:v>recommended</x:v>
      </x:c>
      <x:c r="F122" t="n">
        <x:v>0</x:v>
      </x:c>
      <x:c r="G122" t="n">
        <x:v>0</x:v>
      </x:c>
      <x:c r="H122" t="str">
        <x:v>48</x:v>
      </x:c>
    </x:row>
    <x:row r="123">
      <x:c r="A123" t="str">
        <x:v>https://exdivo.com/collections/interstellar/products/exdivo-interstellar-35k-disposable-vape_d6ea723a?data_from=collection_detail&amp;spm=collection_detail.310720.collection_detail-11702364.1.</x:v>
      </x:c>
      <x:c r="B123" t="str">
        <x:v>ExDivo INTERSTELLAR 35K Disposable Vape</x:v>
      </x:c>
      <x:c r="C123" t="str">
        <x:v>35000 puffs</x:v>
      </x:c>
      <x:c r="D123" t="str">
        <x:v>interstellar 35k vape review</x:v>
      </x:c>
      <x:c r="E123" t="str">
        <x:v>recommended</x:v>
      </x:c>
      <x:c r="F123" t="n">
        <x:v>0</x:v>
      </x:c>
      <x:c r="G123" t="n">
        <x:v>0</x:v>
      </x:c>
      <x:c r="H123" t="str">
        <x:v>48</x:v>
      </x:c>
    </x:row>
    <x:row r="124">
      <x:c r="A124" t="str">
        <x:v>https://exdivo.com/blogs/exdivo-disposable-vape-review-flavor-performance-and-value</x:v>
      </x:c>
      <x:c r="B124" t="str">
        <x:v>EXDIVO Disposable Vape Review: Flavor, Performance, and Value - ExDivo</x:v>
      </x:c>
      <x:c r="C124" t="str">
        <x:v>exdivo disposable vape review: flavor, performance, and value</x:v>
      </x:c>
      <x:c r="D124" t="str">
        <x:v>exdivo disposable vape review</x:v>
      </x:c>
      <x:c r="E124" t="str">
        <x:v>recommended</x:v>
      </x:c>
      <x:c r="F124" t="n">
        <x:v>0</x:v>
      </x:c>
      <x:c r="G124" t="n">
        <x:v>0</x:v>
      </x:c>
      <x:c r="H124" t="str">
        <x:v>48</x:v>
      </x:c>
    </x:row>
    <x:row r="125">
      <x:c r="A125" t="str">
        <x:v>https://exdivo.com/blogs/exdivo-disposable-vape-review-flavor-performance-and-value</x:v>
      </x:c>
      <x:c r="B125" t="str">
        <x:v>EXDIVO Disposable Vape Review: Flavor, Performance, and Value - ExDivo</x:v>
      </x:c>
      <x:c r="C125" t="str">
        <x:v>exdivo disposable vape review: flavor, performance, and value</x:v>
      </x:c>
      <x:c r="D125" t="str">
        <x:v>exdivo vape review</x:v>
      </x:c>
      <x:c r="E125" t="str">
        <x:v>recommended</x:v>
      </x:c>
      <x:c r="F125" t="n">
        <x:v>0</x:v>
      </x:c>
      <x:c r="G125" t="n">
        <x:v>0</x:v>
      </x:c>
      <x:c r="H125" t="str">
        <x:v>48</x:v>
      </x:c>
    </x:row>
    <x:row r="126">
      <x:c r="A126" t="str">
        <x:v>https://exdivo.com/blogs/exdivo-disposable-vape-review-flavor-performance-and-value</x:v>
      </x:c>
      <x:c r="B126" t="str">
        <x:v>EXDIVO Disposable Vape Review: Flavor, Performance, and Value - ExDivo</x:v>
      </x:c>
      <x:c r="C126" t="str">
        <x:v>exdivo disposable vape review: flavor, performance, and value</x:v>
      </x:c>
      <x:c r="D126" t="str">
        <x:v>exdivo pod vape reviews</x:v>
      </x:c>
      <x:c r="E126" t="str">
        <x:v>recommended</x:v>
      </x:c>
      <x:c r="F126" t="n">
        <x:v>0</x:v>
      </x:c>
      <x:c r="G126" t="n">
        <x:v>0</x:v>
      </x:c>
      <x:c r="H126" t="str">
        <x:v>48</x:v>
      </x:c>
    </x:row>
    <x:row r="127">
      <x:c r="A127" t="str">
        <x:v>https://exdivo.com/comments/exdivo-flora-40k-disposable-vape_40f04366?writeComment=true</x:v>
      </x:c>
      <x:c r="B127" t="str">
        <x:v>Reviews - MIAMI MINT - ExDivo FLORA 40K Disposable Vape - ExDivo</x:v>
      </x:c>
      <x:c r="C127" t="str">
        <x:v>48</x:v>
      </x:c>
      <x:c r="D127" t="str">
        <x:v>miami mint vape</x:v>
      </x:c>
      <x:c r="E127" t="str">
        <x:v>recommended</x:v>
      </x:c>
      <x:c r="F127" t="n">
        <x:v>3600</x:v>
      </x:c>
      <x:c r="G127" t="n">
        <x:v>9</x:v>
      </x:c>
      <x:c r="H127" t="str">
        <x:v>informational</x:v>
      </x:c>
    </x:row>
    <x:row r="128">
      <x:c r="A128" t="str">
        <x:v>https://exdivo.com/comments/exdivo-flora-40k-disposable-vape_40f04366?writeComment=true</x:v>
      </x:c>
      <x:c r="B128" t="str">
        <x:v>Reviews - MIAMI MINT - ExDivo FLORA 40K Disposable Vape - ExDivo</x:v>
      </x:c>
      <x:c r="C128" t="str">
        <x:v>48</x:v>
      </x:c>
      <x:c r="D128" t="str">
        <x:v>miami mint vapes</x:v>
      </x:c>
      <x:c r="E128" t="str">
        <x:v>recommended</x:v>
      </x:c>
      <x:c r="F128" t="n">
        <x:v>170</x:v>
      </x:c>
      <x:c r="G128" t="n">
        <x:v>7</x:v>
      </x:c>
      <x:c r="H128" t="str">
        <x:v>informational, commercial</x:v>
      </x:c>
    </x:row>
    <x:row r="129">
      <x:c r="A129" t="str">
        <x:v>https://exdivo.com/comments/exdivo-flora-40k-disposable-vape_40f04366?writeComment=true</x:v>
      </x:c>
      <x:c r="B129" t="str">
        <x:v>Reviews - MIAMI MINT - ExDivo FLORA 40K Disposable Vape - ExDivo</x:v>
      </x:c>
      <x:c r="C129" t="str">
        <x:v>48</x:v>
      </x:c>
      <x:c r="D129" t="str">
        <x:v>miami mint vape flavor</x:v>
      </x:c>
      <x:c r="E129" t="str">
        <x:v>recommended</x:v>
      </x:c>
      <x:c r="F129" t="n">
        <x:v>90</x:v>
      </x:c>
      <x:c r="G129" t="n">
        <x:v>1</x:v>
      </x:c>
      <x:c r="H129" t="str">
        <x:v>informational</x:v>
      </x:c>
    </x:row>
    <x:row r="130">
      <x:c r="A130" t="str">
        <x:v>https://exdivo.com/comments/exdivo-flora-40k-disposable-vape_40f04366?writeComment=true</x:v>
      </x:c>
      <x:c r="B130" t="str">
        <x:v>Reviews - MIAMI MINT - ExDivo FLORA 40K Disposable Vape - ExDivo</x:v>
      </x:c>
      <x:c r="C130" t="str">
        <x:v>48</x:v>
      </x:c>
      <x:c r="D130" t="str">
        <x:v>miami mint raz vape</x:v>
      </x:c>
      <x:c r="E130" t="str">
        <x:v>recommended</x:v>
      </x:c>
      <x:c r="F130" t="n">
        <x:v>90</x:v>
      </x:c>
      <x:c r="G130" t="n">
        <x:v>1</x:v>
      </x:c>
      <x:c r="H130" t="str">
        <x:v>informational</x:v>
      </x:c>
    </x:row>
    <x:row r="131">
      <x:c r="A131" t="str">
        <x:v>https://exdivo.com/comments/exdivo-flora-40k-disposable-vape_40f04366?writeComment=true</x:v>
      </x:c>
      <x:c r="B131" t="str">
        <x:v>Reviews - MIAMI MINT - ExDivo FLORA 40K Disposable Vape - ExDivo</x:v>
      </x:c>
      <x:c r="C131" t="str">
        <x:v>48</x:v>
      </x:c>
      <x:c r="D131" t="str">
        <x:v>best miami mint vape</x:v>
      </x:c>
      <x:c r="E131" t="str">
        <x:v>recommended</x:v>
      </x:c>
      <x:c r="F131" t="n">
        <x:v>40</x:v>
      </x:c>
      <x:c r="G131" t="n">
        <x:v>1</x:v>
      </x:c>
      <x:c r="H131" t="str">
        <x:v>commercial</x:v>
      </x:c>
    </x:row>
    <x:row r="132">
      <x:c r="A132" t="str">
        <x:v>https://exdivo.com/comments/exdivo-flora-40k-disposable-vape_40f04366?writeComment=true</x:v>
      </x:c>
      <x:c r="B132" t="str">
        <x:v>Reviews - MIAMI MINT - ExDivo FLORA 40K Disposable Vape - ExDivo</x:v>
      </x:c>
      <x:c r="C132" t="str">
        <x:v>48</x:v>
      </x:c>
      <x:c r="D132" t="str">
        <x:v>miami mint disposable vape</x:v>
      </x:c>
      <x:c r="E132" t="str">
        <x:v>recommended</x:v>
      </x:c>
      <x:c r="F132" t="n">
        <x:v>0</x:v>
      </x:c>
      <x:c r="G132" t="n">
        <x:v>0</x:v>
      </x:c>
      <x:c r="H132" t="str">
        <x:v>48</x:v>
      </x:c>
    </x:row>
    <x:row r="133">
      <x:c r="A133" t="str">
        <x:v>https://exdivo.com/comments/exdivo-flora-40k-disposable-vape_40f04366?writeComment=true</x:v>
      </x:c>
      <x:c r="B133" t="str">
        <x:v>Reviews - MIAMI MINT - ExDivo FLORA 40K Disposable Vape - ExDivo</x:v>
      </x:c>
      <x:c r="C133" t="str">
        <x:v>48</x:v>
      </x:c>
      <x:c r="D133" t="str">
        <x:v>miami mint vape review</x:v>
      </x:c>
      <x:c r="E133" t="str">
        <x:v>recommended</x:v>
      </x:c>
      <x:c r="F133" t="n">
        <x:v>0</x:v>
      </x:c>
      <x:c r="G133" t="n">
        <x:v>0</x:v>
      </x:c>
      <x:c r="H133" t="str">
        <x:v>48</x:v>
      </x:c>
    </x:row>
    <x:row r="134">
      <x:c r="A134" t="str">
        <x:v>https://exdivo.com/comments/exdivo-flora-40k-disposable-vape_40f04366?writeComment=true</x:v>
      </x:c>
      <x:c r="B134" t="str">
        <x:v>Reviews - MIAMI MINT - ExDivo FLORA 40K Disposable Vape - ExDivo</x:v>
      </x:c>
      <x:c r="C134" t="str">
        <x:v>48</x:v>
      </x:c>
      <x:c r="D134" t="str">
        <x:v>exdivo miami mint flavor</x:v>
      </x:c>
      <x:c r="E134" t="str">
        <x:v>recommended</x:v>
      </x:c>
      <x:c r="F134" t="n">
        <x:v>0</x:v>
      </x:c>
      <x:c r="G134" t="n">
        <x:v>0</x:v>
      </x:c>
      <x:c r="H134" t="str">
        <x:v>48</x:v>
      </x:c>
    </x:row>
    <x:row r="135">
      <x:c r="A135" t="str">
        <x:v>https://exdivo.com/products/exdivo-flora-40k-disposable-vape?data_from=index_index&amp;spm=</x:v>
      </x:c>
      <x:c r="B135" t="str">
        <x:v>ExDivo FLORA 40K Disposable Vape</x:v>
      </x:c>
      <x:c r="C135" t="str">
        <x:v>40000 puffs</x:v>
      </x:c>
      <x:c r="D135" t="str">
        <x:v>flora 40k disposable vape</x:v>
      </x:c>
      <x:c r="E135" t="str">
        <x:v>recommended</x:v>
      </x:c>
      <x:c r="F135" t="n">
        <x:v>0</x:v>
      </x:c>
      <x:c r="G135" t="n">
        <x:v>0</x:v>
      </x:c>
      <x:c r="H135" t="str">
        <x:v>48</x:v>
      </x:c>
    </x:row>
    <x:row r="136">
      <x:c r="A136" t="str">
        <x:v>https://exdivo.com/collections/visionaura-full-screen</x:v>
      </x:c>
      <x:c r="B136" t="str">
        <x:v>SPACE - ExDivo</x:v>
      </x:c>
      <x:c r="C136" t="str">
        <x:v>space</x:v>
      </x:c>
      <x:c r="D136" t="str">
        <x:v>exdivo space series</x:v>
      </x:c>
      <x:c r="E136" t="str">
        <x:v>recommended</x:v>
      </x:c>
      <x:c r="F136" t="n">
        <x:v>0</x:v>
      </x:c>
      <x:c r="G136" t="n">
        <x:v>0</x:v>
      </x:c>
      <x:c r="H136" t="str">
        <x:v>48</x:v>
      </x:c>
    </x:row>
    <x:row r="137">
      <x:c r="A137" t="str">
        <x:v>https://exdivo.com/collections/visionaura-full-screen</x:v>
      </x:c>
      <x:c r="B137" t="str">
        <x:v>SPACE - ExDivo</x:v>
      </x:c>
      <x:c r="C137" t="str">
        <x:v>space</x:v>
      </x:c>
      <x:c r="D137" t="str">
        <x:v>exdivo space collection</x:v>
      </x:c>
      <x:c r="E137" t="str">
        <x:v>recommended</x:v>
      </x:c>
      <x:c r="F137" t="n">
        <x:v>0</x:v>
      </x:c>
      <x:c r="G137" t="n">
        <x:v>0</x:v>
      </x:c>
      <x:c r="H137" t="str">
        <x:v>48</x:v>
      </x:c>
    </x:row>
    <x:row r="138">
      <x:c r="A138" t="str">
        <x:v>https://exdivo.com/collections/brightmirror?data_from=index_index</x:v>
      </x:c>
      <x:c r="B138" t="str">
        <x:v>exdivo collections bright mirror</x:v>
      </x:c>
      <x:c r="C138" t="str">
        <x:v>bright mirror</x:v>
      </x:c>
      <x:c r="D138" t="str">
        <x:v>exdivo bright mirror collection</x:v>
      </x:c>
      <x:c r="E138" t="str">
        <x:v>recommended</x:v>
      </x:c>
      <x:c r="F138" t="n">
        <x:v>0</x:v>
      </x:c>
      <x:c r="G138" t="n">
        <x:v>0</x:v>
      </x:c>
      <x:c r="H138" t="str">
        <x:v>48</x:v>
      </x:c>
    </x:row>
    <x:row r="139">
      <x:c r="A139" t="str">
        <x:v>https://exdivo.com/collections/brightmirror?data_from=index_index</x:v>
      </x:c>
      <x:c r="B139" t="str">
        <x:v>exdivo collections bright mirror</x:v>
      </x:c>
      <x:c r="C139" t="str">
        <x:v>bright mirror</x:v>
      </x:c>
      <x:c r="D139" t="str">
        <x:v>exdivo bright mirror series</x:v>
      </x:c>
      <x:c r="E139" t="str">
        <x:v>recommended</x:v>
      </x:c>
      <x:c r="F139" t="n">
        <x:v>0</x:v>
      </x:c>
      <x:c r="G139" t="n">
        <x:v>0</x:v>
      </x:c>
      <x:c r="H139" t="str">
        <x:v>48</x:v>
      </x:c>
    </x:row>
    <x:row r="140">
      <x:c r="A140" t="str">
        <x:v>https://exdivo.com/collections/brightmirror?data_from=index_index</x:v>
      </x:c>
      <x:c r="B140" t="str">
        <x:v>exdivo collections bright mirror</x:v>
      </x:c>
      <x:c r="C140" t="str">
        <x:v>bright mirror</x:v>
      </x:c>
      <x:c r="D140" t="str">
        <x:v>exdivo bright mirror vape kit</x:v>
      </x:c>
      <x:c r="E140" t="str">
        <x:v>recommended</x:v>
      </x:c>
      <x:c r="F140" t="n">
        <x:v>0</x:v>
      </x:c>
      <x:c r="G140" t="n">
        <x:v>0</x:v>
      </x:c>
      <x:c r="H140" t="str">
        <x:v>48</x:v>
      </x:c>
    </x:row>
    <x:row r="141">
      <x:c r="A141" t="str">
        <x:v>https://exdivo.com/collections/brightmirror?data_from=index_index</x:v>
      </x:c>
      <x:c r="B141" t="str">
        <x:v>exdivo collections bright mirror</x:v>
      </x:c>
      <x:c r="C141" t="str">
        <x:v>bright mirror</x:v>
      </x:c>
      <x:c r="D141" t="str">
        <x:v>exdivo bright mirror 35k</x:v>
      </x:c>
      <x:c r="E141" t="str">
        <x:v>recommended</x:v>
      </x:c>
      <x:c r="F141" t="n">
        <x:v>0</x:v>
      </x:c>
      <x:c r="G141" t="n">
        <x:v>0</x:v>
      </x:c>
      <x:c r="H141" t="str">
        <x:v>48</x:v>
      </x:c>
    </x:row>
    <x:row r="142">
      <x:c r="A142" t="str">
        <x:v>https://exdivo.com/collections/brightmirror?data_from=index_index</x:v>
      </x:c>
      <x:c r="B142" t="str">
        <x:v>exdivo collections bright mirror</x:v>
      </x:c>
      <x:c r="C142" t="str">
        <x:v>bright mirror</x:v>
      </x:c>
      <x:c r="D142" t="str">
        <x:v>exdivo bright mirror vape review</x:v>
      </x:c>
      <x:c r="E142" t="str">
        <x:v>recommended</x:v>
      </x:c>
      <x:c r="F142" t="n">
        <x:v>0</x:v>
      </x:c>
      <x:c r="G142" t="n">
        <x:v>0</x:v>
      </x:c>
      <x:c r="H142" t="str">
        <x:v>48</x:v>
      </x:c>
    </x:row>
    <x:row r="143">
      <x:c r="A143" t="str">
        <x:v>https://exdivo.com/collections/brightmirror?data_from=index_index</x:v>
      </x:c>
      <x:c r="B143" t="str">
        <x:v>exdivo collections bright mirror</x:v>
      </x:c>
      <x:c r="C143" t="str">
        <x:v>bright mirror</x:v>
      </x:c>
      <x:c r="D143" t="str">
        <x:v>exdivo bright mirror reviews</x:v>
      </x:c>
      <x:c r="E143" t="str">
        <x:v>recommended</x:v>
      </x:c>
      <x:c r="F143" t="n">
        <x:v>0</x:v>
      </x:c>
      <x:c r="G143" t="n">
        <x:v>0</x:v>
      </x:c>
      <x:c r="H143" t="str">
        <x:v>48</x:v>
      </x:c>
    </x:row>
    <x:row r="144">
      <x:c r="A144" t="str">
        <x:v>https://exdivo.com/collections/brightmirror?data_from=index_index</x:v>
      </x:c>
      <x:c r="B144" t="str">
        <x:v>exdivo collections bright mirror</x:v>
      </x:c>
      <x:c r="C144" t="str">
        <x:v>bright mirror</x:v>
      </x:c>
      <x:c r="D144" t="str">
        <x:v>exdivo bright mirror kit</x:v>
      </x:c>
      <x:c r="E144" t="str">
        <x:v>recommended</x:v>
      </x:c>
      <x:c r="F144" t="n">
        <x:v>0</x:v>
      </x:c>
      <x:c r="G144" t="n">
        <x:v>0</x:v>
      </x:c>
      <x:c r="H144" t="str">
        <x:v>48</x:v>
      </x:c>
    </x:row>
    <x:row r="145">
      <x:c r="A145" t="str">
        <x:v>https://exdivo.com/collections/brightmirror?data_from=index_index</x:v>
      </x:c>
      <x:c r="B145" t="str">
        <x:v>exdivo collections bright mirror</x:v>
      </x:c>
      <x:c r="C145" t="str">
        <x:v>bright mirror</x:v>
      </x:c>
      <x:c r="D145" t="str">
        <x:v>exdivo bright mirror vape</x:v>
      </x:c>
      <x:c r="E145" t="str">
        <x:v>recommended</x:v>
      </x:c>
      <x:c r="F145" t="n">
        <x:v>0</x:v>
      </x:c>
      <x:c r="G145" t="n">
        <x:v>0</x:v>
      </x:c>
      <x:c r="H145" t="str">
        <x:v>48</x:v>
      </x:c>
    </x:row>
    <x:row r="146">
      <x:c r="A146" t="str">
        <x:v>https://exdivo.com/collections/brightmirror?data_from=index_index</x:v>
      </x:c>
      <x:c r="B146" t="str">
        <x:v>exdivo collections bright mirror</x:v>
      </x:c>
      <x:c r="C146" t="str">
        <x:v>bright mirror</x:v>
      </x:c>
      <x:c r="D146" t="str">
        <x:v>exdivo bright mirror replaceable</x:v>
      </x:c>
      <x:c r="E146" t="str">
        <x:v>recommended</x:v>
      </x:c>
      <x:c r="F146" t="n">
        <x:v>0</x:v>
      </x:c>
      <x:c r="G146" t="n">
        <x:v>0</x:v>
      </x:c>
      <x:c r="H146" t="str">
        <x:v>48</x:v>
      </x:c>
    </x:row>
    <x:row r="147">
      <x:c r="A147" t="str">
        <x:v>https://exdivo.com/comments/exdivo-flora-40k-disposable-vape_bd748695</x:v>
      </x:c>
      <x:c r="B147" t="str">
        <x:v>Reviews - STRAWBERRY ICE - ExDivo FLORA 40K Disposable Vape - ExDivo</x:v>
      </x:c>
      <x:c r="C147" t="str">
        <x:v>48</x:v>
      </x:c>
      <x:c r="D147" t="str">
        <x:v>frozen strawberry vape</x:v>
      </x:c>
      <x:c r="E147" t="str">
        <x:v>recommended</x:v>
      </x:c>
      <x:c r="F147" t="n">
        <x:v>320</x:v>
      </x:c>
      <x:c r="G147" t="n">
        <x:v>2</x:v>
      </x:c>
      <x:c r="H147" t="str">
        <x:v>informational</x:v>
      </x:c>
    </x:row>
    <x:row r="148">
      <x:c r="A148" t="str">
        <x:v>https://exdivo.com/comments/exdivo-flora-40k-disposable-vape_bd748695</x:v>
      </x:c>
      <x:c r="B148" t="str">
        <x:v>Reviews - STRAWBERRY ICE - ExDivo FLORA 40K Disposable Vape - ExDivo</x:v>
      </x:c>
      <x:c r="C148" t="str">
        <x:v>48</x:v>
      </x:c>
      <x:c r="D148" t="str">
        <x:v>strawberry ice foger vape</x:v>
      </x:c>
      <x:c r="E148" t="str">
        <x:v>recommended</x:v>
      </x:c>
      <x:c r="F148" t="n">
        <x:v>70</x:v>
      </x:c>
      <x:c r="G148" t="n">
        <x:v>0</x:v>
      </x:c>
      <x:c r="H148" t="str">
        <x:v>informational</x:v>
      </x:c>
    </x:row>
    <x:row r="149">
      <x:c r="A149" t="str">
        <x:v>https://exdivo.com/comments/exdivo-flora-40k-disposable-vape_bd748695</x:v>
      </x:c>
      <x:c r="B149" t="str">
        <x:v>Reviews - STRAWBERRY ICE - ExDivo FLORA 40K Disposable Vape - ExDivo</x:v>
      </x:c>
      <x:c r="C149" t="str">
        <x:v>48</x:v>
      </x:c>
      <x:c r="D149" t="str">
        <x:v>exdivo flora 40k strawberry ice</x:v>
      </x:c>
      <x:c r="E149" t="str">
        <x:v>recommended</x:v>
      </x:c>
      <x:c r="F149" t="n">
        <x:v>0</x:v>
      </x:c>
      <x:c r="G149" t="n">
        <x:v>0</x:v>
      </x:c>
      <x:c r="H149" t="str">
        <x:v>48</x:v>
      </x:c>
    </x:row>
    <x:row r="150">
      <x:c r="A150" t="str">
        <x:v>https://exdivo.com/comments/exdivo-flora-40k-disposable-vape_bd748695</x:v>
      </x:c>
      <x:c r="B150" t="str">
        <x:v>Reviews - STRAWBERRY ICE - ExDivo FLORA 40K Disposable Vape - ExDivo</x:v>
      </x:c>
      <x:c r="C150" t="str">
        <x:v>48</x:v>
      </x:c>
      <x:c r="D150" t="str">
        <x:v>exdivo strawberry ice flavor</x:v>
      </x:c>
      <x:c r="E150" t="str">
        <x:v>recommended</x:v>
      </x:c>
      <x:c r="F150" t="n">
        <x:v>0</x:v>
      </x:c>
      <x:c r="G150" t="n">
        <x:v>0</x:v>
      </x:c>
      <x:c r="H150" t="str">
        <x:v>48</x:v>
      </x:c>
    </x:row>
    <x:row r="151">
      <x:c r="A151" t="str">
        <x:v>https://exdivo.com/comments/exdivo-flora-40k-disposable-vape_bd748695</x:v>
      </x:c>
      <x:c r="B151" t="str">
        <x:v>Reviews - STRAWBERRY ICE - ExDivo FLORA 40K Disposable Vape - ExDivo</x:v>
      </x:c>
      <x:c r="C151" t="str">
        <x:v>48</x:v>
      </x:c>
      <x:c r="D151" t="str">
        <x:v>flora 40k strawberry ice</x:v>
      </x:c>
      <x:c r="E151" t="str">
        <x:v>recommended</x:v>
      </x:c>
      <x:c r="F151" t="n">
        <x:v>0</x:v>
      </x:c>
      <x:c r="G151" t="n">
        <x:v>0</x:v>
      </x:c>
      <x:c r="H151" t="str">
        <x:v>48</x:v>
      </x:c>
    </x:row>
    <x:row r="152">
      <x:c r="A152" t="str">
        <x:v>https://exdivo.com/comments/exdivo-flora-40k-disposable-vape_bd748695</x:v>
      </x:c>
      <x:c r="B152" t="str">
        <x:v>Reviews - STRAWBERRY ICE - ExDivo FLORA 40K Disposable Vape - ExDivo</x:v>
      </x:c>
      <x:c r="C152" t="str">
        <x:v>48</x:v>
      </x:c>
      <x:c r="D152" t="str">
        <x:v>vape strawberry ice</x:v>
      </x:c>
      <x:c r="E152" t="str">
        <x:v>recommended</x:v>
      </x:c>
      <x:c r="F152" t="n">
        <x:v>70</x:v>
      </x:c>
      <x:c r="G152" t="n">
        <x:v>0</x:v>
      </x:c>
      <x:c r="H152" t="str">
        <x:v>informational, commercial</x:v>
      </x:c>
    </x:row>
    <x:row r="153">
      <x:c r="A153" t="str">
        <x:v>https://exdivo.com/comments/exdivo-interstellar-35k-disposable-vape_c2dae2be</x:v>
      </x:c>
      <x:c r="B153" t="str">
        <x:v>Reviews - Cool Mint - ExDivo INTERSTELLAR 35K Disposable Vape - ExDivo</x:v>
      </x:c>
      <x:c r="C153" t="str">
        <x:v>48</x:v>
      </x:c>
      <x:c r="D153" t="str">
        <x:v>cool mint disposable vape</x:v>
      </x:c>
      <x:c r="E153" t="str">
        <x:v>recommended</x:v>
      </x:c>
      <x:c r="F153" t="n">
        <x:v>70</x:v>
      </x:c>
      <x:c r="G153" t="n">
        <x:v>0</x:v>
      </x:c>
      <x:c r="H153" t="str">
        <x:v>commercial</x:v>
      </x:c>
    </x:row>
    <x:row r="154">
      <x:c r="A154" t="str">
        <x:v>https://exdivo.com/comments/exdivo-interstellar-35k-disposable-vape_c2dae2be</x:v>
      </x:c>
      <x:c r="B154" t="str">
        <x:v>Reviews - Cool Mint - ExDivo INTERSTELLAR 35K Disposable Vape - ExDivo</x:v>
      </x:c>
      <x:c r="C154" t="str">
        <x:v>48</x:v>
      </x:c>
      <x:c r="D154" t="str">
        <x:v>exdivo interstellar 35k cool mint</x:v>
      </x:c>
      <x:c r="E154" t="str">
        <x:v>recommended</x:v>
      </x:c>
      <x:c r="F154" t="n">
        <x:v>0</x:v>
      </x:c>
      <x:c r="G154" t="n">
        <x:v>0</x:v>
      </x:c>
      <x:c r="H154" t="str">
        <x:v>48</x:v>
      </x:c>
    </x:row>
    <x:row r="155">
      <x:c r="A155" t="str">
        <x:v>https://exdivo.com/comments/exdivo-interstellar-35k-disposable-vape_c2dae2be</x:v>
      </x:c>
      <x:c r="B155" t="str">
        <x:v>Reviews - Cool Mint - ExDivo INTERSTELLAR 35K Disposable Vape - ExDivo</x:v>
      </x:c>
      <x:c r="C155" t="str">
        <x:v>48</x:v>
      </x:c>
      <x:c r="D155" t="str">
        <x:v>exdivo cool mint flavor</x:v>
      </x:c>
      <x:c r="E155" t="str">
        <x:v>recommended</x:v>
      </x:c>
      <x:c r="F155" t="n">
        <x:v>0</x:v>
      </x:c>
      <x:c r="G155" t="n">
        <x:v>0</x:v>
      </x:c>
      <x:c r="H155" t="str">
        <x:v>48</x:v>
      </x:c>
    </x:row>
    <x:row r="156">
      <x:c r="A156" t="str">
        <x:v>https://exdivo.com/comments/exdivo-interstellar-35k-disposable-vape_c2dae2be</x:v>
      </x:c>
      <x:c r="B156" t="str">
        <x:v>Reviews - Cool Mint - ExDivo INTERSTELLAR 35K Disposable Vape - ExDivo</x:v>
      </x:c>
      <x:c r="C156" t="str">
        <x:v>48</x:v>
      </x:c>
      <x:c r="D156" t="str">
        <x:v>vape flavor reviews cool mint</x:v>
      </x:c>
      <x:c r="E156" t="str">
        <x:v>recommended</x:v>
      </x:c>
      <x:c r="F156" t="n">
        <x:v>0</x:v>
      </x:c>
      <x:c r="G156" t="n">
        <x:v>0</x:v>
      </x:c>
      <x:c r="H156" t="str">
        <x:v>48</x:v>
      </x:c>
    </x:row>
    <x:row r="157">
      <x:c r="A157" t="str">
        <x:v>https://exdivo.com/comments/exdivo-interstellar-35k-disposable-vape_c2dae2be</x:v>
      </x:c>
      <x:c r="B157" t="str">
        <x:v>Reviews - Cool Mint - ExDivo INTERSTELLAR 35K Disposable Vape - ExDivo</x:v>
      </x:c>
      <x:c r="C157" t="str">
        <x:v>48</x:v>
      </x:c>
      <x:c r="D157" t="str">
        <x:v>cool mint vape juice</x:v>
      </x:c>
      <x:c r="E157" t="str">
        <x:v>recommended</x:v>
      </x:c>
      <x:c r="F157" t="n">
        <x:v>90</x:v>
      </x:c>
      <x:c r="G157" t="n">
        <x:v>4</x:v>
      </x:c>
      <x:c r="H157" t="str">
        <x:v>informational</x:v>
      </x:c>
    </x:row>
    <x:row r="158">
      <x:c r="A158" t="str">
        <x:v>https://exdivo.com/comments/exdivo-kuz-25k-replaceable-pod-vape_0f3c5b24</x:v>
      </x:c>
      <x:c r="B158" t="str">
        <x:v>Reviews - BLUEBERRY SOUR RASPBERRY - ExDivo KUZ 25K Replaceable Pod Vape - ExDivo</x:v>
      </x:c>
      <x:c r="C158" t="str">
        <x:v>48</x:v>
      </x:c>
      <x:c r="D158" t="str">
        <x:v>exdivo blueberry sour raspberry flavor</x:v>
      </x:c>
      <x:c r="E158" t="str">
        <x:v>recommended</x:v>
      </x:c>
      <x:c r="F158" t="n">
        <x:v>0</x:v>
      </x:c>
      <x:c r="G158" t="n">
        <x:v>0</x:v>
      </x:c>
      <x:c r="H158" t="str">
        <x:v>48</x:v>
      </x:c>
    </x:row>
    <x:row r="159">
      <x:c r="A159" t="str">
        <x:v>https://exdivo.com/comments/exdivo-kuz-25k-replaceable-pod-vape_0f3c5b24</x:v>
      </x:c>
      <x:c r="B159" t="str">
        <x:v>Reviews - BLUEBERRY SOUR RASPBERRY - ExDivo KUZ 25K Replaceable Pod Vape - ExDivo</x:v>
      </x:c>
      <x:c r="C159" t="str">
        <x:v>48</x:v>
      </x:c>
      <x:c r="D159" t="str">
        <x:v>exdivo kuz 25k blueberry sour raspberry</x:v>
      </x:c>
      <x:c r="E159" t="str">
        <x:v>recommended</x:v>
      </x:c>
      <x:c r="F159" t="n">
        <x:v>0</x:v>
      </x:c>
      <x:c r="G159" t="n">
        <x:v>0</x:v>
      </x:c>
      <x:c r="H159" t="str">
        <x:v>48</x:v>
      </x:c>
    </x:row>
    <x:row r="160">
      <x:c r="A160" t="str">
        <x:v>https://exdivo.com/comments/exdivo-kuz-25k-replaceable-pod-vape_0f3c5b24</x:v>
      </x:c>
      <x:c r="B160" t="str">
        <x:v>Reviews - BLUEBERRY SOUR RASPBERRY - ExDivo KUZ 25K Replaceable Pod Vape - ExDivo</x:v>
      </x:c>
      <x:c r="C160" t="str">
        <x:v>48</x:v>
      </x:c>
      <x:c r="D160" t="str">
        <x:v>blueberry sour raspberry disposable vape</x:v>
      </x:c>
      <x:c r="E160" t="str">
        <x:v>recommended</x:v>
      </x:c>
      <x:c r="F160" t="n">
        <x:v>0</x:v>
      </x:c>
      <x:c r="G160" t="n">
        <x:v>0</x:v>
      </x:c>
      <x:c r="H160" t="str">
        <x:v>48</x:v>
      </x:c>
    </x:row>
    <x:row r="161">
      <x:c r="A161" t="str">
        <x:v>https://exdivo.com/products/exdivo-space-45k-disposable-vape_805b9080?data_from=collection_detail&amp;spm=collection_detail..collection_detail-11702364.11.</x:v>
      </x:c>
      <x:c r="B161" t="str">
        <x:v>ExDivo SPACE 45K Disposable Vape</x:v>
      </x:c>
      <x:c r="C161" t="str">
        <x:v>45000 puffs</x:v>
      </x:c>
      <x:c r="D161" t="str">
        <x:v>exdivo space 45k vape</x:v>
      </x:c>
      <x:c r="E161" t="str">
        <x:v>recommended</x:v>
      </x:c>
      <x:c r="F161" t="n">
        <x:v>0</x:v>
      </x:c>
      <x:c r="G161" t="n">
        <x:v>0</x:v>
      </x:c>
      <x:c r="H161" t="str">
        <x:v>48</x:v>
      </x:c>
    </x:row>
    <x:row r="162">
      <x:c r="A162" t="str">
        <x:v>https://exdivo.com/products/exdivo-space-45k-disposable-vape_805b9080?data_from=collection_detail&amp;spm=collection_detail..collection_detail-11702364.11.</x:v>
      </x:c>
      <x:c r="B162" t="str">
        <x:v>ExDivo SPACE 45K Disposable Vape</x:v>
      </x:c>
      <x:c r="C162" t="str">
        <x:v>45000 puffs</x:v>
      </x:c>
      <x:c r="D162" t="str">
        <x:v>best disposable vape 45k</x:v>
      </x:c>
      <x:c r="E162" t="str">
        <x:v>recommended</x:v>
      </x:c>
      <x:c r="F162" t="n">
        <x:v>0</x:v>
      </x:c>
      <x:c r="G162" t="n">
        <x:v>0</x:v>
      </x:c>
      <x:c r="H162" t="str">
        <x:v>48</x:v>
      </x:c>
    </x:row>
    <x:row r="163">
      <x:c r="A163" t="str">
        <x:v>https://exdivo.com/products/exdivo-flora-40k-disposable-vape_d40647e8</x:v>
      </x:c>
      <x:c r="B163" t="str">
        <x:v>ExDivo FLORA 40K Disposable Vape</x:v>
      </x:c>
      <x:c r="C163" t="str">
        <x:v>40000 puffs</x:v>
      </x:c>
      <x:c r="D163" t="str">
        <x:v>exdivo flora vape</x:v>
      </x:c>
      <x:c r="E163" t="str">
        <x:v>recommended</x:v>
      </x:c>
      <x:c r="F163" t="n">
        <x:v>0</x:v>
      </x:c>
      <x:c r="G163" t="n">
        <x:v>0</x:v>
      </x:c>
      <x:c r="H163" t="str">
        <x:v>48</x:v>
      </x:c>
    </x:row>
    <x:row r="164">
      <x:c r="A164" t="str">
        <x:v>https://exdivo.com/products/exdivo-flora-40k-disposable-vape_d40647e8</x:v>
      </x:c>
      <x:c r="B164" t="str">
        <x:v>ExDivo FLORA 40K Disposable Vape</x:v>
      </x:c>
      <x:c r="C164" t="str">
        <x:v>40000 puffs</x:v>
      </x:c>
      <x:c r="D164" t="str">
        <x:v>exdivo flora 40k vape</x:v>
      </x:c>
      <x:c r="E164" t="str">
        <x:v>recommended</x:v>
      </x:c>
      <x:c r="F164" t="n">
        <x:v>0</x:v>
      </x:c>
      <x:c r="G164" t="n">
        <x:v>0</x:v>
      </x:c>
      <x:c r="H164" t="str">
        <x:v>48</x:v>
      </x:c>
    </x:row>
    <x:row r="165">
      <x:c r="A165" t="str">
        <x:v>https://exdivo.com/products/exdivo-flora-40k-disposable-vape_d40647e8</x:v>
      </x:c>
      <x:c r="B165" t="str">
        <x:v>ExDivo FLORA 40K Disposable Vape</x:v>
      </x:c>
      <x:c r="C165" t="str">
        <x:v>40000 puffs</x:v>
      </x:c>
      <x:c r="D165" t="str">
        <x:v>exdivo flora vape review</x:v>
      </x:c>
      <x:c r="E165" t="str">
        <x:v>recommended</x:v>
      </x:c>
      <x:c r="F165" t="n">
        <x:v>0</x:v>
      </x:c>
      <x:c r="G165" t="n">
        <x:v>0</x:v>
      </x:c>
      <x:c r="H165" t="str">
        <x:v>48</x:v>
      </x:c>
    </x:row>
    <x:row r="166">
      <x:c r="A166" t="str">
        <x:v>https://exdivo.com/collections/interstellar/products/exdivo-interstellar-35k-disposable-vape_c59c5d3c?data_from=collection_detail&amp;spm=collection_detail.310720.collection_detail-11702364.6.</x:v>
      </x:c>
      <x:c r="B166" t="str">
        <x:v>ExDivo INTERSTELLAR 35K Disposable Vape</x:v>
      </x:c>
      <x:c r="C166" t="str">
        <x:v>35000 puffs</x:v>
      </x:c>
      <x:c r="D166" t="str">
        <x:v>exdivo interstellar 35k disposable vape</x:v>
      </x:c>
      <x:c r="E166" t="str">
        <x:v>recommended</x:v>
      </x:c>
      <x:c r="F166" t="n">
        <x:v>0</x:v>
      </x:c>
      <x:c r="G166" t="n">
        <x:v>0</x:v>
      </x:c>
      <x:c r="H166" t="str">
        <x:v>48</x:v>
      </x:c>
    </x:row>
    <x:row r="167">
      <x:c r="A167" t="str">
        <x:v>https://exdivo.com/collections/interstellar/products/exdivo-interstellar-35k-disposable-vape_c59c5d3c?data_from=collection_detail&amp;spm=collection_detail.310720.collection_detail-11702364.6.</x:v>
      </x:c>
      <x:c r="B167" t="str">
        <x:v>ExDivo INTERSTELLAR 35K Disposable Vape</x:v>
      </x:c>
      <x:c r="C167" t="str">
        <x:v>35000 puffs</x:v>
      </x:c>
      <x:c r="D167" t="str">
        <x:v>exdivo interstellar vape</x:v>
      </x:c>
      <x:c r="E167" t="str">
        <x:v>recommended</x:v>
      </x:c>
      <x:c r="F167" t="n">
        <x:v>0</x:v>
      </x:c>
      <x:c r="G167" t="n">
        <x:v>0</x:v>
      </x:c>
      <x:c r="H167" t="str">
        <x:v>48</x:v>
      </x:c>
    </x:row>
    <x:row r="168">
      <x:c r="A168" t="str">
        <x:v>https://exdivo.com/collections/visionaura-full-screen?data_from=index_index</x:v>
      </x:c>
      <x:c r="B168" t="str">
        <x:v>SPACE - ExDivo</x:v>
      </x:c>
      <x:c r="C168" t="str">
        <x:v>space</x:v>
      </x:c>
      <x:c r="D168" t="str">
        <x:v>exdivo space vape</x:v>
      </x:c>
      <x:c r="E168" t="str">
        <x:v>recommended</x:v>
      </x:c>
      <x:c r="F168" t="n">
        <x:v>0</x:v>
      </x:c>
      <x:c r="G168" t="n">
        <x:v>0</x:v>
      </x:c>
      <x:c r="H168" t="str">
        <x:v>48</x:v>
      </x:c>
    </x:row>
    <x:row r="169">
      <x:c r="A169" t="str">
        <x:v>https://exdivo.com/collections/misty-rain/products/exdivo-kuz-25k-replaceable-pod-vape?data_from=index_index&amp;spm=index_index..block_collection_slides-11702856.1.</x:v>
      </x:c>
      <x:c r="B169" t="str">
        <x:v>ExDivo KUZ 25K Replaceable Pod Vape</x:v>
      </x:c>
      <x:c r="C169" t="str">
        <x:v>25000 puffs</x:v>
      </x:c>
      <x:c r="D169" t="str">
        <x:v>raz vape 25000 puffs</x:v>
      </x:c>
      <x:c r="E169" t="str">
        <x:v>recommended</x:v>
      </x:c>
      <x:c r="F169" t="n">
        <x:v>110</x:v>
      </x:c>
      <x:c r="G169" t="n">
        <x:v>10</x:v>
      </x:c>
      <x:c r="H169" t="str">
        <x:v>informational</x:v>
      </x:c>
    </x:row>
    <x:row r="170">
      <x:c r="A170" t="str">
        <x:v>https://exdivo.com/collections/misty-rain/products/exdivo-kuz-25k-replaceable-pod-vape?data_from=index_index&amp;spm=index_index..block_collection_slides-11702856.1.</x:v>
      </x:c>
      <x:c r="B170" t="str">
        <x:v>ExDivo KUZ 25K Replaceable Pod Vape</x:v>
      </x:c>
      <x:c r="C170" t="str">
        <x:v>25000 puffs</x:v>
      </x:c>
      <x:c r="D170" t="str">
        <x:v>25000 puff pod vape</x:v>
      </x:c>
      <x:c r="E170" t="str">
        <x:v>recommended</x:v>
      </x:c>
      <x:c r="F170" t="n">
        <x:v>0</x:v>
      </x:c>
      <x:c r="G170" t="n">
        <x:v>0</x:v>
      </x:c>
      <x:c r="H170" t="str">
        <x:v>48</x:v>
      </x:c>
    </x:row>
    <x:row r="171">
      <x:c r="A171" t="str">
        <x:v>https://exdivo.com/collections/misty-rain/products/exdivo-kuz-25k-replaceable-pod-vape?data_from=index_index&amp;spm=index_index..block_collection_slides-11702856.1.</x:v>
      </x:c>
      <x:c r="B171" t="str">
        <x:v>ExDivo KUZ 25K Replaceable Pod Vape</x:v>
      </x:c>
      <x:c r="C171" t="str">
        <x:v>25000 puffs</x:v>
      </x:c>
      <x:c r="D171" t="str">
        <x:v>25k puffs vape pod</x:v>
      </x:c>
      <x:c r="E171" t="str">
        <x:v>recommended</x:v>
      </x:c>
      <x:c r="F171" t="n">
        <x:v>0</x:v>
      </x:c>
      <x:c r="G171" t="n">
        <x:v>0</x:v>
      </x:c>
      <x:c r="H171" t="str">
        <x:v>48</x:v>
      </x:c>
    </x:row>
    <x:row r="172">
      <x:c r="A172" t="str">
        <x:v>https://exdivo.com/collections/misty-rain/products/exdivo-kuz-25k-replaceable-pod-vape?data_from=index_index&amp;spm=index_index..block_collection_slides-11702856.1.</x:v>
      </x:c>
      <x:c r="B172" t="str">
        <x:v>ExDivo KUZ 25K Replaceable Pod Vape</x:v>
      </x:c>
      <x:c r="C172" t="str">
        <x:v>25000 puffs</x:v>
      </x:c>
      <x:c r="D172" t="str">
        <x:v>25k vape pod performance</x:v>
      </x:c>
      <x:c r="E172" t="str">
        <x:v>recommended</x:v>
      </x:c>
      <x:c r="F172" t="n">
        <x:v>0</x:v>
      </x:c>
      <x:c r="G172" t="n">
        <x:v>0</x:v>
      </x:c>
      <x:c r="H172" t="str">
        <x:v>48</x:v>
      </x:c>
    </x:row>
    <x:row r="173">
      <x:c r="A173" t="str">
        <x:v>https://exdivo.com/comments/exdivo-kuz-25k-replaceable-pod-vape_bd79f8ad</x:v>
      </x:c>
      <x:c r="B173" t="str">
        <x:v>Reviews - TRIPLE MANGO - ExDivo KUZ 25K Replaceable Pod Vape - ExDivo</x:v>
      </x:c>
      <x:c r="C173" t="str">
        <x:v>48</x:v>
      </x:c>
      <x:c r="D173" t="str">
        <x:v>triple mango vape review</x:v>
      </x:c>
      <x:c r="E173" t="str">
        <x:v>recommended</x:v>
      </x:c>
      <x:c r="F173" t="n">
        <x:v>0</x:v>
      </x:c>
      <x:c r="G173" t="n">
        <x:v>0</x:v>
      </x:c>
      <x:c r="H173" t="str">
        <x:v>48</x:v>
      </x:c>
    </x:row>
    <x:row r="174">
      <x:c r="A174" t="str">
        <x:v>https://exdivo.com/comments/exdivo-kuz-25k-replaceable-pod-vape_bd79f8ad</x:v>
      </x:c>
      <x:c r="B174" t="str">
        <x:v>Reviews - TRIPLE MANGO - ExDivo KUZ 25K Replaceable Pod Vape - ExDivo</x:v>
      </x:c>
      <x:c r="C174" t="str">
        <x:v>48</x:v>
      </x:c>
      <x:c r="D174" t="str">
        <x:v>triple mango vape pod review</x:v>
      </x:c>
      <x:c r="E174" t="str">
        <x:v>recommended</x:v>
      </x:c>
      <x:c r="F174" t="n">
        <x:v>0</x:v>
      </x:c>
      <x:c r="G174" t="n">
        <x:v>0</x:v>
      </x:c>
      <x:c r="H174" t="str">
        <x:v>48</x:v>
      </x:c>
    </x:row>
    <x:row r="175">
      <x:c r="A175" t="str">
        <x:v>https://exdivo.com/comments/exdivo-kuz-25k-replaceable-pod-vape_bd79f8ad</x:v>
      </x:c>
      <x:c r="B175" t="str">
        <x:v>Reviews - TRIPLE MANGO - ExDivo KUZ 25K Replaceable Pod Vape - ExDivo</x:v>
      </x:c>
      <x:c r="C175" t="str">
        <x:v>48</x:v>
      </x:c>
      <x:c r="D175" t="str">
        <x:v>best mango vape flavor</x:v>
      </x:c>
      <x:c r="E175" t="str">
        <x:v>recommended</x:v>
      </x:c>
      <x:c r="F175" t="n">
        <x:v>0</x:v>
      </x:c>
      <x:c r="G175" t="n">
        <x:v>0</x:v>
      </x:c>
      <x:c r="H175" t="str">
        <x:v>48</x:v>
      </x:c>
    </x:row>
    <x:row r="176">
      <x:c r="A176" t="str">
        <x:v>https://exdivo.com/comments/exdivo-kuz-25k-replaceable-pod-vape_bd79f8ad</x:v>
      </x:c>
      <x:c r="B176" t="str">
        <x:v>Reviews - TRIPLE MANGO - ExDivo KUZ 25K Replaceable Pod Vape - ExDivo</x:v>
      </x:c>
      <x:c r="C176" t="str">
        <x:v>48</x:v>
      </x:c>
      <x:c r="D176" t="str">
        <x:v>exdivo kuz 25k triple mango review</x:v>
      </x:c>
      <x:c r="E176" t="str">
        <x:v>recommended</x:v>
      </x:c>
      <x:c r="F176" t="n">
        <x:v>0</x:v>
      </x:c>
      <x:c r="G176" t="n">
        <x:v>0</x:v>
      </x:c>
      <x:c r="H176" t="str">
        <x:v>48</x:v>
      </x:c>
    </x:row>
    <x:row r="177">
      <x:c r="A177" t="str">
        <x:v>https://exdivo.com/comments/exdivo-kuz-25k-replaceable-pod-vape_bd79f8ad</x:v>
      </x:c>
      <x:c r="B177" t="str">
        <x:v>Reviews - TRIPLE MANGO - ExDivo KUZ 25K Replaceable Pod Vape - ExDivo</x:v>
      </x:c>
      <x:c r="C177" t="str">
        <x:v>48</x:v>
      </x:c>
      <x:c r="D177" t="str">
        <x:v>vape mango flavor</x:v>
      </x:c>
      <x:c r="E177" t="str">
        <x:v>recommended</x:v>
      </x:c>
      <x:c r="F177" t="n">
        <x:v>50</x:v>
      </x:c>
      <x:c r="G177" t="n">
        <x:v>2</x:v>
      </x:c>
      <x:c r="H177" t="str">
        <x:v>informational, commercial</x:v>
      </x:c>
    </x:row>
    <x:row r="178">
      <x:c r="A178" t="str">
        <x:v>https://exdivo.com/comments/exdivo-kuz-25k-replaceable-pod-vape_bd79f8ad</x:v>
      </x:c>
      <x:c r="B178" t="str">
        <x:v>Reviews - TRIPLE MANGO - ExDivo KUZ 25K Replaceable Pod Vape - ExDivo</x:v>
      </x:c>
      <x:c r="C178" t="str">
        <x:v>48</x:v>
      </x:c>
      <x:c r="D178" t="str">
        <x:v>mango vape</x:v>
      </x:c>
      <x:c r="E178" t="str">
        <x:v>recommended</x:v>
      </x:c>
      <x:c r="F178" t="n">
        <x:v>1300</x:v>
      </x:c>
      <x:c r="G178" t="n">
        <x:v>10</x:v>
      </x:c>
      <x:c r="H178" t="str">
        <x:v>commercial</x:v>
      </x:c>
    </x:row>
    <x:row r="179">
      <x:c r="A179" t="str">
        <x:v>https://exdivo.com/comments/exdivo-kuz-25k-replaceable-pod-vape_bd79f8ad</x:v>
      </x:c>
      <x:c r="B179" t="str">
        <x:v>Reviews - TRIPLE MANGO - ExDivo KUZ 25K Replaceable Pod Vape - ExDivo</x:v>
      </x:c>
      <x:c r="C179" t="str">
        <x:v>48</x:v>
      </x:c>
      <x:c r="D179" t="str">
        <x:v>mango flavored vape</x:v>
      </x:c>
      <x:c r="E179" t="str">
        <x:v>recommended</x:v>
      </x:c>
      <x:c r="F179" t="n">
        <x:v>90</x:v>
      </x:c>
      <x:c r="G179" t="n">
        <x:v>11</x:v>
      </x:c>
      <x:c r="H179" t="str">
        <x:v>informational, commercial</x:v>
      </x:c>
    </x:row>
    <x:row r="180">
      <x:c r="A180" t="str">
        <x:v>https://exdivo.com/comments/exdivo-kuz-25k-replaceable-pod-vape_222ebc11</x:v>
      </x:c>
      <x:c r="B180" t="str">
        <x:v>Reviews - LEMON LIME - ExDivo KUZ 25K Replaceable Pod Vape - ExDivo</x:v>
      </x:c>
      <x:c r="C180" t="str">
        <x:v>48</x:v>
      </x:c>
      <x:c r="D180" t="str">
        <x:v>lemon lime vape review</x:v>
      </x:c>
      <x:c r="E180" t="str">
        <x:v>recommended</x:v>
      </x:c>
      <x:c r="F180" t="n">
        <x:v>0</x:v>
      </x:c>
      <x:c r="G180" t="n">
        <x:v>0</x:v>
      </x:c>
      <x:c r="H180" t="str">
        <x:v>48</x:v>
      </x:c>
    </x:row>
    <x:row r="181">
      <x:c r="A181" t="str">
        <x:v>https://exdivo.com/comments/exdivo-kuz-25k-replaceable-pod-vape_222ebc11</x:v>
      </x:c>
      <x:c r="B181" t="str">
        <x:v>Reviews - LEMON LIME - ExDivo KUZ 25K Replaceable Pod Vape - ExDivo</x:v>
      </x:c>
      <x:c r="C181" t="str">
        <x:v>48</x:v>
      </x:c>
      <x:c r="D181" t="str">
        <x:v>citrus vape flavor reviews</x:v>
      </x:c>
      <x:c r="E181" t="str">
        <x:v>recommended</x:v>
      </x:c>
      <x:c r="F181" t="n">
        <x:v>0</x:v>
      </x:c>
      <x:c r="G181" t="n">
        <x:v>0</x:v>
      </x:c>
      <x:c r="H181" t="str">
        <x:v>48</x:v>
      </x:c>
    </x:row>
    <x:row r="182">
      <x:c r="A182" t="str">
        <x:v>https://exdivo.com/comments/exdivo-bright-mirror-35k-replaceable-vape-kit_98e835ff</x:v>
      </x:c>
      <x:c r="B182" t="str">
        <x:v>Reviews - MIAMI MINT - ExDivo BRIGHT MIRROR 35K Replaceable VAPE kit - ExDivo</x:v>
      </x:c>
      <x:c r="C182" t="str">
        <x:v>48</x:v>
      </x:c>
      <x:c r="D182" t="str">
        <x:v>exdivo bright mirror miami mint review</x:v>
      </x:c>
      <x:c r="E182" t="str">
        <x:v>recommended</x:v>
      </x:c>
      <x:c r="F182" t="n">
        <x:v>0</x:v>
      </x:c>
      <x:c r="G182" t="n">
        <x:v>0</x:v>
      </x:c>
      <x:c r="H182" t="str">
        <x:v>48</x:v>
      </x:c>
    </x:row>
    <x:row r="183">
      <x:c r="A183" t="str">
        <x:v>https://exdivo.com/blogs/best-disposable-vape-flavors-in-2026-top-10-most-popular-choices?data_from=index_index</x:v>
      </x:c>
      <x:c r="B183" t="str">
        <x:v>Best Disposable Vape Flavors in 2026: Top 10 Most Popular Choices - ExDivo</x:v>
      </x:c>
      <x:c r="C183" t="str">
        <x:v>best disposable vape flavors in 2026: top 10 most popular choices</x:v>
      </x:c>
      <x:c r="D183" t="str">
        <x:v>flavors of vapes</x:v>
      </x:c>
      <x:c r="E183" t="str">
        <x:v>recommended</x:v>
      </x:c>
      <x:c r="F183" t="n">
        <x:v>1000</x:v>
      </x:c>
      <x:c r="G183" t="n">
        <x:v>34</x:v>
      </x:c>
      <x:c r="H183" t="str">
        <x:v>informational</x:v>
      </x:c>
    </x:row>
    <x:row r="184">
      <x:c r="A184" t="str">
        <x:v>https://exdivo.com/blogs/best-disposable-vape-flavors-in-2026-top-10-most-popular-choices?data_from=index_index</x:v>
      </x:c>
      <x:c r="B184" t="str">
        <x:v>Best Disposable Vape Flavors in 2026: Top 10 Most Popular Choices - ExDivo</x:v>
      </x:c>
      <x:c r="C184" t="str">
        <x:v>best disposable vape flavors in 2026: top 10 most popular choices</x:v>
      </x:c>
      <x:c r="D184" t="str">
        <x:v>best tobacco flavor disposable vape</x:v>
      </x:c>
      <x:c r="E184" t="str">
        <x:v>recommended</x:v>
      </x:c>
      <x:c r="F184" t="n">
        <x:v>320</x:v>
      </x:c>
      <x:c r="G184" t="n">
        <x:v>4</x:v>
      </x:c>
      <x:c r="H184" t="str">
        <x:v>commercial</x:v>
      </x:c>
    </x:row>
    <x:row r="185">
      <x:c r="A185" t="str">
        <x:v>https://exdivo.com/blogs/best-disposable-vape-flavors-in-2026-top-10-most-popular-choices?data_from=index_index</x:v>
      </x:c>
      <x:c r="B185" t="str">
        <x:v>Best Disposable Vape Flavors in 2026: Top 10 Most Popular Choices - ExDivo</x:v>
      </x:c>
      <x:c r="C185" t="str">
        <x:v>best disposable vape flavors in 2026: top 10 most popular choices</x:v>
      </x:c>
      <x:c r="D185" t="str">
        <x:v>flavours for vape</x:v>
      </x:c>
      <x:c r="E185" t="str">
        <x:v>recommended</x:v>
      </x:c>
      <x:c r="F185" t="n">
        <x:v>480</x:v>
      </x:c>
      <x:c r="G185" t="n">
        <x:v>24</x:v>
      </x:c>
      <x:c r="H185" t="str">
        <x:v>informational</x:v>
      </x:c>
    </x:row>
    <x:row r="186">
      <x:c r="A186" t="str">
        <x:v>https://exdivo.com/blogs/best-disposable-vape-flavors-in-2026-top-10-most-popular-choices?data_from=index_index</x:v>
      </x:c>
      <x:c r="B186" t="str">
        <x:v>Best Disposable Vape Flavors in 2026: Top 10 Most Popular Choices - ExDivo</x:v>
      </x:c>
      <x:c r="C186" t="str">
        <x:v>best disposable vape flavors in 2026: top 10 most popular choices</x:v>
      </x:c>
      <x:c r="D186" t="str">
        <x:v>vape flavor</x:v>
      </x:c>
      <x:c r="E186" t="str">
        <x:v>recommended</x:v>
      </x:c>
      <x:c r="F186" t="n">
        <x:v>1000</x:v>
      </x:c>
      <x:c r="G186" t="n">
        <x:v>50</x:v>
      </x:c>
      <x:c r="H186" t="str">
        <x:v>informational</x:v>
      </x:c>
    </x:row>
    <x:row r="187">
      <x:c r="A187" t="str">
        <x:v>https://exdivo.com/blogs/best-disposable-vape-flavors-in-2026-top-10-most-popular-choices?data_from=index_index</x:v>
      </x:c>
      <x:c r="B187" t="str">
        <x:v>Best Disposable Vape Flavors in 2026: Top 10 Most Popular Choices - ExDivo</x:v>
      </x:c>
      <x:c r="C187" t="str">
        <x:v>best disposable vape flavors in 2026: top 10 most popular choices</x:v>
      </x:c>
      <x:c r="D187" t="str">
        <x:v>disposable vapes flavours</x:v>
      </x:c>
      <x:c r="E187" t="str">
        <x:v>recommended</x:v>
      </x:c>
      <x:c r="F187" t="n">
        <x:v>480</x:v>
      </x:c>
      <x:c r="G187" t="n">
        <x:v>28</x:v>
      </x:c>
      <x:c r="H187" t="str">
        <x:v>informational</x:v>
      </x:c>
    </x:row>
    <x:row r="188">
      <x:c r="A188" t="str">
        <x:v>https://exdivo.com/blogs/best-disposable-vape-flavors-in-2026-top-10-most-popular-choices?data_from=index_index</x:v>
      </x:c>
      <x:c r="B188" t="str">
        <x:v>Best Disposable Vape Flavors in 2026: Top 10 Most Popular Choices - ExDivo</x:v>
      </x:c>
      <x:c r="C188" t="str">
        <x:v>best disposable vape flavors in 2026: top 10 most popular choices</x:v>
      </x:c>
      <x:c r="D188" t="str">
        <x:v>disposable vape tobacco flavor</x:v>
      </x:c>
      <x:c r="E188" t="str">
        <x:v>recommended</x:v>
      </x:c>
      <x:c r="F188" t="n">
        <x:v>140</x:v>
      </x:c>
      <x:c r="G188" t="n">
        <x:v>1</x:v>
      </x:c>
      <x:c r="H188" t="str">
        <x:v>commercial</x:v>
      </x:c>
    </x:row>
    <x:row r="189">
      <x:c r="A189" t="str">
        <x:v>https://exdivo.com/blogs/best-disposable-vape-flavors-in-2026-top-10-most-popular-choices?data_from=index_index</x:v>
      </x:c>
      <x:c r="B189" t="str">
        <x:v>Best Disposable Vape Flavors in 2026: Top 10 Most Popular Choices - ExDivo</x:v>
      </x:c>
      <x:c r="C189" t="str">
        <x:v>best disposable vape flavors in 2026: top 10 most popular choices</x:v>
      </x:c>
      <x:c r="D189" t="str">
        <x:v>best vape flavours disposable</x:v>
      </x:c>
      <x:c r="E189" t="str">
        <x:v>recommended</x:v>
      </x:c>
      <x:c r="F189" t="n">
        <x:v>320</x:v>
      </x:c>
      <x:c r="G189" t="n">
        <x:v>29</x:v>
      </x:c>
      <x:c r="H189" t="str">
        <x:v>commercial</x:v>
      </x:c>
    </x:row>
    <x:row r="190">
      <x:c r="A190" t="str">
        <x:v>https://exdivo.com/blogs/best-disposable-vape-flavors-in-2026-top-10-most-popular-choices?data_from=index_index</x:v>
      </x:c>
      <x:c r="B190" t="str">
        <x:v>Best Disposable Vape Flavors in 2026: Top 10 Most Popular Choices - ExDivo</x:v>
      </x:c>
      <x:c r="C190" t="str">
        <x:v>best disposable vape flavors in 2026: top 10 most popular choices</x:v>
      </x:c>
      <x:c r="D190" t="str">
        <x:v>disposable vape flavours</x:v>
      </x:c>
      <x:c r="E190" t="str">
        <x:v>recommended</x:v>
      </x:c>
      <x:c r="F190" t="n">
        <x:v>110</x:v>
      </x:c>
      <x:c r="G190" t="n">
        <x:v>28</x:v>
      </x:c>
      <x:c r="H190" t="str">
        <x:v>informational</x:v>
      </x:c>
    </x:row>
    <x:row r="191">
      <x:c r="A191" t="str">
        <x:v>https://exdivo.com/blogs/best-disposable-vape-flavors-in-2026-top-10-most-popular-choices?data_from=index_index</x:v>
      </x:c>
      <x:c r="B191" t="str">
        <x:v>Best Disposable Vape Flavors in 2026: Top 10 Most Popular Choices - ExDivo</x:v>
      </x:c>
      <x:c r="C191" t="str">
        <x:v>best disposable vape flavors in 2026: top 10 most popular choices</x:v>
      </x:c>
      <x:c r="D191" t="str">
        <x:v>vape liquid flavors</x:v>
      </x:c>
      <x:c r="E191" t="str">
        <x:v>recommended</x:v>
      </x:c>
      <x:c r="F191" t="n">
        <x:v>110</x:v>
      </x:c>
      <x:c r="G191" t="n">
        <x:v>40</x:v>
      </x:c>
      <x:c r="H191" t="str">
        <x:v>commercial</x:v>
      </x:c>
    </x:row>
    <x:row r="192">
      <x:c r="A192" t="str">
        <x:v>https://exdivo.com/blogs/best-disposable-vape-flavors-in-2026-top-10-most-popular-choices?data_from=index_index</x:v>
      </x:c>
      <x:c r="B192" t="str">
        <x:v>Best Disposable Vape Flavors in 2026: Top 10 Most Popular Choices - ExDivo</x:v>
      </x:c>
      <x:c r="C192" t="str">
        <x:v>best disposable vape flavors in 2026: top 10 most popular choices</x:v>
      </x:c>
      <x:c r="D192" t="str">
        <x:v>geekvape disposable flavors</x:v>
      </x:c>
      <x:c r="E192" t="str">
        <x:v>recommended</x:v>
      </x:c>
      <x:c r="F192" t="n">
        <x:v>70</x:v>
      </x:c>
      <x:c r="G192" t="n">
        <x:v>25</x:v>
      </x:c>
      <x:c r="H192" t="str">
        <x:v>commercial</x:v>
      </x:c>
    </x:row>
    <x:row r="193">
      <x:c r="A193" t="str">
        <x:v>https://exdivo.com/blogs/best-disposable-vape-flavors-in-2026-top-10-most-popular-choices?data_from=index_index</x:v>
      </x:c>
      <x:c r="B193" t="str">
        <x:v>Best Disposable Vape Flavors in 2026: Top 10 Most Popular Choices - ExDivo</x:v>
      </x:c>
      <x:c r="C193" t="str">
        <x:v>best disposable vape flavors in 2026: top 10 most popular choices</x:v>
      </x:c>
      <x:c r="D193" t="str">
        <x:v>vape flavored</x:v>
      </x:c>
      <x:c r="E193" t="str">
        <x:v>recommended</x:v>
      </x:c>
      <x:c r="F193" t="n">
        <x:v>40</x:v>
      </x:c>
      <x:c r="G193" t="n">
        <x:v>24</x:v>
      </x:c>
      <x:c r="H193" t="str">
        <x:v>commercial</x:v>
      </x:c>
    </x:row>
    <x:row r="194">
      <x:c r="A194" t="str">
        <x:v>https://exdivo.com/blogs/best-disposable-vape-flavors-in-2026-top-10-most-popular-choices?data_from=index_index</x:v>
      </x:c>
      <x:c r="B194" t="str">
        <x:v>Best Disposable Vape Flavors in 2026: Top 10 Most Popular Choices - ExDivo</x:v>
      </x:c>
      <x:c r="C194" t="str">
        <x:v>best disposable vape flavors in 2026: top 10 most popular choices</x:v>
      </x:c>
      <x:c r="D194" t="str">
        <x:v>vape brands and flavors</x:v>
      </x:c>
      <x:c r="E194" t="str">
        <x:v>recommended</x:v>
      </x:c>
      <x:c r="F194" t="n">
        <x:v>50</x:v>
      </x:c>
      <x:c r="G194" t="n">
        <x:v>29</x:v>
      </x:c>
      <x:c r="H194" t="str">
        <x:v>commercial</x:v>
      </x:c>
    </x:row>
    <x:row r="195">
      <x:c r="A195" t="str">
        <x:v>https://exdivo.com/blogs/best-disposable-vape-flavors-in-2026-top-10-most-popular-choices?data_from=index_index</x:v>
      </x:c>
      <x:c r="B195" t="str">
        <x:v>Best Disposable Vape Flavors in 2026: Top 10 Most Popular Choices - ExDivo</x:v>
      </x:c>
      <x:c r="C195" t="str">
        <x:v>best disposable vape flavors in 2026: top 10 most popular choices</x:v>
      </x:c>
      <x:c r="D195" t="str">
        <x:v>different flavors of vapes</x:v>
      </x:c>
      <x:c r="E195" t="str">
        <x:v>recommended</x:v>
      </x:c>
      <x:c r="F195" t="n">
        <x:v>50</x:v>
      </x:c>
      <x:c r="G195" t="n">
        <x:v>26</x:v>
      </x:c>
      <x:c r="H195" t="str">
        <x:v>informational</x:v>
      </x:c>
    </x:row>
    <x:row r="196">
      <x:c r="A196" t="str">
        <x:v>https://exdivo.com/blogs/best-disposable-vape-flavors-in-2026-top-10-most-popular-choices?data_from=index_index</x:v>
      </x:c>
      <x:c r="B196" t="str">
        <x:v>Best Disposable Vape Flavors in 2026: Top 10 Most Popular Choices - ExDivo</x:v>
      </x:c>
      <x:c r="C196" t="str">
        <x:v>best disposable vape flavors in 2026: top 10 most popular choices</x:v>
      </x:c>
      <x:c r="D196" t="str">
        <x:v>disposable vapes flavors</x:v>
      </x:c>
      <x:c r="E196" t="str">
        <x:v>recommended</x:v>
      </x:c>
      <x:c r="F196" t="n">
        <x:v>50</x:v>
      </x:c>
      <x:c r="G196" t="n">
        <x:v>34</x:v>
      </x:c>
      <x:c r="H196" t="str">
        <x:v>informational</x:v>
      </x:c>
    </x:row>
    <x:row r="197">
      <x:c r="A197" t="str">
        <x:v>https://exdivo.com/blogs/best-disposable-vape-flavors-in-2026-top-10-most-popular-choices?data_from=index_index</x:v>
      </x:c>
      <x:c r="B197" t="str">
        <x:v>Best Disposable Vape Flavors in 2026: Top 10 Most Popular Choices - ExDivo</x:v>
      </x:c>
      <x:c r="C197" t="str">
        <x:v>best disposable vape flavors in 2026: top 10 most popular choices</x:v>
      </x:c>
      <x:c r="D197" t="str">
        <x:v>vape flavors disposable</x:v>
      </x:c>
      <x:c r="E197" t="str">
        <x:v>recommended</x:v>
      </x:c>
      <x:c r="F197" t="n">
        <x:v>50</x:v>
      </x:c>
      <x:c r="G197" t="n">
        <x:v>36</x:v>
      </x:c>
      <x:c r="H197" t="str">
        <x:v>informational</x:v>
      </x:c>
    </x:row>
    <x:row r="198">
      <x:c r="A198" t="str">
        <x:v>https://exdivo.com/blogs/best-disposable-vape-flavors-in-2026-top-10-most-popular-choices?data_from=index_index</x:v>
      </x:c>
      <x:c r="B198" t="str">
        <x:v>Best Disposable Vape Flavors in 2026: Top 10 Most Popular Choices - ExDivo</x:v>
      </x:c>
      <x:c r="C198" t="str">
        <x:v>best disposable vape flavors in 2026: top 10 most popular choices</x:v>
      </x:c>
      <x:c r="D198" t="str">
        <x:v>nicotine vape flavors</x:v>
      </x:c>
      <x:c r="E198" t="str">
        <x:v>recommended</x:v>
      </x:c>
      <x:c r="F198" t="n">
        <x:v>70</x:v>
      </x:c>
      <x:c r="G198" t="n">
        <x:v>42</x:v>
      </x:c>
      <x:c r="H198" t="str">
        <x:v>informational, transactional</x:v>
      </x:c>
    </x:row>
    <x:row r="199">
      <x:c r="A199" t="str">
        <x:v>https://exdivo.com/blogs/best-disposable-vape-flavors-in-2026-top-10-most-popular-choices?data_from=index_index</x:v>
      </x:c>
      <x:c r="B199" t="str">
        <x:v>Best Disposable Vape Flavors in 2026: Top 10 Most Popular Choices - ExDivo</x:v>
      </x:c>
      <x:c r="C199" t="str">
        <x:v>best disposable vape flavors in 2026: top 10 most popular choices</x:v>
      </x:c>
      <x:c r="D199" t="str">
        <x:v>tobacco vape flavors</x:v>
      </x:c>
      <x:c r="E199" t="str">
        <x:v>recommended</x:v>
      </x:c>
      <x:c r="F199" t="n">
        <x:v>40</x:v>
      </x:c>
      <x:c r="G199" t="n">
        <x:v>4</x:v>
      </x:c>
      <x:c r="H199" t="str">
        <x:v>informational</x:v>
      </x:c>
    </x:row>
    <x:row r="200">
      <x:c r="A200" t="str">
        <x:v>https://exdivo.com/blogs/best-disposable-vape-flavors-in-2026-top-10-most-popular-choices?data_from=index_index</x:v>
      </x:c>
      <x:c r="B200" t="str">
        <x:v>Best Disposable Vape Flavors in 2026: Top 10 Most Popular Choices - ExDivo</x:v>
      </x:c>
      <x:c r="C200" t="str">
        <x:v>best disposable vape flavors in 2026: top 10 most popular choices</x:v>
      </x:c>
      <x:c r="D200" t="str">
        <x:v>different vape flavors</x:v>
      </x:c>
      <x:c r="E200" t="str">
        <x:v>recommended</x:v>
      </x:c>
      <x:c r="F200" t="n">
        <x:v>140</x:v>
      </x:c>
      <x:c r="G200" t="n">
        <x:v>29</x:v>
      </x:c>
      <x:c r="H200" t="str">
        <x:v>informational</x:v>
      </x:c>
    </x:row>
    <x:row r="201">
      <x:c r="A201" t="str">
        <x:v>https://exdivo.com/blogs/best-disposable-vape-flavors-in-2026-top-10-most-popular-choices?data_from=index_index</x:v>
      </x:c>
      <x:c r="B201" t="str">
        <x:v>Best Disposable Vape Flavors in 2026: Top 10 Most Popular Choices - ExDivo</x:v>
      </x:c>
      <x:c r="C201" t="str">
        <x:v>best disposable vape flavors in 2026: top 10 most popular choices</x:v>
      </x:c>
      <x:c r="D201" t="str">
        <x:v>flavors vape</x:v>
      </x:c>
      <x:c r="E201" t="str">
        <x:v>recommended</x:v>
      </x:c>
      <x:c r="F201" t="n">
        <x:v>70</x:v>
      </x:c>
      <x:c r="G201" t="n">
        <x:v>54</x:v>
      </x:c>
      <x:c r="H201" t="str">
        <x:v>informational</x:v>
      </x:c>
    </x:row>
    <x:row r="202">
      <x:c r="A202" t="str">
        <x:v>https://exdivo.com/blogs/best-disposable-vape-flavors-in-2026-top-10-most-popular-choices?data_from=index_index</x:v>
      </x:c>
      <x:c r="B202" t="str">
        <x:v>Best Disposable Vape Flavors in 2026: Top 10 Most Popular Choices - ExDivo</x:v>
      </x:c>
      <x:c r="C202" t="str">
        <x:v>best disposable vape flavors in 2026: top 10 most popular choices</x:v>
      </x:c>
      <x:c r="D202" t="str">
        <x:v>vape juice flavours</x:v>
      </x:c>
      <x:c r="E202" t="str">
        <x:v>recommended</x:v>
      </x:c>
      <x:c r="F202" t="n">
        <x:v>50</x:v>
      </x:c>
      <x:c r="G202" t="n">
        <x:v>22</x:v>
      </x:c>
      <x:c r="H202" t="str">
        <x:v>commercial</x:v>
      </x:c>
    </x:row>
    <x:row r="203">
      <x:c r="A203" t="str">
        <x:v>https://exdivo.com/blogs/best-disposable-vape-flavors-in-2026-top-10-most-popular-choices?data_from=index_index</x:v>
      </x:c>
      <x:c r="B203" t="str">
        <x:v>Best Disposable Vape Flavors in 2026: Top 10 Most Popular Choices - ExDivo</x:v>
      </x:c>
      <x:c r="C203" t="str">
        <x:v>best disposable vape flavors in 2026: top 10 most popular choices</x:v>
      </x:c>
      <x:c r="D203" t="str">
        <x:v>flavoured vape</x:v>
      </x:c>
      <x:c r="E203" t="str">
        <x:v>recommended</x:v>
      </x:c>
      <x:c r="F203" t="n">
        <x:v>40</x:v>
      </x:c>
      <x:c r="G203" t="n">
        <x:v>50</x:v>
      </x:c>
      <x:c r="H203" t="str">
        <x:v>informational, commercial</x:v>
      </x:c>
    </x:row>
    <x:row r="204">
      <x:c r="A204" t="str">
        <x:v>https://exdivo.com/blogs/best-disposable-vape-flavors-in-2026-top-10-most-popular-choices?data_from=index_index</x:v>
      </x:c>
      <x:c r="B204" t="str">
        <x:v>Best Disposable Vape Flavors in 2026: Top 10 Most Popular Choices - ExDivo</x:v>
      </x:c>
      <x:c r="C204" t="str">
        <x:v>best disposable vape flavors in 2026: top 10 most popular choices</x:v>
      </x:c>
      <x:c r="D204" t="str">
        <x:v>top disposable vape flavors</x:v>
      </x:c>
      <x:c r="E204" t="str">
        <x:v>recommended</x:v>
      </x:c>
      <x:c r="F204" t="n">
        <x:v>0</x:v>
      </x:c>
      <x:c r="G204" t="n">
        <x:v>0</x:v>
      </x:c>
      <x:c r="H204" t="str">
        <x:v>48</x:v>
      </x:c>
    </x:row>
    <x:row r="205">
      <x:c r="A205" t="str">
        <x:v>https://exdivo.com/blogs/best-disposable-vape-flavors-in-2026-top-10-most-popular-choices?data_from=index_index</x:v>
      </x:c>
      <x:c r="B205" t="str">
        <x:v>Best Disposable Vape Flavors in 2026: Top 10 Most Popular Choices - ExDivo</x:v>
      </x:c>
      <x:c r="C205" t="str">
        <x:v>best disposable vape flavors in 2026: top 10 most popular choices</x:v>
      </x:c>
      <x:c r="D205" t="str">
        <x:v>popular disposable vape flavors</x:v>
      </x:c>
      <x:c r="E205" t="str">
        <x:v>recommended</x:v>
      </x:c>
      <x:c r="F205" t="n">
        <x:v>0</x:v>
      </x:c>
      <x:c r="G205" t="n">
        <x:v>0</x:v>
      </x:c>
      <x:c r="H205" t="str">
        <x:v>48</x:v>
      </x:c>
    </x:row>
    <x:row r="206">
      <x:c r="A206" t="str">
        <x:v>https://exdivo.com/blogs/best-disposable-vape-flavors-in-2026-top-10-most-popular-choices?data_from=index_index</x:v>
      </x:c>
      <x:c r="B206" t="str">
        <x:v>Best Disposable Vape Flavors in 2026: Top 10 Most Popular Choices - ExDivo</x:v>
      </x:c>
      <x:c r="C206" t="str">
        <x:v>best disposable vape flavors in 2026: top 10 most popular choices</x:v>
      </x:c>
      <x:c r="D206" t="str">
        <x:v>best disposable vape flavors 2026</x:v>
      </x:c>
      <x:c r="E206" t="str">
        <x:v>recommended</x:v>
      </x:c>
      <x:c r="F206" t="n">
        <x:v>0</x:v>
      </x:c>
      <x:c r="G206" t="n">
        <x:v>0</x:v>
      </x:c>
      <x:c r="H206" t="str">
        <x:v>48</x:v>
      </x:c>
    </x:row>
    <x:row r="207">
      <x:c r="A207" t="str">
        <x:v>https://exdivo.com/blogs/best-disposable-vape-flavors-in-2026-top-10-most-popular-choices?data_from=index_index</x:v>
      </x:c>
      <x:c r="B207" t="str">
        <x:v>Best Disposable Vape Flavors in 2026: Top 10 Most Popular Choices - ExDivo</x:v>
      </x:c>
      <x:c r="C207" t="str">
        <x:v>best disposable vape flavors in 2026: top 10 most popular choices</x:v>
      </x:c>
      <x:c r="D207" t="str">
        <x:v>disposable vape flavor trends</x:v>
      </x:c>
      <x:c r="E207" t="str">
        <x:v>recommended</x:v>
      </x:c>
      <x:c r="F207" t="n">
        <x:v>0</x:v>
      </x:c>
      <x:c r="G207" t="n">
        <x:v>0</x:v>
      </x:c>
      <x:c r="H207" t="str">
        <x:v>48</x:v>
      </x:c>
    </x:row>
    <x:row r="208">
      <x:c r="A208" t="str">
        <x:v>https://exdivo.com/blogs/best-disposable-vape-flavors-in-2026-top-10-most-popular-choices?data_from=index_index</x:v>
      </x:c>
      <x:c r="B208" t="str">
        <x:v>Best Disposable Vape Flavors in 2026: Top 10 Most Popular Choices - ExDivo</x:v>
      </x:c>
      <x:c r="C208" t="str">
        <x:v>best disposable vape flavors in 2026: top 10 most popular choices</x:v>
      </x:c>
      <x:c r="D208" t="str">
        <x:v>best disposable vape flavors</x:v>
      </x:c>
      <x:c r="E208" t="str">
        <x:v>recommended</x:v>
      </x:c>
      <x:c r="F208" t="n">
        <x:v>0</x:v>
      </x:c>
      <x:c r="G208" t="n">
        <x:v>0</x:v>
      </x:c>
      <x:c r="H208" t="str">
        <x:v>48</x:v>
      </x:c>
    </x:row>
    <x:row r="209">
      <x:c r="A209" t="str">
        <x:v>https://exdivo.com/blogs/best-disposable-vape-flavors-in-2026-top-10-most-popular-choices?data_from=index_index</x:v>
      </x:c>
      <x:c r="B209" t="str">
        <x:v>Best Disposable Vape Flavors in 2026: Top 10 Most Popular Choices - ExDivo</x:v>
      </x:c>
      <x:c r="C209" t="str">
        <x:v>best disposable vape flavors in 2026: top 10 most popular choices</x:v>
      </x:c>
      <x:c r="D209" t="str">
        <x:v>vape flavor guide</x:v>
      </x:c>
      <x:c r="E209" t="str">
        <x:v>recommended</x:v>
      </x:c>
      <x:c r="F209" t="n">
        <x:v>0</x:v>
      </x:c>
      <x:c r="G209" t="n">
        <x:v>0</x:v>
      </x:c>
      <x:c r="H209" t="str">
        <x:v>48</x:v>
      </x:c>
    </x:row>
    <x:row r="210">
      <x:c r="A210" t="str">
        <x:v>https://exdivo.com/blogs/best-disposable-vape-flavors-in-2026-top-10-most-popular-choices?data_from=index_index</x:v>
      </x:c>
      <x:c r="B210" t="str">
        <x:v>Best Disposable Vape Flavors in 2026: Top 10 Most Popular Choices - ExDivo</x:v>
      </x:c>
      <x:c r="C210" t="str">
        <x:v>best disposable vape flavors in 2026: top 10 most popular choices</x:v>
      </x:c>
      <x:c r="D210" t="str">
        <x:v>unique vape flavors</x:v>
      </x:c>
      <x:c r="E210" t="str">
        <x:v>recommended</x:v>
      </x:c>
      <x:c r="F210" t="n">
        <x:v>0</x:v>
      </x:c>
      <x:c r="G210" t="n">
        <x:v>0</x:v>
      </x:c>
      <x:c r="H210" t="str">
        <x:v>48</x:v>
      </x:c>
    </x:row>
    <x:row r="211">
      <x:c r="A211" t="str">
        <x:v>https://exdivo.com/blogs/best-disposable-vape-flavors-in-2026-top-10-most-popular-choices?data_from=index_index</x:v>
      </x:c>
      <x:c r="B211" t="str">
        <x:v>Best Disposable Vape Flavors in 2026: Top 10 Most Popular Choices - ExDivo</x:v>
      </x:c>
      <x:c r="C211" t="str">
        <x:v>best disposable vape flavors in 2026: top 10 most popular choices</x:v>
      </x:c>
      <x:c r="D211" t="str">
        <x:v>sweet vape flavors disposable</x:v>
      </x:c>
      <x:c r="E211" t="str">
        <x:v>recommended</x:v>
      </x:c>
      <x:c r="F211" t="n">
        <x:v>40</x:v>
      </x:c>
      <x:c r="G211" t="n">
        <x:v>1</x:v>
      </x:c>
      <x:c r="H211" t="str">
        <x:v>informational</x:v>
      </x:c>
    </x:row>
    <x:row r="212">
      <x:c r="A212" t="str">
        <x:v>https://exdivo.com/blogs/best-disposable-vape-flavors-in-2026-top-10-most-popular-choices?data_from=index_index</x:v>
      </x:c>
      <x:c r="B212" t="str">
        <x:v>Best Disposable Vape Flavors in 2026: Top 10 Most Popular Choices - ExDivo</x:v>
      </x:c>
      <x:c r="C212" t="str">
        <x:v>best disposable vape flavors in 2026: top 10 most popular choices</x:v>
      </x:c>
      <x:c r="D212" t="str">
        <x:v>best disposable vape 2024</x:v>
      </x:c>
      <x:c r="E212" t="str">
        <x:v>recommended</x:v>
      </x:c>
      <x:c r="F212" t="n">
        <x:v>1600</x:v>
      </x:c>
      <x:c r="G212" t="n">
        <x:v>29</x:v>
      </x:c>
      <x:c r="H212" t="str">
        <x:v>commercial</x:v>
      </x:c>
    </x:row>
    <x:row r="213">
      <x:c r="A213" t="str">
        <x:v>https://exdivo.com/collections/misty-rain?data_from=index_index</x:v>
      </x:c>
      <x:c r="B213" t="str">
        <x:v>KUZ - ExDivo</x:v>
      </x:c>
      <x:c r="C213" t="str">
        <x:v>kuz</x:v>
      </x:c>
      <x:c r="D213" t="str">
        <x:v>kuz vape series</x:v>
      </x:c>
      <x:c r="E213" t="str">
        <x:v>recommended</x:v>
      </x:c>
      <x:c r="F213" t="n">
        <x:v>0</x:v>
      </x:c>
      <x:c r="G213" t="n">
        <x:v>0</x:v>
      </x:c>
      <x:c r="H213" t="str">
        <x:v>48</x:v>
      </x:c>
    </x:row>
    <x:row r="214">
      <x:c r="A214" t="str">
        <x:v>https://exdivo.com/collections/misty-rain?data_from=index_index</x:v>
      </x:c>
      <x:c r="B214" t="str">
        <x:v>KUZ - ExDivo</x:v>
      </x:c>
      <x:c r="C214" t="str">
        <x:v>kuz</x:v>
      </x:c>
      <x:c r="D214" t="str">
        <x:v>exdivo pod vapes</x:v>
      </x:c>
      <x:c r="E214" t="str">
        <x:v>recommended</x:v>
      </x:c>
      <x:c r="F214" t="n">
        <x:v>0</x:v>
      </x:c>
      <x:c r="G214" t="n">
        <x:v>0</x:v>
      </x:c>
      <x:c r="H214" t="str">
        <x:v>48</x:v>
      </x:c>
    </x:row>
    <x:row r="215">
      <x:c r="A215" t="str">
        <x:v>https://exdivo.com/collections/</x:v>
      </x:c>
      <x:c r="B215" t="str">
        <x:v>Collections - ExDivo</x:v>
      </x:c>
      <x:c r="C215" t="str">
        <x:v>48</x:v>
      </x:c>
      <x:c r="D215" t="str">
        <x:v>vape collection</x:v>
      </x:c>
      <x:c r="E215" t="str">
        <x:v>recommended</x:v>
      </x:c>
      <x:c r="F215" t="n">
        <x:v>50</x:v>
      </x:c>
      <x:c r="G215" t="n">
        <x:v>52</x:v>
      </x:c>
      <x:c r="H215" t="str">
        <x:v>informational</x:v>
      </x:c>
    </x:row>
    <x:row r="216">
      <x:c r="A216" t="str">
        <x:v>https://exdivo.com/collections/</x:v>
      </x:c>
      <x:c r="B216" t="str">
        <x:v>Collections - ExDivo</x:v>
      </x:c>
      <x:c r="C216" t="str">
        <x:v>48</x:v>
      </x:c>
      <x:c r="D216" t="str">
        <x:v>exdivo vape collections</x:v>
      </x:c>
      <x:c r="E216" t="str">
        <x:v>recommended</x:v>
      </x:c>
      <x:c r="F216" t="n">
        <x:v>0</x:v>
      </x:c>
      <x:c r="G216" t="n">
        <x:v>0</x:v>
      </x:c>
      <x:c r="H216" t="str">
        <x:v>48</x:v>
      </x:c>
    </x:row>
    <x:row r="217">
      <x:c r="A217" t="str">
        <x:v>https://exdivo.com/collections/</x:v>
      </x:c>
      <x:c r="B217" t="str">
        <x:v>Collections - ExDivo</x:v>
      </x:c>
      <x:c r="C217" t="str">
        <x:v>48</x:v>
      </x:c>
      <x:c r="D217" t="str">
        <x:v>exdivo vape range</x:v>
      </x:c>
      <x:c r="E217" t="str">
        <x:v>recommended</x:v>
      </x:c>
      <x:c r="F217" t="n">
        <x:v>0</x:v>
      </x:c>
      <x:c r="G217" t="n">
        <x:v>0</x:v>
      </x:c>
      <x:c r="H217" t="str">
        <x:v>48</x:v>
      </x:c>
    </x:row>
    <x:row r="218">
      <x:c r="A218" t="str">
        <x:v>https://exdivo.com/collections/</x:v>
      </x:c>
      <x:c r="B218" t="str">
        <x:v>Collections - ExDivo</x:v>
      </x:c>
      <x:c r="C218" t="str">
        <x:v>48</x:v>
      </x:c>
      <x:c r="D218" t="str">
        <x:v>disposable vape collections</x:v>
      </x:c>
      <x:c r="E218" t="str">
        <x:v>recommended</x:v>
      </x:c>
      <x:c r="F218" t="n">
        <x:v>0</x:v>
      </x:c>
      <x:c r="G218" t="n">
        <x:v>0</x:v>
      </x:c>
      <x:c r="H218" t="str">
        <x:v>48</x:v>
      </x:c>
    </x:row>
    <x:row r="219">
      <x:c r="A219" t="str">
        <x:v>https://exdivo.com/collections/</x:v>
      </x:c>
      <x:c r="B219" t="str">
        <x:v>Collections - ExDivo</x:v>
      </x:c>
      <x:c r="C219" t="str">
        <x:v>48</x:v>
      </x:c>
      <x:c r="D219" t="str">
        <x:v>exdivo vape catalog</x:v>
      </x:c>
      <x:c r="E219" t="str">
        <x:v>recommended</x:v>
      </x:c>
      <x:c r="F219" t="n">
        <x:v>0</x:v>
      </x:c>
      <x:c r="G219" t="n">
        <x:v>0</x:v>
      </x:c>
      <x:c r="H219" t="str">
        <x:v>48</x:v>
      </x:c>
    </x:row>
    <x:row r="220">
      <x:c r="A220" t="str">
        <x:v>https://exdivo.com/collections/</x:v>
      </x:c>
      <x:c r="B220" t="str">
        <x:v>Collections - ExDivo</x:v>
      </x:c>
      <x:c r="C220" t="str">
        <x:v>48</x:v>
      </x:c>
      <x:c r="D220" t="str">
        <x:v>vape product catalog</x:v>
      </x:c>
      <x:c r="E220" t="str">
        <x:v>recommended</x:v>
      </x:c>
      <x:c r="F220" t="n">
        <x:v>0</x:v>
      </x:c>
      <x:c r="G220" t="n">
        <x:v>0</x:v>
      </x:c>
      <x:c r="H220" t="str">
        <x:v>48</x:v>
      </x:c>
    </x:row>
    <x:row r="221">
      <x:c r="A221" t="str">
        <x:v>https://exdivo.com/collections/</x:v>
      </x:c>
      <x:c r="B221" t="str">
        <x:v>Collections - ExDivo</x:v>
      </x:c>
      <x:c r="C221" t="str">
        <x:v>48</x:v>
      </x:c>
      <x:c r="D221" t="str">
        <x:v>disposable vape collection</x:v>
      </x:c>
      <x:c r="E221" t="str">
        <x:v>recommended</x:v>
      </x:c>
      <x:c r="F221" t="n">
        <x:v>140</x:v>
      </x:c>
      <x:c r="G221" t="n">
        <x:v>20</x:v>
      </x:c>
      <x:c r="H221" t="str">
        <x:v>informational</x:v>
      </x:c>
    </x:row>
    <x:row r="222">
      <x:c r="A222" t="str">
        <x:v>https://exdivo.com/collections/meifu</x:v>
      </x:c>
      <x:c r="B222" t="str">
        <x:v>FLORA - ExDivo</x:v>
      </x:c>
      <x:c r="C222" t="str">
        <x:v>flora</x:v>
      </x:c>
      <x:c r="D222" t="str">
        <x:v>flora vape series</x:v>
      </x:c>
      <x:c r="E222" t="str">
        <x:v>recommended</x:v>
      </x:c>
      <x:c r="F222" t="n">
        <x:v>0</x:v>
      </x:c>
      <x:c r="G222" t="n">
        <x:v>0</x:v>
      </x:c>
      <x:c r="H222" t="str">
        <x:v>48</x:v>
      </x:c>
    </x:row>
    <x:row r="223">
      <x:c r="A223" t="str">
        <x:v>https://exdivo.com/collections/meifu</x:v>
      </x:c>
      <x:c r="B223" t="str">
        <x:v>FLORA - ExDivo</x:v>
      </x:c>
      <x:c r="C223" t="str">
        <x:v>flora</x:v>
      </x:c>
      <x:c r="D223" t="str">
        <x:v>floral vape flavors</x:v>
      </x:c>
      <x:c r="E223" t="str">
        <x:v>recommended</x:v>
      </x:c>
      <x:c r="F223" t="n">
        <x:v>0</x:v>
      </x:c>
      <x:c r="G223" t="n">
        <x:v>0</x:v>
      </x:c>
      <x:c r="H223" t="str">
        <x:v>48</x:v>
      </x:c>
    </x:row>
    <x:row r="224">
      <x:c r="A224" t="str">
        <x:v>https://exdivo.com/comments/exdivo-interstellar-35k-disposable-vape_2c06745d?writeComment=true</x:v>
      </x:c>
      <x:c r="B224" t="str">
        <x:v>Reviews - Mexican Mango - ExDivo INTERSTELLAR 35K Disposable Vape - ExDivo</x:v>
      </x:c>
      <x:c r="C224" t="str">
        <x:v>48</x:v>
      </x:c>
      <x:c r="D224" t="str">
        <x:v>mexican mango vape</x:v>
      </x:c>
      <x:c r="E224" t="str">
        <x:v>recommended</x:v>
      </x:c>
      <x:c r="F224" t="n">
        <x:v>880</x:v>
      </x:c>
      <x:c r="G224" t="n">
        <x:v>4</x:v>
      </x:c>
      <x:c r="H224" t="str">
        <x:v>informational</x:v>
      </x:c>
    </x:row>
    <x:row r="225">
      <x:c r="A225" t="str">
        <x:v>https://exdivo.com/comments/exdivo-interstellar-35k-disposable-vape_2c06745d?writeComment=true</x:v>
      </x:c>
      <x:c r="B225" t="str">
        <x:v>Reviews - Mexican Mango - ExDivo INTERSTELLAR 35K Disposable Vape - ExDivo</x:v>
      </x:c>
      <x:c r="C225" t="str">
        <x:v>48</x:v>
      </x:c>
      <x:c r="D225" t="str">
        <x:v>mexico mango vape</x:v>
      </x:c>
      <x:c r="E225" t="str">
        <x:v>recommended</x:v>
      </x:c>
      <x:c r="F225" t="n">
        <x:v>390</x:v>
      </x:c>
      <x:c r="G225" t="n">
        <x:v>9</x:v>
      </x:c>
      <x:c r="H225" t="str">
        <x:v>informational</x:v>
      </x:c>
    </x:row>
    <x:row r="226">
      <x:c r="A226" t="str">
        <x:v>https://exdivo.com/comments/exdivo-interstellar-35k-disposable-vape_2c06745d?writeComment=true</x:v>
      </x:c>
      <x:c r="B226" t="str">
        <x:v>Reviews - Mexican Mango - ExDivo INTERSTELLAR 35K Disposable Vape - ExDivo</x:v>
      </x:c>
      <x:c r="C226" t="str">
        <x:v>48</x:v>
      </x:c>
      <x:c r="D226" t="str">
        <x:v>exdivo interstellar 35k mexican mango review</x:v>
      </x:c>
      <x:c r="E226" t="str">
        <x:v>recommended</x:v>
      </x:c>
      <x:c r="F226" t="n">
        <x:v>0</x:v>
      </x:c>
      <x:c r="G226" t="n">
        <x:v>0</x:v>
      </x:c>
      <x:c r="H226" t="str">
        <x:v>48</x:v>
      </x:c>
    </x:row>
    <x:row r="227">
      <x:c r="A227" t="str">
        <x:v>https://exdivo.com/comments/exdivo-interstellar-35k-disposable-vape_2c06745d?writeComment=true</x:v>
      </x:c>
      <x:c r="B227" t="str">
        <x:v>Reviews - Mexican Mango - ExDivo INTERSTELLAR 35K Disposable Vape - ExDivo</x:v>
      </x:c>
      <x:c r="C227" t="str">
        <x:v>48</x:v>
      </x:c>
      <x:c r="D227" t="str">
        <x:v>tropical mango vape flavor</x:v>
      </x:c>
      <x:c r="E227" t="str">
        <x:v>recommended</x:v>
      </x:c>
      <x:c r="F227" t="n">
        <x:v>0</x:v>
      </x:c>
      <x:c r="G227" t="n">
        <x:v>0</x:v>
      </x:c>
      <x:c r="H227" t="str">
        <x:v>48</x:v>
      </x:c>
    </x:row>
    <x:row r="228">
      <x:c r="A228" t="str">
        <x:v>https://exdivo.com/products/exdivo-bright-mirror-35k-replaceable-vape-kit_25244789</x:v>
      </x:c>
      <x:c r="B228" t="str">
        <x:v>ExDivo BRIGHT MIRROR 35K Replaceable VAPE kit</x:v>
      </x:c>
      <x:c r="C228" t="str">
        <x:v>40000 puffs</x:v>
      </x:c>
      <x:c r="D228" t="str">
        <x:v>refillable vape</x:v>
      </x:c>
      <x:c r="E228" t="str">
        <x:v>recommended</x:v>
      </x:c>
      <x:c r="F228" t="n">
        <x:v>9900</x:v>
      </x:c>
      <x:c r="G228" t="n">
        <x:v>35</x:v>
      </x:c>
      <x:c r="H228" t="str">
        <x:v>informational</x:v>
      </x:c>
    </x:row>
    <x:row r="229">
      <x:c r="A229" t="str">
        <x:v>https://exdivo.com/products/exdivo-bright-mirror-35k-replaceable-vape-kit_25244789</x:v>
      </x:c>
      <x:c r="B229" t="str">
        <x:v>ExDivo BRIGHT MIRROR 35K Replaceable VAPE kit</x:v>
      </x:c>
      <x:c r="C229" t="str">
        <x:v>40000 puffs</x:v>
      </x:c>
      <x:c r="D229" t="str">
        <x:v>replaceable vape kit 40000 puffs</x:v>
      </x:c>
      <x:c r="E229" t="str">
        <x:v>recommended</x:v>
      </x:c>
      <x:c r="F229" t="n">
        <x:v>0</x:v>
      </x:c>
      <x:c r="G229" t="n">
        <x:v>0</x:v>
      </x:c>
      <x:c r="H229" t="str">
        <x:v>48</x:v>
      </x:c>
    </x:row>
    <x:row r="230">
      <x:c r="A230" t="str">
        <x:v>https://exdivo.com/products/exdivo-bright-mirror-35k-replaceable-vape-kit_25244789</x:v>
      </x:c>
      <x:c r="B230" t="str">
        <x:v>ExDivo BRIGHT MIRROR 35K Replaceable VAPE kit</x:v>
      </x:c>
      <x:c r="C230" t="str">
        <x:v>40000 puffs</x:v>
      </x:c>
      <x:c r="D230" t="str">
        <x:v>vape kit with large puff capacity</x:v>
      </x:c>
      <x:c r="E230" t="str">
        <x:v>recommended</x:v>
      </x:c>
      <x:c r="F230" t="n">
        <x:v>0</x:v>
      </x:c>
      <x:c r="G230" t="n">
        <x:v>0</x:v>
      </x:c>
      <x:c r="H230" t="str">
        <x:v>48</x:v>
      </x:c>
    </x:row>
    <x:row r="231">
      <x:c r="A231" t="str">
        <x:v>https://exdivo.com/products/exdivo-bright-mirror-35k-replaceable-vape-kit_25244789</x:v>
      </x:c>
      <x:c r="B231" t="str">
        <x:v>ExDivo BRIGHT MIRROR 35K Replaceable VAPE kit</x:v>
      </x:c>
      <x:c r="C231" t="str">
        <x:v>40000 puffs</x:v>
      </x:c>
      <x:c r="D231" t="str">
        <x:v>rechargeable vape kit high puffs</x:v>
      </x:c>
      <x:c r="E231" t="str">
        <x:v>recommended</x:v>
      </x:c>
      <x:c r="F231" t="n">
        <x:v>0</x:v>
      </x:c>
      <x:c r="G231" t="n">
        <x:v>0</x:v>
      </x:c>
      <x:c r="H231" t="str">
        <x:v>48</x:v>
      </x:c>
    </x:row>
    <x:row r="232">
      <x:c r="A232" t="str">
        <x:v>https://exdivo.com/products/exdivo-bright-mirror-35k-replaceable-vape-kit_25244789</x:v>
      </x:c>
      <x:c r="B232" t="str">
        <x:v>ExDivo BRIGHT MIRROR 35K Replaceable VAPE kit</x:v>
      </x:c>
      <x:c r="C232" t="str">
        <x:v>40000 puffs</x:v>
      </x:c>
      <x:c r="D232" t="str">
        <x:v>high capacity replaceable vape</x:v>
      </x:c>
      <x:c r="E232" t="str">
        <x:v>recommended</x:v>
      </x:c>
      <x:c r="F232" t="n">
        <x:v>0</x:v>
      </x:c>
      <x:c r="G232" t="n">
        <x:v>0</x:v>
      </x:c>
      <x:c r="H232" t="str">
        <x:v>48</x:v>
      </x:c>
    </x:row>
    <x:row r="233">
      <x:c r="A233" t="str">
        <x:v>https://exdivo.com/products/exdivo-bright-mirror-35k-replaceable-vape-kit_25244789</x:v>
      </x:c>
      <x:c r="B233" t="str">
        <x:v>ExDivo BRIGHT MIRROR 35K Replaceable VAPE kit</x:v>
      </x:c>
      <x:c r="C233" t="str">
        <x:v>40000 puffs</x:v>
      </x:c>
      <x:c r="D233" t="str">
        <x:v>best replaceable vape kit</x:v>
      </x:c>
      <x:c r="E233" t="str">
        <x:v>recommended</x:v>
      </x:c>
      <x:c r="F233" t="n">
        <x:v>0</x:v>
      </x:c>
      <x:c r="G233" t="n">
        <x:v>0</x:v>
      </x:c>
      <x:c r="H233" t="str">
        <x:v>48</x:v>
      </x:c>
    </x:row>
    <x:row r="234">
      <x:c r="A234" t="str">
        <x:v>https://exdivo.com/products/exdivo-bright-mirror-35k-replaceable-vape-kit_25244789</x:v>
      </x:c>
      <x:c r="B234" t="str">
        <x:v>ExDivo BRIGHT MIRROR 35K Replaceable VAPE kit</x:v>
      </x:c>
      <x:c r="C234" t="str">
        <x:v>40000 puffs</x:v>
      </x:c>
      <x:c r="D234" t="str">
        <x:v>vape kit with high puff count</x:v>
      </x:c>
      <x:c r="E234" t="str">
        <x:v>recommended</x:v>
      </x:c>
      <x:c r="F234" t="n">
        <x:v>0</x:v>
      </x:c>
      <x:c r="G234" t="n">
        <x:v>0</x:v>
      </x:c>
      <x:c r="H234" t="str">
        <x:v>48</x:v>
      </x:c>
    </x:row>
    <x:row r="235">
      <x:c r="A235" t="str">
        <x:v>https://exdivo.com/products/exdivo-bright-mirror-35k-replaceable-vape-kit_25244789</x:v>
      </x:c>
      <x:c r="B235" t="str">
        <x:v>ExDivo BRIGHT MIRROR 35K Replaceable VAPE kit</x:v>
      </x:c>
      <x:c r="C235" t="str">
        <x:v>40000 puffs</x:v>
      </x:c>
      <x:c r="D235" t="str">
        <x:v>high puff count vape kit</x:v>
      </x:c>
      <x:c r="E235" t="str">
        <x:v>recommended</x:v>
      </x:c>
      <x:c r="F235" t="n">
        <x:v>0</x:v>
      </x:c>
      <x:c r="G235" t="n">
        <x:v>0</x:v>
      </x:c>
      <x:c r="H235" t="str">
        <x:v>48</x:v>
      </x:c>
    </x:row>
    <x:row r="236">
      <x:c r="A236" t="str">
        <x:v>https://exdivo.com/products/exdivo-space-45k-disposable-vape_30b9ed8e?data_from=collection_detail&amp;spm=collection_detail..collection_detail-11702364.6.</x:v>
      </x:c>
      <x:c r="B236" t="str">
        <x:v>ExDivo SPACE 45K Disposable Vape</x:v>
      </x:c>
      <x:c r="C236" t="str">
        <x:v>45000 puffs</x:v>
      </x:c>
      <x:c r="D236" t="str">
        <x:v>what vape has the most puffs</x:v>
      </x:c>
      <x:c r="E236" t="str">
        <x:v>recommended</x:v>
      </x:c>
      <x:c r="F236" t="n">
        <x:v>390</x:v>
      </x:c>
      <x:c r="G236" t="n">
        <x:v>13</x:v>
      </x:c>
      <x:c r="H236" t="str">
        <x:v>informational, commercial</x:v>
      </x:c>
    </x:row>
    <x:row r="237">
      <x:c r="A237" t="str">
        <x:v>https://exdivo.com/products/exdivo-space-45k-disposable-vape_30b9ed8e?data_from=collection_detail&amp;spm=collection_detail..collection_detail-11702364.6.</x:v>
      </x:c>
      <x:c r="B237" t="str">
        <x:v>ExDivo SPACE 45K Disposable Vape</x:v>
      </x:c>
      <x:c r="C237" t="str">
        <x:v>45000 puffs</x:v>
      </x:c>
      <x:c r="D237" t="str">
        <x:v>50000 puff vape</x:v>
      </x:c>
      <x:c r="E237" t="str">
        <x:v>recommended</x:v>
      </x:c>
      <x:c r="F237" t="n">
        <x:v>140</x:v>
      </x:c>
      <x:c r="G237" t="n">
        <x:v>13</x:v>
      </x:c>
      <x:c r="H237" t="str">
        <x:v>commercial</x:v>
      </x:c>
    </x:row>
    <x:row r="238">
      <x:c r="A238" t="str">
        <x:v>https://exdivo.com/products/exdivo-space-45k-disposable-vape_30b9ed8e?data_from=collection_detail&amp;spm=collection_detail..collection_detail-11702364.6.</x:v>
      </x:c>
      <x:c r="B238" t="str">
        <x:v>ExDivo SPACE 45K Disposable Vape</x:v>
      </x:c>
      <x:c r="C238" t="str">
        <x:v>45000 puffs</x:v>
      </x:c>
      <x:c r="D238" t="str">
        <x:v>vape 30000 puffs</x:v>
      </x:c>
      <x:c r="E238" t="str">
        <x:v>recommended</x:v>
      </x:c>
      <x:c r="F238" t="n">
        <x:v>50</x:v>
      </x:c>
      <x:c r="G238" t="n">
        <x:v>3</x:v>
      </x:c>
      <x:c r="H238" t="str">
        <x:v>commercial</x:v>
      </x:c>
    </x:row>
    <x:row r="239">
      <x:c r="A239" t="str">
        <x:v>https://exdivo.com/products/exdivo-space-45k-disposable-vape_30b9ed8e?data_from=collection_detail&amp;spm=collection_detail..collection_detail-11702364.6.</x:v>
      </x:c>
      <x:c r="B239" t="str">
        <x:v>ExDivo SPACE 45K Disposable Vape</x:v>
      </x:c>
      <x:c r="C239" t="str">
        <x:v>45000 puffs</x:v>
      </x:c>
      <x:c r="D239" t="str">
        <x:v>25000 puff vape</x:v>
      </x:c>
      <x:c r="E239" t="str">
        <x:v>recommended</x:v>
      </x:c>
      <x:c r="F239" t="n">
        <x:v>70</x:v>
      </x:c>
      <x:c r="G239" t="n">
        <x:v>4</x:v>
      </x:c>
      <x:c r="H239" t="str">
        <x:v>informational</x:v>
      </x:c>
    </x:row>
    <x:row r="240">
      <x:c r="A240" t="str">
        <x:v>https://exdivo.com/products/exdivo-space-45k-disposable-vape_30b9ed8e?data_from=collection_detail&amp;spm=collection_detail..collection_detail-11702364.6.</x:v>
      </x:c>
      <x:c r="B240" t="str">
        <x:v>ExDivo SPACE 45K Disposable Vape</x:v>
      </x:c>
      <x:c r="C240" t="str">
        <x:v>45000 puffs</x:v>
      </x:c>
      <x:c r="D240" t="str">
        <x:v>vape puffs</x:v>
      </x:c>
      <x:c r="E240" t="str">
        <x:v>recommended</x:v>
      </x:c>
      <x:c r="F240" t="n">
        <x:v>90</x:v>
      </x:c>
      <x:c r="G240" t="n">
        <x:v>40</x:v>
      </x:c>
      <x:c r="H240" t="str">
        <x:v>informational</x:v>
      </x:c>
    </x:row>
    <x:row r="241">
      <x:c r="A241" t="str">
        <x:v>https://exdivo.com/products/exdivo-space-45k-disposable-vape_30b9ed8e?data_from=collection_detail&amp;spm=collection_detail..collection_detail-11702364.6.</x:v>
      </x:c>
      <x:c r="B241" t="str">
        <x:v>ExDivo SPACE 45K Disposable Vape</x:v>
      </x:c>
      <x:c r="C241" t="str">
        <x:v>45000 puffs</x:v>
      </x:c>
      <x:c r="D241" t="str">
        <x:v>disposable vape 45k puffs</x:v>
      </x:c>
      <x:c r="E241" t="str">
        <x:v>recommended</x:v>
      </x:c>
      <x:c r="F241" t="n">
        <x:v>0</x:v>
      </x:c>
      <x:c r="G241" t="n">
        <x:v>0</x:v>
      </x:c>
      <x:c r="H241" t="str">
        <x:v>48</x:v>
      </x:c>
    </x:row>
    <x:row r="242">
      <x:c r="A242" t="str">
        <x:v>https://exdivo.com/products/exdivo-space-45k-disposable-vape_30b9ed8e?data_from=collection_detail&amp;spm=collection_detail..collection_detail-11702364.6.</x:v>
      </x:c>
      <x:c r="B242" t="str">
        <x:v>ExDivo SPACE 45K Disposable Vape</x:v>
      </x:c>
      <x:c r="C242" t="str">
        <x:v>45000 puffs</x:v>
      </x:c>
      <x:c r="D242" t="str">
        <x:v>45000 puff disposable vape</x:v>
      </x:c>
      <x:c r="E242" t="str">
        <x:v>recommended</x:v>
      </x:c>
      <x:c r="F242" t="n">
        <x:v>0</x:v>
      </x:c>
      <x:c r="G242" t="n">
        <x:v>0</x:v>
      </x:c>
      <x:c r="H242" t="str">
        <x:v>48</x:v>
      </x:c>
    </x:row>
    <x:row r="243">
      <x:c r="A243" t="str">
        <x:v>https://exdivo.com/products/exdivo-space-45k-disposable-vape_30b9ed8e?data_from=collection_detail&amp;spm=collection_detail..collection_detail-11702364.6.</x:v>
      </x:c>
      <x:c r="B243" t="str">
        <x:v>ExDivo SPACE 45K Disposable Vape</x:v>
      </x:c>
      <x:c r="C243" t="str">
        <x:v>45000 puffs</x:v>
      </x:c>
      <x:c r="D243" t="str">
        <x:v>45000 puffs vape</x:v>
      </x:c>
      <x:c r="E243" t="str">
        <x:v>recommended</x:v>
      </x:c>
      <x:c r="F243" t="n">
        <x:v>0</x:v>
      </x:c>
      <x:c r="G243" t="n">
        <x:v>0</x:v>
      </x:c>
      <x:c r="H243" t="str">
        <x:v>48</x:v>
      </x:c>
    </x:row>
    <x:row r="244">
      <x:c r="A244" t="str">
        <x:v>https://exdivo.com/products/exdivo-space-45k-disposable-vape_30b9ed8e?data_from=collection_detail&amp;spm=collection_detail..collection_detail-11702364.6.</x:v>
      </x:c>
      <x:c r="B244" t="str">
        <x:v>ExDivo SPACE 45K Disposable Vape</x:v>
      </x:c>
      <x:c r="C244" t="str">
        <x:v>45000 puffs</x:v>
      </x:c>
      <x:c r="D244" t="str">
        <x:v>high puff count vape</x:v>
      </x:c>
      <x:c r="E244" t="str">
        <x:v>recommended</x:v>
      </x:c>
      <x:c r="F244" t="n">
        <x:v>0</x:v>
      </x:c>
      <x:c r="G244" t="n">
        <x:v>0</x:v>
      </x:c>
      <x:c r="H244" t="str">
        <x:v>48</x:v>
      </x:c>
    </x:row>
    <x:row r="245">
      <x:c r="A245" t="str">
        <x:v>https://exdivo.com/products/exdivo-space-45k-disposable-vape_30b9ed8e?data_from=collection_detail&amp;spm=collection_detail..collection_detail-11702364.6.</x:v>
      </x:c>
      <x:c r="B245" t="str">
        <x:v>ExDivo SPACE 45K Disposable Vape</x:v>
      </x:c>
      <x:c r="C245" t="str">
        <x:v>45000 puffs</x:v>
      </x:c>
      <x:c r="D245" t="str">
        <x:v>50k puff vape</x:v>
      </x:c>
      <x:c r="E245" t="str">
        <x:v>recommended</x:v>
      </x:c>
      <x:c r="F245" t="n">
        <x:v>170</x:v>
      </x:c>
      <x:c r="G245" t="n">
        <x:v>5</x:v>
      </x:c>
      <x:c r="H245" t="str">
        <x:v>commercial</x:v>
      </x:c>
    </x:row>
    <x:row r="246">
      <x:c r="A246" t="str">
        <x:v>https://exdivo.com/products/exdivo-space-45k-disposable-vape_30b9ed8e?data_from=collection_detail&amp;spm=collection_detail..collection_detail-11702364.6.</x:v>
      </x:c>
      <x:c r="B246" t="str">
        <x:v>ExDivo SPACE 45K Disposable Vape</x:v>
      </x:c>
      <x:c r="C246" t="str">
        <x:v>45000 puffs</x:v>
      </x:c>
      <x:c r="D246" t="str">
        <x:v>50k puff disposable vape</x:v>
      </x:c>
      <x:c r="E246" t="str">
        <x:v>recommended</x:v>
      </x:c>
      <x:c r="F246" t="n">
        <x:v>40</x:v>
      </x:c>
      <x:c r="G246" t="n">
        <x:v>7</x:v>
      </x:c>
      <x:c r="H246" t="str">
        <x:v>commercial</x:v>
      </x:c>
    </x:row>
    <x:row r="247">
      <x:c r="A247" t="str">
        <x:v>https://exdivo.com/products/exdivo-space-45k-disposable-vape_30b9ed8e?data_from=collection_detail&amp;spm=collection_detail..collection_detail-11702364.6.</x:v>
      </x:c>
      <x:c r="B247" t="str">
        <x:v>ExDivo SPACE 45K Disposable Vape</x:v>
      </x:c>
      <x:c r="C247" t="str">
        <x:v>45000 puffs</x:v>
      </x:c>
      <x:c r="D247" t="str">
        <x:v>vape 50000 puffs</x:v>
      </x:c>
      <x:c r="E247" t="str">
        <x:v>recommended</x:v>
      </x:c>
      <x:c r="F247" t="n">
        <x:v>50</x:v>
      </x:c>
      <x:c r="G247" t="n">
        <x:v>12</x:v>
      </x:c>
      <x:c r="H247" t="str">
        <x:v>commercial</x:v>
      </x:c>
    </x:row>
    <x:row r="248">
      <x:c r="A248" t="str">
        <x:v>https://exdivo.com/comments/exdivo-flora-40k-disposable-vape_40f04366</x:v>
      </x:c>
      <x:c r="B248" t="str">
        <x:v>Reviews - MIAMI MINT - ExDivo FLORA 40K Disposable Vape - ExDivo</x:v>
      </x:c>
      <x:c r="C248" t="str">
        <x:v>48</x:v>
      </x:c>
      <x:c r="D248" t="str">
        <x:v>flora 40k disposable vape review</x:v>
      </x:c>
      <x:c r="E248" t="str">
        <x:v>recommended</x:v>
      </x:c>
      <x:c r="F248" t="n">
        <x:v>0</x:v>
      </x:c>
      <x:c r="G248" t="n">
        <x:v>0</x:v>
      </x:c>
      <x:c r="H248" t="str">
        <x:v>48</x:v>
      </x:c>
    </x:row>
    <x:row r="249">
      <x:c r="A249" t="str">
        <x:v>https://exdivo.com/comments/exdivo-flora-40k-disposable-vape_40f04366</x:v>
      </x:c>
      <x:c r="B249" t="str">
        <x:v>Reviews - MIAMI MINT - ExDivo FLORA 40K Disposable Vape - ExDivo</x:v>
      </x:c>
      <x:c r="C249" t="str">
        <x:v>48</x:v>
      </x:c>
      <x:c r="D249" t="str">
        <x:v>disposable vape flavor reviews</x:v>
      </x:c>
      <x:c r="E249" t="str">
        <x:v>recommended</x:v>
      </x:c>
      <x:c r="F249" t="n">
        <x:v>0</x:v>
      </x:c>
      <x:c r="G249" t="n">
        <x:v>0</x:v>
      </x:c>
      <x:c r="H249" t="str">
        <x:v>48</x:v>
      </x:c>
    </x:row>
    <x:row r="250">
      <x:c r="A250" t="str">
        <x:v>https://exdivo.com/comments/exdivo-flora-40k-disposable-vape_40f04366</x:v>
      </x:c>
      <x:c r="B250" t="str">
        <x:v>Reviews - MIAMI MINT - ExDivo FLORA 40K Disposable Vape - ExDivo</x:v>
      </x:c>
      <x:c r="C250" t="str">
        <x:v>48</x:v>
      </x:c>
      <x:c r="D250" t="str">
        <x:v>fruity disposable vape reviews</x:v>
      </x:c>
      <x:c r="E250" t="str">
        <x:v>recommended</x:v>
      </x:c>
      <x:c r="F250" t="n">
        <x:v>0</x:v>
      </x:c>
      <x:c r="G250" t="n">
        <x:v>0</x:v>
      </x:c>
      <x:c r="H250" t="str">
        <x:v>48</x:v>
      </x:c>
    </x:row>
    <x:row r="251">
      <x:c r="A251" t="str">
        <x:v>https://exdivo.com/products/luxury-women-s-vape-18ml-dual-mesh-40000-puffs_151a2c79</x:v>
      </x:c>
      <x:c r="B251" t="str">
        <x:v>WHITE GUMMY ICE - ExDivo FLORA 40K Disposable Vape - ExDivo</x:v>
      </x:c>
      <x:c r="C251" t="str">
        <x:v>white gummy ice - exdivo flora 40k disposable vape</x:v>
      </x:c>
      <x:c r="D251" t="str">
        <x:v>flora 40k disposable vape white gummy ice</x:v>
      </x:c>
      <x:c r="E251" t="str">
        <x:v>recommended</x:v>
      </x:c>
      <x:c r="F251" t="n">
        <x:v>0</x:v>
      </x:c>
      <x:c r="G251" t="n">
        <x:v>0</x:v>
      </x:c>
      <x:c r="H251" t="str">
        <x:v>48</x:v>
      </x:c>
    </x:row>
    <x:row r="252">
      <x:c r="A252" t="str">
        <x:v>https://exdivo.com/products/luxury-women-s-vape-18ml-dual-mesh-40000-puffs_151a2c79</x:v>
      </x:c>
      <x:c r="B252" t="str">
        <x:v>WHITE GUMMY ICE - ExDivo FLORA 40K Disposable Vape - ExDivo</x:v>
      </x:c>
      <x:c r="C252" t="str">
        <x:v>white gummy ice - exdivo flora 40k disposable vape</x:v>
      </x:c>
      <x:c r="D252" t="str">
        <x:v>flora 40k white gummy ice</x:v>
      </x:c>
      <x:c r="E252" t="str">
        <x:v>recommended</x:v>
      </x:c>
      <x:c r="F252" t="n">
        <x:v>0</x:v>
      </x:c>
      <x:c r="G252" t="n">
        <x:v>0</x:v>
      </x:c>
      <x:c r="H252" t="str">
        <x:v>48</x:v>
      </x:c>
    </x:row>
    <x:row r="253">
      <x:c r="A253" t="str">
        <x:v>https://exdivo.com/comments/exdivo-flora-40k-disposable-vape_1361e485</x:v>
      </x:c>
      <x:c r="B253" t="str">
        <x:v>Reviews - FUCKING FAB - ExDivo FLORA 40K Disposable Vape - ExDivo</x:v>
      </x:c>
      <x:c r="C253" t="str">
        <x:v>48</x:v>
      </x:c>
      <x:c r="D253" t="str">
        <x:v>fab vape</x:v>
      </x:c>
      <x:c r="E253" t="str">
        <x:v>recommended</x:v>
      </x:c>
      <x:c r="F253" t="n">
        <x:v>260</x:v>
      </x:c>
      <x:c r="G253" t="n">
        <x:v>6</x:v>
      </x:c>
      <x:c r="H253" t="str">
        <x:v>informational, commercial</x:v>
      </x:c>
    </x:row>
    <x:row r="254">
      <x:c r="A254" t="str">
        <x:v>https://exdivo.com/comments/exdivo-flora-40k-disposable-vape_1361e485</x:v>
      </x:c>
      <x:c r="B254" t="str">
        <x:v>Reviews - FUCKING FAB - ExDivo FLORA 40K Disposable Vape - ExDivo</x:v>
      </x:c>
      <x:c r="C254" t="str">
        <x:v>48</x:v>
      </x:c>
      <x:c r="D254" t="str">
        <x:v>fucking fab vape flavor</x:v>
      </x:c>
      <x:c r="E254" t="str">
        <x:v>recommended</x:v>
      </x:c>
      <x:c r="F254" t="n">
        <x:v>90</x:v>
      </x:c>
      <x:c r="G254" t="n">
        <x:v>2</x:v>
      </x:c>
      <x:c r="H254" t="str">
        <x:v>informational</x:v>
      </x:c>
    </x:row>
    <x:row r="255">
      <x:c r="A255" t="str">
        <x:v>https://exdivo.com/comments/exdivo-flora-40k-disposable-vape_1361e485</x:v>
      </x:c>
      <x:c r="B255" t="str">
        <x:v>Reviews - FUCKING FAB - ExDivo FLORA 40K Disposable Vape - ExDivo</x:v>
      </x:c>
      <x:c r="C255" t="str">
        <x:v>48</x:v>
      </x:c>
      <x:c r="D255" t="str">
        <x:v>fcking fab vape flavour</x:v>
      </x:c>
      <x:c r="E255" t="str">
        <x:v>recommended</x:v>
      </x:c>
      <x:c r="F255" t="n">
        <x:v>50</x:v>
      </x:c>
      <x:c r="G255" t="n">
        <x:v>4</x:v>
      </x:c>
      <x:c r="H255" t="str">
        <x:v>informational</x:v>
      </x:c>
    </x:row>
    <x:row r="256">
      <x:c r="A256" t="str">
        <x:v>https://exdivo.com/comments/exdivo-flora-40k-disposable-vape_1361e485</x:v>
      </x:c>
      <x:c r="B256" t="str">
        <x:v>Reviews - FUCKING FAB - ExDivo FLORA 40K Disposable Vape - ExDivo</x:v>
      </x:c>
      <x:c r="C256" t="str">
        <x:v>48</x:v>
      </x:c>
      <x:c r="D256" t="str">
        <x:v>fab flavor vape</x:v>
      </x:c>
      <x:c r="E256" t="str">
        <x:v>recommended</x:v>
      </x:c>
      <x:c r="F256" t="n">
        <x:v>40</x:v>
      </x:c>
      <x:c r="G256" t="n">
        <x:v>0</x:v>
      </x:c>
      <x:c r="H256" t="str">
        <x:v>commercial</x:v>
      </x:c>
    </x:row>
    <x:row r="257">
      <x:c r="A257" t="str">
        <x:v>https://exdivo.com/comments/exdivo-flora-40k-disposable-vape_1361e485</x:v>
      </x:c>
      <x:c r="B257" t="str">
        <x:v>Reviews - FUCKING FAB - ExDivo FLORA 40K Disposable Vape - ExDivo</x:v>
      </x:c>
      <x:c r="C257" t="str">
        <x:v>48</x:v>
      </x:c>
      <x:c r="D257" t="str">
        <x:v>fucking fab vape review</x:v>
      </x:c>
      <x:c r="E257" t="str">
        <x:v>recommended</x:v>
      </x:c>
      <x:c r="F257" t="n">
        <x:v>0</x:v>
      </x:c>
      <x:c r="G257" t="n">
        <x:v>0</x:v>
      </x:c>
      <x:c r="H257" t="str">
        <x:v>48</x:v>
      </x:c>
    </x:row>
    <x:row r="258">
      <x:c r="A258" t="str">
        <x:v>https://exdivo.com/comments/exdivo-flora-40k-disposable-vape_1361e485</x:v>
      </x:c>
      <x:c r="B258" t="str">
        <x:v>Reviews - FUCKING FAB - ExDivo FLORA 40K Disposable Vape - ExDivo</x:v>
      </x:c>
      <x:c r="C258" t="str">
        <x:v>48</x:v>
      </x:c>
      <x:c r="D258" t="str">
        <x:v>flora 40k vape review</x:v>
      </x:c>
      <x:c r="E258" t="str">
        <x:v>recommended</x:v>
      </x:c>
      <x:c r="F258" t="n">
        <x:v>0</x:v>
      </x:c>
      <x:c r="G258" t="n">
        <x:v>0</x:v>
      </x:c>
      <x:c r="H258" t="str">
        <x:v>48</x:v>
      </x:c>
    </x:row>
    <x:row r="259">
      <x:c r="A259" t="str">
        <x:v>https://exdivo.com/comments/exdivo-flora-40k-disposable-vape_1361e485</x:v>
      </x:c>
      <x:c r="B259" t="str">
        <x:v>Reviews - FUCKING FAB - ExDivo FLORA 40K Disposable Vape - ExDivo</x:v>
      </x:c>
      <x:c r="C259" t="str">
        <x:v>48</x:v>
      </x:c>
      <x:c r="D259" t="str">
        <x:v>unique vape flavor reviews</x:v>
      </x:c>
      <x:c r="E259" t="str">
        <x:v>recommended</x:v>
      </x:c>
      <x:c r="F259" t="n">
        <x:v>0</x:v>
      </x:c>
      <x:c r="G259" t="n">
        <x:v>0</x:v>
      </x:c>
      <x:c r="H259" t="str">
        <x:v>48</x:v>
      </x:c>
    </x:row>
    <x:row r="260">
      <x:c r="A260" t="str">
        <x:v>https://exdivo.com/comments/exdivo-flora-40k-disposable-vape_1361e485</x:v>
      </x:c>
      <x:c r="B260" t="str">
        <x:v>Reviews - FUCKING FAB - ExDivo FLORA 40K Disposable Vape - ExDivo</x:v>
      </x:c>
      <x:c r="C260" t="str">
        <x:v>48</x:v>
      </x:c>
      <x:c r="D260" t="str">
        <x:v>popular vape flavor review</x:v>
      </x:c>
      <x:c r="E260" t="str">
        <x:v>recommended</x:v>
      </x:c>
      <x:c r="F260" t="n">
        <x:v>0</x:v>
      </x:c>
      <x:c r="G260" t="n">
        <x:v>0</x:v>
      </x:c>
      <x:c r="H260" t="str">
        <x:v>48</x:v>
      </x:c>
    </x:row>
    <x:row r="261">
      <x:c r="A261" t="str">
        <x:v>https://exdivo.com/comments/exdivo-flora-40k-disposable-vape_1361e485</x:v>
      </x:c>
      <x:c r="B261" t="str">
        <x:v>Reviews - FUCKING FAB - ExDivo FLORA 40K Disposable Vape - ExDivo</x:v>
      </x:c>
      <x:c r="C261" t="str">
        <x:v>48</x:v>
      </x:c>
      <x:c r="D261" t="str">
        <x:v>unique vape flavor review</x:v>
      </x:c>
      <x:c r="E261" t="str">
        <x:v>recommended</x:v>
      </x:c>
      <x:c r="F261" t="n">
        <x:v>0</x:v>
      </x:c>
      <x:c r="G261" t="n">
        <x:v>0</x:v>
      </x:c>
      <x:c r="H261" t="str">
        <x:v>48</x:v>
      </x:c>
    </x:row>
    <x:row r="262">
      <x:c r="A262" t="str">
        <x:v>https://exdivo.com/comments/exdivo-interstellar-35k-disposable-vape_a50f7cf9?writeComment=true</x:v>
      </x:c>
      <x:c r="B262" t="str">
        <x:v>Reviews - Strawberry Mango - ExDivo INTERSTELLAR 35K Disposable Vape - ExDivo</x:v>
      </x:c>
      <x:c r="C262" t="str">
        <x:v>48</x:v>
      </x:c>
      <x:c r="D262" t="str">
        <x:v>strawberry mango vape review</x:v>
      </x:c>
      <x:c r="E262" t="str">
        <x:v>recommended</x:v>
      </x:c>
      <x:c r="F262" t="n">
        <x:v>0</x:v>
      </x:c>
      <x:c r="G262" t="n">
        <x:v>0</x:v>
      </x:c>
      <x:c r="H262" t="str">
        <x:v>48</x:v>
      </x:c>
    </x:row>
    <x:row r="263">
      <x:c r="A263" t="str">
        <x:v>https://exdivo.com/comments/exdivo-interstellar-35k-disposable-vape_a50f7cf9?writeComment=true</x:v>
      </x:c>
      <x:c r="B263" t="str">
        <x:v>Reviews - Strawberry Mango - ExDivo INTERSTELLAR 35K Disposable Vape - ExDivo</x:v>
      </x:c>
      <x:c r="C263" t="str">
        <x:v>48</x:v>
      </x:c>
      <x:c r="D263" t="str">
        <x:v>fruit vape flavor reviews</x:v>
      </x:c>
      <x:c r="E263" t="str">
        <x:v>recommended</x:v>
      </x:c>
      <x:c r="F263" t="n">
        <x:v>0</x:v>
      </x:c>
      <x:c r="G263" t="n">
        <x:v>0</x:v>
      </x:c>
      <x:c r="H263" t="str">
        <x:v>48</x:v>
      </x:c>
    </x:row>
    <x:row r="264">
      <x:c r="A264" t="str">
        <x:v>https://exdivo.com/comments/exdivo-interstellar-35k-disposable-vape_a50f7cf9?writeComment=true</x:v>
      </x:c>
      <x:c r="B264" t="str">
        <x:v>Reviews - Strawberry Mango - ExDivo INTERSTELLAR 35K Disposable Vape - ExDivo</x:v>
      </x:c>
      <x:c r="C264" t="str">
        <x:v>48</x:v>
      </x:c>
      <x:c r="D264" t="str">
        <x:v>fruit vape review</x:v>
      </x:c>
      <x:c r="E264" t="str">
        <x:v>recommended</x:v>
      </x:c>
      <x:c r="F264" t="n">
        <x:v>0</x:v>
      </x:c>
      <x:c r="G264" t="n">
        <x:v>0</x:v>
      </x:c>
      <x:c r="H264" t="str">
        <x:v>48</x:v>
      </x:c>
    </x:row>
    <x:row r="265">
      <x:c r="A265" t="str">
        <x:v>https://exdivo.com/collections/meifu/products/exdivo-flora-40k-disposable-vape_1361e485?data_from=index_index&amp;spm=index_index..block_collection_list-11702354.7.</x:v>
      </x:c>
      <x:c r="B265" t="str">
        <x:v>ExDivo FLORA 40K Disposable Vape</x:v>
      </x:c>
      <x:c r="C265" t="str">
        <x:v>40000 puffs</x:v>
      </x:c>
      <x:c r="D265" t="str">
        <x:v>40000 puff disposable vape</x:v>
      </x:c>
      <x:c r="E265" t="str">
        <x:v>recommended</x:v>
      </x:c>
      <x:c r="F265" t="n">
        <x:v>70</x:v>
      </x:c>
      <x:c r="G265" t="n">
        <x:v>1</x:v>
      </x:c>
      <x:c r="H265" t="str">
        <x:v>commercial</x:v>
      </x:c>
    </x:row>
    <x:row r="266">
      <x:c r="A266" t="str">
        <x:v>https://exdivo.com/collections/meifu/products/exdivo-flora-40k-disposable-vape_1361e485?data_from=index_index&amp;spm=index_index..block_collection_list-11702354.7.</x:v>
      </x:c>
      <x:c r="B266" t="str">
        <x:v>ExDivo FLORA 40K Disposable Vape</x:v>
      </x:c>
      <x:c r="C266" t="str">
        <x:v>40000 puffs</x:v>
      </x:c>
      <x:c r="D266" t="str">
        <x:v>disposable vape 40k puffs</x:v>
      </x:c>
      <x:c r="E266" t="str">
        <x:v>recommended</x:v>
      </x:c>
      <x:c r="F266" t="n">
        <x:v>0</x:v>
      </x:c>
      <x:c r="G266" t="n">
        <x:v>0</x:v>
      </x:c>
      <x:c r="H266" t="str">
        <x:v>48</x:v>
      </x:c>
    </x:row>
    <x:row r="267">
      <x:c r="A267" t="str">
        <x:v>https://exdivo.com/collections/meifu/products/exdivo-flora-40k-disposable-vape_1361e485?data_from=index_index&amp;spm=index_index..block_collection_list-11702354.7.</x:v>
      </x:c>
      <x:c r="B267" t="str">
        <x:v>ExDivo FLORA 40K Disposable Vape</x:v>
      </x:c>
      <x:c r="C267" t="str">
        <x:v>40000 puffs</x:v>
      </x:c>
      <x:c r="D267" t="str">
        <x:v>40000 puffs vape</x:v>
      </x:c>
      <x:c r="E267" t="str">
        <x:v>recommended</x:v>
      </x:c>
      <x:c r="F267" t="n">
        <x:v>0</x:v>
      </x:c>
      <x:c r="G267" t="n">
        <x:v>0</x:v>
      </x:c>
      <x:c r="H267" t="str">
        <x:v>48</x:v>
      </x:c>
    </x:row>
    <x:row r="268">
      <x:c r="A268" t="str">
        <x:v>https://exdivo.com/comments/exdivo-bright-mirror-35k-replaceable-vape-kit_45396b6c?writeComment=true</x:v>
      </x:c>
      <x:c r="B268" t="str">
        <x:v>Reviews - PEACH MANGO WATERMELON - ExDivo BRIGHT MIRROR 35K Replaceable VAPE kit - ExDivo</x:v>
      </x:c>
      <x:c r="C268" t="str">
        <x:v>48</x:v>
      </x:c>
      <x:c r="D268" t="str">
        <x:v>replaceable vape kit flavor reviews</x:v>
      </x:c>
      <x:c r="E268" t="str">
        <x:v>recommended</x:v>
      </x:c>
      <x:c r="F268" t="n">
        <x:v>0</x:v>
      </x:c>
      <x:c r="G268" t="n">
        <x:v>0</x:v>
      </x:c>
      <x:c r="H268" t="str">
        <x:v>48</x:v>
      </x:c>
    </x:row>
    <x:row r="269">
      <x:c r="A269" t="str">
        <x:v>https://exdivo.com/comments/exdivo-bright-mirror-35k-replaceable-vape-kit_45396b6c?writeComment=true</x:v>
      </x:c>
      <x:c r="B269" t="str">
        <x:v>Reviews - PEACH MANGO WATERMELON - ExDivo BRIGHT MIRROR 35K Replaceable VAPE kit - ExDivo</x:v>
      </x:c>
      <x:c r="C269" t="str">
        <x:v>48</x:v>
      </x:c>
      <x:c r="D269" t="str">
        <x:v>replaceable vape kit reviews</x:v>
      </x:c>
      <x:c r="E269" t="str">
        <x:v>recommended</x:v>
      </x:c>
      <x:c r="F269" t="n">
        <x:v>0</x:v>
      </x:c>
      <x:c r="G269" t="n">
        <x:v>0</x:v>
      </x:c>
      <x:c r="H269" t="str">
        <x:v>48</x:v>
      </x:c>
    </x:row>
    <x:row r="270">
      <x:c r="A270" t="str">
        <x:v>https://exdivo.com/comments/exdivo-bright-mirror-35k-replaceable-vape-kit_45396b6c?writeComment=true</x:v>
      </x:c>
      <x:c r="B270" t="str">
        <x:v>Reviews - PEACH MANGO WATERMELON - ExDivo BRIGHT MIRROR 35K Replaceable VAPE kit - ExDivo</x:v>
      </x:c>
      <x:c r="C270" t="str">
        <x:v>48</x:v>
      </x:c>
      <x:c r="D270" t="str">
        <x:v>replaceable vape kit review</x:v>
      </x:c>
      <x:c r="E270" t="str">
        <x:v>recommended</x:v>
      </x:c>
      <x:c r="F270" t="n">
        <x:v>0</x:v>
      </x:c>
      <x:c r="G270" t="n">
        <x:v>0</x:v>
      </x:c>
      <x:c r="H270" t="str">
        <x:v>48</x:v>
      </x:c>
    </x:row>
    <x:row r="271">
      <x:c r="A271" t="str">
        <x:v>https://exdivo.com/comments/exdivo-flora-40k-disposable-vape_933ac4e7</x:v>
      </x:c>
      <x:c r="B271" t="str">
        <x:v>Reviews - STRAWBERRY COLADA - ExDivo FLORA 40K Disposable Vape - ExDivo</x:v>
      </x:c>
      <x:c r="C271" t="str">
        <x:v>48</x:v>
      </x:c>
      <x:c r="D271" t="str">
        <x:v>strawberry flavored vape</x:v>
      </x:c>
      <x:c r="E271" t="str">
        <x:v>recommended</x:v>
      </x:c>
      <x:c r="F271" t="n">
        <x:v>50</x:v>
      </x:c>
      <x:c r="G271" t="n">
        <x:v>3</x:v>
      </x:c>
      <x:c r="H271" t="str">
        <x:v>informational</x:v>
      </x:c>
    </x:row>
    <x:row r="272">
      <x:c r="A272" t="str">
        <x:v>https://exdivo.com/comments/exdivo-flora-40k-disposable-vape_933ac4e7</x:v>
      </x:c>
      <x:c r="B272" t="str">
        <x:v>Reviews - STRAWBERRY COLADA - ExDivo FLORA 40K Disposable Vape - ExDivo</x:v>
      </x:c>
      <x:c r="C272" t="str">
        <x:v>48</x:v>
      </x:c>
      <x:c r="D272" t="str">
        <x:v>strawberry vape flavors</x:v>
      </x:c>
      <x:c r="E272" t="str">
        <x:v>recommended</x:v>
      </x:c>
      <x:c r="F272" t="n">
        <x:v>70</x:v>
      </x:c>
      <x:c r="G272" t="n">
        <x:v>13</x:v>
      </x:c>
      <x:c r="H272" t="str">
        <x:v>informational, commercial</x:v>
      </x:c>
    </x:row>
    <x:row r="273">
      <x:c r="A273" t="str">
        <x:v>https://exdivo.com/comments/exdivo-flora-40k-disposable-vape_933ac4e7</x:v>
      </x:c>
      <x:c r="B273" t="str">
        <x:v>Reviews - STRAWBERRY COLADA - ExDivo FLORA 40K Disposable Vape - ExDivo</x:v>
      </x:c>
      <x:c r="C273" t="str">
        <x:v>48</x:v>
      </x:c>
      <x:c r="D273" t="str">
        <x:v>strawberry colada vape review</x:v>
      </x:c>
      <x:c r="E273" t="str">
        <x:v>recommended</x:v>
      </x:c>
      <x:c r="F273" t="n">
        <x:v>0</x:v>
      </x:c>
      <x:c r="G273" t="n">
        <x:v>0</x:v>
      </x:c>
      <x:c r="H273" t="str">
        <x:v>48</x:v>
      </x:c>
    </x:row>
    <x:row r="274">
      <x:c r="A274" t="str">
        <x:v>https://exdivo.com/comments/exdivo-flora-40k-disposable-vape_933ac4e7</x:v>
      </x:c>
      <x:c r="B274" t="str">
        <x:v>Reviews - STRAWBERRY COLADA - ExDivo FLORA 40K Disposable Vape - ExDivo</x:v>
      </x:c>
      <x:c r="C274" t="str">
        <x:v>48</x:v>
      </x:c>
      <x:c r="D274" t="str">
        <x:v>tropical vape flavor reviews</x:v>
      </x:c>
      <x:c r="E274" t="str">
        <x:v>recommended</x:v>
      </x:c>
      <x:c r="F274" t="n">
        <x:v>0</x:v>
      </x:c>
      <x:c r="G274" t="n">
        <x:v>0</x:v>
      </x:c>
      <x:c r="H274" t="str">
        <x:v>48</x:v>
      </x:c>
    </x:row>
    <x:row r="275">
      <x:c r="A275" t="str">
        <x:v>https://exdivo.com/comments/exdivo-flora-40k-disposable-vape_933ac4e7</x:v>
      </x:c>
      <x:c r="B275" t="str">
        <x:v>Reviews - STRAWBERRY COLADA - ExDivo FLORA 40K Disposable Vape - ExDivo</x:v>
      </x:c>
      <x:c r="C275" t="str">
        <x:v>48</x:v>
      </x:c>
      <x:c r="D275" t="str">
        <x:v>tropical vape flavor review</x:v>
      </x:c>
      <x:c r="E275" t="str">
        <x:v>recommended</x:v>
      </x:c>
      <x:c r="F275" t="n">
        <x:v>0</x:v>
      </x:c>
      <x:c r="G275" t="n">
        <x:v>0</x:v>
      </x:c>
      <x:c r="H275" t="str">
        <x:v>48</x:v>
      </x:c>
    </x:row>
    <x:row r="276">
      <x:c r="A276" t="str">
        <x:v>https://exdivo.com/comments/exdivo-flora-40k-disposable-vape_933ac4e7</x:v>
      </x:c>
      <x:c r="B276" t="str">
        <x:v>Reviews - STRAWBERRY COLADA - ExDivo FLORA 40K Disposable Vape - ExDivo</x:v>
      </x:c>
      <x:c r="C276" t="str">
        <x:v>48</x:v>
      </x:c>
      <x:c r="D276" t="str">
        <x:v>strawberry pina colada vape</x:v>
      </x:c>
      <x:c r="E276" t="str">
        <x:v>recommended</x:v>
      </x:c>
      <x:c r="F276" t="n">
        <x:v>140</x:v>
      </x:c>
      <x:c r="G276" t="n">
        <x:v>0</x:v>
      </x:c>
      <x:c r="H276" t="str">
        <x:v>informational</x:v>
      </x:c>
    </x:row>
    <x:row r="277">
      <x:c r="A277" t="str">
        <x:v>https://exdivo.com/products/exdivo-interstellar-35k-disposable-vape_a50f7cf9</x:v>
      </x:c>
      <x:c r="B277" t="str">
        <x:v>ExDivo INTERSTELLAR 35K Disposable Vape</x:v>
      </x:c>
      <x:c r="C277" t="str">
        <x:v>35000 puffs</x:v>
      </x:c>
      <x:c r="D277" t="str">
        <x:v>interstellar 35k disposable vape</x:v>
      </x:c>
      <x:c r="E277" t="str">
        <x:v>recommended</x:v>
      </x:c>
      <x:c r="F277" t="n">
        <x:v>0</x:v>
      </x:c>
      <x:c r="G277" t="n">
        <x:v>0</x:v>
      </x:c>
      <x:c r="H277" t="str">
        <x:v>48</x:v>
      </x:c>
    </x:row>
    <x:row r="278">
      <x:c r="A278" t="str">
        <x:v>https://exdivo.com/products/exdivo-interstellar-35k-disposable-vape_a50f7cf9</x:v>
      </x:c>
      <x:c r="B278" t="str">
        <x:v>ExDivo INTERSTELLAR 35K Disposable Vape</x:v>
      </x:c>
      <x:c r="C278" t="str">
        <x:v>35000 puffs</x:v>
      </x:c>
      <x:c r="D278" t="str">
        <x:v>interstellar disposable vape</x:v>
      </x:c>
      <x:c r="E278" t="str">
        <x:v>recommended</x:v>
      </x:c>
      <x:c r="F278" t="n">
        <x:v>0</x:v>
      </x:c>
      <x:c r="G278" t="n">
        <x:v>0</x:v>
      </x:c>
      <x:c r="H278" t="str">
        <x:v>48</x:v>
      </x:c>
    </x:row>
    <x:row r="279">
      <x:c r="A279" t="str">
        <x:v>https://exdivo.com/products/exdivo-interstellar-35k-disposable-vape_a50f7cf9</x:v>
      </x:c>
      <x:c r="B279" t="str">
        <x:v>ExDivo INTERSTELLAR 35K Disposable Vape</x:v>
      </x:c>
      <x:c r="C279" t="str">
        <x:v>35000 puffs</x:v>
      </x:c>
      <x:c r="D279" t="str">
        <x:v>interstellar 35000 puff vape</x:v>
      </x:c>
      <x:c r="E279" t="str">
        <x:v>recommended</x:v>
      </x:c>
      <x:c r="F279" t="n">
        <x:v>0</x:v>
      </x:c>
      <x:c r="G279" t="n">
        <x:v>0</x:v>
      </x:c>
      <x:c r="H279" t="str">
        <x:v>48</x:v>
      </x:c>
    </x:row>
    <x:row r="280">
      <x:c r="A280" t="str">
        <x:v>https://exdivo.com/comments/exdivo-bright-mirror-35k-replaceable-vape-kit_9d9e42e4?writeComment=true</x:v>
      </x:c>
      <x:c r="B280" t="str">
        <x:v>Reviews - COOL MINT - ExDivo BRIGHT MIRROR 35K Replaceable VAPE kit - ExDivo</x:v>
      </x:c>
      <x:c r="C280" t="str">
        <x:v>48</x:v>
      </x:c>
      <x:c r="D280" t="str">
        <x:v>bright mirror 35k replaceable vape review</x:v>
      </x:c>
      <x:c r="E280" t="str">
        <x:v>recommended</x:v>
      </x:c>
      <x:c r="F280" t="n">
        <x:v>0</x:v>
      </x:c>
      <x:c r="G280" t="n">
        <x:v>0</x:v>
      </x:c>
      <x:c r="H280" t="str">
        <x:v>48</x:v>
      </x:c>
    </x:row>
    <x:row r="281">
      <x:c r="A281" t="str">
        <x:v>https://exdivo.com/comments/exdivo-bright-mirror-35k-replaceable-vape-kit_9d9e42e4?writeComment=true</x:v>
      </x:c>
      <x:c r="B281" t="str">
        <x:v>Reviews - COOL MINT - ExDivo BRIGHT MIRROR 35K Replaceable VAPE kit - ExDivo</x:v>
      </x:c>
      <x:c r="C281" t="str">
        <x:v>48</x:v>
      </x:c>
      <x:c r="D281" t="str">
        <x:v>mint vape flavor reviews</x:v>
      </x:c>
      <x:c r="E281" t="str">
        <x:v>recommended</x:v>
      </x:c>
      <x:c r="F281" t="n">
        <x:v>0</x:v>
      </x:c>
      <x:c r="G281" t="n">
        <x:v>0</x:v>
      </x:c>
      <x:c r="H281" t="str">
        <x:v>48</x:v>
      </x:c>
    </x:row>
    <x:row r="282">
      <x:c r="A282" t="str">
        <x:v>https://exdivo.com/comments/exdivo-bright-mirror-35k-replaceable-vape-kit_9d9e42e4?writeComment=true</x:v>
      </x:c>
      <x:c r="B282" t="str">
        <x:v>Reviews - COOL MINT - ExDivo BRIGHT MIRROR 35K Replaceable VAPE kit - ExDivo</x:v>
      </x:c>
      <x:c r="C282" t="str">
        <x:v>48</x:v>
      </x:c>
      <x:c r="D282" t="str">
        <x:v>cool mint vape review</x:v>
      </x:c>
      <x:c r="E282" t="str">
        <x:v>recommended</x:v>
      </x:c>
      <x:c r="F282" t="n">
        <x:v>0</x:v>
      </x:c>
      <x:c r="G282" t="n">
        <x:v>0</x:v>
      </x:c>
      <x:c r="H282" t="str">
        <x:v>48</x:v>
      </x:c>
    </x:row>
    <x:row r="283">
      <x:c r="A283" t="str">
        <x:v>https://exdivo.com/comments/exdivo-bright-mirror-35k-replaceable-vape-kit_9d9e42e4?writeComment=true</x:v>
      </x:c>
      <x:c r="B283" t="str">
        <x:v>Reviews - COOL MINT - ExDivo BRIGHT MIRROR 35K Replaceable VAPE kit - ExDivo</x:v>
      </x:c>
      <x:c r="C283" t="str">
        <x:v>48</x:v>
      </x:c>
      <x:c r="D283" t="str">
        <x:v>mint flavored vape review</x:v>
      </x:c>
      <x:c r="E283" t="str">
        <x:v>recommended</x:v>
      </x:c>
      <x:c r="F283" t="n">
        <x:v>0</x:v>
      </x:c>
      <x:c r="G283" t="n">
        <x:v>0</x:v>
      </x:c>
      <x:c r="H283" t="str">
        <x:v>48</x:v>
      </x:c>
    </x:row>
    <x:row r="284">
      <x:c r="A284" t="str">
        <x:v>https://exdivo.com/collections/interstellar?page=1</x:v>
      </x:c>
      <x:c r="B284" t="str">
        <x:v>Exdivo collections INTERSTELLAR</x:v>
      </x:c>
      <x:c r="C284" t="str">
        <x:v>interstellar</x:v>
      </x:c>
      <x:c r="D284" t="str">
        <x:v>vape collections interstellar</x:v>
      </x:c>
      <x:c r="E284" t="str">
        <x:v>recommended</x:v>
      </x:c>
      <x:c r="F284" t="n">
        <x:v>0</x:v>
      </x:c>
      <x:c r="G284" t="n">
        <x:v>0</x:v>
      </x:c>
      <x:c r="H284" t="str">
        <x:v>48</x:v>
      </x:c>
    </x:row>
    <x:row r="285">
      <x:c r="A285" t="str">
        <x:v>https://exdivo.com/collections/interstellar?page=1</x:v>
      </x:c>
      <x:c r="B285" t="str">
        <x:v>Exdivo collections INTERSTELLAR</x:v>
      </x:c>
      <x:c r="C285" t="str">
        <x:v>interstellar</x:v>
      </x:c>
      <x:c r="D285" t="str">
        <x:v>interstellar vape collection</x:v>
      </x:c>
      <x:c r="E285" t="str">
        <x:v>recommended</x:v>
      </x:c>
      <x:c r="F285" t="n">
        <x:v>0</x:v>
      </x:c>
      <x:c r="G285" t="n">
        <x:v>0</x:v>
      </x:c>
      <x:c r="H285" t="str">
        <x:v>48</x:v>
      </x:c>
    </x:row>
    <x:row r="286">
      <x:c r="A286" t="str">
        <x:v>https://exdivo.com/collections/interstellar?page=1</x:v>
      </x:c>
      <x:c r="B286" t="str">
        <x:v>Exdivo collections INTERSTELLAR</x:v>
      </x:c>
      <x:c r="C286" t="str">
        <x:v>interstellar</x:v>
      </x:c>
      <x:c r="D286" t="str">
        <x:v>new vape models interstellar</x:v>
      </x:c>
      <x:c r="E286" t="str">
        <x:v>recommended</x:v>
      </x:c>
      <x:c r="F286" t="n">
        <x:v>0</x:v>
      </x:c>
      <x:c r="G286" t="n">
        <x:v>0</x:v>
      </x:c>
      <x:c r="H286" t="str">
        <x:v>48</x:v>
      </x:c>
    </x:row>
    <x:row r="287">
      <x:c r="A287" t="str">
        <x:v>https://exdivo.com/collections/interstellar?page=1</x:v>
      </x:c>
      <x:c r="B287" t="str">
        <x:v>Exdivo collections INTERSTELLAR</x:v>
      </x:c>
      <x:c r="C287" t="str">
        <x:v>interstellar</x:v>
      </x:c>
      <x:c r="D287" t="str">
        <x:v>interstellar vape series</x:v>
      </x:c>
      <x:c r="E287" t="str">
        <x:v>recommended</x:v>
      </x:c>
      <x:c r="F287" t="n">
        <x:v>0</x:v>
      </x:c>
      <x:c r="G287" t="n">
        <x:v>0</x:v>
      </x:c>
      <x:c r="H287" t="str">
        <x:v>48</x:v>
      </x:c>
    </x:row>
    <x:row r="288">
      <x:c r="A288" t="str">
        <x:v>https://exdivo.com/comments/exdivo-kuz-25k-replaceable-pod-vape_35c5ae0c</x:v>
      </x:c>
      <x:c r="B288" t="str">
        <x:v>Reviews - WATERMELON ICE - ExDivo KUZ 25K Replaceable Pod Vape - ExDivo</x:v>
      </x:c>
      <x:c r="C288" t="str">
        <x:v>48</x:v>
      </x:c>
      <x:c r="D288" t="str">
        <x:v>kuz 25k pod vape review</x:v>
      </x:c>
      <x:c r="E288" t="str">
        <x:v>recommended</x:v>
      </x:c>
      <x:c r="F288" t="n">
        <x:v>0</x:v>
      </x:c>
      <x:c r="G288" t="n">
        <x:v>0</x:v>
      </x:c>
      <x:c r="H288" t="str">
        <x:v>48</x:v>
      </x:c>
    </x:row>
    <x:row r="289">
      <x:c r="A289" t="str">
        <x:v>https://exdivo.com/comments/exdivo-kuz-25k-replaceable-pod-vape_35c5ae0c</x:v>
      </x:c>
      <x:c r="B289" t="str">
        <x:v>Reviews - WATERMELON ICE - ExDivo KUZ 25K Replaceable Pod Vape - ExDivo</x:v>
      </x:c>
      <x:c r="C289" t="str">
        <x:v>48</x:v>
      </x:c>
      <x:c r="D289" t="str">
        <x:v>pod vape flavor reviews</x:v>
      </x:c>
      <x:c r="E289" t="str">
        <x:v>recommended</x:v>
      </x:c>
      <x:c r="F289" t="n">
        <x:v>0</x:v>
      </x:c>
      <x:c r="G289" t="n">
        <x:v>0</x:v>
      </x:c>
      <x:c r="H289" t="str">
        <x:v>48</x:v>
      </x:c>
    </x:row>
    <x:row r="290">
      <x:c r="A290" t="str">
        <x:v>https://exdivo.com/comments/exdivo-kuz-25k-replaceable-pod-vape_35c5ae0c</x:v>
      </x:c>
      <x:c r="B290" t="str">
        <x:v>Reviews - WATERMELON ICE - ExDivo KUZ 25K Replaceable Pod Vape - ExDivo</x:v>
      </x:c>
      <x:c r="C290" t="str">
        <x:v>48</x:v>
      </x:c>
      <x:c r="D290" t="str">
        <x:v>kuz 25k replaceable pod vape review</x:v>
      </x:c>
      <x:c r="E290" t="str">
        <x:v>recommended</x:v>
      </x:c>
      <x:c r="F290" t="n">
        <x:v>0</x:v>
      </x:c>
      <x:c r="G290" t="n">
        <x:v>0</x:v>
      </x:c>
      <x:c r="H290" t="str">
        <x:v>48</x:v>
      </x:c>
    </x:row>
    <x:row r="291">
      <x:c r="A291" t="str">
        <x:v>https://exdivo.com/collections/misty-rain/products/exdivo-kuz-25k-replaceable-pod-vape_14c82c6d?data_from=index_index&amp;spm=index_index..block_collection_slides-11702856.7.</x:v>
      </x:c>
      <x:c r="B291" t="str">
        <x:v>ExDivo KUZ 25K Replaceable Pod Vape</x:v>
      </x:c>
      <x:c r="C291" t="str">
        <x:v>25000 puffs</x:v>
      </x:c>
      <x:c r="D291" t="str">
        <x:v>25000 puff replaceable pod vape</x:v>
      </x:c>
      <x:c r="E291" t="str">
        <x:v>recommended</x:v>
      </x:c>
      <x:c r="F291" t="n">
        <x:v>0</x:v>
      </x:c>
      <x:c r="G291" t="n">
        <x:v>0</x:v>
      </x:c>
      <x:c r="H291" t="str">
        <x:v>48</x:v>
      </x:c>
    </x:row>
    <x:row r="292">
      <x:c r="A292" t="str">
        <x:v>https://exdivo.com/collections/misty-rain/products/exdivo-kuz-25k-replaceable-pod-vape_14c82c6d?data_from=index_index&amp;spm=index_index..block_collection_slides-11702856.7.</x:v>
      </x:c>
      <x:c r="B292" t="str">
        <x:v>ExDivo KUZ 25K Replaceable Pod Vape</x:v>
      </x:c>
      <x:c r="C292" t="str">
        <x:v>25000 puffs</x:v>
      </x:c>
      <x:c r="D292" t="str">
        <x:v>kuz replaceable pod vape</x:v>
      </x:c>
      <x:c r="E292" t="str">
        <x:v>recommended</x:v>
      </x:c>
      <x:c r="F292" t="n">
        <x:v>0</x:v>
      </x:c>
      <x:c r="G292" t="n">
        <x:v>0</x:v>
      </x:c>
      <x:c r="H292" t="str">
        <x:v>48</x:v>
      </x:c>
    </x:row>
    <x:row r="293">
      <x:c r="A293" t="str">
        <x:v>https://exdivo.com/collections/全部?data_from=index_index</x:v>
      </x:c>
      <x:c r="B293" t="str">
        <x:v>全部 - ExDivo</x:v>
      </x:c>
      <x:c r="C293" t="str">
        <x:v>全部</x:v>
      </x:c>
      <x:c r="D293" t="str">
        <x:v>complete vape range</x:v>
      </x:c>
      <x:c r="E293" t="str">
        <x:v>recommended</x:v>
      </x:c>
      <x:c r="F293" t="n">
        <x:v>0</x:v>
      </x:c>
      <x:c r="G293" t="n">
        <x:v>0</x:v>
      </x:c>
      <x:c r="H293" t="str">
        <x:v>48</x:v>
      </x:c>
    </x:row>
    <x:row r="294">
      <x:c r="A294" t="str">
        <x:v>https://exdivo.com/collections/meifu?page=1</x:v>
      </x:c>
      <x:c r="B294" t="str">
        <x:v>FLORA - ExDivo</x:v>
      </x:c>
      <x:c r="C294" t="str">
        <x:v>flora</x:v>
      </x:c>
      <x:c r="D294" t="str">
        <x:v>vape models flora</x:v>
      </x:c>
      <x:c r="E294" t="str">
        <x:v>recommended</x:v>
      </x:c>
      <x:c r="F294" t="n">
        <x:v>0</x:v>
      </x:c>
      <x:c r="G294" t="n">
        <x:v>0</x:v>
      </x:c>
      <x:c r="H294" t="str">
        <x:v>48</x:v>
      </x:c>
    </x:row>
    <x:row r="295">
      <x:c r="A295" t="str">
        <x:v>https://exdivo.com/comments/exdivo-kuz-25k-replaceable-pod-vape_b963acca?writeComment=true</x:v>
      </x:c>
      <x:c r="B295" t="str">
        <x:v>Reviews - STRAWBERRY WATERMELON - ExDivo KUZ 25K Replaceable Pod Vape - ExDivo</x:v>
      </x:c>
      <x:c r="C295" t="str">
        <x:v>48</x:v>
      </x:c>
      <x:c r="D295" t="str">
        <x:v>best strawberry watermelon vape pods</x:v>
      </x:c>
      <x:c r="E295" t="str">
        <x:v>recommended</x:v>
      </x:c>
      <x:c r="F295" t="n">
        <x:v>0</x:v>
      </x:c>
      <x:c r="G295" t="n">
        <x:v>0</x:v>
      </x:c>
      <x:c r="H295" t="str">
        <x:v>48</x:v>
      </x:c>
    </x:row>
    <x:row r="296">
      <x:c r="A296" t="str">
        <x:v>https://exdivo.com/comments/exdivo-kuz-25k-replaceable-pod-vape_b963acca?writeComment=true</x:v>
      </x:c>
      <x:c r="B296" t="str">
        <x:v>Reviews - STRAWBERRY WATERMELON - ExDivo KUZ 25K Replaceable Pod Vape - ExDivo</x:v>
      </x:c>
      <x:c r="C296" t="str">
        <x:v>48</x:v>
      </x:c>
      <x:c r="D296" t="str">
        <x:v>replaceable pod vape strawberry watermelon</x:v>
      </x:c>
      <x:c r="E296" t="str">
        <x:v>recommended</x:v>
      </x:c>
      <x:c r="F296" t="n">
        <x:v>0</x:v>
      </x:c>
      <x:c r="G296" t="n">
        <x:v>0</x:v>
      </x:c>
      <x:c r="H296" t="str">
        <x:v>48</x:v>
      </x:c>
    </x:row>
    <x:row r="297">
      <x:c r="A297" t="str">
        <x:v>https://exdivo.com/comments/exdivo-kuz-25k-replaceable-pod-vape_b963acca?writeComment=true</x:v>
      </x:c>
      <x:c r="B297" t="str">
        <x:v>Reviews - STRAWBERRY WATERMELON - ExDivo KUZ 25K Replaceable Pod Vape - ExDivo</x:v>
      </x:c>
      <x:c r="C297" t="str">
        <x:v>48</x:v>
      </x:c>
      <x:c r="D297" t="str">
        <x:v>strawberry watermelon vape review</x:v>
      </x:c>
      <x:c r="E297" t="str">
        <x:v>recommended</x:v>
      </x:c>
      <x:c r="F297" t="n">
        <x:v>0</x:v>
      </x:c>
      <x:c r="G297" t="n">
        <x:v>0</x:v>
      </x:c>
      <x:c r="H297" t="str">
        <x:v>48</x:v>
      </x:c>
    </x:row>
    <x:row r="298">
      <x:c r="A298" t="str">
        <x:v>https://exdivo.com/comments/exdivo-kuz-25k-replaceable-pod-vape_b963acca?writeComment=true</x:v>
      </x:c>
      <x:c r="B298" t="str">
        <x:v>Reviews - STRAWBERRY WATERMELON - ExDivo KUZ 25K Replaceable Pod Vape - ExDivo</x:v>
      </x:c>
      <x:c r="C298" t="str">
        <x:v>48</x:v>
      </x:c>
      <x:c r="D298" t="str">
        <x:v>strawberry watermelon vape pod review</x:v>
      </x:c>
      <x:c r="E298" t="str">
        <x:v>recommended</x:v>
      </x:c>
      <x:c r="F298" t="n">
        <x:v>0</x:v>
      </x:c>
      <x:c r="G298" t="n">
        <x:v>0</x:v>
      </x:c>
      <x:c r="H298" t="str">
        <x:v>48</x:v>
      </x:c>
    </x:row>
    <x:row r="299">
      <x:c r="A299" t="str">
        <x:v>https://exdivo.com/collections/interstellar/products/exdivo-interstellar-35k-disposable-vape_d6ea723a?data_from=index_index&amp;spm=index_index..block_collection_slides-11702936.1.</x:v>
      </x:c>
      <x:c r="B299" t="str">
        <x:v>ExDivo INTERSTELLAR 35K Disposable Vape</x:v>
      </x:c>
      <x:c r="C299" t="str">
        <x:v>35000 puffs</x:v>
      </x:c>
      <x:c r="D299" t="str">
        <x:v>nexa vape 35000 puffs</x:v>
      </x:c>
      <x:c r="E299" t="str">
        <x:v>recommended</x:v>
      </x:c>
      <x:c r="F299" t="n">
        <x:v>70</x:v>
      </x:c>
      <x:c r="G299" t="n">
        <x:v>2</x:v>
      </x:c>
      <x:c r="H299" t="str">
        <x:v>informational, commercial</x:v>
      </x:c>
    </x:row>
    <x:row r="300">
      <x:c r="A300" t="str">
        <x:v>https://exdivo.com/collections/interstellar/products/exdivo-interstellar-35k-disposable-vape_d6ea723a?data_from=index_index&amp;spm=index_index..block_collection_slides-11702936.1.</x:v>
      </x:c>
      <x:c r="B300" t="str">
        <x:v>ExDivo INTERSTELLAR 35K Disposable Vape</x:v>
      </x:c>
      <x:c r="C300" t="str">
        <x:v>35000 puffs</x:v>
      </x:c>
      <x:c r="D300" t="str">
        <x:v>nexa vape 35000</x:v>
      </x:c>
      <x:c r="E300" t="str">
        <x:v>recommended</x:v>
      </x:c>
      <x:c r="F300" t="n">
        <x:v>40</x:v>
      </x:c>
      <x:c r="G300" t="n">
        <x:v>2</x:v>
      </x:c>
      <x:c r="H300" t="str">
        <x:v>informational, commercial</x:v>
      </x:c>
    </x:row>
    <x:row r="301">
      <x:c r="A301" t="str">
        <x:v>https://exdivo.com/collections/interstellar/products/exdivo-interstellar-35k-disposable-vape_d6ea723a?data_from=index_index&amp;spm=index_index..block_collection_slides-11702936.1.</x:v>
      </x:c>
      <x:c r="B301" t="str">
        <x:v>ExDivo INTERSTELLAR 35K Disposable Vape</x:v>
      </x:c>
      <x:c r="C301" t="str">
        <x:v>35000 puffs</x:v>
      </x:c>
      <x:c r="D301" t="str">
        <x:v>fasta vape 35000</x:v>
      </x:c>
      <x:c r="E301" t="str">
        <x:v>recommended</x:v>
      </x:c>
      <x:c r="F301" t="n">
        <x:v>40</x:v>
      </x:c>
      <x:c r="G301" t="n">
        <x:v>6</x:v>
      </x:c>
      <x:c r="H301" t="str">
        <x:v>informational, commercial</x:v>
      </x:c>
    </x:row>
    <x:row r="302">
      <x:c r="A302" t="str">
        <x:v>https://exdivo.com/collections/interstellar/products/exdivo-interstellar-35k-disposable-vape_d6ea723a?data_from=index_index&amp;spm=index_index..block_collection_slides-11702936.1.</x:v>
      </x:c>
      <x:c r="B302" t="str">
        <x:v>ExDivo INTERSTELLAR 35K Disposable Vape</x:v>
      </x:c>
      <x:c r="C302" t="str">
        <x:v>35000 puffs</x:v>
      </x:c>
      <x:c r="D302" t="str">
        <x:v>exdivo 35k puffs</x:v>
      </x:c>
      <x:c r="E302" t="str">
        <x:v>recommended</x:v>
      </x:c>
      <x:c r="F302" t="n">
        <x:v>0</x:v>
      </x:c>
      <x:c r="G302" t="n">
        <x:v>0</x:v>
      </x:c>
      <x:c r="H302" t="str">
        <x:v>48</x:v>
      </x:c>
    </x:row>
    <x:row r="303">
      <x:c r="A303" t="str">
        <x:v>https://exdivo.com/collections/interstellar/products/exdivo-interstellar-35k-disposable-vape_d6ea723a?data_from=index_index&amp;spm=index_index..block_collection_slides-11702936.1.</x:v>
      </x:c>
      <x:c r="B303" t="str">
        <x:v>ExDivo INTERSTELLAR 35K Disposable Vape</x:v>
      </x:c>
      <x:c r="C303" t="str">
        <x:v>35000 puffs</x:v>
      </x:c>
      <x:c r="D303" t="str">
        <x:v>exdivo vape flavors 35000</x:v>
      </x:c>
      <x:c r="E303" t="str">
        <x:v>recommended</x:v>
      </x:c>
      <x:c r="F303" t="n">
        <x:v>0</x:v>
      </x:c>
      <x:c r="G303" t="n">
        <x:v>0</x:v>
      </x:c>
      <x:c r="H303" t="str">
        <x:v>48</x:v>
      </x:c>
    </x:row>
    <x:row r="304">
      <x:c r="A304" t="str">
        <x:v>https://exdivo.com/collections/interstellar/products/exdivo-interstellar-35k-disposable-vape_d6ea723a?data_from=index_index&amp;spm=index_index..block_collection_slides-11702936.1.</x:v>
      </x:c>
      <x:c r="B304" t="str">
        <x:v>ExDivo INTERSTELLAR 35K Disposable Vape</x:v>
      </x:c>
      <x:c r="C304" t="str">
        <x:v>35000 puffs</x:v>
      </x:c>
      <x:c r="D304" t="str">
        <x:v>35k puffs vape</x:v>
      </x:c>
      <x:c r="E304" t="str">
        <x:v>recommended</x:v>
      </x:c>
      <x:c r="F304" t="n">
        <x:v>0</x:v>
      </x:c>
      <x:c r="G304" t="n">
        <x:v>0</x:v>
      </x:c>
      <x:c r="H304" t="str">
        <x:v>48</x:v>
      </x:c>
    </x:row>
    <x:row r="305">
      <x:c r="A305" t="str">
        <x:v>https://exdivo.com/collections/interstellar/products/exdivo-interstellar-35k-disposable-vape_d6ea723a?data_from=index_index&amp;spm=index_index..block_collection_slides-11702936.1.</x:v>
      </x:c>
      <x:c r="B305" t="str">
        <x:v>ExDivo INTERSTELLAR 35K Disposable Vape</x:v>
      </x:c>
      <x:c r="C305" t="str">
        <x:v>35000 puffs</x:v>
      </x:c>
      <x:c r="D305" t="str">
        <x:v>30k vape</x:v>
      </x:c>
      <x:c r="E305" t="str">
        <x:v>recommended</x:v>
      </x:c>
      <x:c r="F305" t="n">
        <x:v>50</x:v>
      </x:c>
      <x:c r="G305" t="n">
        <x:v>10</x:v>
      </x:c>
      <x:c r="H305" t="str">
        <x:v>commercial</x:v>
      </x:c>
    </x:row>
    <x:row r="306">
      <x:c r="A306" t="str">
        <x:v>https://exdivo.com/blogs/best-disposable-vape-flavors-in-2026-top-10-most-popular-choices</x:v>
      </x:c>
      <x:c r="B306" t="str">
        <x:v>Best Disposable Vape Flavors in 2026: Top 10 Most Popular Choices - ExDivo</x:v>
      </x:c>
      <x:c r="C306" t="str">
        <x:v>best disposable vape flavors in 2026: top 10 most popular choices</x:v>
      </x:c>
      <x:c r="D306" t="str">
        <x:v>what are the best disposable vapes</x:v>
      </x:c>
      <x:c r="E306" t="str">
        <x:v>recommended</x:v>
      </x:c>
      <x:c r="F306" t="n">
        <x:v>170</x:v>
      </x:c>
      <x:c r="G306" t="n">
        <x:v>22</x:v>
      </x:c>
      <x:c r="H306" t="str">
        <x:v>commercial</x:v>
      </x:c>
    </x:row>
    <x:row r="307">
      <x:c r="A307" t="str">
        <x:v>https://exdivo.com/blogs/best-disposable-vape-flavors-in-2026-top-10-most-popular-choices</x:v>
      </x:c>
      <x:c r="B307" t="str">
        <x:v>Best Disposable Vape Flavors in 2026: Top 10 Most Popular Choices - ExDivo</x:v>
      </x:c>
      <x:c r="C307" t="str">
        <x:v>best disposable vape flavors in 2026: top 10 most popular choices</x:v>
      </x:c>
      <x:c r="D307" t="str">
        <x:v>what is the most popular vape</x:v>
      </x:c>
      <x:c r="E307" t="str">
        <x:v>recommended</x:v>
      </x:c>
      <x:c r="F307" t="n">
        <x:v>70</x:v>
      </x:c>
      <x:c r="G307" t="n">
        <x:v>21</x:v>
      </x:c>
      <x:c r="H307" t="str">
        <x:v>informational, commercial</x:v>
      </x:c>
    </x:row>
    <x:row r="308">
      <x:c r="A308" t="str">
        <x:v>https://exdivo.com/blogs/best-disposable-vape-flavors-in-2026-top-10-most-popular-choices</x:v>
      </x:c>
      <x:c r="B308" t="str">
        <x:v>Best Disposable Vape Flavors in 2026: Top 10 Most Popular Choices - ExDivo</x:v>
      </x:c>
      <x:c r="C308" t="str">
        <x:v>best disposable vape flavors in 2026: top 10 most popular choices</x:v>
      </x:c>
      <x:c r="D308" t="str">
        <x:v>what is the most popular vape brand</x:v>
      </x:c>
      <x:c r="E308" t="str">
        <x:v>recommended</x:v>
      </x:c>
      <x:c r="F308" t="n">
        <x:v>50</x:v>
      </x:c>
      <x:c r="G308" t="n">
        <x:v>14</x:v>
      </x:c>
      <x:c r="H308" t="str">
        <x:v>informational, commercial</x:v>
      </x:c>
    </x:row>
    <x:row r="309">
      <x:c r="A309" t="str">
        <x:v>https://exdivo.com/blogs/best-disposable-vape-flavors-in-2026-top-10-most-popular-choices</x:v>
      </x:c>
      <x:c r="B309" t="str">
        <x:v>Best Disposable Vape Flavors in 2026: Top 10 Most Popular Choices - ExDivo</x:v>
      </x:c>
      <x:c r="C309" t="str">
        <x:v>best disposable vape flavors in 2026: top 10 most popular choices</x:v>
      </x:c>
      <x:c r="D309" t="str">
        <x:v>best vape brands</x:v>
      </x:c>
      <x:c r="E309" t="str">
        <x:v>recommended</x:v>
      </x:c>
      <x:c r="F309" t="n">
        <x:v>3600</x:v>
      </x:c>
      <x:c r="G309" t="n">
        <x:v>16</x:v>
      </x:c>
      <x:c r="H309" t="str">
        <x:v>commercial</x:v>
      </x:c>
    </x:row>
    <x:row r="310">
      <x:c r="A310" t="str">
        <x:v>https://exdivo.com/blogs/best-disposable-vape-flavors-in-2026-top-10-most-popular-choices</x:v>
      </x:c>
      <x:c r="B310" t="str">
        <x:v>Best Disposable Vape Flavors in 2026: Top 10 Most Popular Choices - ExDivo</x:v>
      </x:c>
      <x:c r="C310" t="str">
        <x:v>best disposable vape flavors in 2026: top 10 most popular choices</x:v>
      </x:c>
      <x:c r="D310" t="str">
        <x:v>popular disposable vape brands</x:v>
      </x:c>
      <x:c r="E310" t="str">
        <x:v>recommended</x:v>
      </x:c>
      <x:c r="F310" t="n">
        <x:v>1600</x:v>
      </x:c>
      <x:c r="G310" t="n">
        <x:v>25</x:v>
      </x:c>
      <x:c r="H310" t="str">
        <x:v>commercial</x:v>
      </x:c>
    </x:row>
    <x:row r="311">
      <x:c r="A311" t="str">
        <x:v>https://exdivo.com/blogs/best-disposable-vape-flavors-in-2026-top-10-most-popular-choices</x:v>
      </x:c>
      <x:c r="B311" t="str">
        <x:v>Best Disposable Vape Flavors in 2026: Top 10 Most Popular Choices - ExDivo</x:v>
      </x:c>
      <x:c r="C311" t="str">
        <x:v>best disposable vape flavors in 2026: top 10 most popular choices</x:v>
      </x:c>
      <x:c r="D311" t="str">
        <x:v>most popular vapes</x:v>
      </x:c>
      <x:c r="E311" t="str">
        <x:v>recommended</x:v>
      </x:c>
      <x:c r="F311" t="n">
        <x:v>1000</x:v>
      </x:c>
      <x:c r="G311" t="n">
        <x:v>26</x:v>
      </x:c>
      <x:c r="H311" t="str">
        <x:v>informational, commercial</x:v>
      </x:c>
    </x:row>
    <x:row r="312">
      <x:c r="A312" t="str">
        <x:v>https://exdivo.com/blogs/best-disposable-vape-flavors-in-2026-top-10-most-popular-choices</x:v>
      </x:c>
      <x:c r="B312" t="str">
        <x:v>Best Disposable Vape Flavors in 2026: Top 10 Most Popular Choices - ExDivo</x:v>
      </x:c>
      <x:c r="C312" t="str">
        <x:v>best disposable vape flavors in 2026: top 10 most popular choices</x:v>
      </x:c>
      <x:c r="D312" t="str">
        <x:v>most popular vape</x:v>
      </x:c>
      <x:c r="E312" t="str">
        <x:v>recommended</x:v>
      </x:c>
      <x:c r="F312" t="n">
        <x:v>720</x:v>
      </x:c>
      <x:c r="G312" t="n">
        <x:v>27</x:v>
      </x:c>
      <x:c r="H312" t="str">
        <x:v>informational, commercial</x:v>
      </x:c>
    </x:row>
    <x:row r="313">
      <x:c r="A313" t="str">
        <x:v>https://exdivo.com/blogs/best-disposable-vape-flavors-in-2026-top-10-most-popular-choices</x:v>
      </x:c>
      <x:c r="B313" t="str">
        <x:v>Best Disposable Vape Flavors in 2026: Top 10 Most Popular Choices - ExDivo</x:v>
      </x:c>
      <x:c r="C313" t="str">
        <x:v>best disposable vape flavors in 2026: top 10 most popular choices</x:v>
      </x:c>
      <x:c r="D313" t="str">
        <x:v>best disposable vape brands</x:v>
      </x:c>
      <x:c r="E313" t="str">
        <x:v>recommended</x:v>
      </x:c>
      <x:c r="F313" t="n">
        <x:v>590</x:v>
      </x:c>
      <x:c r="G313" t="n">
        <x:v>29</x:v>
      </x:c>
      <x:c r="H313" t="str">
        <x:v>commercial</x:v>
      </x:c>
    </x:row>
    <x:row r="314">
      <x:c r="A314" t="str">
        <x:v>https://exdivo.com/blogs/best-disposable-vape-flavors-in-2026-top-10-most-popular-choices</x:v>
      </x:c>
      <x:c r="B314" t="str">
        <x:v>Best Disposable Vape Flavors in 2026: Top 10 Most Popular Choices - ExDivo</x:v>
      </x:c>
      <x:c r="C314" t="str">
        <x:v>best disposable vape flavors in 2026: top 10 most popular choices</x:v>
      </x:c>
      <x:c r="D314" t="str">
        <x:v>most popular vape flavors</x:v>
      </x:c>
      <x:c r="E314" t="str">
        <x:v>recommended</x:v>
      </x:c>
      <x:c r="F314" t="n">
        <x:v>390</x:v>
      </x:c>
      <x:c r="G314" t="n">
        <x:v>17</x:v>
      </x:c>
      <x:c r="H314" t="str">
        <x:v>informational</x:v>
      </x:c>
    </x:row>
    <x:row r="315">
      <x:c r="A315" t="str">
        <x:v>https://exdivo.com/blogs/best-disposable-vape-flavors-in-2026-top-10-most-popular-choices</x:v>
      </x:c>
      <x:c r="B315" t="str">
        <x:v>Best Disposable Vape Flavors in 2026: Top 10 Most Popular Choices - ExDivo</x:v>
      </x:c>
      <x:c r="C315" t="str">
        <x:v>best disposable vape flavors in 2026: top 10 most popular choices</x:v>
      </x:c>
      <x:c r="D315" t="str">
        <x:v>popular disposable vapes</x:v>
      </x:c>
      <x:c r="E315" t="str">
        <x:v>recommended</x:v>
      </x:c>
      <x:c r="F315" t="n">
        <x:v>480</x:v>
      </x:c>
      <x:c r="G315" t="n">
        <x:v>32</x:v>
      </x:c>
      <x:c r="H315" t="str">
        <x:v>informational</x:v>
      </x:c>
    </x:row>
    <x:row r="316">
      <x:c r="A316" t="str">
        <x:v>https://exdivo.com/blogs/best-disposable-vape-flavors-in-2026-top-10-most-popular-choices</x:v>
      </x:c>
      <x:c r="B316" t="str">
        <x:v>Best Disposable Vape Flavors in 2026: Top 10 Most Popular Choices - ExDivo</x:v>
      </x:c>
      <x:c r="C316" t="str">
        <x:v>best disposable vape flavors in 2026: top 10 most popular choices</x:v>
      </x:c>
      <x:c r="D316" t="str">
        <x:v>top 10 disposable vape brands</x:v>
      </x:c>
      <x:c r="E316" t="str">
        <x:v>recommended</x:v>
      </x:c>
      <x:c r="F316" t="n">
        <x:v>260</x:v>
      </x:c>
      <x:c r="G316" t="n">
        <x:v>21</x:v>
      </x:c>
      <x:c r="H316" t="str">
        <x:v>informational, commercial</x:v>
      </x:c>
    </x:row>
    <x:row r="317">
      <x:c r="A317" t="str">
        <x:v>https://exdivo.com/blogs/best-disposable-vape-flavors-in-2026-top-10-most-popular-choices</x:v>
      </x:c>
      <x:c r="B317" t="str">
        <x:v>Best Disposable Vape Flavors in 2026: Top 10 Most Popular Choices - ExDivo</x:v>
      </x:c>
      <x:c r="C317" t="str">
        <x:v>best disposable vape flavors in 2026: top 10 most popular choices</x:v>
      </x:c>
      <x:c r="D317" t="str">
        <x:v>popular vape</x:v>
      </x:c>
      <x:c r="E317" t="str">
        <x:v>recommended</x:v>
      </x:c>
      <x:c r="F317" t="n">
        <x:v>260</x:v>
      </x:c>
      <x:c r="G317" t="n">
        <x:v>34</x:v>
      </x:c>
      <x:c r="H317" t="str">
        <x:v>informational, commercial</x:v>
      </x:c>
    </x:row>
    <x:row r="318">
      <x:c r="A318" t="str">
        <x:v>https://exdivo.com/blogs/best-disposable-vape-flavors-in-2026-top-10-most-popular-choices</x:v>
      </x:c>
      <x:c r="B318" t="str">
        <x:v>Best Disposable Vape Flavors in 2026: Top 10 Most Popular Choices - ExDivo</x:v>
      </x:c>
      <x:c r="C318" t="str">
        <x:v>best disposable vape flavors in 2026: top 10 most popular choices</x:v>
      </x:c>
      <x:c r="D318" t="str">
        <x:v>top rated vapes</x:v>
      </x:c>
      <x:c r="E318" t="str">
        <x:v>recommended</x:v>
      </x:c>
      <x:c r="F318" t="n">
        <x:v>170</x:v>
      </x:c>
      <x:c r="G318" t="n">
        <x:v>24</x:v>
      </x:c>
      <x:c r="H318" t="str">
        <x:v>informational, commercial</x:v>
      </x:c>
    </x:row>
    <x:row r="319">
      <x:c r="A319" t="str">
        <x:v>https://exdivo.com/blogs/best-disposable-vape-flavors-in-2026-top-10-most-popular-choices</x:v>
      </x:c>
      <x:c r="B319" t="str">
        <x:v>Best Disposable Vape Flavors in 2026: Top 10 Most Popular Choices - ExDivo</x:v>
      </x:c>
      <x:c r="C319" t="str">
        <x:v>best disposable vape flavors in 2026: top 10 most popular choices</x:v>
      </x:c>
      <x:c r="D319" t="str">
        <x:v>popular vape flavors</x:v>
      </x:c>
      <x:c r="E319" t="str">
        <x:v>recommended</x:v>
      </x:c>
      <x:c r="F319" t="n">
        <x:v>590</x:v>
      </x:c>
      <x:c r="G319" t="n">
        <x:v>16</x:v>
      </x:c>
      <x:c r="H319" t="str">
        <x:v>informational</x:v>
      </x:c>
    </x:row>
    <x:row r="320">
      <x:c r="A320" t="str">
        <x:v>https://exdivo.com/blogs/best-disposable-vape-flavors-in-2026-top-10-most-popular-choices</x:v>
      </x:c>
      <x:c r="B320" t="str">
        <x:v>Best Disposable Vape Flavors in 2026: Top 10 Most Popular Choices - ExDivo</x:v>
      </x:c>
      <x:c r="C320" t="str">
        <x:v>best disposable vape flavors in 2026: top 10 most popular choices</x:v>
      </x:c>
      <x:c r="D320" t="str">
        <x:v>top disposable vapes</x:v>
      </x:c>
      <x:c r="E320" t="str">
        <x:v>recommended</x:v>
      </x:c>
      <x:c r="F320" t="n">
        <x:v>140</x:v>
      </x:c>
      <x:c r="G320" t="n">
        <x:v>20</x:v>
      </x:c>
      <x:c r="H320" t="str">
        <x:v>commercial</x:v>
      </x:c>
    </x:row>
    <x:row r="321">
      <x:c r="A321" t="str">
        <x:v>https://exdivo.com/blogs/best-disposable-vape-flavors-in-2026-top-10-most-popular-choices</x:v>
      </x:c>
      <x:c r="B321" t="str">
        <x:v>Best Disposable Vape Flavors in 2026: Top 10 Most Popular Choices - ExDivo</x:v>
      </x:c>
      <x:c r="C321" t="str">
        <x:v>best disposable vape flavors in 2026: top 10 most popular choices</x:v>
      </x:c>
      <x:c r="D321" t="str">
        <x:v>top 10 vapes</x:v>
      </x:c>
      <x:c r="E321" t="str">
        <x:v>recommended</x:v>
      </x:c>
      <x:c r="F321" t="n">
        <x:v>140</x:v>
      </x:c>
      <x:c r="G321" t="n">
        <x:v>24</x:v>
      </x:c>
      <x:c r="H321" t="str">
        <x:v>informational, commercial</x:v>
      </x:c>
    </x:row>
    <x:row r="322">
      <x:c r="A322" t="str">
        <x:v>https://exdivo.com/blogs/best-disposable-vape-flavors-in-2026-top-10-most-popular-choices</x:v>
      </x:c>
      <x:c r="B322" t="str">
        <x:v>Best Disposable Vape Flavors in 2026: Top 10 Most Popular Choices - ExDivo</x:v>
      </x:c>
      <x:c r="C322" t="str">
        <x:v>best disposable vape flavors in 2026: top 10 most popular choices</x:v>
      </x:c>
      <x:c r="D322" t="str">
        <x:v>best selling vapes</x:v>
      </x:c>
      <x:c r="E322" t="str">
        <x:v>recommended</x:v>
      </x:c>
      <x:c r="F322" t="n">
        <x:v>110</x:v>
      </x:c>
      <x:c r="G322" t="n">
        <x:v>19</x:v>
      </x:c>
      <x:c r="H322" t="str">
        <x:v>commercial</x:v>
      </x:c>
    </x:row>
    <x:row r="323">
      <x:c r="A323" t="str">
        <x:v>https://exdivo.com/blogs/best-disposable-vape-flavors-in-2026-top-10-most-popular-choices</x:v>
      </x:c>
      <x:c r="B323" t="str">
        <x:v>Best Disposable Vape Flavors in 2026: Top 10 Most Popular Choices - ExDivo</x:v>
      </x:c>
      <x:c r="C323" t="str">
        <x:v>best disposable vape flavors in 2026: top 10 most popular choices</x:v>
      </x:c>
      <x:c r="D323" t="str">
        <x:v>common vape brands</x:v>
      </x:c>
      <x:c r="E323" t="str">
        <x:v>recommended</x:v>
      </x:c>
      <x:c r="F323" t="n">
        <x:v>110</x:v>
      </x:c>
      <x:c r="G323" t="n">
        <x:v>20</x:v>
      </x:c>
      <x:c r="H323" t="str">
        <x:v>informational, commercial</x:v>
      </x:c>
    </x:row>
    <x:row r="324">
      <x:c r="A324" t="str">
        <x:v>https://exdivo.com/blogs/best-disposable-vape-flavors-in-2026-top-10-most-popular-choices</x:v>
      </x:c>
      <x:c r="B324" t="str">
        <x:v>Best Disposable Vape Flavors in 2026: Top 10 Most Popular Choices - ExDivo</x:v>
      </x:c>
      <x:c r="C324" t="str">
        <x:v>best disposable vape flavors in 2026: top 10 most popular choices</x:v>
      </x:c>
      <x:c r="D324" t="str">
        <x:v>top 10 vape flavors</x:v>
      </x:c>
      <x:c r="E324" t="str">
        <x:v>recommended</x:v>
      </x:c>
      <x:c r="F324" t="n">
        <x:v>50</x:v>
      </x:c>
      <x:c r="G324" t="n">
        <x:v>0</x:v>
      </x:c>
      <x:c r="H324" t="str">
        <x:v>informational, commercial</x:v>
      </x:c>
    </x:row>
    <x:row r="325">
      <x:c r="A325" t="str">
        <x:v>https://exdivo.com/blogs/best-disposable-vape-flavors-in-2026-top-10-most-popular-choices</x:v>
      </x:c>
      <x:c r="B325" t="str">
        <x:v>Best Disposable Vape Flavors in 2026: Top 10 Most Popular Choices - ExDivo</x:v>
      </x:c>
      <x:c r="C325" t="str">
        <x:v>best disposable vape flavors in 2026: top 10 most popular choices</x:v>
      </x:c>
      <x:c r="D325" t="str">
        <x:v>most popular disposable vape brands</x:v>
      </x:c>
      <x:c r="E325" t="str">
        <x:v>recommended</x:v>
      </x:c>
      <x:c r="F325" t="n">
        <x:v>90</x:v>
      </x:c>
      <x:c r="G325" t="n">
        <x:v>25</x:v>
      </x:c>
      <x:c r="H325" t="str">
        <x:v>informational</x:v>
      </x:c>
    </x:row>
    <x:row r="326">
      <x:c r="A326" t="str">
        <x:v>https://exdivo.com/blogs/best-disposable-vape-flavors-in-2026-top-10-most-popular-choices</x:v>
      </x:c>
      <x:c r="B326" t="str">
        <x:v>Best Disposable Vape Flavors in 2026: Top 10 Most Popular Choices - ExDivo</x:v>
      </x:c>
      <x:c r="C326" t="str">
        <x:v>best disposable vape flavors in 2026: top 10 most popular choices</x:v>
      </x:c>
      <x:c r="D326" t="str">
        <x:v>most popular vape flavor</x:v>
      </x:c>
      <x:c r="E326" t="str">
        <x:v>recommended</x:v>
      </x:c>
      <x:c r="F326" t="n">
        <x:v>50</x:v>
      </x:c>
      <x:c r="G326" t="n">
        <x:v>16</x:v>
      </x:c>
      <x:c r="H326" t="str">
        <x:v>commercial</x:v>
      </x:c>
    </x:row>
    <x:row r="327">
      <x:c r="A327" t="str">
        <x:v>https://exdivo.com/blogs/best-disposable-vape-flavors-in-2026-top-10-most-popular-choices</x:v>
      </x:c>
      <x:c r="B327" t="str">
        <x:v>Best Disposable Vape Flavors in 2026: Top 10 Most Popular Choices - ExDivo</x:v>
      </x:c>
      <x:c r="C327" t="str">
        <x:v>best disposable vape flavors in 2026: top 10 most popular choices</x:v>
      </x:c>
      <x:c r="D327" t="str">
        <x:v>top 10 disposable vapes</x:v>
      </x:c>
      <x:c r="E327" t="str">
        <x:v>recommended</x:v>
      </x:c>
      <x:c r="F327" t="n">
        <x:v>70</x:v>
      </x:c>
      <x:c r="G327" t="n">
        <x:v>25</x:v>
      </x:c>
      <x:c r="H327" t="str">
        <x:v>informational, commercial</x:v>
      </x:c>
    </x:row>
    <x:row r="328">
      <x:c r="A328" t="str">
        <x:v>https://exdivo.com/blogs/best-disposable-vape-flavors-in-2026-top-10-most-popular-choices</x:v>
      </x:c>
      <x:c r="B328" t="str">
        <x:v>Best Disposable Vape Flavors in 2026: Top 10 Most Popular Choices - ExDivo</x:v>
      </x:c>
      <x:c r="C328" t="str">
        <x:v>best disposable vape flavors in 2026: top 10 most popular choices</x:v>
      </x:c>
      <x:c r="D328" t="str">
        <x:v>popular vapes brands</x:v>
      </x:c>
      <x:c r="E328" t="str">
        <x:v>recommended</x:v>
      </x:c>
      <x:c r="F328" t="n">
        <x:v>70</x:v>
      </x:c>
      <x:c r="G328" t="n">
        <x:v>21</x:v>
      </x:c>
      <x:c r="H328" t="str">
        <x:v>informational, commercial</x:v>
      </x:c>
    </x:row>
    <x:row r="329">
      <x:c r="A329" t="str">
        <x:v>https://exdivo.com/blogs/best-disposable-vape-flavors-in-2026-top-10-most-popular-choices</x:v>
      </x:c>
      <x:c r="B329" t="str">
        <x:v>Best Disposable Vape Flavors in 2026: Top 10 Most Popular Choices - ExDivo</x:v>
      </x:c>
      <x:c r="C329" t="str">
        <x:v>best disposable vape flavors in 2026: top 10 most popular choices</x:v>
      </x:c>
      <x:c r="D329" t="str">
        <x:v>most common vapes</x:v>
      </x:c>
      <x:c r="E329" t="str">
        <x:v>recommended</x:v>
      </x:c>
      <x:c r="F329" t="n">
        <x:v>50</x:v>
      </x:c>
      <x:c r="G329" t="n">
        <x:v>12</x:v>
      </x:c>
      <x:c r="H329" t="str">
        <x:v>informational, commercial</x:v>
      </x:c>
    </x:row>
    <x:row r="330">
      <x:c r="A330" t="str">
        <x:v>https://exdivo.com/blogs/best-disposable-vape-flavors-in-2026-top-10-most-popular-choices</x:v>
      </x:c>
      <x:c r="B330" t="str">
        <x:v>Best Disposable Vape Flavors in 2026: Top 10 Most Popular Choices - ExDivo</x:v>
      </x:c>
      <x:c r="C330" t="str">
        <x:v>best disposable vape flavors in 2026: top 10 most popular choices</x:v>
      </x:c>
      <x:c r="D330" t="str">
        <x:v>best selling vape juice</x:v>
      </x:c>
      <x:c r="E330" t="str">
        <x:v>recommended</x:v>
      </x:c>
      <x:c r="F330" t="n">
        <x:v>40</x:v>
      </x:c>
      <x:c r="G330" t="n">
        <x:v>11</x:v>
      </x:c>
      <x:c r="H330" t="str">
        <x:v>commercial</x:v>
      </x:c>
    </x:row>
    <x:row r="331">
      <x:c r="A331" t="str">
        <x:v>https://exdivo.com/blogs/best-disposable-vape-flavors-in-2026-top-10-most-popular-choices</x:v>
      </x:c>
      <x:c r="B331" t="str">
        <x:v>Best Disposable Vape Flavors in 2026: Top 10 Most Popular Choices - ExDivo</x:v>
      </x:c>
      <x:c r="C331" t="str">
        <x:v>best disposable vape flavors in 2026: top 10 most popular choices</x:v>
      </x:c>
      <x:c r="D331" t="str">
        <x:v>top selling vapes</x:v>
      </x:c>
      <x:c r="E331" t="str">
        <x:v>recommended</x:v>
      </x:c>
      <x:c r="F331" t="n">
        <x:v>50</x:v>
      </x:c>
      <x:c r="G331" t="n">
        <x:v>19</x:v>
      </x:c>
      <x:c r="H331" t="str">
        <x:v>informational, commercial</x:v>
      </x:c>
    </x:row>
    <x:row r="332">
      <x:c r="A332" t="str">
        <x:v>https://exdivo.com/blogs/best-disposable-vape-flavors-in-2026-top-10-most-popular-choices</x:v>
      </x:c>
      <x:c r="B332" t="str">
        <x:v>Best Disposable Vape Flavors in 2026: Top 10 Most Popular Choices - ExDivo</x:v>
      </x:c>
      <x:c r="C332" t="str">
        <x:v>best disposable vape flavors in 2026: top 10 most popular choices</x:v>
      </x:c>
      <x:c r="D332" t="str">
        <x:v>best selling vape brands</x:v>
      </x:c>
      <x:c r="E332" t="str">
        <x:v>recommended</x:v>
      </x:c>
      <x:c r="F332" t="n">
        <x:v>40</x:v>
      </x:c>
      <x:c r="G332" t="n">
        <x:v>14</x:v>
      </x:c>
      <x:c r="H332" t="str">
        <x:v>commercial</x:v>
      </x:c>
    </x:row>
    <x:row r="333">
      <x:c r="A333" t="str">
        <x:v>https://exdivo.com/blogs/best-disposable-vape-flavors-in-2026-top-10-most-popular-choices</x:v>
      </x:c>
      <x:c r="B333" t="str">
        <x:v>Best Disposable Vape Flavors in 2026: Top 10 Most Popular Choices - ExDivo</x:v>
      </x:c>
      <x:c r="C333" t="str">
        <x:v>best disposable vape flavors in 2026: top 10 most popular choices</x:v>
      </x:c>
      <x:c r="D333" t="str">
        <x:v>popular kinds of vape</x:v>
      </x:c>
      <x:c r="E333" t="str">
        <x:v>recommended</x:v>
      </x:c>
      <x:c r="F333" t="n">
        <x:v>50</x:v>
      </x:c>
      <x:c r="G333" t="n">
        <x:v>20</x:v>
      </x:c>
      <x:c r="H333" t="str">
        <x:v>informational, commercial</x:v>
      </x:c>
    </x:row>
    <x:row r="334">
      <x:c r="A334" t="str">
        <x:v>https://exdivo.com/blogs/best-disposable-vape-flavors-in-2026-top-10-most-popular-choices</x:v>
      </x:c>
      <x:c r="B334" t="str">
        <x:v>Best Disposable Vape Flavors in 2026: Top 10 Most Popular Choices - ExDivo</x:v>
      </x:c>
      <x:c r="C334" t="str">
        <x:v>best disposable vape flavors in 2026: top 10 most popular choices</x:v>
      </x:c>
      <x:c r="D334" t="str">
        <x:v>most popular vape pens</x:v>
      </x:c>
      <x:c r="E334" t="str">
        <x:v>recommended</x:v>
      </x:c>
      <x:c r="F334" t="n">
        <x:v>50</x:v>
      </x:c>
      <x:c r="G334" t="n">
        <x:v>20</x:v>
      </x:c>
      <x:c r="H334" t="str">
        <x:v>informational, commercial</x:v>
      </x:c>
    </x:row>
    <x:row r="335">
      <x:c r="A335" t="str">
        <x:v>https://exdivo.com/blogs/best-disposable-vape-flavors-in-2026-top-10-most-popular-choices</x:v>
      </x:c>
      <x:c r="B335" t="str">
        <x:v>Best Disposable Vape Flavors in 2026: Top 10 Most Popular Choices - ExDivo</x:v>
      </x:c>
      <x:c r="C335" t="str">
        <x:v>best disposable vape flavors in 2026: top 10 most popular choices</x:v>
      </x:c>
      <x:c r="D335" t="str">
        <x:v>top 5 disposable vapes</x:v>
      </x:c>
      <x:c r="E335" t="str">
        <x:v>recommended</x:v>
      </x:c>
      <x:c r="F335" t="n">
        <x:v>40</x:v>
      </x:c>
      <x:c r="G335" t="n">
        <x:v>24</x:v>
      </x:c>
      <x:c r="H335" t="str">
        <x:v>informational, commercial</x:v>
      </x:c>
    </x:row>
    <x:row r="336">
      <x:c r="A336" t="str">
        <x:v>https://exdivo.com/comments/exdivo-interstellar-35k-disposable-vape_45a63f07</x:v>
      </x:c>
      <x:c r="B336" t="str">
        <x:v>Reviews - Strawberry Banana - ExDivo INTERSTELLAR 35K Disposable Vape - ExDivo</x:v>
      </x:c>
      <x:c r="C336" t="str">
        <x:v>48</x:v>
      </x:c>
      <x:c r="D336" t="str">
        <x:v>disposable vape strawberry banana</x:v>
      </x:c>
      <x:c r="E336" t="str">
        <x:v>recommended</x:v>
      </x:c>
      <x:c r="F336" t="n">
        <x:v>0</x:v>
      </x:c>
      <x:c r="G336" t="n">
        <x:v>0</x:v>
      </x:c>
      <x:c r="H336" t="str">
        <x:v>48</x:v>
      </x:c>
    </x:row>
    <x:row r="337">
      <x:c r="A337" t="str">
        <x:v>https://exdivo.com/comments/exdivo-interstellar-35k-disposable-vape_45a63f07</x:v>
      </x:c>
      <x:c r="B337" t="str">
        <x:v>Reviews - Strawberry Banana - ExDivo INTERSTELLAR 35K Disposable Vape - ExDivo</x:v>
      </x:c>
      <x:c r="C337" t="str">
        <x:v>48</x:v>
      </x:c>
      <x:c r="D337" t="str">
        <x:v>best strawberry banana disposable vape</x:v>
      </x:c>
      <x:c r="E337" t="str">
        <x:v>recommended</x:v>
      </x:c>
      <x:c r="F337" t="n">
        <x:v>0</x:v>
      </x:c>
      <x:c r="G337" t="n">
        <x:v>0</x:v>
      </x:c>
      <x:c r="H337" t="str">
        <x:v>48</x:v>
      </x:c>
    </x:row>
    <x:row r="338">
      <x:c r="A338" t="str">
        <x:v>https://exdivo.com/comments/exdivo-interstellar-35k-disposable-vape_45a63f07</x:v>
      </x:c>
      <x:c r="B338" t="str">
        <x:v>Reviews - Strawberry Banana - ExDivo INTERSTELLAR 35K Disposable Vape - ExDivo</x:v>
      </x:c>
      <x:c r="C338" t="str">
        <x:v>48</x:v>
      </x:c>
      <x:c r="D338" t="str">
        <x:v>strawberry banana vape review</x:v>
      </x:c>
      <x:c r="E338" t="str">
        <x:v>recommended</x:v>
      </x:c>
      <x:c r="F338" t="n">
        <x:v>0</x:v>
      </x:c>
      <x:c r="G338" t="n">
        <x:v>0</x:v>
      </x:c>
      <x:c r="H338" t="str">
        <x:v>48</x:v>
      </x:c>
    </x:row>
    <x:row r="339">
      <x:c r="A339" t="str">
        <x:v>https://exdivo.com/comments/exdivo-interstellar-35k-disposable-vape_45a63f07</x:v>
      </x:c>
      <x:c r="B339" t="str">
        <x:v>Reviews - Strawberry Banana - ExDivo INTERSTELLAR 35K Disposable Vape - ExDivo</x:v>
      </x:c>
      <x:c r="C339" t="str">
        <x:v>48</x:v>
      </x:c>
      <x:c r="D339" t="str">
        <x:v>strawberry banana vapes</x:v>
      </x:c>
      <x:c r="E339" t="str">
        <x:v>recommended</x:v>
      </x:c>
      <x:c r="F339" t="n">
        <x:v>90</x:v>
      </x:c>
      <x:c r="G339" t="n">
        <x:v>1</x:v>
      </x:c>
      <x:c r="H339" t="str">
        <x:v>informational</x:v>
      </x:c>
    </x:row>
    <x:row r="340">
      <x:c r="A340" t="str">
        <x:v>https://exdivo.com/comments/exdivo-interstellar-35k-disposable-vape_45a63f07</x:v>
      </x:c>
      <x:c r="B340" t="str">
        <x:v>Reviews - Strawberry Banana - ExDivo INTERSTELLAR 35K Disposable Vape - ExDivo</x:v>
      </x:c>
      <x:c r="C340" t="str">
        <x:v>48</x:v>
      </x:c>
      <x:c r="D340" t="str">
        <x:v>strawberry banana vape</x:v>
      </x:c>
      <x:c r="E340" t="str">
        <x:v>recommended</x:v>
      </x:c>
      <x:c r="F340" t="n">
        <x:v>880</x:v>
      </x:c>
      <x:c r="G340" t="n">
        <x:v>10</x:v>
      </x:c>
      <x:c r="H340" t="str">
        <x:v>informational</x:v>
      </x:c>
    </x:row>
    <x:row r="341">
      <x:c r="A341" t="str">
        <x:v>https://exdivo.com/products/exdivo-kuz-25k-replaceable-pod-vape_11a813e7?data_from=blog_detail&amp;spm=</x:v>
      </x:c>
      <x:c r="B341" t="str">
        <x:v>ExDivo KUZ 25K Replaceable Pod Vape</x:v>
      </x:c>
      <x:c r="C341" t="str">
        <x:v>25000 puffs</x:v>
      </x:c>
      <x:c r="D341" t="str">
        <x:v>vape pod</x:v>
      </x:c>
      <x:c r="E341" t="str">
        <x:v>recommended</x:v>
      </x:c>
      <x:c r="F341" t="n">
        <x:v>2900</x:v>
      </x:c>
      <x:c r="G341" t="n">
        <x:v>38</x:v>
      </x:c>
      <x:c r="H341" t="str">
        <x:v>informational</x:v>
      </x:c>
    </x:row>
    <x:row r="342">
      <x:c r="A342" t="str">
        <x:v>https://exdivo.com/products/exdivo-kuz-25k-replaceable-pod-vape_11a813e7?data_from=blog_detail&amp;spm=</x:v>
      </x:c>
      <x:c r="B342" t="str">
        <x:v>ExDivo KUZ 25K Replaceable Pod Vape</x:v>
      </x:c>
      <x:c r="C342" t="str">
        <x:v>25000 puffs</x:v>
      </x:c>
      <x:c r="D342" t="str">
        <x:v>best pod vape</x:v>
      </x:c>
      <x:c r="E342" t="str">
        <x:v>recommended</x:v>
      </x:c>
      <x:c r="F342" t="n">
        <x:v>1600</x:v>
      </x:c>
      <x:c r="G342" t="n">
        <x:v>21</x:v>
      </x:c>
      <x:c r="H342" t="str">
        <x:v>commercial</x:v>
      </x:c>
    </x:row>
    <x:row r="343">
      <x:c r="A343" t="str">
        <x:v>https://exdivo.com/products/exdivo-kuz-25k-replaceable-pod-vape_11a813e7?data_from=blog_detail&amp;spm=</x:v>
      </x:c>
      <x:c r="B343" t="str">
        <x:v>ExDivo KUZ 25K Replaceable Pod Vape</x:v>
      </x:c>
      <x:c r="C343" t="str">
        <x:v>25000 puffs</x:v>
      </x:c>
      <x:c r="D343" t="str">
        <x:v>pod ecig</x:v>
      </x:c>
      <x:c r="E343" t="str">
        <x:v>recommended</x:v>
      </x:c>
      <x:c r="F343" t="n">
        <x:v>2400</x:v>
      </x:c>
      <x:c r="G343" t="n">
        <x:v>49</x:v>
      </x:c>
      <x:c r="H343" t="str">
        <x:v>commercial</x:v>
      </x:c>
    </x:row>
    <x:row r="344">
      <x:c r="A344" t="str">
        <x:v>https://exdivo.com/products/exdivo-kuz-25k-replaceable-pod-vape_11a813e7?data_from=blog_detail&amp;spm=</x:v>
      </x:c>
      <x:c r="B344" t="str">
        <x:v>ExDivo KUZ 25K Replaceable Pod Vape</x:v>
      </x:c>
      <x:c r="C344" t="str">
        <x:v>25000 puffs</x:v>
      </x:c>
      <x:c r="D344" t="str">
        <x:v>pod vapes</x:v>
      </x:c>
      <x:c r="E344" t="str">
        <x:v>recommended</x:v>
      </x:c>
      <x:c r="F344" t="n">
        <x:v>1900</x:v>
      </x:c>
      <x:c r="G344" t="n">
        <x:v>45</x:v>
      </x:c>
      <x:c r="H344" t="str">
        <x:v>commercial</x:v>
      </x:c>
    </x:row>
    <x:row r="345">
      <x:c r="A345" t="str">
        <x:v>https://exdivo.com/products/exdivo-kuz-25k-replaceable-pod-vape_11a813e7?data_from=blog_detail&amp;spm=</x:v>
      </x:c>
      <x:c r="B345" t="str">
        <x:v>ExDivo KUZ 25K Replaceable Pod Vape</x:v>
      </x:c>
      <x:c r="C345" t="str">
        <x:v>25000 puffs</x:v>
      </x:c>
      <x:c r="D345" t="str">
        <x:v>pod system vape</x:v>
      </x:c>
      <x:c r="E345" t="str">
        <x:v>recommended</x:v>
      </x:c>
      <x:c r="F345" t="n">
        <x:v>1300</x:v>
      </x:c>
      <x:c r="G345" t="n">
        <x:v>39</x:v>
      </x:c>
      <x:c r="H345" t="str">
        <x:v>informational, commercial</x:v>
      </x:c>
    </x:row>
    <x:row r="346">
      <x:c r="A346" t="str">
        <x:v>https://exdivo.com/products/exdivo-kuz-25k-replaceable-pod-vape_11a813e7?data_from=blog_detail&amp;spm=</x:v>
      </x:c>
      <x:c r="B346" t="str">
        <x:v>ExDivo KUZ 25K Replaceable Pod Vape</x:v>
      </x:c>
      <x:c r="C346" t="str">
        <x:v>25000 puffs</x:v>
      </x:c>
      <x:c r="D346" t="str">
        <x:v>best vape pod system</x:v>
      </x:c>
      <x:c r="E346" t="str">
        <x:v>recommended</x:v>
      </x:c>
      <x:c r="F346" t="n">
        <x:v>390</x:v>
      </x:c>
      <x:c r="G346" t="n">
        <x:v>18</x:v>
      </x:c>
      <x:c r="H346" t="str">
        <x:v>commercial</x:v>
      </x:c>
    </x:row>
    <x:row r="347">
      <x:c r="A347" t="str">
        <x:v>https://exdivo.com/products/exdivo-kuz-25k-replaceable-pod-vape_11a813e7?data_from=blog_detail&amp;spm=</x:v>
      </x:c>
      <x:c r="B347" t="str">
        <x:v>ExDivo KUZ 25K Replaceable Pod Vape</x:v>
      </x:c>
      <x:c r="C347" t="str">
        <x:v>25000 puffs</x:v>
      </x:c>
      <x:c r="D347" t="str">
        <x:v>refillable pod vape</x:v>
      </x:c>
      <x:c r="E347" t="str">
        <x:v>recommended</x:v>
      </x:c>
      <x:c r="F347" t="n">
        <x:v>320</x:v>
      </x:c>
      <x:c r="G347" t="n">
        <x:v>24</x:v>
      </x:c>
      <x:c r="H347" t="str">
        <x:v>commercial</x:v>
      </x:c>
    </x:row>
    <x:row r="348">
      <x:c r="A348" t="str">
        <x:v>https://exdivo.com/products/exdivo-kuz-25k-replaceable-pod-vape_11a813e7?data_from=blog_detail&amp;spm=</x:v>
      </x:c>
      <x:c r="B348" t="str">
        <x:v>ExDivo KUZ 25K Replaceable Pod Vape</x:v>
      </x:c>
      <x:c r="C348" t="str">
        <x:v>25000 puffs</x:v>
      </x:c>
      <x:c r="D348" t="str">
        <x:v>vape pods refillable</x:v>
      </x:c>
      <x:c r="E348" t="str">
        <x:v>recommended</x:v>
      </x:c>
      <x:c r="F348" t="n">
        <x:v>260</x:v>
      </x:c>
      <x:c r="G348" t="n">
        <x:v>17</x:v>
      </x:c>
      <x:c r="H348" t="str">
        <x:v>commercial</x:v>
      </x:c>
    </x:row>
    <x:row r="349">
      <x:c r="A349" t="str">
        <x:v>https://exdivo.com/products/exdivo-kuz-25k-replaceable-pod-vape_11a813e7?data_from=blog_detail&amp;spm=</x:v>
      </x:c>
      <x:c r="B349" t="str">
        <x:v>ExDivo KUZ 25K Replaceable Pod Vape</x:v>
      </x:c>
      <x:c r="C349" t="str">
        <x:v>25000 puffs</x:v>
      </x:c>
      <x:c r="D349" t="str">
        <x:v>pods vape</x:v>
      </x:c>
      <x:c r="E349" t="str">
        <x:v>recommended</x:v>
      </x:c>
      <x:c r="F349" t="n">
        <x:v>880</x:v>
      </x:c>
      <x:c r="G349" t="n">
        <x:v>44</x:v>
      </x:c>
      <x:c r="H349" t="str">
        <x:v>informational, commercial</x:v>
      </x:c>
    </x:row>
    <x:row r="350">
      <x:c r="A350" t="str">
        <x:v>https://exdivo.com/products/exdivo-kuz-25k-replaceable-pod-vape_11a813e7?data_from=blog_detail&amp;spm=</x:v>
      </x:c>
      <x:c r="B350" t="str">
        <x:v>ExDivo KUZ 25K Replaceable Pod Vape</x:v>
      </x:c>
      <x:c r="C350" t="str">
        <x:v>25000 puffs</x:v>
      </x:c>
      <x:c r="D350" t="str">
        <x:v>best pod vapes</x:v>
      </x:c>
      <x:c r="E350" t="str">
        <x:v>recommended</x:v>
      </x:c>
      <x:c r="F350" t="n">
        <x:v>390</x:v>
      </x:c>
      <x:c r="G350" t="n">
        <x:v>33</x:v>
      </x:c>
      <x:c r="H350" t="str">
        <x:v>commercial</x:v>
      </x:c>
    </x:row>
    <x:row r="351">
      <x:c r="A351" t="str">
        <x:v>https://exdivo.com/products/exdivo-kuz-25k-replaceable-pod-vape_11a813e7?data_from=blog_detail&amp;spm=</x:v>
      </x:c>
      <x:c r="B351" t="str">
        <x:v>ExDivo KUZ 25K Replaceable Pod Vape</x:v>
      </x:c>
      <x:c r="C351" t="str">
        <x:v>25000 puffs</x:v>
      </x:c>
      <x:c r="D351" t="str">
        <x:v>best refillable pod vape</x:v>
      </x:c>
      <x:c r="E351" t="str">
        <x:v>recommended</x:v>
      </x:c>
      <x:c r="F351" t="n">
        <x:v>390</x:v>
      </x:c>
      <x:c r="G351" t="n">
        <x:v>32</x:v>
      </x:c>
      <x:c r="H351" t="str">
        <x:v>commercial</x:v>
      </x:c>
    </x:row>
    <x:row r="352">
      <x:c r="A352" t="str">
        <x:v>https://exdivo.com/products/exdivo-kuz-25k-replaceable-pod-vape_11a813e7?data_from=blog_detail&amp;spm=</x:v>
      </x:c>
      <x:c r="B352" t="str">
        <x:v>ExDivo KUZ 25K Replaceable Pod Vape</x:v>
      </x:c>
      <x:c r="C352" t="str">
        <x:v>25000 puffs</x:v>
      </x:c>
      <x:c r="D352" t="str">
        <x:v>vape with refillable pods</x:v>
      </x:c>
      <x:c r="E352" t="str">
        <x:v>recommended</x:v>
      </x:c>
      <x:c r="F352" t="n">
        <x:v>320</x:v>
      </x:c>
      <x:c r="G352" t="n">
        <x:v>36</x:v>
      </x:c>
      <x:c r="H352" t="str">
        <x:v>informational, commercial</x:v>
      </x:c>
    </x:row>
    <x:row r="353">
      <x:c r="A353" t="str">
        <x:v>https://exdivo.com/products/exdivo-kuz-25k-replaceable-pod-vape_11a813e7?data_from=blog_detail&amp;spm=</x:v>
      </x:c>
      <x:c r="B353" t="str">
        <x:v>ExDivo KUZ 25K Replaceable Pod Vape</x:v>
      </x:c>
      <x:c r="C353" t="str">
        <x:v>25000 puffs</x:v>
      </x:c>
      <x:c r="D353" t="str">
        <x:v>vape pod systems</x:v>
      </x:c>
      <x:c r="E353" t="str">
        <x:v>recommended</x:v>
      </x:c>
      <x:c r="F353" t="n">
        <x:v>260</x:v>
      </x:c>
      <x:c r="G353" t="n">
        <x:v>39</x:v>
      </x:c>
      <x:c r="H353" t="str">
        <x:v>commercial</x:v>
      </x:c>
    </x:row>
    <x:row r="354">
      <x:c r="A354" t="str">
        <x:v>https://exdivo.com/products/exdivo-kuz-25k-replaceable-pod-vape_11a813e7?data_from=blog_detail&amp;spm=</x:v>
      </x:c>
      <x:c r="B354" t="str">
        <x:v>ExDivo KUZ 25K Replaceable Pod Vape</x:v>
      </x:c>
      <x:c r="C354" t="str">
        <x:v>25000 puffs</x:v>
      </x:c>
      <x:c r="D354" t="str">
        <x:v>standard pod vape</x:v>
      </x:c>
      <x:c r="E354" t="str">
        <x:v>recommended</x:v>
      </x:c>
      <x:c r="F354" t="n">
        <x:v>260</x:v>
      </x:c>
      <x:c r="G354" t="n">
        <x:v>23</x:v>
      </x:c>
      <x:c r="H354" t="str">
        <x:v>commercial</x:v>
      </x:c>
    </x:row>
    <x:row r="355">
      <x:c r="A355" t="str">
        <x:v>https://exdivo.com/products/exdivo-kuz-25k-replaceable-pod-vape_11a813e7?data_from=blog_detail&amp;spm=</x:v>
      </x:c>
      <x:c r="B355" t="str">
        <x:v>ExDivo KUZ 25K Replaceable Pod Vape</x:v>
      </x:c>
      <x:c r="C355" t="str">
        <x:v>25000 puffs</x:v>
      </x:c>
      <x:c r="D355" t="str">
        <x:v>vape with pods</x:v>
      </x:c>
      <x:c r="E355" t="str">
        <x:v>recommended</x:v>
      </x:c>
      <x:c r="F355" t="n">
        <x:v>110</x:v>
      </x:c>
      <x:c r="G355" t="n">
        <x:v>40</x:v>
      </x:c>
      <x:c r="H355" t="str">
        <x:v>informational</x:v>
      </x:c>
    </x:row>
    <x:row r="356">
      <x:c r="A356" t="str">
        <x:v>https://exdivo.com/products/exdivo-kuz-25k-replaceable-pod-vape_11a813e7?data_from=blog_detail&amp;spm=</x:v>
      </x:c>
      <x:c r="B356" t="str">
        <x:v>ExDivo KUZ 25K Replaceable Pod Vape</x:v>
      </x:c>
      <x:c r="C356" t="str">
        <x:v>25000 puffs</x:v>
      </x:c>
      <x:c r="D356" t="str">
        <x:v>vape pod kit</x:v>
      </x:c>
      <x:c r="E356" t="str">
        <x:v>recommended</x:v>
      </x:c>
      <x:c r="F356" t="n">
        <x:v>170</x:v>
      </x:c>
      <x:c r="G356" t="n">
        <x:v>50</x:v>
      </x:c>
      <x:c r="H356" t="str">
        <x:v>informational, commercial</x:v>
      </x:c>
    </x:row>
    <x:row r="357">
      <x:c r="A357" t="str">
        <x:v>https://exdivo.com/products/exdivo-kuz-25k-replaceable-pod-vape_11a813e7?data_from=blog_detail&amp;spm=</x:v>
      </x:c>
      <x:c r="B357" t="str">
        <x:v>ExDivo KUZ 25K Replaceable Pod Vape</x:v>
      </x:c>
      <x:c r="C357" t="str">
        <x:v>25000 puffs</x:v>
      </x:c>
      <x:c r="D357" t="str">
        <x:v>refillable pod vapes</x:v>
      </x:c>
      <x:c r="E357" t="str">
        <x:v>recommended</x:v>
      </x:c>
      <x:c r="F357" t="n">
        <x:v>70</x:v>
      </x:c>
      <x:c r="G357" t="n">
        <x:v>42</x:v>
      </x:c>
      <x:c r="H357" t="str">
        <x:v>commercial</x:v>
      </x:c>
    </x:row>
    <x:row r="358">
      <x:c r="A358" t="str">
        <x:v>https://exdivo.com/products/exdivo-kuz-25k-replaceable-pod-vape_11a813e7?data_from=blog_detail&amp;spm=</x:v>
      </x:c>
      <x:c r="B358" t="str">
        <x:v>ExDivo KUZ 25K Replaceable Pod Vape</x:v>
      </x:c>
      <x:c r="C358" t="str">
        <x:v>25000 puffs</x:v>
      </x:c>
      <x:c r="D358" t="str">
        <x:v>best vape pod kit</x:v>
      </x:c>
      <x:c r="E358" t="str">
        <x:v>recommended</x:v>
      </x:c>
      <x:c r="F358" t="n">
        <x:v>50</x:v>
      </x:c>
      <x:c r="G358" t="n">
        <x:v>17</x:v>
      </x:c>
      <x:c r="H358" t="str">
        <x:v>commercial</x:v>
      </x:c>
    </x:row>
    <x:row r="359">
      <x:c r="A359" t="str">
        <x:v>https://exdivo.com/products/exdivo-kuz-25k-replaceable-pod-vape_11a813e7?data_from=blog_detail&amp;spm=</x:v>
      </x:c>
      <x:c r="B359" t="str">
        <x:v>ExDivo KUZ 25K Replaceable Pod Vape</x:v>
      </x:c>
      <x:c r="C359" t="str">
        <x:v>25000 puffs</x:v>
      </x:c>
      <x:c r="D359" t="str">
        <x:v>pod juice vapes</x:v>
      </x:c>
      <x:c r="E359" t="str">
        <x:v>recommended</x:v>
      </x:c>
      <x:c r="F359" t="n">
        <x:v>50</x:v>
      </x:c>
      <x:c r="G359" t="n">
        <x:v>5</x:v>
      </x:c>
      <x:c r="H359" t="str">
        <x:v>informational, commercial</x:v>
      </x:c>
    </x:row>
    <x:row r="360">
      <x:c r="A360" t="str">
        <x:v>https://exdivo.com/products/exdivo-kuz-25k-replaceable-pod-vape_11a813e7?data_from=blog_detail&amp;spm=</x:v>
      </x:c>
      <x:c r="B360" t="str">
        <x:v>ExDivo KUZ 25K Replaceable Pod Vape</x:v>
      </x:c>
      <x:c r="C360" t="str">
        <x:v>25000 puffs</x:v>
      </x:c>
      <x:c r="D360" t="str">
        <x:v>juice pod vape</x:v>
      </x:c>
      <x:c r="E360" t="str">
        <x:v>recommended</x:v>
      </x:c>
      <x:c r="F360" t="n">
        <x:v>70</x:v>
      </x:c>
      <x:c r="G360" t="n">
        <x:v>32</x:v>
      </x:c>
      <x:c r="H360" t="str">
        <x:v>commercial</x:v>
      </x:c>
    </x:row>
    <x:row r="361">
      <x:c r="A361" t="str">
        <x:v>https://exdivo.com/products/exdivo-kuz-25k-replaceable-pod-vape_11a813e7?data_from=blog_detail&amp;spm=</x:v>
      </x:c>
      <x:c r="B361" t="str">
        <x:v>ExDivo KUZ 25K Replaceable Pod Vape</x:v>
      </x:c>
      <x:c r="C361" t="str">
        <x:v>25000 puffs</x:v>
      </x:c>
      <x:c r="D361" t="str">
        <x:v>disposable pod vape</x:v>
      </x:c>
      <x:c r="E361" t="str">
        <x:v>recommended</x:v>
      </x:c>
      <x:c r="F361" t="n">
        <x:v>50</x:v>
      </x:c>
      <x:c r="G361" t="n">
        <x:v>38</x:v>
      </x:c>
      <x:c r="H361" t="str">
        <x:v>informational</x:v>
      </x:c>
    </x:row>
    <x:row r="362">
      <x:c r="A362" t="str">
        <x:v>https://exdivo.com/products/exdivo-kuz-25k-replaceable-pod-vape_11a813e7?data_from=blog_detail&amp;spm=</x:v>
      </x:c>
      <x:c r="B362" t="str">
        <x:v>ExDivo KUZ 25K Replaceable Pod Vape</x:v>
      </x:c>
      <x:c r="C362" t="str">
        <x:v>25000 puffs</x:v>
      </x:c>
      <x:c r="D362" t="str">
        <x:v>pods for vape</x:v>
      </x:c>
      <x:c r="E362" t="str">
        <x:v>recommended</x:v>
      </x:c>
      <x:c r="F362" t="n">
        <x:v>90</x:v>
      </x:c>
      <x:c r="G362" t="n">
        <x:v>40</x:v>
      </x:c>
      <x:c r="H362" t="str">
        <x:v>informational, commercial</x:v>
      </x:c>
    </x:row>
    <x:row r="363">
      <x:c r="A363" t="str">
        <x:v>https://exdivo.com/products/exdivo-kuz-25k-replaceable-pod-vape_11a813e7?data_from=blog_detail&amp;spm=</x:v>
      </x:c>
      <x:c r="B363" t="str">
        <x:v>ExDivo KUZ 25K Replaceable Pod Vape</x:v>
      </x:c>
      <x:c r="C363" t="str">
        <x:v>25000 puffs</x:v>
      </x:c>
      <x:c r="D363" t="str">
        <x:v>nicotine vape pods</x:v>
      </x:c>
      <x:c r="E363" t="str">
        <x:v>recommended</x:v>
      </x:c>
      <x:c r="F363" t="n">
        <x:v>50</x:v>
      </x:c>
      <x:c r="G363" t="n">
        <x:v>26</x:v>
      </x:c>
      <x:c r="H363" t="str">
        <x:v>commercial</x:v>
      </x:c>
    </x:row>
    <x:row r="364">
      <x:c r="A364" t="str">
        <x:v>https://exdivo.com/products/exdivo-kuz-25k-replaceable-pod-vape_11a813e7?data_from=blog_detail&amp;spm=</x:v>
      </x:c>
      <x:c r="B364" t="str">
        <x:v>ExDivo KUZ 25K Replaceable Pod Vape</x:v>
      </x:c>
      <x:c r="C364" t="str">
        <x:v>25000 puffs</x:v>
      </x:c>
      <x:c r="D364" t="str">
        <x:v>best vape pod systems</x:v>
      </x:c>
      <x:c r="E364" t="str">
        <x:v>recommended</x:v>
      </x:c>
      <x:c r="F364" t="n">
        <x:v>50</x:v>
      </x:c>
      <x:c r="G364" t="n">
        <x:v>22</x:v>
      </x:c>
      <x:c r="H364" t="str">
        <x:v>commercial</x:v>
      </x:c>
    </x:row>
    <x:row r="365">
      <x:c r="A365" t="str">
        <x:v>https://exdivo.com/products/exdivo-kuz-25k-replaceable-pod-vape_11a813e7?data_from=blog_detail&amp;spm=</x:v>
      </x:c>
      <x:c r="B365" t="str">
        <x:v>ExDivo KUZ 25K Replaceable Pod Vape</x:v>
      </x:c>
      <x:c r="C365" t="str">
        <x:v>25000 puffs</x:v>
      </x:c>
      <x:c r="D365" t="str">
        <x:v>pod mod vape kits</x:v>
      </x:c>
      <x:c r="E365" t="str">
        <x:v>recommended</x:v>
      </x:c>
      <x:c r="F365" t="n">
        <x:v>40</x:v>
      </x:c>
      <x:c r="G365" t="n">
        <x:v>33</x:v>
      </x:c>
      <x:c r="H365" t="str">
        <x:v>informational</x:v>
      </x:c>
    </x:row>
    <x:row r="366">
      <x:c r="A366" t="str">
        <x:v>https://exdivo.com/products/exdivo-kuz-25k-replaceable-pod-vape_11a813e7?data_from=blog_detail&amp;spm=</x:v>
      </x:c>
      <x:c r="B366" t="str">
        <x:v>ExDivo KUZ 25K Replaceable Pod Vape</x:v>
      </x:c>
      <x:c r="C366" t="str">
        <x:v>25000 puffs</x:v>
      </x:c>
      <x:c r="D366" t="str">
        <x:v>reusable vape pods</x:v>
      </x:c>
      <x:c r="E366" t="str">
        <x:v>recommended</x:v>
      </x:c>
      <x:c r="F366" t="n">
        <x:v>40</x:v>
      </x:c>
      <x:c r="G366" t="n">
        <x:v>24</x:v>
      </x:c>
      <x:c r="H366" t="str">
        <x:v>commercial</x:v>
      </x:c>
    </x:row>
    <x:row r="367">
      <x:c r="A367" t="str">
        <x:v>https://exdivo.com/products/exdivo-kuz-25k-replaceable-pod-vape_11a813e7?data_from=blog_detail&amp;spm=</x:v>
      </x:c>
      <x:c r="B367" t="str">
        <x:v>ExDivo KUZ 25K Replaceable Pod Vape</x:v>
      </x:c>
      <x:c r="C367" t="str">
        <x:v>25000 puffs</x:v>
      </x:c>
      <x:c r="D367" t="str">
        <x:v>prefilled vape pods</x:v>
      </x:c>
      <x:c r="E367" t="str">
        <x:v>recommended</x:v>
      </x:c>
      <x:c r="F367" t="n">
        <x:v>40</x:v>
      </x:c>
      <x:c r="G367" t="n">
        <x:v>14</x:v>
      </x:c>
      <x:c r="H367" t="str">
        <x:v>commercial</x:v>
      </x:c>
    </x:row>
    <x:row r="368">
      <x:c r="A368" t="str">
        <x:v>https://exdivo.com/products/exdivo-kuz-25k-replaceable-pod-vape_11a813e7?data_from=blog_detail&amp;spm=</x:v>
      </x:c>
      <x:c r="B368" t="str">
        <x:v>ExDivo KUZ 25K Replaceable Pod Vape</x:v>
      </x:c>
      <x:c r="C368" t="str">
        <x:v>25000 puffs</x:v>
      </x:c>
      <x:c r="D368" t="str">
        <x:v>open pod system vape</x:v>
      </x:c>
      <x:c r="E368" t="str">
        <x:v>recommended</x:v>
      </x:c>
      <x:c r="F368" t="n">
        <x:v>40</x:v>
      </x:c>
      <x:c r="G368" t="n">
        <x:v>32</x:v>
      </x:c>
      <x:c r="H368" t="str">
        <x:v>commercial</x:v>
      </x:c>
    </x:row>
    <x:row r="369">
      <x:c r="A369" t="str">
        <x:v>https://exdivo.com/products/exdivo-kuz-25k-replaceable-pod-vape_11a813e7?data_from=blog_detail&amp;spm=</x:v>
      </x:c>
      <x:c r="B369" t="str">
        <x:v>ExDivo KUZ 25K Replaceable Pod Vape</x:v>
      </x:c>
      <x:c r="C369" t="str">
        <x:v>25000 puffs</x:v>
      </x:c>
      <x:c r="D369" t="str">
        <x:v>vape pod devices</x:v>
      </x:c>
      <x:c r="E369" t="str">
        <x:v>recommended</x:v>
      </x:c>
      <x:c r="F369" t="n">
        <x:v>50</x:v>
      </x:c>
      <x:c r="G369" t="n">
        <x:v>38</x:v>
      </x:c>
      <x:c r="H369" t="str">
        <x:v>commercial</x:v>
      </x:c>
    </x:row>
    <x:row r="370">
      <x:c r="A370" t="str">
        <x:v>https://exdivo.com/products/exdivo-kuz-25k-replaceable-pod-vape_11a813e7?data_from=blog_detail&amp;spm=</x:v>
      </x:c>
      <x:c r="B370" t="str">
        <x:v>ExDivo KUZ 25K Replaceable Pod Vape</x:v>
      </x:c>
      <x:c r="C370" t="str">
        <x:v>25000 puffs</x:v>
      </x:c>
      <x:c r="D370" t="str">
        <x:v>best pod system vapes</x:v>
      </x:c>
      <x:c r="E370" t="str">
        <x:v>recommended</x:v>
      </x:c>
      <x:c r="F370" t="n">
        <x:v>40</x:v>
      </x:c>
      <x:c r="G370" t="n">
        <x:v>33</x:v>
      </x:c>
      <x:c r="H370" t="str">
        <x:v>commercial</x:v>
      </x:c>
    </x:row>
    <x:row r="371">
      <x:c r="A371" t="str">
        <x:v>https://exdivo.com/collections/all?page=3</x:v>
      </x:c>
      <x:c r="B371" t="str">
        <x:v>All Products - ExDivo</x:v>
      </x:c>
      <x:c r="C371" t="str">
        <x:v>all products</x:v>
      </x:c>
      <x:c r="D371" t="str">
        <x:v>all exdivo products</x:v>
      </x:c>
      <x:c r="E371" t="str">
        <x:v>recommended</x:v>
      </x:c>
      <x:c r="F371" t="n">
        <x:v>0</x:v>
      </x:c>
      <x:c r="G371" t="n">
        <x:v>0</x:v>
      </x:c>
      <x:c r="H371" t="str">
        <x:v>48</x:v>
      </x:c>
    </x:row>
    <x:row r="372">
      <x:c r="A372" t="str">
        <x:v>https://exdivo.com/collections/all?page=3</x:v>
      </x:c>
      <x:c r="B372" t="str">
        <x:v>All Products - ExDivo</x:v>
      </x:c>
      <x:c r="C372" t="str">
        <x:v>all products</x:v>
      </x:c>
      <x:c r="D372" t="str">
        <x:v>exdivo vaporizers</x:v>
      </x:c>
      <x:c r="E372" t="str">
        <x:v>recommended</x:v>
      </x:c>
      <x:c r="F372" t="n">
        <x:v>0</x:v>
      </x:c>
      <x:c r="G372" t="n">
        <x:v>0</x:v>
      </x:c>
      <x:c r="H372" t="str">
        <x:v>48</x:v>
      </x:c>
    </x:row>
    <x:row r="373">
      <x:c r="A373" t="str">
        <x:v>https://exdivo.com/comments/exdivo-flora-40k-disposable-vape_bd748695?writeComment=true</x:v>
      </x:c>
      <x:c r="B373" t="str">
        <x:v>Reviews - STRAWBERRY ICE - ExDivo FLORA 40K Disposable Vape - ExDivo</x:v>
      </x:c>
      <x:c r="C373" t="str">
        <x:v>48</x:v>
      </x:c>
      <x:c r="D373" t="str">
        <x:v>best strawberry ice disposable vape</x:v>
      </x:c>
      <x:c r="E373" t="str">
        <x:v>recommended</x:v>
      </x:c>
      <x:c r="F373" t="n">
        <x:v>0</x:v>
      </x:c>
      <x:c r="G373" t="n">
        <x:v>0</x:v>
      </x:c>
      <x:c r="H373" t="str">
        <x:v>48</x:v>
      </x:c>
    </x:row>
    <x:row r="374">
      <x:c r="A374" t="str">
        <x:v>https://exdivo.com/comments/exdivo-flora-40k-disposable-vape_bd748695?writeComment=true</x:v>
      </x:c>
      <x:c r="B374" t="str">
        <x:v>Reviews - STRAWBERRY ICE - ExDivo FLORA 40K Disposable Vape - ExDivo</x:v>
      </x:c>
      <x:c r="C374" t="str">
        <x:v>48</x:v>
      </x:c>
      <x:c r="D374" t="str">
        <x:v>disposable vape strawberry ice</x:v>
      </x:c>
      <x:c r="E374" t="str">
        <x:v>recommended</x:v>
      </x:c>
      <x:c r="F374" t="n">
        <x:v>0</x:v>
      </x:c>
      <x:c r="G374" t="n">
        <x:v>0</x:v>
      </x:c>
      <x:c r="H374" t="str">
        <x:v>48</x:v>
      </x:c>
    </x:row>
    <x:row r="375">
      <x:c r="A375" t="str">
        <x:v>https://exdivo.com/comments/exdivo-flora-40k-disposable-vape_bd748695?writeComment=true</x:v>
      </x:c>
      <x:c r="B375" t="str">
        <x:v>Reviews - STRAWBERRY ICE - ExDivo FLORA 40K Disposable Vape - ExDivo</x:v>
      </x:c>
      <x:c r="C375" t="str">
        <x:v>48</x:v>
      </x:c>
      <x:c r="D375" t="str">
        <x:v>strawberry ice vape review</x:v>
      </x:c>
      <x:c r="E375" t="str">
        <x:v>recommended</x:v>
      </x:c>
      <x:c r="F375" t="n">
        <x:v>0</x:v>
      </x:c>
      <x:c r="G375" t="n">
        <x:v>0</x:v>
      </x:c>
      <x:c r="H375" t="str">
        <x:v>48</x:v>
      </x:c>
    </x:row>
    <x:row r="376">
      <x:c r="A376" t="str">
        <x:v>https://exdivo.com/products/exdivo-flora-40k-disposable-vape_bd748695</x:v>
      </x:c>
      <x:c r="B376" t="str">
        <x:v>ExDivo FLORA 40K Disposable Vape</x:v>
      </x:c>
      <x:c r="C376" t="str">
        <x:v>40000 puffs</x:v>
      </x:c>
      <x:c r="D376" t="str">
        <x:v>disposable vape brands</x:v>
      </x:c>
      <x:c r="E376" t="str">
        <x:v>recommended</x:v>
      </x:c>
      <x:c r="F376" t="n">
        <x:v>2900</x:v>
      </x:c>
      <x:c r="G376" t="n">
        <x:v>35</x:v>
      </x:c>
      <x:c r="H376" t="str">
        <x:v>informational, commercial</x:v>
      </x:c>
    </x:row>
    <x:row r="377">
      <x:c r="A377" t="str">
        <x:v>https://exdivo.com/products/exdivo-flora-40k-disposable-vape_bd748695</x:v>
      </x:c>
      <x:c r="B377" t="str">
        <x:v>ExDivo FLORA 40K Disposable Vape</x:v>
      </x:c>
      <x:c r="C377" t="str">
        <x:v>40000 puffs</x:v>
      </x:c>
      <x:c r="D377" t="str">
        <x:v>new disposable vapes</x:v>
      </x:c>
      <x:c r="E377" t="str">
        <x:v>recommended</x:v>
      </x:c>
      <x:c r="F377" t="n">
        <x:v>110</x:v>
      </x:c>
      <x:c r="G377" t="n">
        <x:v>18</x:v>
      </x:c>
      <x:c r="H377" t="str">
        <x:v>informational</x:v>
      </x:c>
    </x:row>
    <x:row r="378">
      <x:c r="A378" t="str">
        <x:v>https://exdivo.com/products/exdivo-flora-40k-disposable-vape_bd748695</x:v>
      </x:c>
      <x:c r="B378" t="str">
        <x:v>ExDivo FLORA 40K Disposable Vape</x:v>
      </x:c>
      <x:c r="C378" t="str">
        <x:v>40000 puffs</x:v>
      </x:c>
      <x:c r="D378" t="str">
        <x:v>new disposable vape</x:v>
      </x:c>
      <x:c r="E378" t="str">
        <x:v>recommended</x:v>
      </x:c>
      <x:c r="F378" t="n">
        <x:v>210</x:v>
      </x:c>
      <x:c r="G378" t="n">
        <x:v>38</x:v>
      </x:c>
      <x:c r="H378" t="str">
        <x:v>informational</x:v>
      </x:c>
    </x:row>
    <x:row r="379">
      <x:c r="A379" t="str">
        <x:v>https://exdivo.com/products/exdivo-flora-40k-disposable-vape_bd748695</x:v>
      </x:c>
      <x:c r="B379" t="str">
        <x:v>ExDivo FLORA 40K Disposable Vape</x:v>
      </x:c>
      <x:c r="C379" t="str">
        <x:v>40000 puffs</x:v>
      </x:c>
      <x:c r="D379" t="str">
        <x:v>newest disposable vapes</x:v>
      </x:c>
      <x:c r="E379" t="str">
        <x:v>recommended</x:v>
      </x:c>
      <x:c r="F379" t="n">
        <x:v>50</x:v>
      </x:c>
      <x:c r="G379" t="n">
        <x:v>20</x:v>
      </x:c>
      <x:c r="H379" t="str">
        <x:v>informational</x:v>
      </x:c>
    </x:row>
    <x:row r="380">
      <x:c r="A380" t="str">
        <x:v>https://exdivo.com/products/exdivo-flora-40k-disposable-vape_bd748695</x:v>
      </x:c>
      <x:c r="B380" t="str">
        <x:v>ExDivo FLORA 40K Disposable Vape</x:v>
      </x:c>
      <x:c r="C380" t="str">
        <x:v>40000 puffs</x:v>
      </x:c>
      <x:c r="D380" t="str">
        <x:v>new disposable vape models</x:v>
      </x:c>
      <x:c r="E380" t="str">
        <x:v>recommended</x:v>
      </x:c>
      <x:c r="F380" t="n">
        <x:v>0</x:v>
      </x:c>
      <x:c r="G380" t="n">
        <x:v>0</x:v>
      </x:c>
      <x:c r="H380" t="str">
        <x:v>48</x:v>
      </x:c>
    </x:row>
    <x:row r="381">
      <x:c r="A381" t="str">
        <x:v>https://exdivo.com/products/exdivo-flora-40k-disposable-vape_bd748695</x:v>
      </x:c>
      <x:c r="B381" t="str">
        <x:v>ExDivo FLORA 40K Disposable Vape</x:v>
      </x:c>
      <x:c r="C381" t="str">
        <x:v>40000 puffs</x:v>
      </x:c>
      <x:c r="D381" t="str">
        <x:v>new disposable vape technology</x:v>
      </x:c>
      <x:c r="E381" t="str">
        <x:v>recommended</x:v>
      </x:c>
      <x:c r="F381" t="n">
        <x:v>0</x:v>
      </x:c>
      <x:c r="G381" t="n">
        <x:v>0</x:v>
      </x:c>
      <x:c r="H381" t="str">
        <x:v>48</x:v>
      </x:c>
    </x:row>
    <x:row r="382">
      <x:c r="A382" t="str">
        <x:v>https://exdivo.com/blogs/top-exdivo-vape-flavors-you-must-try-in-2026</x:v>
      </x:c>
      <x:c r="B382" t="str">
        <x:v>Top EXDIVO Vape Flavors You Must Try in 2026 - ExDivo</x:v>
      </x:c>
      <x:c r="C382" t="str">
        <x:v>top exdivo vape flavors you must try in 2026</x:v>
      </x:c>
      <x:c r="D382" t="str">
        <x:v>top exdivo vape flavors 2026</x:v>
      </x:c>
      <x:c r="E382" t="str">
        <x:v>recommended</x:v>
      </x:c>
      <x:c r="F382" t="n">
        <x:v>0</x:v>
      </x:c>
      <x:c r="G382" t="n">
        <x:v>0</x:v>
      </x:c>
      <x:c r="H382" t="str">
        <x:v>48</x:v>
      </x:c>
    </x:row>
    <x:row r="383">
      <x:c r="A383" t="str">
        <x:v>https://exdivo.com/blogs/top-exdivo-vape-flavors-you-must-try-in-2026</x:v>
      </x:c>
      <x:c r="B383" t="str">
        <x:v>Top EXDIVO Vape Flavors You Must Try in 2026 - ExDivo</x:v>
      </x:c>
      <x:c r="C383" t="str">
        <x:v>top exdivo vape flavors you must try in 2026</x:v>
      </x:c>
      <x:c r="D383" t="str">
        <x:v>best exdivo flavors</x:v>
      </x:c>
      <x:c r="E383" t="str">
        <x:v>recommended</x:v>
      </x:c>
      <x:c r="F383" t="n">
        <x:v>0</x:v>
      </x:c>
      <x:c r="G383" t="n">
        <x:v>0</x:v>
      </x:c>
      <x:c r="H383" t="str">
        <x:v>48</x:v>
      </x:c>
    </x:row>
    <x:row r="384">
      <x:c r="A384" t="str">
        <x:v>https://exdivo.com/blogs/top-exdivo-vape-flavors-you-must-try-in-2026</x:v>
      </x:c>
      <x:c r="B384" t="str">
        <x:v>Top EXDIVO Vape Flavors You Must Try in 2026 - ExDivo</x:v>
      </x:c>
      <x:c r="C384" t="str">
        <x:v>top exdivo vape flavors you must try in 2026</x:v>
      </x:c>
      <x:c r="D384" t="str">
        <x:v>popular exdivo vape juice</x:v>
      </x:c>
      <x:c r="E384" t="str">
        <x:v>recommended</x:v>
      </x:c>
      <x:c r="F384" t="n">
        <x:v>0</x:v>
      </x:c>
      <x:c r="G384" t="n">
        <x:v>0</x:v>
      </x:c>
      <x:c r="H384" t="str">
        <x:v>48</x:v>
      </x:c>
    </x:row>
    <x:row r="385">
      <x:c r="A385" t="str">
        <x:v>https://exdivo.com/blogs/top-exdivo-vape-flavors-you-must-try-in-2026</x:v>
      </x:c>
      <x:c r="B385" t="str">
        <x:v>Top EXDIVO Vape Flavors You Must Try in 2026 - ExDivo</x:v>
      </x:c>
      <x:c r="C385" t="str">
        <x:v>top exdivo vape flavors you must try in 2026</x:v>
      </x:c>
      <x:c r="D385" t="str">
        <x:v>exdivo flavor recommendations</x:v>
      </x:c>
      <x:c r="E385" t="str">
        <x:v>recommended</x:v>
      </x:c>
      <x:c r="F385" t="n">
        <x:v>0</x:v>
      </x:c>
      <x:c r="G385" t="n">
        <x:v>0</x:v>
      </x:c>
      <x:c r="H385" t="str">
        <x:v>48</x:v>
      </x:c>
    </x:row>
    <x:row r="386">
      <x:c r="A386" t="str">
        <x:v>https://exdivo.com/blogs/top-exdivo-vape-flavors-you-must-try-in-2026</x:v>
      </x:c>
      <x:c r="B386" t="str">
        <x:v>Top EXDIVO Vape Flavors You Must Try in 2026 - ExDivo</x:v>
      </x:c>
      <x:c r="C386" t="str">
        <x:v>top exdivo vape flavors you must try in 2026</x:v>
      </x:c>
      <x:c r="D386" t="str">
        <x:v>exdivo vape flavor reviews</x:v>
      </x:c>
      <x:c r="E386" t="str">
        <x:v>recommended</x:v>
      </x:c>
      <x:c r="F386" t="n">
        <x:v>0</x:v>
      </x:c>
      <x:c r="G386" t="n">
        <x:v>0</x:v>
      </x:c>
      <x:c r="H386" t="str">
        <x:v>48</x:v>
      </x:c>
    </x:row>
    <x:row r="387">
      <x:c r="A387" t="str">
        <x:v>https://exdivo.com/blogs/top-exdivo-vape-flavors-you-must-try-in-2026</x:v>
      </x:c>
      <x:c r="B387" t="str">
        <x:v>Top EXDIVO Vape Flavors You Must Try in 2026 - ExDivo</x:v>
      </x:c>
      <x:c r="C387" t="str">
        <x:v>top exdivo vape flavors you must try in 2026</x:v>
      </x:c>
      <x:c r="D387" t="str">
        <x:v>exdivo vape flavors</x:v>
      </x:c>
      <x:c r="E387" t="str">
        <x:v>recommended</x:v>
      </x:c>
      <x:c r="F387" t="n">
        <x:v>0</x:v>
      </x:c>
      <x:c r="G387" t="n">
        <x:v>0</x:v>
      </x:c>
      <x:c r="H387" t="str">
        <x:v>48</x:v>
      </x:c>
    </x:row>
    <x:row r="388">
      <x:c r="A388" t="str">
        <x:v>https://exdivo.com/comments/exdivo-flora-40k-disposable-vape_0a54c488?writeComment=true</x:v>
      </x:c>
      <x:c r="B388" t="str">
        <x:v>Reviews - JUICY PEACH ICE - ExDivo FLORA 40K Disposable Vape - ExDivo</x:v>
      </x:c>
      <x:c r="C388" t="str">
        <x:v>48</x:v>
      </x:c>
      <x:c r="D388" t="str">
        <x:v>disposable vape peach ice</x:v>
      </x:c>
      <x:c r="E388" t="str">
        <x:v>recommended</x:v>
      </x:c>
      <x:c r="F388" t="n">
        <x:v>0</x:v>
      </x:c>
      <x:c r="G388" t="n">
        <x:v>0</x:v>
      </x:c>
      <x:c r="H388" t="str">
        <x:v>48</x:v>
      </x:c>
    </x:row>
    <x:row r="389">
      <x:c r="A389" t="str">
        <x:v>https://exdivo.com/comments/exdivo-flora-40k-disposable-vape_0a54c488?writeComment=true</x:v>
      </x:c>
      <x:c r="B389" t="str">
        <x:v>Reviews - JUICY PEACH ICE - ExDivo FLORA 40K Disposable Vape - ExDivo</x:v>
      </x:c>
      <x:c r="C389" t="str">
        <x:v>48</x:v>
      </x:c>
      <x:c r="D389" t="str">
        <x:v>juicy peach ice vape review</x:v>
      </x:c>
      <x:c r="E389" t="str">
        <x:v>recommended</x:v>
      </x:c>
      <x:c r="F389" t="n">
        <x:v>0</x:v>
      </x:c>
      <x:c r="G389" t="n">
        <x:v>0</x:v>
      </x:c>
      <x:c r="H389" t="str">
        <x:v>48</x:v>
      </x:c>
    </x:row>
    <x:row r="390">
      <x:c r="A390" t="str">
        <x:v>https://exdivo.com/comments/exdivo-flora-40k-disposable-vape_0a54c488?writeComment=true</x:v>
      </x:c>
      <x:c r="B390" t="str">
        <x:v>Reviews - JUICY PEACH ICE - ExDivo FLORA 40K Disposable Vape - ExDivo</x:v>
      </x:c>
      <x:c r="C390" t="str">
        <x:v>48</x:v>
      </x:c>
      <x:c r="D390" t="str">
        <x:v>best peach ice disposable vape</x:v>
      </x:c>
      <x:c r="E390" t="str">
        <x:v>recommended</x:v>
      </x:c>
      <x:c r="F390" t="n">
        <x:v>0</x:v>
      </x:c>
      <x:c r="G390" t="n">
        <x:v>0</x:v>
      </x:c>
      <x:c r="H390" t="str">
        <x:v>48</x:v>
      </x:c>
    </x:row>
    <x:row r="391">
      <x:c r="A391" t="str">
        <x:v>https://exdivo.com/comments/exdivo-flora-40k-disposable-vape_0a54c488?writeComment=true</x:v>
      </x:c>
      <x:c r="B391" t="str">
        <x:v>Reviews - JUICY PEACH ICE - ExDivo FLORA 40K Disposable Vape - ExDivo</x:v>
      </x:c>
      <x:c r="C391" t="str">
        <x:v>48</x:v>
      </x:c>
      <x:c r="D391" t="str">
        <x:v>exdivo flora peach ice review</x:v>
      </x:c>
      <x:c r="E391" t="str">
        <x:v>recommended</x:v>
      </x:c>
      <x:c r="F391" t="n">
        <x:v>0</x:v>
      </x:c>
      <x:c r="G391" t="n">
        <x:v>0</x:v>
      </x:c>
      <x:c r="H391" t="str">
        <x:v>48</x:v>
      </x:c>
    </x:row>
    <x:row r="392">
      <x:c r="A392" t="str">
        <x:v>https://exdivo.com/comments/exdivo-flora-40k-disposable-vape_0a54c488?writeComment=true</x:v>
      </x:c>
      <x:c r="B392" t="str">
        <x:v>Reviews - JUICY PEACH ICE - ExDivo FLORA 40K Disposable Vape - ExDivo</x:v>
      </x:c>
      <x:c r="C392" t="str">
        <x:v>48</x:v>
      </x:c>
      <x:c r="D392" t="str">
        <x:v>juicy peach ice vape</x:v>
      </x:c>
      <x:c r="E392" t="str">
        <x:v>recommended</x:v>
      </x:c>
      <x:c r="F392" t="n">
        <x:v>70</x:v>
      </x:c>
      <x:c r="G392" t="n">
        <x:v>1</x:v>
      </x:c>
      <x:c r="H392" t="str">
        <x:v>informational</x:v>
      </x:c>
    </x:row>
    <x:row r="393">
      <x:c r="A393" t="str">
        <x:v>https://exdivo.com/comments/exdivo-flora-40k-disposable-vape_0a54c488?writeComment=true</x:v>
      </x:c>
      <x:c r="B393" t="str">
        <x:v>Reviews - JUICY PEACH ICE - ExDivo FLORA 40K Disposable Vape - ExDivo</x:v>
      </x:c>
      <x:c r="C393" t="str">
        <x:v>48</x:v>
      </x:c>
      <x:c r="D393" t="str">
        <x:v>juicy peach vape</x:v>
      </x:c>
      <x:c r="E393" t="str">
        <x:v>recommended</x:v>
      </x:c>
      <x:c r="F393" t="n">
        <x:v>140</x:v>
      </x:c>
      <x:c r="G393" t="n">
        <x:v>2</x:v>
      </x:c>
      <x:c r="H393" t="str">
        <x:v>informational</x:v>
      </x:c>
    </x:row>
    <x:row r="394">
      <x:c r="A394" t="str">
        <x:v>https://exdivo.com/comments/exdivo-flora-40k-disposable-vape_0a54c488?writeComment=true</x:v>
      </x:c>
      <x:c r="B394" t="str">
        <x:v>Reviews - JUICY PEACH ICE - ExDivo FLORA 40K Disposable Vape - ExDivo</x:v>
      </x:c>
      <x:c r="C394" t="str">
        <x:v>48</x:v>
      </x:c>
      <x:c r="D394" t="str">
        <x:v>peach disposable vape</x:v>
      </x:c>
      <x:c r="E394" t="str">
        <x:v>recommended</x:v>
      </x:c>
      <x:c r="F394" t="n">
        <x:v>90</x:v>
      </x:c>
      <x:c r="G394" t="n">
        <x:v>7</x:v>
      </x:c>
      <x:c r="H394" t="str">
        <x:v>informational</x:v>
      </x:c>
    </x:row>
    <x:row r="395">
      <x:c r="A395" t="str">
        <x:v>https://exdivo.com/comments/exdivo-flora-40k-disposable-vape_0a54c488?writeComment=true</x:v>
      </x:c>
      <x:c r="B395" t="str">
        <x:v>Reviews - JUICY PEACH ICE - ExDivo FLORA 40K Disposable Vape - ExDivo</x:v>
      </x:c>
      <x:c r="C395" t="str">
        <x:v>48</x:v>
      </x:c>
      <x:c r="D395" t="str">
        <x:v>peach ice vape</x:v>
      </x:c>
      <x:c r="E395" t="str">
        <x:v>recommended</x:v>
      </x:c>
      <x:c r="F395" t="n">
        <x:v>480</x:v>
      </x:c>
      <x:c r="G395" t="n">
        <x:v>7</x:v>
      </x:c>
      <x:c r="H395" t="str">
        <x:v>informational</x:v>
      </x:c>
    </x:row>
    <x:row r="396">
      <x:c r="A396" t="str">
        <x:v>https://exdivo.com/collections/brightmirror?page=1</x:v>
      </x:c>
      <x:c r="B396" t="str">
        <x:v>exdivo collections bright mirror</x:v>
      </x:c>
      <x:c r="C396" t="str">
        <x:v>bright mirror</x:v>
      </x:c>
      <x:c r="D396" t="str">
        <x:v>bright mirror vape accessories</x:v>
      </x:c>
      <x:c r="E396" t="str">
        <x:v>recommended</x:v>
      </x:c>
      <x:c r="F396" t="n">
        <x:v>0</x:v>
      </x:c>
      <x:c r="G396" t="n">
        <x:v>0</x:v>
      </x:c>
      <x:c r="H396" t="str">
        <x:v>48</x:v>
      </x:c>
    </x:row>
    <x:row r="397">
      <x:c r="A397" t="str">
        <x:v>https://exdivo.com/collections/brightmirror?page=1</x:v>
      </x:c>
      <x:c r="B397" t="str">
        <x:v>exdivo collections bright mirror</x:v>
      </x:c>
      <x:c r="C397" t="str">
        <x:v>bright mirror</x:v>
      </x:c>
      <x:c r="D397" t="str">
        <x:v>stylish vape products</x:v>
      </x:c>
      <x:c r="E397" t="str">
        <x:v>recommended</x:v>
      </x:c>
      <x:c r="F397" t="n">
        <x:v>0</x:v>
      </x:c>
      <x:c r="G397" t="n">
        <x:v>0</x:v>
      </x:c>
      <x:c r="H397" t="str">
        <x:v>48</x:v>
      </x:c>
    </x:row>
    <x:row r="398">
      <x:c r="A398" t="str">
        <x:v>https://exdivo.com/collections/brightmirror?page=1</x:v>
      </x:c>
      <x:c r="B398" t="str">
        <x:v>exdivo collections bright mirror</x:v>
      </x:c>
      <x:c r="C398" t="str">
        <x:v>bright mirror</x:v>
      </x:c>
      <x:c r="D398" t="str">
        <x:v>unique vape accessories</x:v>
      </x:c>
      <x:c r="E398" t="str">
        <x:v>recommended</x:v>
      </x:c>
      <x:c r="F398" t="n">
        <x:v>0</x:v>
      </x:c>
      <x:c r="G398" t="n">
        <x:v>0</x:v>
      </x:c>
      <x:c r="H398" t="str">
        <x:v>48</x:v>
      </x:c>
    </x:row>
    <x:row r="399">
      <x:c r="A399" t="str">
        <x:v>https://exdivo.com/collections/meifu/products/exdivo-flora-40k-disposable-vape_1053f57c?data_from=collection_detail&amp;spm=collection_detail.313027.collection_detail-11702364.9.</x:v>
      </x:c>
      <x:c r="B399" t="str">
        <x:v>ExDivo FLORA 40K Disposable Vape</x:v>
      </x:c>
      <x:c r="C399" t="str">
        <x:v>40000 puffs</x:v>
      </x:c>
      <x:c r="D399" t="str">
        <x:v>puff disposable vape</x:v>
      </x:c>
      <x:c r="E399" t="str">
        <x:v>recommended</x:v>
      </x:c>
      <x:c r="F399" t="n">
        <x:v>40</x:v>
      </x:c>
      <x:c r="G399" t="n">
        <x:v>4</x:v>
      </x:c>
      <x:c r="H399" t="str">
        <x:v>informational, commercial</x:v>
      </x:c>
    </x:row>
    <x:row r="400">
      <x:c r="A400" t="str">
        <x:v>https://exdivo.com/collections/meifu/products/exdivo-flora-40k-disposable-vape_1053f57c?data_from=collection_detail&amp;spm=collection_detail.313027.collection_detail-11702364.9.</x:v>
      </x:c>
      <x:c r="B400" t="str">
        <x:v>ExDivo FLORA 40K Disposable Vape</x:v>
      </x:c>
      <x:c r="C400" t="str">
        <x:v>40000 puffs</x:v>
      </x:c>
      <x:c r="D400" t="str">
        <x:v>big puff disposable vapes</x:v>
      </x:c>
      <x:c r="E400" t="str">
        <x:v>recommended</x:v>
      </x:c>
      <x:c r="F400" t="n">
        <x:v>50</x:v>
      </x:c>
      <x:c r="G400" t="n">
        <x:v>9</x:v>
      </x:c>
      <x:c r="H400" t="str">
        <x:v>commercial</x:v>
      </x:c>
    </x:row>
    <x:row r="401">
      <x:c r="A401" t="str">
        <x:v>https://exdivo.com/collections/meifu/products/exdivo-flora-40k-disposable-vape_1053f57c?data_from=collection_detail&amp;spm=collection_detail.313027.collection_detail-11702364.9.</x:v>
      </x:c>
      <x:c r="B401" t="str">
        <x:v>ExDivo FLORA 40K Disposable Vape</x:v>
      </x:c>
      <x:c r="C401" t="str">
        <x:v>40000 puffs</x:v>
      </x:c>
      <x:c r="D401" t="str">
        <x:v>highest puff disposable vape</x:v>
      </x:c>
      <x:c r="E401" t="str">
        <x:v>recommended</x:v>
      </x:c>
      <x:c r="F401" t="n">
        <x:v>40</x:v>
      </x:c>
      <x:c r="G401" t="n">
        <x:v>18</x:v>
      </x:c>
      <x:c r="H401" t="str">
        <x:v>commercial</x:v>
      </x:c>
    </x:row>
    <x:row r="402">
      <x:c r="A402" t="str">
        <x:v>https://exdivo.com/collections/meifu/products/exdivo-flora-40k-disposable-vape_1053f57c?data_from=collection_detail&amp;spm=collection_detail.313027.collection_detail-11702364.9.</x:v>
      </x:c>
      <x:c r="B402" t="str">
        <x:v>ExDivo FLORA 40K Disposable Vape</x:v>
      </x:c>
      <x:c r="C402" t="str">
        <x:v>40000 puffs</x:v>
      </x:c>
      <x:c r="D402" t="str">
        <x:v>best disposable vape 40000 puffs</x:v>
      </x:c>
      <x:c r="E402" t="str">
        <x:v>recommended</x:v>
      </x:c>
      <x:c r="F402" t="n">
        <x:v>0</x:v>
      </x:c>
      <x:c r="G402" t="n">
        <x:v>0</x:v>
      </x:c>
      <x:c r="H402" t="str">
        <x:v>48</x:v>
      </x:c>
    </x:row>
    <x:row r="403">
      <x:c r="A403" t="str">
        <x:v>https://exdivo.com/collections/meifu/products/exdivo-flora-40k-disposable-vape_1053f57c?data_from=collection_detail&amp;spm=collection_detail.313027.collection_detail-11702364.9.</x:v>
      </x:c>
      <x:c r="B403" t="str">
        <x:v>ExDivo FLORA 40K Disposable Vape</x:v>
      </x:c>
      <x:c r="C403" t="str">
        <x:v>40000 puffs</x:v>
      </x:c>
      <x:c r="D403" t="str">
        <x:v>high puff disposable vape</x:v>
      </x:c>
      <x:c r="E403" t="str">
        <x:v>recommended</x:v>
      </x:c>
      <x:c r="F403" t="n">
        <x:v>0</x:v>
      </x:c>
      <x:c r="G403" t="n">
        <x:v>0</x:v>
      </x:c>
      <x:c r="H403" t="str">
        <x:v>48</x:v>
      </x:c>
    </x:row>
    <x:row r="404">
      <x:c r="A404" t="str">
        <x:v>https://exdivo.com/collections/meifu/products/exdivo-flora-40k-disposable-vape_1053f57c?data_from=collection_detail&amp;spm=collection_detail.313027.collection_detail-11702364.9.</x:v>
      </x:c>
      <x:c r="B404" t="str">
        <x:v>ExDivo FLORA 40K Disposable Vape</x:v>
      </x:c>
      <x:c r="C404" t="str">
        <x:v>40000 puffs</x:v>
      </x:c>
      <x:c r="D404" t="str">
        <x:v>high puff count disposable vape</x:v>
      </x:c>
      <x:c r="E404" t="str">
        <x:v>recommended</x:v>
      </x:c>
      <x:c r="F404" t="n">
        <x:v>0</x:v>
      </x:c>
      <x:c r="G404" t="n">
        <x:v>0</x:v>
      </x:c>
      <x:c r="H404" t="str">
        <x:v>48</x:v>
      </x:c>
    </x:row>
    <x:row r="405">
      <x:c r="A405" t="str">
        <x:v>https://exdivo.com/collections/meifu/products/exdivo-flora-40k-disposable-vape_1053f57c?data_from=collection_detail&amp;spm=collection_detail.313027.collection_detail-11702364.9.</x:v>
      </x:c>
      <x:c r="B405" t="str">
        <x:v>ExDivo FLORA 40K Disposable Vape</x:v>
      </x:c>
      <x:c r="C405" t="str">
        <x:v>40000 puffs</x:v>
      </x:c>
      <x:c r="D405" t="str">
        <x:v>highest puff count disposable vape</x:v>
      </x:c>
      <x:c r="E405" t="str">
        <x:v>recommended</x:v>
      </x:c>
      <x:c r="F405" t="n">
        <x:v>0</x:v>
      </x:c>
      <x:c r="G405" t="n">
        <x:v>0</x:v>
      </x:c>
      <x:c r="H405" t="str">
        <x:v>48</x:v>
      </x:c>
    </x:row>
    <x:row r="406">
      <x:c r="A406" t="str">
        <x:v>https://exdivo.com/collections/meifu/products/exdivo-flora-40k-disposable-vape_1053f57c?data_from=collection_detail&amp;spm=collection_detail.313027.collection_detail-11702364.9.</x:v>
      </x:c>
      <x:c r="B406" t="str">
        <x:v>ExDivo FLORA 40K Disposable Vape</x:v>
      </x:c>
      <x:c r="C406" t="str">
        <x:v>40000 puffs</x:v>
      </x:c>
      <x:c r="D406" t="str">
        <x:v>disposable vape with high puffs</x:v>
      </x:c>
      <x:c r="E406" t="str">
        <x:v>recommended</x:v>
      </x:c>
      <x:c r="F406" t="n">
        <x:v>0</x:v>
      </x:c>
      <x:c r="G406" t="n">
        <x:v>0</x:v>
      </x:c>
      <x:c r="H406" t="str">
        <x:v>48</x:v>
      </x:c>
    </x:row>
    <x:row r="407">
      <x:c r="A407" t="str">
        <x:v>https://exdivo.com/products/exdivo-space-45k-disposable-vape_3855e1a8?data_from=collection_detail&amp;spm=collection_detail..collection_detail-11702364.12.</x:v>
      </x:c>
      <x:c r="B407" t="str">
        <x:v>ExDivo SPACE 45K Disposable Vape</x:v>
      </x:c>
      <x:c r="C407" t="str">
        <x:v>45000 puffs</x:v>
      </x:c>
      <x:c r="D407" t="str">
        <x:v>rechargeable disposable vape</x:v>
      </x:c>
      <x:c r="E407" t="str">
        <x:v>recommended</x:v>
      </x:c>
      <x:c r="F407" t="n">
        <x:v>2400</x:v>
      </x:c>
      <x:c r="G407" t="n">
        <x:v>25</x:v>
      </x:c>
      <x:c r="H407" t="str">
        <x:v>informational</x:v>
      </x:c>
    </x:row>
    <x:row r="408">
      <x:c r="A408" t="str">
        <x:v>https://exdivo.com/products/exdivo-space-45k-disposable-vape_3855e1a8?data_from=collection_detail&amp;spm=collection_detail..collection_detail-11702364.12.</x:v>
      </x:c>
      <x:c r="B408" t="str">
        <x:v>ExDivo SPACE 45K Disposable Vape</x:v>
      </x:c>
      <x:c r="C408" t="str">
        <x:v>45000 puffs</x:v>
      </x:c>
      <x:c r="D408" t="str">
        <x:v>menthol disposable vape</x:v>
      </x:c>
      <x:c r="E408" t="str">
        <x:v>recommended</x:v>
      </x:c>
      <x:c r="F408" t="n">
        <x:v>390</x:v>
      </x:c>
      <x:c r="G408" t="n">
        <x:v>5</x:v>
      </x:c>
      <x:c r="H408" t="str">
        <x:v>commercial</x:v>
      </x:c>
    </x:row>
    <x:row r="409">
      <x:c r="A409" t="str">
        <x:v>https://exdivo.com/products/exdivo-space-45k-disposable-vape_3855e1a8?data_from=collection_detail&amp;spm=collection_detail..collection_detail-11702364.12.</x:v>
      </x:c>
      <x:c r="B409" t="str">
        <x:v>ExDivo SPACE 45K Disposable Vape</x:v>
      </x:c>
      <x:c r="C409" t="str">
        <x:v>45000 puffs</x:v>
      </x:c>
      <x:c r="D409" t="str">
        <x:v>disposable nicotine vape</x:v>
      </x:c>
      <x:c r="E409" t="str">
        <x:v>recommended</x:v>
      </x:c>
      <x:c r="F409" t="n">
        <x:v>720</x:v>
      </x:c>
      <x:c r="G409" t="n">
        <x:v>47</x:v>
      </x:c>
      <x:c r="H409" t="str">
        <x:v>commercial</x:v>
      </x:c>
    </x:row>
    <x:row r="410">
      <x:c r="A410" t="str">
        <x:v>https://exdivo.com/products/exdivo-space-45k-disposable-vape_3855e1a8?data_from=collection_detail&amp;spm=collection_detail..collection_detail-11702364.12.</x:v>
      </x:c>
      <x:c r="B410" t="str">
        <x:v>ExDivo SPACE 45K Disposable Vape</x:v>
      </x:c>
      <x:c r="C410" t="str">
        <x:v>45000 puffs</x:v>
      </x:c>
      <x:c r="D410" t="str">
        <x:v>long lasting disposable vape</x:v>
      </x:c>
      <x:c r="E410" t="str">
        <x:v>recommended</x:v>
      </x:c>
      <x:c r="F410" t="n">
        <x:v>140</x:v>
      </x:c>
      <x:c r="G410" t="n">
        <x:v>11</x:v>
      </x:c>
      <x:c r="H410" t="str">
        <x:v>informational, commercial</x:v>
      </x:c>
    </x:row>
    <x:row r="411">
      <x:c r="A411" t="str">
        <x:v>https://exdivo.com/products/exdivo-space-45k-disposable-vape_3855e1a8?data_from=collection_detail&amp;spm=collection_detail..collection_detail-11702364.12.</x:v>
      </x:c>
      <x:c r="B411" t="str">
        <x:v>ExDivo SPACE 45K Disposable Vape</x:v>
      </x:c>
      <x:c r="C411" t="str">
        <x:v>45000 puffs</x:v>
      </x:c>
      <x:c r="D411" t="str">
        <x:v>tobacco flavour disposable vape</x:v>
      </x:c>
      <x:c r="E411" t="str">
        <x:v>recommended</x:v>
      </x:c>
      <x:c r="F411" t="n">
        <x:v>70</x:v>
      </x:c>
      <x:c r="G411" t="n">
        <x:v>0</x:v>
      </x:c>
      <x:c r="H411" t="str">
        <x:v>commercial</x:v>
      </x:c>
    </x:row>
    <x:row r="412">
      <x:c r="A412" t="str">
        <x:v>https://exdivo.com/products/exdivo-space-45k-disposable-vape_3855e1a8?data_from=collection_detail&amp;spm=collection_detail..collection_detail-11702364.12.</x:v>
      </x:c>
      <x:c r="B412" t="str">
        <x:v>ExDivo SPACE 45K Disposable Vape</x:v>
      </x:c>
      <x:c r="C412" t="str">
        <x:v>45000 puffs</x:v>
      </x:c>
      <x:c r="D412" t="str">
        <x:v>disposable tobacco vape</x:v>
      </x:c>
      <x:c r="E412" t="str">
        <x:v>recommended</x:v>
      </x:c>
      <x:c r="F412" t="n">
        <x:v>110</x:v>
      </x:c>
      <x:c r="G412" t="n">
        <x:v>16</x:v>
      </x:c>
      <x:c r="H412" t="str">
        <x:v>commercial</x:v>
      </x:c>
    </x:row>
    <x:row r="413">
      <x:c r="A413" t="str">
        <x:v>https://exdivo.com/products/exdivo-space-45k-disposable-vape_3855e1a8?data_from=collection_detail&amp;spm=collection_detail..collection_detail-11702364.12.</x:v>
      </x:c>
      <x:c r="B413" t="str">
        <x:v>ExDivo SPACE 45K Disposable Vape</x:v>
      </x:c>
      <x:c r="C413" t="str">
        <x:v>45000 puffs</x:v>
      </x:c>
      <x:c r="D413" t="str">
        <x:v>biggest disposable vape</x:v>
      </x:c>
      <x:c r="E413" t="str">
        <x:v>recommended</x:v>
      </x:c>
      <x:c r="F413" t="n">
        <x:v>110</x:v>
      </x:c>
      <x:c r="G413" t="n">
        <x:v>8</x:v>
      </x:c>
      <x:c r="H413" t="str">
        <x:v>informational</x:v>
      </x:c>
    </x:row>
    <x:row r="414">
      <x:c r="A414" t="str">
        <x:v>https://exdivo.com/products/exdivo-space-45k-disposable-vape_3855e1a8?data_from=collection_detail&amp;spm=collection_detail..collection_detail-11702364.12.</x:v>
      </x:c>
      <x:c r="B414" t="str">
        <x:v>ExDivo SPACE 45K Disposable Vape</x:v>
      </x:c>
      <x:c r="C414" t="str">
        <x:v>45000 puffs</x:v>
      </x:c>
      <x:c r="D414" t="str">
        <x:v>big disposable vape</x:v>
      </x:c>
      <x:c r="E414" t="str">
        <x:v>recommended</x:v>
      </x:c>
      <x:c r="F414" t="n">
        <x:v>70</x:v>
      </x:c>
      <x:c r="G414" t="n">
        <x:v>13</x:v>
      </x:c>
      <x:c r="H414" t="str">
        <x:v>commercial</x:v>
      </x:c>
    </x:row>
    <x:row r="415">
      <x:c r="A415" t="str">
        <x:v>https://exdivo.com/products/exdivo-space-45k-disposable-vape_3855e1a8?data_from=collection_detail&amp;spm=collection_detail..collection_detail-11702364.12.</x:v>
      </x:c>
      <x:c r="B415" t="str">
        <x:v>ExDivo SPACE 45K Disposable Vape</x:v>
      </x:c>
      <x:c r="C415" t="str">
        <x:v>45000 puffs</x:v>
      </x:c>
      <x:c r="D415" t="str">
        <x:v>big puff disposable vape</x:v>
      </x:c>
      <x:c r="E415" t="str">
        <x:v>recommended</x:v>
      </x:c>
      <x:c r="F415" t="n">
        <x:v>40</x:v>
      </x:c>
      <x:c r="G415" t="n">
        <x:v>8</x:v>
      </x:c>
      <x:c r="H415" t="str">
        <x:v>informational, commercial</x:v>
      </x:c>
    </x:row>
    <x:row r="416">
      <x:c r="A416" t="str">
        <x:v>https://exdivo.com/products/exdivo-space-45k-disposable-vape_3855e1a8?data_from=collection_detail&amp;spm=collection_detail..collection_detail-11702364.12.</x:v>
      </x:c>
      <x:c r="B416" t="str">
        <x:v>ExDivo SPACE 45K Disposable Vape</x:v>
      </x:c>
      <x:c r="C416" t="str">
        <x:v>45000 puffs</x:v>
      </x:c>
      <x:c r="D416" t="str">
        <x:v>disposable vape for sale</x:v>
      </x:c>
      <x:c r="E416" t="str">
        <x:v>recommended</x:v>
      </x:c>
      <x:c r="F416" t="n">
        <x:v>70</x:v>
      </x:c>
      <x:c r="G416" t="n">
        <x:v>44</x:v>
      </x:c>
      <x:c r="H416" t="str">
        <x:v>transactional</x:v>
      </x:c>
    </x:row>
    <x:row r="417">
      <x:c r="A417" t="str">
        <x:v>https://exdivo.com/products/exdivo-space-45k-disposable-vape_3855e1a8?data_from=collection_detail&amp;spm=collection_detail..collection_detail-11702364.12.</x:v>
      </x:c>
      <x:c r="B417" t="str">
        <x:v>ExDivo SPACE 45K Disposable Vape</x:v>
      </x:c>
      <x:c r="C417" t="str">
        <x:v>45000 puffs</x:v>
      </x:c>
      <x:c r="D417" t="str">
        <x:v>disposable vape with nicotine</x:v>
      </x:c>
      <x:c r="E417" t="str">
        <x:v>recommended</x:v>
      </x:c>
      <x:c r="F417" t="n">
        <x:v>50</x:v>
      </x:c>
      <x:c r="G417" t="n">
        <x:v>46</x:v>
      </x:c>
      <x:c r="H417" t="str">
        <x:v>commercial</x:v>
      </x:c>
    </x:row>
    <x:row r="418">
      <x:c r="A418" t="str">
        <x:v>https://exdivo.com/products/exdivo-space-45k-disposable-vape_3855e1a8?data_from=collection_detail&amp;spm=collection_detail..collection_detail-11702364.12.</x:v>
      </x:c>
      <x:c r="B418" t="str">
        <x:v>ExDivo SPACE 45K Disposable Vape</x:v>
      </x:c>
      <x:c r="C418" t="str">
        <x:v>45000 puffs</x:v>
      </x:c>
      <x:c r="D418" t="str">
        <x:v>disposable refillable vape</x:v>
      </x:c>
      <x:c r="E418" t="str">
        <x:v>recommended</x:v>
      </x:c>
      <x:c r="F418" t="n">
        <x:v>40</x:v>
      </x:c>
      <x:c r="G418" t="n">
        <x:v>45</x:v>
      </x:c>
      <x:c r="H418" t="str">
        <x:v>commercial</x:v>
      </x:c>
    </x:row>
    <x:row r="419">
      <x:c r="A419" t="str">
        <x:v>https://exdivo.com/products/exdivo-space-45k-disposable-vape_3855e1a8?data_from=collection_detail&amp;spm=collection_detail..collection_detail-11702364.12.</x:v>
      </x:c>
      <x:c r="B419" t="str">
        <x:v>ExDivo SPACE 45K Disposable Vape</x:v>
      </x:c>
      <x:c r="C419" t="str">
        <x:v>45000 puffs</x:v>
      </x:c>
      <x:c r="D419" t="str">
        <x:v>premium disposable vape 45000 puffs</x:v>
      </x:c>
      <x:c r="E419" t="str">
        <x:v>recommended</x:v>
      </x:c>
      <x:c r="F419" t="n">
        <x:v>0</x:v>
      </x:c>
      <x:c r="G419" t="n">
        <x:v>0</x:v>
      </x:c>
      <x:c r="H419" t="str">
        <x:v>48</x:v>
      </x:c>
    </x:row>
    <x:row r="420">
      <x:c r="A420" t="str">
        <x:v>https://exdivo.com/products/exdivo-space-45k-disposable-vape_3855e1a8?data_from=collection_detail&amp;spm=collection_detail..collection_detail-11702364.12.</x:v>
      </x:c>
      <x:c r="B420" t="str">
        <x:v>ExDivo SPACE 45K Disposable Vape</x:v>
      </x:c>
      <x:c r="C420" t="str">
        <x:v>45000 puffs</x:v>
      </x:c>
      <x:c r="D420" t="str">
        <x:v>high capacity disposable vape</x:v>
      </x:c>
      <x:c r="E420" t="str">
        <x:v>recommended</x:v>
      </x:c>
      <x:c r="F420" t="n">
        <x:v>0</x:v>
      </x:c>
      <x:c r="G420" t="n">
        <x:v>0</x:v>
      </x:c>
      <x:c r="H420" t="str">
        <x:v>48</x:v>
      </x:c>
    </x:row>
    <x:row r="421">
      <x:c r="A421" t="str">
        <x:v>https://exdivo.com/products/exdivo-space-45k-disposable-vape_3855e1a8?data_from=collection_detail&amp;spm=collection_detail..collection_detail-11702364.12.</x:v>
      </x:c>
      <x:c r="B421" t="str">
        <x:v>ExDivo SPACE 45K Disposable Vape</x:v>
      </x:c>
      <x:c r="C421" t="str">
        <x:v>45000 puffs</x:v>
      </x:c>
      <x:c r="D421" t="str">
        <x:v>extra long lasting disposable vape</x:v>
      </x:c>
      <x:c r="E421" t="str">
        <x:v>recommended</x:v>
      </x:c>
      <x:c r="F421" t="n">
        <x:v>0</x:v>
      </x:c>
      <x:c r="G421" t="n">
        <x:v>0</x:v>
      </x:c>
      <x:c r="H421" t="str">
        <x:v>48</x:v>
      </x:c>
    </x:row>
    <x:row r="422">
      <x:c r="A422" t="str">
        <x:v>https://exdivo.com/products/exdivo-space-45k-disposable-vape_3855e1a8?data_from=collection_detail&amp;spm=collection_detail..collection_detail-11702364.12.</x:v>
      </x:c>
      <x:c r="B422" t="str">
        <x:v>ExDivo SPACE 45K Disposable Vape</x:v>
      </x:c>
      <x:c r="C422" t="str">
        <x:v>45000 puffs</x:v>
      </x:c>
      <x:c r="D422" t="str">
        <x:v>premium disposable vape</x:v>
      </x:c>
      <x:c r="E422" t="str">
        <x:v>recommended</x:v>
      </x:c>
      <x:c r="F422" t="n">
        <x:v>0</x:v>
      </x:c>
      <x:c r="G422" t="n">
        <x:v>0</x:v>
      </x:c>
      <x:c r="H422" t="str">
        <x:v>48</x:v>
      </x:c>
    </x:row>
    <x:row r="423">
      <x:c r="A423" t="str">
        <x:v>https://exdivo.com/products/exdivo-space-45k-disposable-vape_3855e1a8?data_from=collection_detail&amp;spm=collection_detail..collection_detail-11702364.12.</x:v>
      </x:c>
      <x:c r="B423" t="str">
        <x:v>ExDivo SPACE 45K Disposable Vape</x:v>
      </x:c>
      <x:c r="C423" t="str">
        <x:v>45000 puffs</x:v>
      </x:c>
      <x:c r="D423" t="str">
        <x:v>advanced disposable vape</x:v>
      </x:c>
      <x:c r="E423" t="str">
        <x:v>recommended</x:v>
      </x:c>
      <x:c r="F423" t="n">
        <x:v>0</x:v>
      </x:c>
      <x:c r="G423" t="n">
        <x:v>0</x:v>
      </x:c>
      <x:c r="H423" t="str">
        <x:v>48</x:v>
      </x:c>
    </x:row>
    <x:row r="424">
      <x:c r="A424" t="str">
        <x:v>https://exdivo.com/products/exdivo-space-45k-disposable-vape_3855e1a8?data_from=collection_detail&amp;spm=collection_detail..collection_detail-11702364.12.</x:v>
      </x:c>
      <x:c r="B424" t="str">
        <x:v>ExDivo SPACE 45K Disposable Vape</x:v>
      </x:c>
      <x:c r="C424" t="str">
        <x:v>45000 puffs</x:v>
      </x:c>
      <x:c r="D424" t="str">
        <x:v>long lasting disposable vape us</x:v>
      </x:c>
      <x:c r="E424" t="str">
        <x:v>recommended</x:v>
      </x:c>
      <x:c r="F424" t="n">
        <x:v>0</x:v>
      </x:c>
      <x:c r="G424" t="n">
        <x:v>0</x:v>
      </x:c>
      <x:c r="H424" t="str">
        <x:v>48</x:v>
      </x:c>
    </x:row>
    <x:row r="425">
      <x:c r="A425" t="str">
        <x:v>https://exdivo.com/products/exdivo-space-45k-disposable-vape_3855e1a8?data_from=collection_detail&amp;spm=collection_detail..collection_detail-11702364.12.</x:v>
      </x:c>
      <x:c r="B425" t="str">
        <x:v>ExDivo SPACE 45K Disposable Vape</x:v>
      </x:c>
      <x:c r="C425" t="str">
        <x:v>45000 puffs</x:v>
      </x:c>
      <x:c r="D425" t="str">
        <x:v>large puff disposable vape</x:v>
      </x:c>
      <x:c r="E425" t="str">
        <x:v>recommended</x:v>
      </x:c>
      <x:c r="F425" t="n">
        <x:v>0</x:v>
      </x:c>
      <x:c r="G425" t="n">
        <x:v>0</x:v>
      </x:c>
      <x:c r="H425" t="str">
        <x:v>48</x:v>
      </x:c>
    </x:row>
    <x:row r="426">
      <x:c r="A426" t="str">
        <x:v>https://exdivo.com/products/exdivo-space-45k-disposable-vape_3855e1a8?data_from=collection_detail&amp;spm=collection_detail..collection_detail-11702364.12.</x:v>
      </x:c>
      <x:c r="B426" t="str">
        <x:v>ExDivo SPACE 45K Disposable Vape</x:v>
      </x:c>
      <x:c r="C426" t="str">
        <x:v>45000 puffs</x:v>
      </x:c>
      <x:c r="D426" t="str">
        <x:v>large capacity disposable vape</x:v>
      </x:c>
      <x:c r="E426" t="str">
        <x:v>recommended</x:v>
      </x:c>
      <x:c r="F426" t="n">
        <x:v>0</x:v>
      </x:c>
      <x:c r="G426" t="n">
        <x:v>0</x:v>
      </x:c>
      <x:c r="H426" t="str">
        <x:v>48</x:v>
      </x:c>
    </x:row>
    <x:row r="427">
      <x:c r="A427" t="str">
        <x:v>https://exdivo.com/products/exdivo-space-45k-disposable-vape_3855e1a8?data_from=collection_detail&amp;spm=collection_detail..collection_detail-11702364.12.</x:v>
      </x:c>
      <x:c r="B427" t="str">
        <x:v>ExDivo SPACE 45K Disposable Vape</x:v>
      </x:c>
      <x:c r="C427" t="str">
        <x:v>45000 puffs</x:v>
      </x:c>
      <x:c r="D427" t="str">
        <x:v>extra long lasting vape</x:v>
      </x:c>
      <x:c r="E427" t="str">
        <x:v>recommended</x:v>
      </x:c>
      <x:c r="F427" t="n">
        <x:v>0</x:v>
      </x:c>
      <x:c r="G427" t="n">
        <x:v>0</x:v>
      </x:c>
      <x:c r="H427" t="str">
        <x:v>48</x:v>
      </x:c>
    </x:row>
    <x:row r="428">
      <x:c r="A428" t="str">
        <x:v>https://exdivo.com/collections/brightmirror/products/exdivo-bright-mirror-35k-replaceable-vape-kit_25244789?data_from=index_index&amp;spm=collection_detail.310721.collection_detail-11702364.2.</x:v>
      </x:c>
      <x:c r="B428" t="str">
        <x:v>ExDivo BRIGHT MIRROR 35K Replaceable VAPE kit</x:v>
      </x:c>
      <x:c r="C428" t="str">
        <x:v>40000 puffs</x:v>
      </x:c>
      <x:c r="D428" t="str">
        <x:v>vape mod kits</x:v>
      </x:c>
      <x:c r="E428" t="str">
        <x:v>recommended</x:v>
      </x:c>
      <x:c r="F428" t="n">
        <x:v>1600</x:v>
      </x:c>
      <x:c r="G428" t="n">
        <x:v>32</x:v>
      </x:c>
      <x:c r="H428" t="str">
        <x:v>commercial</x:v>
      </x:c>
    </x:row>
    <x:row r="429">
      <x:c r="A429" t="str">
        <x:v>https://exdivo.com/collections/brightmirror/products/exdivo-bright-mirror-35k-replaceable-vape-kit_25244789?data_from=index_index&amp;spm=collection_detail.310721.collection_detail-11702364.2.</x:v>
      </x:c>
      <x:c r="B429" t="str">
        <x:v>ExDivo BRIGHT MIRROR 35K Replaceable VAPE kit</x:v>
      </x:c>
      <x:c r="C429" t="str">
        <x:v>40000 puffs</x:v>
      </x:c>
      <x:c r="D429" t="str">
        <x:v>vape kit</x:v>
      </x:c>
      <x:c r="E429" t="str">
        <x:v>recommended</x:v>
      </x:c>
      <x:c r="F429" t="n">
        <x:v>1600</x:v>
      </x:c>
      <x:c r="G429" t="n">
        <x:v>34</x:v>
      </x:c>
      <x:c r="H429" t="str">
        <x:v>informational</x:v>
      </x:c>
    </x:row>
    <x:row r="430">
      <x:c r="A430" t="str">
        <x:v>https://exdivo.com/collections/brightmirror/products/exdivo-bright-mirror-35k-replaceable-vape-kit_25244789?data_from=index_index&amp;spm=collection_detail.310721.collection_detail-11702364.2.</x:v>
      </x:c>
      <x:c r="B430" t="str">
        <x:v>ExDivo BRIGHT MIRROR 35K Replaceable VAPE kit</x:v>
      </x:c>
      <x:c r="C430" t="str">
        <x:v>40000 puffs</x:v>
      </x:c>
      <x:c r="D430" t="str">
        <x:v>vape mod kit</x:v>
      </x:c>
      <x:c r="E430" t="str">
        <x:v>recommended</x:v>
      </x:c>
      <x:c r="F430" t="n">
        <x:v>260</x:v>
      </x:c>
      <x:c r="G430" t="n">
        <x:v>12</x:v>
      </x:c>
      <x:c r="H430" t="str">
        <x:v>commercial</x:v>
      </x:c>
    </x:row>
    <x:row r="431">
      <x:c r="A431" t="str">
        <x:v>https://exdivo.com/collections/brightmirror/products/exdivo-bright-mirror-35k-replaceable-vape-kit_25244789?data_from=index_index&amp;spm=collection_detail.310721.collection_detail-11702364.2.</x:v>
      </x:c>
      <x:c r="B431" t="str">
        <x:v>ExDivo BRIGHT MIRROR 35K Replaceable VAPE kit</x:v>
      </x:c>
      <x:c r="C431" t="str">
        <x:v>40000 puffs</x:v>
      </x:c>
      <x:c r="D431" t="str">
        <x:v>vaping kits</x:v>
      </x:c>
      <x:c r="E431" t="str">
        <x:v>recommended</x:v>
      </x:c>
      <x:c r="F431" t="n">
        <x:v>390</x:v>
      </x:c>
      <x:c r="G431" t="n">
        <x:v>36</x:v>
      </x:c>
      <x:c r="H431" t="str">
        <x:v>commercial</x:v>
      </x:c>
    </x:row>
    <x:row r="432">
      <x:c r="A432" t="str">
        <x:v>https://exdivo.com/collections/brightmirror/products/exdivo-bright-mirror-35k-replaceable-vape-kit_25244789?data_from=index_index&amp;spm=collection_detail.310721.collection_detail-11702364.2.</x:v>
      </x:c>
      <x:c r="B432" t="str">
        <x:v>ExDivo BRIGHT MIRROR 35K Replaceable VAPE kit</x:v>
      </x:c>
      <x:c r="C432" t="str">
        <x:v>40000 puffs</x:v>
      </x:c>
      <x:c r="D432" t="str">
        <x:v>refillable vape kit</x:v>
      </x:c>
      <x:c r="E432" t="str">
        <x:v>recommended</x:v>
      </x:c>
      <x:c r="F432" t="n">
        <x:v>210</x:v>
      </x:c>
      <x:c r="G432" t="n">
        <x:v>32</x:v>
      </x:c>
      <x:c r="H432" t="str">
        <x:v>commercial</x:v>
      </x:c>
    </x:row>
    <x:row r="433">
      <x:c r="A433" t="str">
        <x:v>https://exdivo.com/collections/brightmirror/products/exdivo-bright-mirror-35k-replaceable-vape-kit_25244789?data_from=index_index&amp;spm=collection_detail.310721.collection_detail-11702364.2.</x:v>
      </x:c>
      <x:c r="B433" t="str">
        <x:v>ExDivo BRIGHT MIRROR 35K Replaceable VAPE kit</x:v>
      </x:c>
      <x:c r="C433" t="str">
        <x:v>40000 puffs</x:v>
      </x:c>
      <x:c r="D433" t="str">
        <x:v>vape pen kit</x:v>
      </x:c>
      <x:c r="E433" t="str">
        <x:v>recommended</x:v>
      </x:c>
      <x:c r="F433" t="n">
        <x:v>140</x:v>
      </x:c>
      <x:c r="G433" t="n">
        <x:v>39</x:v>
      </x:c>
      <x:c r="H433" t="str">
        <x:v>commercial</x:v>
      </x:c>
    </x:row>
    <x:row r="434">
      <x:c r="A434" t="str">
        <x:v>https://exdivo.com/collections/brightmirror/products/exdivo-bright-mirror-35k-replaceable-vape-kit_25244789?data_from=index_index&amp;spm=collection_detail.310721.collection_detail-11702364.2.</x:v>
      </x:c>
      <x:c r="B434" t="str">
        <x:v>ExDivo BRIGHT MIRROR 35K Replaceable VAPE kit</x:v>
      </x:c>
      <x:c r="C434" t="str">
        <x:v>40000 puffs</x:v>
      </x:c>
      <x:c r="D434" t="str">
        <x:v>vape juice kit</x:v>
      </x:c>
      <x:c r="E434" t="str">
        <x:v>recommended</x:v>
      </x:c>
      <x:c r="F434" t="n">
        <x:v>70</x:v>
      </x:c>
      <x:c r="G434" t="n">
        <x:v>18</x:v>
      </x:c>
      <x:c r="H434" t="str">
        <x:v>informational, commercial</x:v>
      </x:c>
    </x:row>
    <x:row r="435">
      <x:c r="A435" t="str">
        <x:v>https://exdivo.com/collections/brightmirror/products/exdivo-bright-mirror-35k-replaceable-vape-kit_25244789?data_from=index_index&amp;spm=collection_detail.310721.collection_detail-11702364.2.</x:v>
      </x:c>
      <x:c r="B435" t="str">
        <x:v>ExDivo BRIGHT MIRROR 35K Replaceable VAPE kit</x:v>
      </x:c>
      <x:c r="C435" t="str">
        <x:v>40000 puffs</x:v>
      </x:c>
      <x:c r="D435" t="str">
        <x:v>vape pack</x:v>
      </x:c>
      <x:c r="E435" t="str">
        <x:v>recommended</x:v>
      </x:c>
      <x:c r="F435" t="n">
        <x:v>70</x:v>
      </x:c>
      <x:c r="G435" t="n">
        <x:v>45</x:v>
      </x:c>
      <x:c r="H435" t="str">
        <x:v>commercial</x:v>
      </x:c>
    </x:row>
    <x:row r="436">
      <x:c r="A436" t="str">
        <x:v>https://exdivo.com/collections/brightmirror/products/exdivo-bright-mirror-35k-replaceable-vape-kit_25244789?data_from=index_index&amp;spm=collection_detail.310721.collection_detail-11702364.2.</x:v>
      </x:c>
      <x:c r="B436" t="str">
        <x:v>ExDivo BRIGHT MIRROR 35K Replaceable VAPE kit</x:v>
      </x:c>
      <x:c r="C436" t="str">
        <x:v>40000 puffs</x:v>
      </x:c>
      <x:c r="D436" t="str">
        <x:v>vape kits</x:v>
      </x:c>
      <x:c r="E436" t="str">
        <x:v>recommended</x:v>
      </x:c>
      <x:c r="F436" t="n">
        <x:v>1900</x:v>
      </x:c>
      <x:c r="G436" t="n">
        <x:v>36</x:v>
      </x:c>
      <x:c r="H436" t="str">
        <x:v>commercial</x:v>
      </x:c>
    </x:row>
    <x:row r="437">
      <x:c r="A437" t="str">
        <x:v>https://exdivo.com/collections/brightmirror/products/exdivo-bright-mirror-35k-replaceable-vape-kit_25244789?data_from=index_index&amp;spm=collection_detail.310721.collection_detail-11702364.2.</x:v>
      </x:c>
      <x:c r="B437" t="str">
        <x:v>ExDivo BRIGHT MIRROR 35K Replaceable VAPE kit</x:v>
      </x:c>
      <x:c r="C437" t="str">
        <x:v>40000 puffs</x:v>
      </x:c>
      <x:c r="D437" t="str">
        <x:v>vape kit with high puffs</x:v>
      </x:c>
      <x:c r="E437" t="str">
        <x:v>recommended</x:v>
      </x:c>
      <x:c r="F437" t="n">
        <x:v>0</x:v>
      </x:c>
      <x:c r="G437" t="n">
        <x:v>0</x:v>
      </x:c>
      <x:c r="H437" t="str">
        <x:v>48</x:v>
      </x:c>
    </x:row>
    <x:row r="438">
      <x:c r="A438" t="str">
        <x:v>https://exdivo.com/collections/brightmirror/products/exdivo-bright-mirror-35k-replaceable-vape-kit_25244789?data_from=index_index&amp;spm=collection_detail.310721.collection_detail-11702364.2.</x:v>
      </x:c>
      <x:c r="B438" t="str">
        <x:v>ExDivo BRIGHT MIRROR 35K Replaceable VAPE kit</x:v>
      </x:c>
      <x:c r="C438" t="str">
        <x:v>40000 puffs</x:v>
      </x:c>
      <x:c r="D438" t="str">
        <x:v>replaceable vape kit</x:v>
      </x:c>
      <x:c r="E438" t="str">
        <x:v>recommended</x:v>
      </x:c>
      <x:c r="F438" t="n">
        <x:v>0</x:v>
      </x:c>
      <x:c r="G438" t="n">
        <x:v>0</x:v>
      </x:c>
      <x:c r="H438" t="str">
        <x:v>48</x:v>
      </x:c>
    </x:row>
    <x:row r="439">
      <x:c r="A439" t="str">
        <x:v>https://exdivo.com/collections/brightmirror/products/exdivo-bright-mirror-35k-replaceable-vape-kit_25244789?data_from=index_index&amp;spm=collection_detail.310721.collection_detail-11702364.2.</x:v>
      </x:c>
      <x:c r="B439" t="str">
        <x:v>ExDivo BRIGHT MIRROR 35K Replaceable VAPE kit</x:v>
      </x:c>
      <x:c r="C439" t="str">
        <x:v>40000 puffs</x:v>
      </x:c>
      <x:c r="D439" t="str">
        <x:v>long lasting vape kit</x:v>
      </x:c>
      <x:c r="E439" t="str">
        <x:v>recommended</x:v>
      </x:c>
      <x:c r="F439" t="n">
        <x:v>0</x:v>
      </x:c>
      <x:c r="G439" t="n">
        <x:v>0</x:v>
      </x:c>
      <x:c r="H439" t="str">
        <x:v>48</x:v>
      </x:c>
    </x:row>
    <x:row r="440">
      <x:c r="A440" t="str">
        <x:v>https://exdivo.com/collections/brightmirror/products/exdivo-bright-mirror-35k-replaceable-vape-kit_25244789?data_from=index_index&amp;spm=collection_detail.310721.collection_detail-11702364.2.</x:v>
      </x:c>
      <x:c r="B440" t="str">
        <x:v>ExDivo BRIGHT MIRROR 35K Replaceable VAPE kit</x:v>
      </x:c>
      <x:c r="C440" t="str">
        <x:v>40000 puffs</x:v>
      </x:c>
      <x:c r="D440" t="str">
        <x:v>premium vape kit</x:v>
      </x:c>
      <x:c r="E440" t="str">
        <x:v>recommended</x:v>
      </x:c>
      <x:c r="F440" t="n">
        <x:v>0</x:v>
      </x:c>
      <x:c r="G440" t="n">
        <x:v>0</x:v>
      </x:c>
      <x:c r="H440" t="str">
        <x:v>48</x:v>
      </x:c>
    </x:row>
    <x:row r="441">
      <x:c r="A441" t="str">
        <x:v>https://exdivo.com/comments/exdivo-flora-40k-disposable-vape_d40647e8</x:v>
      </x:c>
      <x:c r="B441" t="str">
        <x:v>Reviews - WATERMELON ICE - ExDivo FLORA 40K Disposable Vape - ExDivo</x:v>
      </x:c>
      <x:c r="C441" t="str">
        <x:v>48</x:v>
      </x:c>
      <x:c r="D441" t="str">
        <x:v>vape watermelon</x:v>
      </x:c>
      <x:c r="E441" t="str">
        <x:v>recommended</x:v>
      </x:c>
      <x:c r="F441" t="n">
        <x:v>390</x:v>
      </x:c>
      <x:c r="G441" t="n">
        <x:v>8</x:v>
      </x:c>
      <x:c r="H441" t="str">
        <x:v>informational, commercial</x:v>
      </x:c>
    </x:row>
    <x:row r="442">
      <x:c r="A442" t="str">
        <x:v>https://exdivo.com/comments/exdivo-flora-40k-disposable-vape_d40647e8</x:v>
      </x:c>
      <x:c r="B442" t="str">
        <x:v>Reviews - WATERMELON ICE - ExDivo FLORA 40K Disposable Vape - ExDivo</x:v>
      </x:c>
      <x:c r="C442" t="str">
        <x:v>48</x:v>
      </x:c>
      <x:c r="D442" t="str">
        <x:v>raz watermelon ice vape</x:v>
      </x:c>
      <x:c r="E442" t="str">
        <x:v>recommended</x:v>
      </x:c>
      <x:c r="F442" t="n">
        <x:v>90</x:v>
      </x:c>
      <x:c r="G442" t="n">
        <x:v>0</x:v>
      </x:c>
      <x:c r="H442" t="str">
        <x:v>informational, commercial</x:v>
      </x:c>
    </x:row>
    <x:row r="443">
      <x:c r="A443" t="str">
        <x:v>https://exdivo.com/comments/exdivo-flora-40k-disposable-vape_d40647e8</x:v>
      </x:c>
      <x:c r="B443" t="str">
        <x:v>Reviews - WATERMELON ICE - ExDivo FLORA 40K Disposable Vape - ExDivo</x:v>
      </x:c>
      <x:c r="C443" t="str">
        <x:v>48</x:v>
      </x:c>
      <x:c r="D443" t="str">
        <x:v>watermelon vapes</x:v>
      </x:c>
      <x:c r="E443" t="str">
        <x:v>recommended</x:v>
      </x:c>
      <x:c r="F443" t="n">
        <x:v>170</x:v>
      </x:c>
      <x:c r="G443" t="n">
        <x:v>14</x:v>
      </x:c>
      <x:c r="H443" t="str">
        <x:v>informational, commercial</x:v>
      </x:c>
    </x:row>
    <x:row r="444">
      <x:c r="A444" t="str">
        <x:v>https://exdivo.com/comments/exdivo-flora-40k-disposable-vape_d40647e8</x:v>
      </x:c>
      <x:c r="B444" t="str">
        <x:v>Reviews - WATERMELON ICE - ExDivo FLORA 40K Disposable Vape - ExDivo</x:v>
      </x:c>
      <x:c r="C444" t="str">
        <x:v>48</x:v>
      </x:c>
      <x:c r="D444" t="str">
        <x:v>watermelon ice vape geek bar</x:v>
      </x:c>
      <x:c r="E444" t="str">
        <x:v>recommended</x:v>
      </x:c>
      <x:c r="F444" t="n">
        <x:v>40</x:v>
      </x:c>
      <x:c r="G444" t="n">
        <x:v>8</x:v>
      </x:c>
      <x:c r="H444" t="str">
        <x:v>informational</x:v>
      </x:c>
    </x:row>
    <x:row r="445">
      <x:c r="A445" t="str">
        <x:v>https://exdivo.com/comments/exdivo-flora-40k-disposable-vape_d40647e8</x:v>
      </x:c>
      <x:c r="B445" t="str">
        <x:v>Reviews - WATERMELON ICE - ExDivo FLORA 40K Disposable Vape - ExDivo</x:v>
      </x:c>
      <x:c r="C445" t="str">
        <x:v>48</x:v>
      </x:c>
      <x:c r="D445" t="str">
        <x:v>watermelon ice disposable vape</x:v>
      </x:c>
      <x:c r="E445" t="str">
        <x:v>recommended</x:v>
      </x:c>
      <x:c r="F445" t="n">
        <x:v>0</x:v>
      </x:c>
      <x:c r="G445" t="n">
        <x:v>0</x:v>
      </x:c>
      <x:c r="H445" t="str">
        <x:v>48</x:v>
      </x:c>
    </x:row>
    <x:row r="446">
      <x:c r="A446" t="str">
        <x:v>https://exdivo.com/comments/exdivo-flora-40k-disposable-vape_d40647e8</x:v>
      </x:c>
      <x:c r="B446" t="str">
        <x:v>Reviews - WATERMELON ICE - ExDivo FLORA 40K Disposable Vape - ExDivo</x:v>
      </x:c>
      <x:c r="C446" t="str">
        <x:v>48</x:v>
      </x:c>
      <x:c r="D446" t="str">
        <x:v>vape flavor watermelon ice</x:v>
      </x:c>
      <x:c r="E446" t="str">
        <x:v>recommended</x:v>
      </x:c>
      <x:c r="F446" t="n">
        <x:v>0</x:v>
      </x:c>
      <x:c r="G446" t="n">
        <x:v>0</x:v>
      </x:c>
      <x:c r="H446" t="str">
        <x:v>48</x:v>
      </x:c>
    </x:row>
    <x:row r="447">
      <x:c r="A447" t="str">
        <x:v>https://exdivo.com/comments/exdivo-flora-40k-disposable-vape_d40647e8</x:v>
      </x:c>
      <x:c r="B447" t="str">
        <x:v>Reviews - WATERMELON ICE - ExDivo FLORA 40K Disposable Vape - ExDivo</x:v>
      </x:c>
      <x:c r="C447" t="str">
        <x:v>48</x:v>
      </x:c>
      <x:c r="D447" t="str">
        <x:v>watermelon ice vape review</x:v>
      </x:c>
      <x:c r="E447" t="str">
        <x:v>recommended</x:v>
      </x:c>
      <x:c r="F447" t="n">
        <x:v>0</x:v>
      </x:c>
      <x:c r="G447" t="n">
        <x:v>0</x:v>
      </x:c>
      <x:c r="H447" t="str">
        <x:v>48</x:v>
      </x:c>
    </x:row>
    <x:row r="448">
      <x:c r="A448" t="str">
        <x:v>https://exdivo.com/comments/exdivo-flora-40k-disposable-vape_d40647e8</x:v>
      </x:c>
      <x:c r="B448" t="str">
        <x:v>Reviews - WATERMELON ICE - ExDivo FLORA 40K Disposable Vape - ExDivo</x:v>
      </x:c>
      <x:c r="C448" t="str">
        <x:v>48</x:v>
      </x:c>
      <x:c r="D448" t="str">
        <x:v>watermelon ice disposable vape review</x:v>
      </x:c>
      <x:c r="E448" t="str">
        <x:v>recommended</x:v>
      </x:c>
      <x:c r="F448" t="n">
        <x:v>0</x:v>
      </x:c>
      <x:c r="G448" t="n">
        <x:v>0</x:v>
      </x:c>
      <x:c r="H448" t="str">
        <x:v>48</x:v>
      </x:c>
    </x:row>
    <x:row r="449">
      <x:c r="A449" t="str">
        <x:v>https://exdivo.com/comments/exdivo-flora-40k-disposable-vape_d40647e8</x:v>
      </x:c>
      <x:c r="B449" t="str">
        <x:v>Reviews - WATERMELON ICE - ExDivo FLORA 40K Disposable Vape - ExDivo</x:v>
      </x:c>
      <x:c r="C449" t="str">
        <x:v>48</x:v>
      </x:c>
      <x:c r="D449" t="str">
        <x:v>watermelon ice vapes</x:v>
      </x:c>
      <x:c r="E449" t="str">
        <x:v>recommended</x:v>
      </x:c>
      <x:c r="F449" t="n">
        <x:v>70</x:v>
      </x:c>
      <x:c r="G449" t="n">
        <x:v>1</x:v>
      </x:c>
      <x:c r="H449" t="str">
        <x:v>informational</x:v>
      </x:c>
    </x:row>
    <x:row r="450">
      <x:c r="A450" t="str">
        <x:v>https://exdivo.com/comments/exdivo-flora-40k-disposable-vape_d40647e8</x:v>
      </x:c>
      <x:c r="B450" t="str">
        <x:v>Reviews - WATERMELON ICE - ExDivo FLORA 40K Disposable Vape - ExDivo</x:v>
      </x:c>
      <x:c r="C450" t="str">
        <x:v>48</x:v>
      </x:c>
      <x:c r="D450" t="str">
        <x:v>melon ice vape</x:v>
      </x:c>
      <x:c r="E450" t="str">
        <x:v>recommended</x:v>
      </x:c>
      <x:c r="F450" t="n">
        <x:v>40</x:v>
      </x:c>
      <x:c r="G450" t="n">
        <x:v>2</x:v>
      </x:c>
      <x:c r="H450" t="str">
        <x:v>informational</x:v>
      </x:c>
    </x:row>
    <x:row r="451">
      <x:c r="A451" t="str">
        <x:v>https://exdivo.com/comments/exdivo-flora-40k-disposable-vape_d40647e8</x:v>
      </x:c>
      <x:c r="B451" t="str">
        <x:v>Reviews - WATERMELON ICE - ExDivo FLORA 40K Disposable Vape - ExDivo</x:v>
      </x:c>
      <x:c r="C451" t="str">
        <x:v>48</x:v>
      </x:c>
      <x:c r="D451" t="str">
        <x:v>watermelon vape juice</x:v>
      </x:c>
      <x:c r="E451" t="str">
        <x:v>recommended</x:v>
      </x:c>
      <x:c r="F451" t="n">
        <x:v>210</x:v>
      </x:c>
      <x:c r="G451" t="n">
        <x:v>7</x:v>
      </x:c>
      <x:c r="H451" t="str">
        <x:v>informational</x:v>
      </x:c>
    </x:row>
    <x:row r="452">
      <x:c r="A452" t="str">
        <x:v>https://exdivo.com/comments/exdivo-flora-40k-disposable-vape_d40647e8</x:v>
      </x:c>
      <x:c r="B452" t="str">
        <x:v>Reviews - WATERMELON ICE - ExDivo FLORA 40K Disposable Vape - ExDivo</x:v>
      </x:c>
      <x:c r="C452" t="str">
        <x:v>48</x:v>
      </x:c>
      <x:c r="D452" t="str">
        <x:v>watermelon ice vape</x:v>
      </x:c>
      <x:c r="E452" t="str">
        <x:v>recommended</x:v>
      </x:c>
      <x:c r="F452" t="n">
        <x:v>1900</x:v>
      </x:c>
      <x:c r="G452" t="n">
        <x:v>12</x:v>
      </x:c>
      <x:c r="H452" t="str">
        <x:v>informational</x:v>
      </x:c>
    </x:row>
    <x:row r="453">
      <x:c r="A453" t="str">
        <x:v>https://exdivo.com/comments/exdivo-flora-40k-disposable-vape_d40647e8</x:v>
      </x:c>
      <x:c r="B453" t="str">
        <x:v>Reviews - WATERMELON ICE - ExDivo FLORA 40K Disposable Vape - ExDivo</x:v>
      </x:c>
      <x:c r="C453" t="str">
        <x:v>48</x:v>
      </x:c>
      <x:c r="D453" t="str">
        <x:v>watermelon flavored vape</x:v>
      </x:c>
      <x:c r="E453" t="str">
        <x:v>recommended</x:v>
      </x:c>
      <x:c r="F453" t="n">
        <x:v>40</x:v>
      </x:c>
      <x:c r="G453" t="n">
        <x:v>12</x:v>
      </x:c>
      <x:c r="H453" t="str">
        <x:v>informational</x:v>
      </x:c>
    </x:row>
    <x:row r="454">
      <x:c r="A454" t="str">
        <x:v>https://exdivo.com/comments/exdivo-flora-40k-disposable-vape_d40647e8</x:v>
      </x:c>
      <x:c r="B454" t="str">
        <x:v>Reviews - WATERMELON ICE - ExDivo FLORA 40K Disposable Vape - ExDivo</x:v>
      </x:c>
      <x:c r="C454" t="str">
        <x:v>48</x:v>
      </x:c>
      <x:c r="D454" t="str">
        <x:v>watermelon vape disposable</x:v>
      </x:c>
      <x:c r="E454" t="str">
        <x:v>recommended</x:v>
      </x:c>
      <x:c r="F454" t="n">
        <x:v>90</x:v>
      </x:c>
      <x:c r="G454" t="n">
        <x:v>16</x:v>
      </x:c>
      <x:c r="H454" t="str">
        <x:v>informational, commercial</x:v>
      </x:c>
    </x:row>
    <x:row r="455">
      <x:c r="A455" t="str">
        <x:v>https://exdivo.com/collections/visionaura-full-screen?page=1</x:v>
      </x:c>
      <x:c r="B455" t="str">
        <x:v>SPACE - ExDivo</x:v>
      </x:c>
      <x:c r="C455" t="str">
        <x:v>space</x:v>
      </x:c>
      <x:c r="D455" t="str">
        <x:v>space station vape</x:v>
      </x:c>
      <x:c r="E455" t="str">
        <x:v>recommended</x:v>
      </x:c>
      <x:c r="F455" t="n">
        <x:v>70</x:v>
      </x:c>
      <x:c r="G455" t="n">
        <x:v>3</x:v>
      </x:c>
      <x:c r="H455" t="str">
        <x:v>informational</x:v>
      </x:c>
    </x:row>
    <x:row r="456">
      <x:c r="A456" t="str">
        <x:v>https://exdivo.com/collections/visionaura-full-screen?page=1</x:v>
      </x:c>
      <x:c r="B456" t="str">
        <x:v>SPACE - ExDivo</x:v>
      </x:c>
      <x:c r="C456" t="str">
        <x:v>space</x:v>
      </x:c>
      <x:c r="D456" t="str">
        <x:v>space club vape</x:v>
      </x:c>
      <x:c r="E456" t="str">
        <x:v>recommended</x:v>
      </x:c>
      <x:c r="F456" t="n">
        <x:v>390</x:v>
      </x:c>
      <x:c r="G456" t="n">
        <x:v>28</x:v>
      </x:c>
      <x:c r="H456" t="str">
        <x:v>informational</x:v>
      </x:c>
    </x:row>
    <x:row r="457">
      <x:c r="A457" t="str">
        <x:v>https://exdivo.com/collections/visionaura-full-screen?page=1</x:v>
      </x:c>
      <x:c r="B457" t="str">
        <x:v>SPACE - ExDivo</x:v>
      </x:c>
      <x:c r="C457" t="str">
        <x:v>space</x:v>
      </x:c>
      <x:c r="D457" t="str">
        <x:v>mr space box vape</x:v>
      </x:c>
      <x:c r="E457" t="str">
        <x:v>recommended</x:v>
      </x:c>
      <x:c r="F457" t="n">
        <x:v>90</x:v>
      </x:c>
      <x:c r="G457" t="n">
        <x:v>1</x:v>
      </x:c>
      <x:c r="H457" t="str">
        <x:v>informational, transactional</x:v>
      </x:c>
    </x:row>
    <x:row r="458">
      <x:c r="A458" t="str">
        <x:v>https://exdivo.com/collections/visionaura-full-screen?page=1</x:v>
      </x:c>
      <x:c r="B458" t="str">
        <x:v>SPACE - ExDivo</x:v>
      </x:c>
      <x:c r="C458" t="str">
        <x:v>space</x:v>
      </x:c>
      <x:c r="D458" t="str">
        <x:v>space vape device</x:v>
      </x:c>
      <x:c r="E458" t="str">
        <x:v>recommended</x:v>
      </x:c>
      <x:c r="F458" t="n">
        <x:v>0</x:v>
      </x:c>
      <x:c r="G458" t="n">
        <x:v>0</x:v>
      </x:c>
      <x:c r="H458" t="str">
        <x:v>48</x:v>
      </x:c>
    </x:row>
    <x:row r="459">
      <x:c r="A459" t="str">
        <x:v>https://exdivo.com/collections/visionaura-full-screen?page=1</x:v>
      </x:c>
      <x:c r="B459" t="str">
        <x:v>SPACE - ExDivo</x:v>
      </x:c>
      <x:c r="C459" t="str">
        <x:v>space</x:v>
      </x:c>
      <x:c r="D459" t="str">
        <x:v>space themed vape</x:v>
      </x:c>
      <x:c r="E459" t="str">
        <x:v>recommended</x:v>
      </x:c>
      <x:c r="F459" t="n">
        <x:v>0</x:v>
      </x:c>
      <x:c r="G459" t="n">
        <x:v>0</x:v>
      </x:c>
      <x:c r="H459" t="str">
        <x:v>48</x:v>
      </x:c>
    </x:row>
    <x:row r="460">
      <x:c r="A460" t="str">
        <x:v>https://exdivo.com/collections/visionaura-full-screen?page=1</x:v>
      </x:c>
      <x:c r="B460" t="str">
        <x:v>SPACE - ExDivo</x:v>
      </x:c>
      <x:c r="C460" t="str">
        <x:v>space</x:v>
      </x:c>
      <x:c r="D460" t="str">
        <x:v>space vape series</x:v>
      </x:c>
      <x:c r="E460" t="str">
        <x:v>recommended</x:v>
      </x:c>
      <x:c r="F460" t="n">
        <x:v>0</x:v>
      </x:c>
      <x:c r="G460" t="n">
        <x:v>0</x:v>
      </x:c>
      <x:c r="H460" t="str">
        <x:v>48</x:v>
      </x:c>
    </x:row>
    <x:row r="461">
      <x:c r="A461" t="str">
        <x:v>https://exdivo.com/collections/visionaura-full-screen?page=1</x:v>
      </x:c>
      <x:c r="B461" t="str">
        <x:v>SPACE - ExDivo</x:v>
      </x:c>
      <x:c r="C461" t="str">
        <x:v>space</x:v>
      </x:c>
      <x:c r="D461" t="str">
        <x:v>vape models space</x:v>
      </x:c>
      <x:c r="E461" t="str">
        <x:v>recommended</x:v>
      </x:c>
      <x:c r="F461" t="n">
        <x:v>0</x:v>
      </x:c>
      <x:c r="G461" t="n">
        <x:v>0</x:v>
      </x:c>
      <x:c r="H461" t="str">
        <x:v>48</x:v>
      </x:c>
    </x:row>
    <x:row r="462">
      <x:c r="A462" t="str">
        <x:v>https://exdivo.com/collections/visionaura-full-screen?page=1</x:v>
      </x:c>
      <x:c r="B462" t="str">
        <x:v>SPACE - ExDivo</x:v>
      </x:c>
      <x:c r="C462" t="str">
        <x:v>space</x:v>
      </x:c>
      <x:c r="D462" t="str">
        <x:v>vape product space</x:v>
      </x:c>
      <x:c r="E462" t="str">
        <x:v>recommended</x:v>
      </x:c>
      <x:c r="F462" t="n">
        <x:v>0</x:v>
      </x:c>
      <x:c r="G462" t="n">
        <x:v>0</x:v>
      </x:c>
      <x:c r="H462" t="str">
        <x:v>48</x:v>
      </x:c>
    </x:row>
    <x:row r="463">
      <x:c r="A463" t="str">
        <x:v>https://exdivo.com/collections/visionaura-full-screen?page=1</x:v>
      </x:c>
      <x:c r="B463" t="str">
        <x:v>SPACE - ExDivo</x:v>
      </x:c>
      <x:c r="C463" t="str">
        <x:v>space</x:v>
      </x:c>
      <x:c r="D463" t="str">
        <x:v>space bars vape</x:v>
      </x:c>
      <x:c r="E463" t="str">
        <x:v>recommended</x:v>
      </x:c>
      <x:c r="F463" t="n">
        <x:v>50</x:v>
      </x:c>
      <x:c r="G463" t="n">
        <x:v>0</x:v>
      </x:c>
      <x:c r="H463" t="str">
        <x:v>informational</x:v>
      </x:c>
    </x:row>
    <x:row r="464">
      <x:c r="A464" t="str">
        <x:v>https://exdivo.com/collections/visionaura-full-screen?page=1</x:v>
      </x:c>
      <x:c r="B464" t="str">
        <x:v>SPACE - ExDivo</x:v>
      </x:c>
      <x:c r="C464" t="str">
        <x:v>space</x:v>
      </x:c>
      <x:c r="D464" t="str">
        <x:v>spaceman vape</x:v>
      </x:c>
      <x:c r="E464" t="str">
        <x:v>recommended</x:v>
      </x:c>
      <x:c r="F464" t="n">
        <x:v>3600</x:v>
      </x:c>
      <x:c r="G464" t="n">
        <x:v>13</x:v>
      </x:c>
      <x:c r="H464" t="str">
        <x:v>informational</x:v>
      </x:c>
    </x:row>
    <x:row r="465">
      <x:c r="A465" t="str">
        <x:v>https://exdivo.com/products/exdivo-kuz-25k-replaceable-pod-vape_8c92b717</x:v>
      </x:c>
      <x:c r="B465" t="str">
        <x:v>ExDivo KUZ 25K Replaceable Pod Vape</x:v>
      </x:c>
      <x:c r="C465" t="str">
        <x:v>25000 puffs</x:v>
      </x:c>
      <x:c r="D465" t="str">
        <x:v>high puff count pod vape</x:v>
      </x:c>
      <x:c r="E465" t="str">
        <x:v>recommended</x:v>
      </x:c>
      <x:c r="F465" t="n">
        <x:v>0</x:v>
      </x:c>
      <x:c r="G465" t="n">
        <x:v>0</x:v>
      </x:c>
      <x:c r="H465" t="str">
        <x:v>48</x:v>
      </x:c>
    </x:row>
    <x:row r="466">
      <x:c r="A466" t="str">
        <x:v>https://exdivo.com/products/exdivo-kuz-25k-replaceable-pod-vape_8c92b717</x:v>
      </x:c>
      <x:c r="B466" t="str">
        <x:v>ExDivo KUZ 25K Replaceable Pod Vape</x:v>
      </x:c>
      <x:c r="C466" t="str">
        <x:v>25000 puffs</x:v>
      </x:c>
      <x:c r="D466" t="str">
        <x:v>high capacity pod vape</x:v>
      </x:c>
      <x:c r="E466" t="str">
        <x:v>recommended</x:v>
      </x:c>
      <x:c r="F466" t="n">
        <x:v>0</x:v>
      </x:c>
      <x:c r="G466" t="n">
        <x:v>0</x:v>
      </x:c>
      <x:c r="H466" t="str">
        <x:v>48</x:v>
      </x:c>
    </x:row>
    <x:row r="467">
      <x:c r="A467" t="str">
        <x:v>https://exdivo.com/products/exdivo-kuz-25k-replaceable-pod-vape_8c92b717</x:v>
      </x:c>
      <x:c r="B467" t="str">
        <x:v>ExDivo KUZ 25K Replaceable Pod Vape</x:v>
      </x:c>
      <x:c r="C467" t="str">
        <x:v>25000 puffs</x:v>
      </x:c>
      <x:c r="D467" t="str">
        <x:v>long lasting pod vape</x:v>
      </x:c>
      <x:c r="E467" t="str">
        <x:v>recommended</x:v>
      </x:c>
      <x:c r="F467" t="n">
        <x:v>0</x:v>
      </x:c>
      <x:c r="G467" t="n">
        <x:v>0</x:v>
      </x:c>
      <x:c r="H467" t="str">
        <x:v>48</x:v>
      </x:c>
    </x:row>
    <x:row r="468">
      <x:c r="A468" t="str">
        <x:v>https://exdivo.com/products/exdivo-kuz-25k-replaceable-pod-vape_8c92b717</x:v>
      </x:c>
      <x:c r="B468" t="str">
        <x:v>ExDivo KUZ 25K Replaceable Pod Vape</x:v>
      </x:c>
      <x:c r="C468" t="str">
        <x:v>25000 puffs</x:v>
      </x:c>
      <x:c r="D468" t="str">
        <x:v>high puff pod vape</x:v>
      </x:c>
      <x:c r="E468" t="str">
        <x:v>recommended</x:v>
      </x:c>
      <x:c r="F468" t="n">
        <x:v>0</x:v>
      </x:c>
      <x:c r="G468" t="n">
        <x:v>0</x:v>
      </x:c>
      <x:c r="H468" t="str">
        <x:v>48</x:v>
      </x:c>
    </x:row>
    <x:row r="469">
      <x:c r="A469" t="str">
        <x:v>https://exdivo.com/comments/exdivo-bright-mirror-35k-replaceable-vape-kit_25244789?writeComment=true</x:v>
      </x:c>
      <x:c r="B469" t="str">
        <x:v>Reviews - SOUR APPLE ICE - ExDivo BRIGHT MIRROR 35K Replaceable VAPE kit - ExDivo</x:v>
      </x:c>
      <x:c r="C469" t="str">
        <x:v>48</x:v>
      </x:c>
      <x:c r="D469" t="str">
        <x:v>sour apple foger vape</x:v>
      </x:c>
      <x:c r="E469" t="str">
        <x:v>recommended</x:v>
      </x:c>
      <x:c r="F469" t="n">
        <x:v>40</x:v>
      </x:c>
      <x:c r="G469" t="n">
        <x:v>0</x:v>
      </x:c>
      <x:c r="H469" t="str">
        <x:v>informational</x:v>
      </x:c>
    </x:row>
    <x:row r="470">
      <x:c r="A470" t="str">
        <x:v>https://exdivo.com/comments/exdivo-bright-mirror-35k-replaceable-vape-kit_25244789?writeComment=true</x:v>
      </x:c>
      <x:c r="B470" t="str">
        <x:v>Reviews - SOUR APPLE ICE - ExDivo BRIGHT MIRROR 35K Replaceable VAPE kit - ExDivo</x:v>
      </x:c>
      <x:c r="C470" t="str">
        <x:v>48</x:v>
      </x:c>
      <x:c r="D470" t="str">
        <x:v>vape flavor sour apple ice</x:v>
      </x:c>
      <x:c r="E470" t="str">
        <x:v>recommended</x:v>
      </x:c>
      <x:c r="F470" t="n">
        <x:v>0</x:v>
      </x:c>
      <x:c r="G470" t="n">
        <x:v>0</x:v>
      </x:c>
      <x:c r="H470" t="str">
        <x:v>48</x:v>
      </x:c>
    </x:row>
    <x:row r="471">
      <x:c r="A471" t="str">
        <x:v>https://exdivo.com/comments/exdivo-bright-mirror-35k-replaceable-vape-kit_25244789?writeComment=true</x:v>
      </x:c>
      <x:c r="B471" t="str">
        <x:v>Reviews - SOUR APPLE ICE - ExDivo BRIGHT MIRROR 35K Replaceable VAPE kit - ExDivo</x:v>
      </x:c>
      <x:c r="C471" t="str">
        <x:v>48</x:v>
      </x:c>
      <x:c r="D471" t="str">
        <x:v>sour apple ice vape kit</x:v>
      </x:c>
      <x:c r="E471" t="str">
        <x:v>recommended</x:v>
      </x:c>
      <x:c r="F471" t="n">
        <x:v>0</x:v>
      </x:c>
      <x:c r="G471" t="n">
        <x:v>0</x:v>
      </x:c>
      <x:c r="H471" t="str">
        <x:v>48</x:v>
      </x:c>
    </x:row>
    <x:row r="472">
      <x:c r="A472" t="str">
        <x:v>https://exdivo.com/comments/exdivo-bright-mirror-35k-replaceable-vape-kit_25244789?writeComment=true</x:v>
      </x:c>
      <x:c r="B472" t="str">
        <x:v>Reviews - SOUR APPLE ICE - ExDivo BRIGHT MIRROR 35K Replaceable VAPE kit - ExDivo</x:v>
      </x:c>
      <x:c r="C472" t="str">
        <x:v>48</x:v>
      </x:c>
      <x:c r="D472" t="str">
        <x:v>sour apple vape juice</x:v>
      </x:c>
      <x:c r="E472" t="str">
        <x:v>recommended</x:v>
      </x:c>
      <x:c r="F472" t="n">
        <x:v>110</x:v>
      </x:c>
      <x:c r="G472" t="n">
        <x:v>0</x:v>
      </x:c>
      <x:c r="H472" t="str">
        <x:v>informational, transactional</x:v>
      </x:c>
    </x:row>
    <x:row r="473">
      <x:c r="A473" t="str">
        <x:v>https://exdivo.com/comments/exdivo-bright-mirror-35k-replaceable-vape-kit_25244789?writeComment=true</x:v>
      </x:c>
      <x:c r="B473" t="str">
        <x:v>Reviews - SOUR APPLE ICE - ExDivo BRIGHT MIRROR 35K Replaceable VAPE kit - ExDivo</x:v>
      </x:c>
      <x:c r="C473" t="str">
        <x:v>48</x:v>
      </x:c>
      <x:c r="D473" t="str">
        <x:v>sour green apple vape</x:v>
      </x:c>
      <x:c r="E473" t="str">
        <x:v>recommended</x:v>
      </x:c>
      <x:c r="F473" t="n">
        <x:v>110</x:v>
      </x:c>
      <x:c r="G473" t="n">
        <x:v>4</x:v>
      </x:c>
      <x:c r="H473" t="str">
        <x:v>informational, commercial</x:v>
      </x:c>
    </x:row>
    <x:row r="474">
      <x:c r="A474" t="str">
        <x:v>https://exdivo.com/comments/exdivo-bright-mirror-35k-replaceable-vape-kit_25244789?writeComment=true</x:v>
      </x:c>
      <x:c r="B474" t="str">
        <x:v>Reviews - SOUR APPLE ICE - ExDivo BRIGHT MIRROR 35K Replaceable VAPE kit - ExDivo</x:v>
      </x:c>
      <x:c r="C474" t="str">
        <x:v>48</x:v>
      </x:c>
      <x:c r="D474" t="str">
        <x:v>sour apple vapes</x:v>
      </x:c>
      <x:c r="E474" t="str">
        <x:v>recommended</x:v>
      </x:c>
      <x:c r="F474" t="n">
        <x:v>50</x:v>
      </x:c>
      <x:c r="G474" t="n">
        <x:v>8</x:v>
      </x:c>
      <x:c r="H474" t="str">
        <x:v>informational</x:v>
      </x:c>
    </x:row>
    <x:row r="475">
      <x:c r="A475" t="str">
        <x:v>https://exdivo.com/collections/brightmirror/products/exdivo-bright-mirror-35k-replaceable-vape-kit_2c14597f?data_from=index_index&amp;spm=index_index..block_collection_slides-11702967.1.</x:v>
      </x:c>
      <x:c r="B475" t="str">
        <x:v>ExDivo BRIGHT MIRROR 35K Replaceable VAPE KIT</x:v>
      </x:c>
      <x:c r="C475" t="str">
        <x:v>35000 puffs</x:v>
      </x:c>
      <x:c r="D475" t="str">
        <x:v>35000 puff vape kit</x:v>
      </x:c>
      <x:c r="E475" t="str">
        <x:v>recommended</x:v>
      </x:c>
      <x:c r="F475" t="n">
        <x:v>0</x:v>
      </x:c>
      <x:c r="G475" t="n">
        <x:v>0</x:v>
      </x:c>
      <x:c r="H475" t="str">
        <x:v>48</x:v>
      </x:c>
    </x:row>
    <x:row r="476">
      <x:c r="A476" t="str">
        <x:v>https://exdivo.com/collections/brightmirror/products/exdivo-bright-mirror-35k-replaceable-vape-kit_2c14597f?data_from=index_index&amp;spm=index_index..block_collection_slides-11702967.1.</x:v>
      </x:c>
      <x:c r="B476" t="str">
        <x:v>ExDivo BRIGHT MIRROR 35K Replaceable VAPE KIT</x:v>
      </x:c>
      <x:c r="C476" t="str">
        <x:v>35000 puffs</x:v>
      </x:c>
      <x:c r="D476" t="str">
        <x:v>35000 puff vape</x:v>
      </x:c>
      <x:c r="E476" t="str">
        <x:v>recommended</x:v>
      </x:c>
      <x:c r="F476" t="n">
        <x:v>0</x:v>
      </x:c>
      <x:c r="G476" t="n">
        <x:v>0</x:v>
      </x:c>
      <x:c r="H476" t="str">
        <x:v>48</x:v>
      </x:c>
    </x:row>
    <x:row r="477">
      <x:c r="A477" t="str">
        <x:v>https://exdivo.com/collections/brightmirror/products/exdivo-bright-mirror-35k-replaceable-vape-kit_2c14597f?data_from=index_index&amp;spm=index_index..block_collection_slides-11702967.1.</x:v>
      </x:c>
      <x:c r="B477" t="str">
        <x:v>ExDivo BRIGHT MIRROR 35K Replaceable VAPE KIT</x:v>
      </x:c>
      <x:c r="C477" t="str">
        <x:v>35000 puffs</x:v>
      </x:c>
      <x:c r="D477" t="str">
        <x:v>rechargeable vape kit 35000 puffs</x:v>
      </x:c>
      <x:c r="E477" t="str">
        <x:v>recommended</x:v>
      </x:c>
      <x:c r="F477" t="n">
        <x:v>0</x:v>
      </x:c>
      <x:c r="G477" t="n">
        <x:v>0</x:v>
      </x:c>
      <x:c r="H477" t="str">
        <x:v>48</x:v>
      </x:c>
    </x:row>
    <x:row r="478">
      <x:c r="A478" t="str">
        <x:v>https://exdivo.com/collections/interstellar/products/exdivo-interstellar-35k-disposable-vape_f85df3b4?data_from=index_index&amp;spm=index_index..block_collection_slides-11702936.7.</x:v>
      </x:c>
      <x:c r="B478" t="str">
        <x:v>ExDivo INTERSTELLAR 35K Disposable Vape</x:v>
      </x:c>
      <x:c r="C478" t="str">
        <x:v>35000 puffs</x:v>
      </x:c>
      <x:c r="D478" t="str">
        <x:v>long lasting disposable vape 35k</x:v>
      </x:c>
      <x:c r="E478" t="str">
        <x:v>recommended</x:v>
      </x:c>
      <x:c r="F478" t="n">
        <x:v>0</x:v>
      </x:c>
      <x:c r="G478" t="n">
        <x:v>0</x:v>
      </x:c>
      <x:c r="H478" t="str">
        <x:v>48</x:v>
      </x:c>
    </x:row>
    <x:row r="479">
      <x:c r="A479" t="str">
        <x:v>https://exdivo.com/pages/age-verification</x:v>
      </x:c>
      <x:c r="B479" t="str">
        <x:v>Age Verification - ExDivo</x:v>
      </x:c>
      <x:c r="C479" t="str">
        <x:v>age verification</x:v>
      </x:c>
      <x:c r="D479" t="str">
        <x:v>age check for vape products</x:v>
      </x:c>
      <x:c r="E479" t="str">
        <x:v>recommended</x:v>
      </x:c>
      <x:c r="F479" t="n">
        <x:v>0</x:v>
      </x:c>
      <x:c r="G479" t="n">
        <x:v>0</x:v>
      </x:c>
      <x:c r="H479" t="str">
        <x:v>48</x:v>
      </x:c>
    </x:row>
    <x:row r="480">
      <x:c r="A480" t="str">
        <x:v>https://exdivo.com/pages/age-verification</x:v>
      </x:c>
      <x:c r="B480" t="str">
        <x:v>Age Verification - ExDivo</x:v>
      </x:c>
      <x:c r="C480" t="str">
        <x:v>age verification</x:v>
      </x:c>
      <x:c r="D480" t="str">
        <x:v>vape age verification</x:v>
      </x:c>
      <x:c r="E480" t="str">
        <x:v>recommended</x:v>
      </x:c>
      <x:c r="F480" t="n">
        <x:v>0</x:v>
      </x:c>
      <x:c r="G480" t="n">
        <x:v>0</x:v>
      </x:c>
      <x:c r="H480" t="str">
        <x:v>48</x:v>
      </x:c>
    </x:row>
    <x:row r="481">
      <x:c r="A481" t="str">
        <x:v>https://exdivo.com/pages/age-verification</x:v>
      </x:c>
      <x:c r="B481" t="str">
        <x:v>Age Verification - ExDivo</x:v>
      </x:c>
      <x:c r="C481" t="str">
        <x:v>age verification</x:v>
      </x:c>
      <x:c r="D481" t="str">
        <x:v>vape purchase age limit</x:v>
      </x:c>
      <x:c r="E481" t="str">
        <x:v>recommended</x:v>
      </x:c>
      <x:c r="F481" t="n">
        <x:v>0</x:v>
      </x:c>
      <x:c r="G481" t="n">
        <x:v>0</x:v>
      </x:c>
      <x:c r="H481" t="str">
        <x:v>48</x:v>
      </x:c>
    </x:row>
    <x:row r="482">
      <x:c r="A482" t="str">
        <x:v>https://exdivo.com/pages/age-verification</x:v>
      </x:c>
      <x:c r="B482" t="str">
        <x:v>Age Verification - ExDivo</x:v>
      </x:c>
      <x:c r="C482" t="str">
        <x:v>age verification</x:v>
      </x:c>
      <x:c r="D482" t="str">
        <x:v>online vape store age requirement</x:v>
      </x:c>
      <x:c r="E482" t="str">
        <x:v>recommended</x:v>
      </x:c>
      <x:c r="F482" t="n">
        <x:v>0</x:v>
      </x:c>
      <x:c r="G482" t="n">
        <x:v>0</x:v>
      </x:c>
      <x:c r="H482" t="str">
        <x:v>48</x:v>
      </x:c>
    </x:row>
    <x:row r="483">
      <x:c r="A483" t="str">
        <x:v>https://exdivo.com/pages/age-verification</x:v>
      </x:c>
      <x:c r="B483" t="str">
        <x:v>Age Verification - ExDivo</x:v>
      </x:c>
      <x:c r="C483" t="str">
        <x:v>age verification</x:v>
      </x:c>
      <x:c r="D483" t="str">
        <x:v>what age can u buy a vape</x:v>
      </x:c>
      <x:c r="E483" t="str">
        <x:v>recommended</x:v>
      </x:c>
      <x:c r="F483" t="n">
        <x:v>50</x:v>
      </x:c>
      <x:c r="G483" t="n">
        <x:v>17</x:v>
      </x:c>
      <x:c r="H483" t="str">
        <x:v>informational</x:v>
      </x:c>
    </x:row>
    <x:row r="484">
      <x:c r="A484" t="str">
        <x:v>https://exdivo.com/pages/age-verification</x:v>
      </x:c>
      <x:c r="B484" t="str">
        <x:v>Age Verification - ExDivo</x:v>
      </x:c>
      <x:c r="C484" t="str">
        <x:v>age verification</x:v>
      </x:c>
      <x:c r="D484" t="str">
        <x:v>legal vape age</x:v>
      </x:c>
      <x:c r="E484" t="str">
        <x:v>recommended</x:v>
      </x:c>
      <x:c r="F484" t="n">
        <x:v>170</x:v>
      </x:c>
      <x:c r="G484" t="n">
        <x:v>32</x:v>
      </x:c>
      <x:c r="H484" t="str">
        <x:v>informational, commercial</x:v>
      </x:c>
    </x:row>
    <x:row r="485">
      <x:c r="A485" t="str">
        <x:v>https://exdivo.com/pages/age-verification</x:v>
      </x:c>
      <x:c r="B485" t="str">
        <x:v>Age Verification - ExDivo</x:v>
      </x:c>
      <x:c r="C485" t="str">
        <x:v>age verification</x:v>
      </x:c>
      <x:c r="D485" t="str">
        <x:v>legal age to vape</x:v>
      </x:c>
      <x:c r="E485" t="str">
        <x:v>recommended</x:v>
      </x:c>
      <x:c r="F485" t="n">
        <x:v>590</x:v>
      </x:c>
      <x:c r="G485" t="n">
        <x:v>34</x:v>
      </x:c>
      <x:c r="H485" t="str">
        <x:v>commercial</x:v>
      </x:c>
    </x:row>
    <x:row r="486">
      <x:c r="A486" t="str">
        <x:v>https://exdivo.com/pages/age-verification</x:v>
      </x:c>
      <x:c r="B486" t="str">
        <x:v>Age Verification - ExDivo</x:v>
      </x:c>
      <x:c r="C486" t="str">
        <x:v>age verification</x:v>
      </x:c>
      <x:c r="D486" t="str">
        <x:v>vape age limit</x:v>
      </x:c>
      <x:c r="E486" t="str">
        <x:v>recommended</x:v>
      </x:c>
      <x:c r="F486" t="n">
        <x:v>140</x:v>
      </x:c>
      <x:c r="G486" t="n">
        <x:v>35</x:v>
      </x:c>
      <x:c r="H486" t="str">
        <x:v>informational, commercial</x:v>
      </x:c>
    </x:row>
    <x:row r="487">
      <x:c r="A487" t="str">
        <x:v>https://exdivo.com/pages/age-verification</x:v>
      </x:c>
      <x:c r="B487" t="str">
        <x:v>Age Verification - ExDivo</x:v>
      </x:c>
      <x:c r="C487" t="str">
        <x:v>age verification</x:v>
      </x:c>
      <x:c r="D487" t="str">
        <x:v>how old do you have to buy a vape</x:v>
      </x:c>
      <x:c r="E487" t="str">
        <x:v>recommended</x:v>
      </x:c>
      <x:c r="F487" t="n">
        <x:v>260</x:v>
      </x:c>
      <x:c r="G487" t="n">
        <x:v>35</x:v>
      </x:c>
      <x:c r="H487" t="str">
        <x:v>informational</x:v>
      </x:c>
    </x:row>
    <x:row r="488">
      <x:c r="A488" t="str">
        <x:v>https://exdivo.com/pages/age-verification</x:v>
      </x:c>
      <x:c r="B488" t="str">
        <x:v>Age Verification - ExDivo</x:v>
      </x:c>
      <x:c r="C488" t="str">
        <x:v>age verification</x:v>
      </x:c>
      <x:c r="D488" t="str">
        <x:v>how old do you have to vape</x:v>
      </x:c>
      <x:c r="E488" t="str">
        <x:v>recommended</x:v>
      </x:c>
      <x:c r="F488" t="n">
        <x:v>260</x:v>
      </x:c>
      <x:c r="G488" t="n">
        <x:v>35</x:v>
      </x:c>
      <x:c r="H488" t="str">
        <x:v>informational</x:v>
      </x:c>
    </x:row>
    <x:row r="489">
      <x:c r="A489" t="str">
        <x:v>https://exdivo.com/pages/age-verification</x:v>
      </x:c>
      <x:c r="B489" t="str">
        <x:v>Age Verification - ExDivo</x:v>
      </x:c>
      <x:c r="C489" t="str">
        <x:v>age verification</x:v>
      </x:c>
      <x:c r="D489" t="str">
        <x:v>vaping age limit</x:v>
      </x:c>
      <x:c r="E489" t="str">
        <x:v>recommended</x:v>
      </x:c>
      <x:c r="F489" t="n">
        <x:v>70</x:v>
      </x:c>
      <x:c r="G489" t="n">
        <x:v>36</x:v>
      </x:c>
      <x:c r="H489" t="str">
        <x:v>informational, commercial</x:v>
      </x:c>
    </x:row>
    <x:row r="490">
      <x:c r="A490" t="str">
        <x:v>https://exdivo.com/pages/age-verification</x:v>
      </x:c>
      <x:c r="B490" t="str">
        <x:v>Age Verification - ExDivo</x:v>
      </x:c>
      <x:c r="C490" t="str">
        <x:v>age verification</x:v>
      </x:c>
      <x:c r="D490" t="str">
        <x:v>how old to vape</x:v>
      </x:c>
      <x:c r="E490" t="str">
        <x:v>recommended</x:v>
      </x:c>
      <x:c r="F490" t="n">
        <x:v>720</x:v>
      </x:c>
      <x:c r="G490" t="n">
        <x:v>40</x:v>
      </x:c>
      <x:c r="H490" t="str">
        <x:v>informational</x:v>
      </x:c>
    </x:row>
    <x:row r="491">
      <x:c r="A491" t="str">
        <x:v>https://exdivo.com/blogs/a-beginner-s-guide-to-choosing-your-first-vape-device</x:v>
      </x:c>
      <x:c r="B491" t="str">
        <x:v>A Guide for Beginners Choosing Their First E-cigarette Device - ExDivo</x:v>
      </x:c>
      <x:c r="C491" t="str">
        <x:v>a guide for beginners choosing their first e-cigarette device</x:v>
      </x:c>
      <x:c r="D491" t="str">
        <x:v>vape starter kits</x:v>
      </x:c>
      <x:c r="E491" t="str">
        <x:v>recommended</x:v>
      </x:c>
      <x:c r="F491" t="n">
        <x:v>1000</x:v>
      </x:c>
      <x:c r="G491" t="n">
        <x:v>30</x:v>
      </x:c>
      <x:c r="H491" t="str">
        <x:v>commercial</x:v>
      </x:c>
    </x:row>
    <x:row r="492">
      <x:c r="A492" t="str">
        <x:v>https://exdivo.com/blogs/a-beginner-s-guide-to-choosing-your-first-vape-device</x:v>
      </x:c>
      <x:c r="B492" t="str">
        <x:v>A Guide for Beginners Choosing Their First E-cigarette Device - ExDivo</x:v>
      </x:c>
      <x:c r="C492" t="str">
        <x:v>a guide for beginners choosing their first e-cigarette device</x:v>
      </x:c>
      <x:c r="D492" t="str">
        <x:v>best vape starter kit</x:v>
      </x:c>
      <x:c r="E492" t="str">
        <x:v>recommended</x:v>
      </x:c>
      <x:c r="F492" t="n">
        <x:v>210</x:v>
      </x:c>
      <x:c r="G492" t="n">
        <x:v>11</x:v>
      </x:c>
      <x:c r="H492" t="str">
        <x:v>commercial</x:v>
      </x:c>
    </x:row>
    <x:row r="493">
      <x:c r="A493" t="str">
        <x:v>https://exdivo.com/blogs/a-beginner-s-guide-to-choosing-your-first-vape-device</x:v>
      </x:c>
      <x:c r="B493" t="str">
        <x:v>A Guide for Beginners Choosing Their First E-cigarette Device - ExDivo</x:v>
      </x:c>
      <x:c r="C493" t="str">
        <x:v>a guide for beginners choosing their first e-cigarette device</x:v>
      </x:c>
      <x:c r="D493" t="str">
        <x:v>electronic cigarette starter kit</x:v>
      </x:c>
      <x:c r="E493" t="str">
        <x:v>recommended</x:v>
      </x:c>
      <x:c r="F493" t="n">
        <x:v>140</x:v>
      </x:c>
      <x:c r="G493" t="n">
        <x:v>9</x:v>
      </x:c>
      <x:c r="H493" t="str">
        <x:v>commercial</x:v>
      </x:c>
    </x:row>
    <x:row r="494">
      <x:c r="A494" t="str">
        <x:v>https://exdivo.com/blogs/a-beginner-s-guide-to-choosing-your-first-vape-device</x:v>
      </x:c>
      <x:c r="B494" t="str">
        <x:v>A Guide for Beginners Choosing Their First E-cigarette Device - ExDivo</x:v>
      </x:c>
      <x:c r="C494" t="str">
        <x:v>a guide for beginners choosing their first e-cigarette device</x:v>
      </x:c>
      <x:c r="D494" t="str">
        <x:v>best beginner vape kit</x:v>
      </x:c>
      <x:c r="E494" t="str">
        <x:v>recommended</x:v>
      </x:c>
      <x:c r="F494" t="n">
        <x:v>170</x:v>
      </x:c>
      <x:c r="G494" t="n">
        <x:v>7</x:v>
      </x:c>
      <x:c r="H494" t="str">
        <x:v>commercial</x:v>
      </x:c>
    </x:row>
    <x:row r="495">
      <x:c r="A495" t="str">
        <x:v>https://exdivo.com/blogs/a-beginner-s-guide-to-choosing-your-first-vape-device</x:v>
      </x:c>
      <x:c r="B495" t="str">
        <x:v>A Guide for Beginners Choosing Their First E-cigarette Device - ExDivo</x:v>
      </x:c>
      <x:c r="C495" t="str">
        <x:v>a guide for beginners choosing their first e-cigarette device</x:v>
      </x:c>
      <x:c r="D495" t="str">
        <x:v>what is the best vape pen for beginners</x:v>
      </x:c>
      <x:c r="E495" t="str">
        <x:v>recommended</x:v>
      </x:c>
      <x:c r="F495" t="n">
        <x:v>140</x:v>
      </x:c>
      <x:c r="G495" t="n">
        <x:v>12</x:v>
      </x:c>
      <x:c r="H495" t="str">
        <x:v>commercial</x:v>
      </x:c>
    </x:row>
    <x:row r="496">
      <x:c r="A496" t="str">
        <x:v>https://exdivo.com/blogs/a-beginner-s-guide-to-choosing-your-first-vape-device</x:v>
      </x:c>
      <x:c r="B496" t="str">
        <x:v>A Guide for Beginners Choosing Their First E-cigarette Device - ExDivo</x:v>
      </x:c>
      <x:c r="C496" t="str">
        <x:v>a guide for beginners choosing their first e-cigarette device</x:v>
      </x:c>
      <x:c r="D496" t="str">
        <x:v>vape kits for beginners</x:v>
      </x:c>
      <x:c r="E496" t="str">
        <x:v>recommended</x:v>
      </x:c>
      <x:c r="F496" t="n">
        <x:v>90</x:v>
      </x:c>
      <x:c r="G496" t="n">
        <x:v>17</x:v>
      </x:c>
      <x:c r="H496" t="str">
        <x:v>commercial</x:v>
      </x:c>
    </x:row>
    <x:row r="497">
      <x:c r="A497" t="str">
        <x:v>https://exdivo.com/blogs/a-beginner-s-guide-to-choosing-your-first-vape-device</x:v>
      </x:c>
      <x:c r="B497" t="str">
        <x:v>A Guide for Beginners Choosing Their First E-cigarette Device - ExDivo</x:v>
      </x:c>
      <x:c r="C497" t="str">
        <x:v>a guide for beginners choosing their first e-cigarette device</x:v>
      </x:c>
      <x:c r="D497" t="str">
        <x:v>best starter vape</x:v>
      </x:c>
      <x:c r="E497" t="str">
        <x:v>recommended</x:v>
      </x:c>
      <x:c r="F497" t="n">
        <x:v>70</x:v>
      </x:c>
      <x:c r="G497" t="n">
        <x:v>5</x:v>
      </x:c>
      <x:c r="H497" t="str">
        <x:v>commercial</x:v>
      </x:c>
    </x:row>
    <x:row r="498">
      <x:c r="A498" t="str">
        <x:v>https://exdivo.com/blogs/a-beginner-s-guide-to-choosing-your-first-vape-device</x:v>
      </x:c>
      <x:c r="B498" t="str">
        <x:v>A Guide for Beginners Choosing Their First E-cigarette Device - ExDivo</x:v>
      </x:c>
      <x:c r="C498" t="str">
        <x:v>a guide for beginners choosing their first e-cigarette device</x:v>
      </x:c>
      <x:c r="D498" t="str">
        <x:v>best beginner vape</x:v>
      </x:c>
      <x:c r="E498" t="str">
        <x:v>recommended</x:v>
      </x:c>
      <x:c r="F498" t="n">
        <x:v>90</x:v>
      </x:c>
      <x:c r="G498" t="n">
        <x:v>12</x:v>
      </x:c>
      <x:c r="H498" t="str">
        <x:v>commercial</x:v>
      </x:c>
    </x:row>
    <x:row r="499">
      <x:c r="A499" t="str">
        <x:v>https://exdivo.com/blogs/a-beginner-s-guide-to-choosing-your-first-vape-device</x:v>
      </x:c>
      <x:c r="B499" t="str">
        <x:v>A Guide for Beginners Choosing Their First E-cigarette Device - ExDivo</x:v>
      </x:c>
      <x:c r="C499" t="str">
        <x:v>a guide for beginners choosing their first e-cigarette device</x:v>
      </x:c>
      <x:c r="D499" t="str">
        <x:v>best refillable vape for beginners</x:v>
      </x:c>
      <x:c r="E499" t="str">
        <x:v>recommended</x:v>
      </x:c>
      <x:c r="F499" t="n">
        <x:v>40</x:v>
      </x:c>
      <x:c r="G499" t="n">
        <x:v>2</x:v>
      </x:c>
      <x:c r="H499" t="str">
        <x:v>commercial</x:v>
      </x:c>
    </x:row>
    <x:row r="500">
      <x:c r="A500" t="str">
        <x:v>https://exdivo.com/blogs/a-beginner-s-guide-to-choosing-your-first-vape-device</x:v>
      </x:c>
      <x:c r="B500" t="str">
        <x:v>A Guide for Beginners Choosing Their First E-cigarette Device - ExDivo</x:v>
      </x:c>
      <x:c r="C500" t="str">
        <x:v>a guide for beginners choosing their first e-cigarette device</x:v>
      </x:c>
      <x:c r="D500" t="str">
        <x:v>e cigarette starter kit</x:v>
      </x:c>
      <x:c r="E500" t="str">
        <x:v>recommended</x:v>
      </x:c>
      <x:c r="F500" t="n">
        <x:v>210</x:v>
      </x:c>
      <x:c r="G500" t="n">
        <x:v>21</x:v>
      </x:c>
      <x:c r="H500" t="str">
        <x:v>commercial</x:v>
      </x:c>
    </x:row>
    <x:row r="501">
      <x:c r="A501" t="str">
        <x:v>https://exdivo.com/blogs/a-beginner-s-guide-to-choosing-your-first-vape-device</x:v>
      </x:c>
      <x:c r="B501" t="str">
        <x:v>A Guide for Beginners Choosing Their First E-cigarette Device - ExDivo</x:v>
      </x:c>
      <x:c r="C501" t="str">
        <x:v>a guide for beginners choosing their first e-cigarette device</x:v>
      </x:c>
      <x:c r="D501" t="str">
        <x:v>vape for beginners</x:v>
      </x:c>
      <x:c r="E501" t="str">
        <x:v>recommended</x:v>
      </x:c>
      <x:c r="F501" t="n">
        <x:v>140</x:v>
      </x:c>
      <x:c r="G501" t="n">
        <x:v>16</x:v>
      </x:c>
      <x:c r="H501" t="str">
        <x:v>commercial</x:v>
      </x:c>
    </x:row>
    <x:row r="502">
      <x:c r="A502" t="str">
        <x:v>https://exdivo.com/blogs/a-beginner-s-guide-to-choosing-your-first-vape-device</x:v>
      </x:c>
      <x:c r="B502" t="str">
        <x:v>A Guide for Beginners Choosing Their First E-cigarette Device - ExDivo</x:v>
      </x:c>
      <x:c r="C502" t="str">
        <x:v>a guide for beginners choosing their first e-cigarette device</x:v>
      </x:c>
      <x:c r="D502" t="str">
        <x:v>best vape starter kits</x:v>
      </x:c>
      <x:c r="E502" t="str">
        <x:v>recommended</x:v>
      </x:c>
      <x:c r="F502" t="n">
        <x:v>50</x:v>
      </x:c>
      <x:c r="G502" t="n">
        <x:v>14</x:v>
      </x:c>
      <x:c r="H502" t="str">
        <x:v>commercial</x:v>
      </x:c>
    </x:row>
    <x:row r="503">
      <x:c r="A503" t="str">
        <x:v>https://exdivo.com/blogs/a-beginner-s-guide-to-choosing-your-first-vape-device</x:v>
      </x:c>
      <x:c r="B503" t="str">
        <x:v>A Guide for Beginners Choosing Their First E-cigarette Device - ExDivo</x:v>
      </x:c>
      <x:c r="C503" t="str">
        <x:v>a guide for beginners choosing their first e-cigarette device</x:v>
      </x:c>
      <x:c r="D503" t="str">
        <x:v>beginner vapes</x:v>
      </x:c>
      <x:c r="E503" t="str">
        <x:v>recommended</x:v>
      </x:c>
      <x:c r="F503" t="n">
        <x:v>50</x:v>
      </x:c>
      <x:c r="G503" t="n">
        <x:v>12</x:v>
      </x:c>
      <x:c r="H503" t="str">
        <x:v>commercial</x:v>
      </x:c>
    </x:row>
    <x:row r="504">
      <x:c r="A504" t="str">
        <x:v>https://exdivo.com/blogs/a-beginner-s-guide-to-choosing-your-first-vape-device</x:v>
      </x:c>
      <x:c r="B504" t="str">
        <x:v>A Guide for Beginners Choosing Their First E-cigarette Device - ExDivo</x:v>
      </x:c>
      <x:c r="C504" t="str">
        <x:v>a guide for beginners choosing their first e-cigarette device</x:v>
      </x:c>
      <x:c r="D504" t="str">
        <x:v>how to use a vape pen for first time</x:v>
      </x:c>
      <x:c r="E504" t="str">
        <x:v>recommended</x:v>
      </x:c>
      <x:c r="F504" t="n">
        <x:v>390</x:v>
      </x:c>
      <x:c r="G504" t="n">
        <x:v>10</x:v>
      </x:c>
      <x:c r="H504" t="str">
        <x:v>informational</x:v>
      </x:c>
    </x:row>
    <x:row r="505">
      <x:c r="A505" t="str">
        <x:v>https://exdivo.com/blogs/a-beginner-s-guide-to-choosing-your-first-vape-device</x:v>
      </x:c>
      <x:c r="B505" t="str">
        <x:v>A Guide for Beginners Choosing Their First E-cigarette Device - ExDivo</x:v>
      </x:c>
      <x:c r="C505" t="str">
        <x:v>a guide for beginners choosing their first e-cigarette device</x:v>
      </x:c>
      <x:c r="D505" t="str">
        <x:v>e cigarette starter kits</x:v>
      </x:c>
      <x:c r="E505" t="str">
        <x:v>recommended</x:v>
      </x:c>
      <x:c r="F505" t="n">
        <x:v>50</x:v>
      </x:c>
      <x:c r="G505" t="n">
        <x:v>23</x:v>
      </x:c>
      <x:c r="H505" t="str">
        <x:v>commercial</x:v>
      </x:c>
    </x:row>
    <x:row r="506">
      <x:c r="A506" t="str">
        <x:v>https://exdivo.com/blogs/a-beginner-s-guide-to-choosing-your-first-vape-device</x:v>
      </x:c>
      <x:c r="B506" t="str">
        <x:v>A Guide for Beginners Choosing Their First E-cigarette Device - ExDivo</x:v>
      </x:c>
      <x:c r="C506" t="str">
        <x:v>a guide for beginners choosing their first e-cigarette device</x:v>
      </x:c>
      <x:c r="D506" t="str">
        <x:v>ecig starter kit</x:v>
      </x:c>
      <x:c r="E506" t="str">
        <x:v>recommended</x:v>
      </x:c>
      <x:c r="F506" t="n">
        <x:v>40</x:v>
      </x:c>
      <x:c r="G506" t="n">
        <x:v>24</x:v>
      </x:c>
      <x:c r="H506" t="str">
        <x:v>commercial</x:v>
      </x:c>
    </x:row>
    <x:row r="507">
      <x:c r="A507" t="str">
        <x:v>https://exdivo.com/blogs/a-beginner-s-guide-to-choosing-your-first-vape-device</x:v>
      </x:c>
      <x:c r="B507" t="str">
        <x:v>A Guide for Beginners Choosing Their First E-cigarette Device - ExDivo</x:v>
      </x:c>
      <x:c r="C507" t="str">
        <x:v>a guide for beginners choosing their first e-cigarette device</x:v>
      </x:c>
      <x:c r="D507" t="str">
        <x:v>starter kit vape</x:v>
      </x:c>
      <x:c r="E507" t="str">
        <x:v>recommended</x:v>
      </x:c>
      <x:c r="F507" t="n">
        <x:v>40</x:v>
      </x:c>
      <x:c r="G507" t="n">
        <x:v>27</x:v>
      </x:c>
      <x:c r="H507" t="str">
        <x:v>commercial</x:v>
      </x:c>
    </x:row>
    <x:row r="508">
      <x:c r="A508" t="str">
        <x:v>https://exdivo.com/blogs/a-beginner-s-guide-to-choosing-your-first-vape-device</x:v>
      </x:c>
      <x:c r="B508" t="str">
        <x:v>A Guide for Beginners Choosing Their First E-cigarette Device - ExDivo</x:v>
      </x:c>
      <x:c r="C508" t="str">
        <x:v>a guide for beginners choosing their first e-cigarette device</x:v>
      </x:c>
      <x:c r="D508" t="str">
        <x:v>vape mods for beginners</x:v>
      </x:c>
      <x:c r="E508" t="str">
        <x:v>recommended</x:v>
      </x:c>
      <x:c r="F508" t="n">
        <x:v>50</x:v>
      </x:c>
      <x:c r="G508" t="n">
        <x:v>20</x:v>
      </x:c>
      <x:c r="H508" t="str">
        <x:v>informational</x:v>
      </x:c>
    </x:row>
    <x:row r="509">
      <x:c r="A509" t="str">
        <x:v>https://exdivo.com/blogs/a-beginner-s-guide-to-choosing-your-first-vape-device</x:v>
      </x:c>
      <x:c r="B509" t="str">
        <x:v>A Guide for Beginners Choosing Their First E-cigarette Device - ExDivo</x:v>
      </x:c>
      <x:c r="C509" t="str">
        <x:v>a guide for beginners choosing their first e-cigarette device</x:v>
      </x:c>
      <x:c r="D509" t="str">
        <x:v>how to inhale a vape for the first time</x:v>
      </x:c>
      <x:c r="E509" t="str">
        <x:v>recommended</x:v>
      </x:c>
      <x:c r="F509" t="n">
        <x:v>50</x:v>
      </x:c>
      <x:c r="G509" t="n">
        <x:v>4</x:v>
      </x:c>
      <x:c r="H509" t="str">
        <x:v>informational</x:v>
      </x:c>
    </x:row>
    <x:row r="510">
      <x:c r="A510" t="str">
        <x:v>https://exdivo.com/blogs/a-beginner-s-guide-to-choosing-your-first-vape-device</x:v>
      </x:c>
      <x:c r="B510" t="str">
        <x:v>A Guide for Beginners Choosing Their First E-cigarette Device - ExDivo</x:v>
      </x:c>
      <x:c r="C510" t="str">
        <x:v>a guide for beginners choosing their first e-cigarette device</x:v>
      </x:c>
      <x:c r="D510" t="str">
        <x:v>best vape for beginners</x:v>
      </x:c>
      <x:c r="E510" t="str">
        <x:v>recommended</x:v>
      </x:c>
      <x:c r="F510" t="n">
        <x:v>0</x:v>
      </x:c>
      <x:c r="G510" t="n">
        <x:v>0</x:v>
      </x:c>
      <x:c r="H510" t="str">
        <x:v>48</x:v>
      </x:c>
    </x:row>
    <x:row r="511">
      <x:c r="A511" t="str">
        <x:v>https://exdivo.com/blogs/a-beginner-s-guide-to-choosing-your-first-vape-device</x:v>
      </x:c>
      <x:c r="B511" t="str">
        <x:v>A Guide for Beginners Choosing Their First E-cigarette Device - ExDivo</x:v>
      </x:c>
      <x:c r="C511" t="str">
        <x:v>a guide for beginners choosing their first e-cigarette device</x:v>
      </x:c>
      <x:c r="D511" t="str">
        <x:v>vape starter kit guide</x:v>
      </x:c>
      <x:c r="E511" t="str">
        <x:v>recommended</x:v>
      </x:c>
      <x:c r="F511" t="n">
        <x:v>0</x:v>
      </x:c>
      <x:c r="G511" t="n">
        <x:v>0</x:v>
      </x:c>
      <x:c r="H511" t="str">
        <x:v>48</x:v>
      </x:c>
    </x:row>
    <x:row r="512">
      <x:c r="A512" t="str">
        <x:v>https://exdivo.com/blogs/a-beginner-s-guide-to-choosing-your-first-vape-device</x:v>
      </x:c>
      <x:c r="B512" t="str">
        <x:v>A Guide for Beginners Choosing Their First E-cigarette Device - ExDivo</x:v>
      </x:c>
      <x:c r="C512" t="str">
        <x:v>a guide for beginners choosing their first e-cigarette device</x:v>
      </x:c>
      <x:c r="D512" t="str">
        <x:v>how to choose first vape</x:v>
      </x:c>
      <x:c r="E512" t="str">
        <x:v>recommended</x:v>
      </x:c>
      <x:c r="F512" t="n">
        <x:v>0</x:v>
      </x:c>
      <x:c r="G512" t="n">
        <x:v>0</x:v>
      </x:c>
      <x:c r="H512" t="str">
        <x:v>48</x:v>
      </x:c>
    </x:row>
    <x:row r="513">
      <x:c r="A513" t="str">
        <x:v>https://exdivo.com/blogs/a-beginner-s-guide-to-choosing-your-first-vape-device</x:v>
      </x:c>
      <x:c r="B513" t="str">
        <x:v>A Guide for Beginners Choosing Their First E-cigarette Device - ExDivo</x:v>
      </x:c>
      <x:c r="C513" t="str">
        <x:v>a guide for beginners choosing their first e-cigarette device</x:v>
      </x:c>
      <x:c r="D513" t="str">
        <x:v>how to start vaping</x:v>
      </x:c>
      <x:c r="E513" t="str">
        <x:v>recommended</x:v>
      </x:c>
      <x:c r="F513" t="n">
        <x:v>480</x:v>
      </x:c>
      <x:c r="G513" t="n">
        <x:v>10</x:v>
      </x:c>
      <x:c r="H513" t="str">
        <x:v>informational</x:v>
      </x:c>
    </x:row>
    <x:row r="514">
      <x:c r="A514" t="str">
        <x:v>https://exdivo.com/blogs/a-beginner-s-guide-to-choosing-your-first-vape-device</x:v>
      </x:c>
      <x:c r="B514" t="str">
        <x:v>A Guide for Beginners Choosing Their First E-cigarette Device - ExDivo</x:v>
      </x:c>
      <x:c r="C514" t="str">
        <x:v>a guide for beginners choosing their first e-cigarette device</x:v>
      </x:c>
      <x:c r="D514" t="str">
        <x:v>how to choose a vape</x:v>
      </x:c>
      <x:c r="E514" t="str">
        <x:v>recommended</x:v>
      </x:c>
      <x:c r="F514" t="n">
        <x:v>50</x:v>
      </x:c>
      <x:c r="G514" t="n">
        <x:v>11</x:v>
      </x:c>
      <x:c r="H514" t="str">
        <x:v>informational</x:v>
      </x:c>
    </x:row>
    <x:row r="515">
      <x:c r="A515" t="str">
        <x:v>https://exdivo.com/blogs/a-beginner-s-guide-to-choosing-your-first-vape-device</x:v>
      </x:c>
      <x:c r="B515" t="str">
        <x:v>A Guide for Beginners Choosing Their First E-cigarette Device - ExDivo</x:v>
      </x:c>
      <x:c r="C515" t="str">
        <x:v>a guide for beginners choosing their first e-cigarette device</x:v>
      </x:c>
      <x:c r="D515" t="str">
        <x:v>how to vape for beginners</x:v>
      </x:c>
      <x:c r="E515" t="str">
        <x:v>recommended</x:v>
      </x:c>
      <x:c r="F515" t="n">
        <x:v>90</x:v>
      </x:c>
      <x:c r="G515" t="n">
        <x:v>14</x:v>
      </x:c>
      <x:c r="H515" t="str">
        <x:v>informational</x:v>
      </x:c>
    </x:row>
    <x:row r="516">
      <x:c r="A516" t="str">
        <x:v>https://exdivo.com/blogs/a-beginner-s-guide-to-choosing-your-first-vape-device</x:v>
      </x:c>
      <x:c r="B516" t="str">
        <x:v>A Guide for Beginners Choosing Their First E-cigarette Device - ExDivo</x:v>
      </x:c>
      <x:c r="C516" t="str">
        <x:v>a guide for beginners choosing their first e-cigarette device</x:v>
      </x:c>
      <x:c r="D516" t="str">
        <x:v>vaping for beginners</x:v>
      </x:c>
      <x:c r="E516" t="str">
        <x:v>recommended</x:v>
      </x:c>
      <x:c r="F516" t="n">
        <x:v>260</x:v>
      </x:c>
      <x:c r="G516" t="n">
        <x:v>17</x:v>
      </x:c>
      <x:c r="H516" t="str">
        <x:v>informational</x:v>
      </x:c>
    </x:row>
    <x:row r="517">
      <x:c r="A517" t="str">
        <x:v>https://exdivo.com/blogs/a-beginner-s-guide-to-choosing-your-first-vape-device</x:v>
      </x:c>
      <x:c r="B517" t="str">
        <x:v>A Guide for Beginners Choosing Their First E-cigarette Device - ExDivo</x:v>
      </x:c>
      <x:c r="C517" t="str">
        <x:v>a guide for beginners choosing their first e-cigarette device</x:v>
      </x:c>
      <x:c r="D517" t="str">
        <x:v>vaping guide</x:v>
      </x:c>
      <x:c r="E517" t="str">
        <x:v>recommended</x:v>
      </x:c>
      <x:c r="F517" t="n">
        <x:v>50</x:v>
      </x:c>
      <x:c r="G517" t="n">
        <x:v>45</x:v>
      </x:c>
      <x:c r="H517" t="str">
        <x:v>informational</x:v>
      </x:c>
    </x:row>
    <x:row r="518">
      <x:c r="A518" t="str">
        <x:v>https://exdivo.com/collections/meifu/products/luxury-women-s-vape-18ml-dual-mesh-40000-puffs_151a2c79?data_from=index_index&amp;spm=index_index..block_collection_list-11702354.5.</x:v>
      </x:c>
      <x:c r="B518" t="str">
        <x:v>WHITE GUMMY ICE - ExDivo FLORA 40K Disposable Vape - ExDivo</x:v>
      </x:c>
      <x:c r="C518" t="str">
        <x:v>white gummy ice - exdivo flora 40k disposable vape</x:v>
      </x:c>
      <x:c r="D518" t="str">
        <x:v>white gummy ice</x:v>
      </x:c>
      <x:c r="E518" t="str">
        <x:v>recommended</x:v>
      </x:c>
      <x:c r="F518" t="n">
        <x:v>1300</x:v>
      </x:c>
      <x:c r="G518" t="n">
        <x:v>4</x:v>
      </x:c>
      <x:c r="H518" t="str">
        <x:v>informational</x:v>
      </x:c>
    </x:row>
    <x:row r="519">
      <x:c r="A519" t="str">
        <x:v>https://exdivo.com/collections/meifu/products/luxury-women-s-vape-18ml-dual-mesh-40000-puffs_151a2c79?data_from=index_index&amp;spm=index_index..block_collection_list-11702354.5.</x:v>
      </x:c>
      <x:c r="B519" t="str">
        <x:v>WHITE GUMMY ICE - ExDivo FLORA 40K Disposable Vape - ExDivo</x:v>
      </x:c>
      <x:c r="C519" t="str">
        <x:v>white gummy ice - exdivo flora 40k disposable vape</x:v>
      </x:c>
      <x:c r="D519" t="str">
        <x:v>white yummy ice vape flavor</x:v>
      </x:c>
      <x:c r="E519" t="str">
        <x:v>recommended</x:v>
      </x:c>
      <x:c r="F519" t="n">
        <x:v>40</x:v>
      </x:c>
      <x:c r="G519" t="n">
        <x:v>1</x:v>
      </x:c>
      <x:c r="H519" t="str">
        <x:v>informational</x:v>
      </x:c>
    </x:row>
    <x:row r="520">
      <x:c r="A520" t="str">
        <x:v>https://exdivo.com/collections/meifu/products/luxury-women-s-vape-18ml-dual-mesh-40000-puffs_151a2c79?data_from=index_index&amp;spm=index_index..block_collection_list-11702354.5.</x:v>
      </x:c>
      <x:c r="B520" t="str">
        <x:v>WHITE GUMMY ICE - ExDivo FLORA 40K Disposable Vape - ExDivo</x:v>
      </x:c>
      <x:c r="C520" t="str">
        <x:v>white gummy ice - exdivo flora 40k disposable vape</x:v>
      </x:c>
      <x:c r="D520" t="str">
        <x:v>what does white gummy vape taste like</x:v>
      </x:c>
      <x:c r="E520" t="str">
        <x:v>recommended</x:v>
      </x:c>
      <x:c r="F520" t="n">
        <x:v>50</x:v>
      </x:c>
      <x:c r="G520" t="n">
        <x:v>2</x:v>
      </x:c>
      <x:c r="H520" t="str">
        <x:v>informational</x:v>
      </x:c>
    </x:row>
    <x:row r="521">
      <x:c r="A521" t="str">
        <x:v>https://exdivo.com/collections/meifu/products/luxury-women-s-vape-18ml-dual-mesh-40000-puffs_151a2c79?data_from=index_index&amp;spm=index_index..block_collection_list-11702354.5.</x:v>
      </x:c>
      <x:c r="B521" t="str">
        <x:v>WHITE GUMMY ICE - ExDivo FLORA 40K Disposable Vape - ExDivo</x:v>
      </x:c>
      <x:c r="C521" t="str">
        <x:v>white gummy ice - exdivo flora 40k disposable vape</x:v>
      </x:c>
      <x:c r="D521" t="str">
        <x:v>white gummy vape juice</x:v>
      </x:c>
      <x:c r="E521" t="str">
        <x:v>recommended</x:v>
      </x:c>
      <x:c r="F521" t="n">
        <x:v>50</x:v>
      </x:c>
      <x:c r="G521" t="n">
        <x:v>4</x:v>
      </x:c>
      <x:c r="H521" t="str">
        <x:v>informational</x:v>
      </x:c>
    </x:row>
    <x:row r="522">
      <x:c r="A522" t="str">
        <x:v>https://exdivo.com/collections/meifu/products/luxury-women-s-vape-18ml-dual-mesh-40000-puffs_151a2c79?data_from=index_index&amp;spm=index_index..block_collection_list-11702354.5.</x:v>
      </x:c>
      <x:c r="B522" t="str">
        <x:v>WHITE GUMMY ICE - ExDivo FLORA 40K Disposable Vape - ExDivo</x:v>
      </x:c>
      <x:c r="C522" t="str">
        <x:v>white gummy ice - exdivo flora 40k disposable vape</x:v>
      </x:c>
      <x:c r="D522" t="str">
        <x:v>white gummy ice vape juice</x:v>
      </x:c>
      <x:c r="E522" t="str">
        <x:v>recommended</x:v>
      </x:c>
      <x:c r="F522" t="n">
        <x:v>40</x:v>
      </x:c>
      <x:c r="G522" t="n">
        <x:v>3</x:v>
      </x:c>
      <x:c r="H522" t="str">
        <x:v>informational</x:v>
      </x:c>
    </x:row>
    <x:row r="523">
      <x:c r="A523" t="str">
        <x:v>https://exdivo.com/collections/meifu/products/luxury-women-s-vape-18ml-dual-mesh-40000-puffs_151a2c79?data_from=index_index&amp;spm=index_index..block_collection_list-11702354.5.</x:v>
      </x:c>
      <x:c r="B523" t="str">
        <x:v>WHITE GUMMY ICE - ExDivo FLORA 40K Disposable Vape - ExDivo</x:v>
      </x:c>
      <x:c r="C523" t="str">
        <x:v>white gummy ice - exdivo flora 40k disposable vape</x:v>
      </x:c>
      <x:c r="D523" t="str">
        <x:v>vape flavor white gummy ice</x:v>
      </x:c>
      <x:c r="E523" t="str">
        <x:v>recommended</x:v>
      </x:c>
      <x:c r="F523" t="n">
        <x:v>0</x:v>
      </x:c>
      <x:c r="G523" t="n">
        <x:v>0</x:v>
      </x:c>
      <x:c r="H523" t="str">
        <x:v>48</x:v>
      </x:c>
    </x:row>
    <x:row r="524">
      <x:c r="A524" t="str">
        <x:v>https://exdivo.com/collections/meifu/products/luxury-women-s-vape-18ml-dual-mesh-40000-puffs_151a2c79?data_from=index_index&amp;spm=index_index..block_collection_list-11702354.5.</x:v>
      </x:c>
      <x:c r="B524" t="str">
        <x:v>WHITE GUMMY ICE - ExDivo FLORA 40K Disposable Vape - ExDivo</x:v>
      </x:c>
      <x:c r="C524" t="str">
        <x:v>white gummy ice - exdivo flora 40k disposable vape</x:v>
      </x:c>
      <x:c r="D524" t="str">
        <x:v>white gummy ice disposable vape</x:v>
      </x:c>
      <x:c r="E524" t="str">
        <x:v>recommended</x:v>
      </x:c>
      <x:c r="F524" t="n">
        <x:v>0</x:v>
      </x:c>
      <x:c r="G524" t="n">
        <x:v>0</x:v>
      </x:c>
      <x:c r="H524" t="str">
        <x:v>48</x:v>
      </x:c>
    </x:row>
    <x:row r="525">
      <x:c r="A525" t="str">
        <x:v>https://exdivo.com/collections/meifu/products/luxury-women-s-vape-18ml-dual-mesh-40000-puffs_151a2c79?data_from=index_index&amp;spm=index_index..block_collection_list-11702354.5.</x:v>
      </x:c>
      <x:c r="B525" t="str">
        <x:v>WHITE GUMMY ICE - ExDivo FLORA 40K Disposable Vape - ExDivo</x:v>
      </x:c>
      <x:c r="C525" t="str">
        <x:v>white gummy ice - exdivo flora 40k disposable vape</x:v>
      </x:c>
      <x:c r="D525" t="str">
        <x:v>disposable vape flavor white gummy</x:v>
      </x:c>
      <x:c r="E525" t="str">
        <x:v>recommended</x:v>
      </x:c>
      <x:c r="F525" t="n">
        <x:v>0</x:v>
      </x:c>
      <x:c r="G525" t="n">
        <x:v>0</x:v>
      </x:c>
      <x:c r="H525" t="str">
        <x:v>48</x:v>
      </x:c>
    </x:row>
    <x:row r="526">
      <x:c r="A526" t="str">
        <x:v>https://exdivo.com/collections/meifu/products/luxury-women-s-vape-18ml-dual-mesh-40000-puffs_151a2c79?data_from=index_index&amp;spm=index_index..block_collection_list-11702354.5.</x:v>
      </x:c>
      <x:c r="B526" t="str">
        <x:v>WHITE GUMMY ICE - ExDivo FLORA 40K Disposable Vape - ExDivo</x:v>
      </x:c>
      <x:c r="C526" t="str">
        <x:v>white gummy ice - exdivo flora 40k disposable vape</x:v>
      </x:c>
      <x:c r="D526" t="str">
        <x:v>white gummy ice vape review</x:v>
      </x:c>
      <x:c r="E526" t="str">
        <x:v>recommended</x:v>
      </x:c>
      <x:c r="F526" t="n">
        <x:v>0</x:v>
      </x:c>
      <x:c r="G526" t="n">
        <x:v>0</x:v>
      </x:c>
      <x:c r="H526" t="str">
        <x:v>48</x:v>
      </x:c>
    </x:row>
    <x:row r="527">
      <x:c r="A527" t="str">
        <x:v>https://exdivo.com/collections/meifu/products/luxury-women-s-vape-18ml-dual-mesh-40000-puffs_151a2c79?data_from=index_index&amp;spm=index_index..block_collection_list-11702354.5.</x:v>
      </x:c>
      <x:c r="B527" t="str">
        <x:v>WHITE GUMMY ICE - ExDivo FLORA 40K Disposable Vape - ExDivo</x:v>
      </x:c>
      <x:c r="C527" t="str">
        <x:v>white gummy ice - exdivo flora 40k disposable vape</x:v>
      </x:c>
      <x:c r="D527" t="str">
        <x:v>white gummy ice disposable vape review</x:v>
      </x:c>
      <x:c r="E527" t="str">
        <x:v>recommended</x:v>
      </x:c>
      <x:c r="F527" t="n">
        <x:v>0</x:v>
      </x:c>
      <x:c r="G527" t="n">
        <x:v>0</x:v>
      </x:c>
      <x:c r="H527" t="str">
        <x:v>48</x:v>
      </x:c>
    </x:row>
    <x:row r="528">
      <x:c r="A528" t="str">
        <x:v>https://exdivo.com/collections/meifu/products/luxury-women-s-vape-18ml-dual-mesh-40000-puffs_151a2c79?data_from=index_index&amp;spm=index_index..block_collection_list-11702354.5.</x:v>
      </x:c>
      <x:c r="B528" t="str">
        <x:v>WHITE GUMMY ICE - ExDivo FLORA 40K Disposable Vape - ExDivo</x:v>
      </x:c>
      <x:c r="C528" t="str">
        <x:v>white gummy ice - exdivo flora 40k disposable vape</x:v>
      </x:c>
      <x:c r="D528" t="str">
        <x:v>40000 puff vape white gummy ice</x:v>
      </x:c>
      <x:c r="E528" t="str">
        <x:v>recommended</x:v>
      </x:c>
      <x:c r="F528" t="n">
        <x:v>0</x:v>
      </x:c>
      <x:c r="G528" t="n">
        <x:v>0</x:v>
      </x:c>
      <x:c r="H528" t="str">
        <x:v>48</x:v>
      </x:c>
    </x:row>
    <x:row r="529">
      <x:c r="A529" t="str">
        <x:v>https://exdivo.com/collections/meifu/products/luxury-women-s-vape-18ml-dual-mesh-40000-puffs_151a2c79?data_from=index_index&amp;spm=index_index..block_collection_list-11702354.5.</x:v>
      </x:c>
      <x:c r="B529" t="str">
        <x:v>WHITE GUMMY ICE - ExDivo FLORA 40K Disposable Vape - ExDivo</x:v>
      </x:c>
      <x:c r="C529" t="str">
        <x:v>white gummy ice - exdivo flora 40k disposable vape</x:v>
      </x:c>
      <x:c r="D529" t="str">
        <x:v>white gummy vape review</x:v>
      </x:c>
      <x:c r="E529" t="str">
        <x:v>recommended</x:v>
      </x:c>
      <x:c r="F529" t="n">
        <x:v>0</x:v>
      </x:c>
      <x:c r="G529" t="n">
        <x:v>0</x:v>
      </x:c>
      <x:c r="H529" t="str">
        <x:v>48</x:v>
      </x:c>
    </x:row>
    <x:row r="530">
      <x:c r="A530" t="str">
        <x:v>https://exdivo.com/collections/meifu/products/luxury-women-s-vape-18ml-dual-mesh-40000-puffs_151a2c79?data_from=index_index&amp;spm=index_index..block_collection_list-11702354.5.</x:v>
      </x:c>
      <x:c r="B530" t="str">
        <x:v>WHITE GUMMY ICE - ExDivo FLORA 40K Disposable Vape - ExDivo</x:v>
      </x:c>
      <x:c r="C530" t="str">
        <x:v>white gummy ice - exdivo flora 40k disposable vape</x:v>
      </x:c>
      <x:c r="D530" t="str">
        <x:v>white gummy ice flavor</x:v>
      </x:c>
      <x:c r="E530" t="str">
        <x:v>recommended</x:v>
      </x:c>
      <x:c r="F530" t="n">
        <x:v>110</x:v>
      </x:c>
      <x:c r="G530" t="n">
        <x:v>2</x:v>
      </x:c>
      <x:c r="H530" t="str">
        <x:v>commercial</x:v>
      </x:c>
    </x:row>
    <x:row r="531">
      <x:c r="A531" t="str">
        <x:v>https://exdivo.com/products/exdivo-interstellar-35k-disposable-vape?data_from=blog_detail&amp;spm=</x:v>
      </x:c>
      <x:c r="B531" t="str">
        <x:v>ExDivo INTERSTELLAR 35K Disposable Vape</x:v>
      </x:c>
      <x:c r="C531" t="str">
        <x:v>35000 puffs</x:v>
      </x:c>
      <x:c r="D531" t="str">
        <x:v>disposable vape 35k puffs</x:v>
      </x:c>
      <x:c r="E531" t="str">
        <x:v>recommended</x:v>
      </x:c>
      <x:c r="F531" t="n">
        <x:v>0</x:v>
      </x:c>
      <x:c r="G531" t="n">
        <x:v>0</x:v>
      </x:c>
      <x:c r="H531" t="str">
        <x:v>48</x:v>
      </x:c>
    </x:row>
    <x:row r="532">
      <x:c r="A532" t="str">
        <x:v>https://exdivo.com/products/exdivo-interstellar-35k-disposable-vape?data_from=blog_detail&amp;spm=</x:v>
      </x:c>
      <x:c r="B532" t="str">
        <x:v>ExDivo INTERSTELLAR 35K Disposable Vape</x:v>
      </x:c>
      <x:c r="C532" t="str">
        <x:v>35000 puffs</x:v>
      </x:c>
      <x:c r="D532" t="str">
        <x:v>disposable vape 35000 puffs</x:v>
      </x:c>
      <x:c r="E532" t="str">
        <x:v>recommended</x:v>
      </x:c>
      <x:c r="F532" t="n">
        <x:v>0</x:v>
      </x:c>
      <x:c r="G532" t="n">
        <x:v>0</x:v>
      </x:c>
      <x:c r="H532" t="str">
        <x:v>48</x:v>
      </x:c>
    </x:row>
    <x:row r="533">
      <x:c r="A533" t="str">
        <x:v>https://exdivo.com/products/exdivo-interstellar-35k-disposable-vape?data_from=blog_detail&amp;spm=</x:v>
      </x:c>
      <x:c r="B533" t="str">
        <x:v>ExDivo INTERSTELLAR 35K Disposable Vape</x:v>
      </x:c>
      <x:c r="C533" t="str">
        <x:v>35000 puffs</x:v>
      </x:c>
      <x:c r="D533" t="str">
        <x:v>best disposable vape 35000 puffs</x:v>
      </x:c>
      <x:c r="E533" t="str">
        <x:v>recommended</x:v>
      </x:c>
      <x:c r="F533" t="n">
        <x:v>0</x:v>
      </x:c>
      <x:c r="G533" t="n">
        <x:v>0</x:v>
      </x:c>
      <x:c r="H533" t="str">
        <x:v>48</x:v>
      </x:c>
    </x:row>
    <x:row r="534">
      <x:c r="A534" t="str">
        <x:v>https://exdivo.com/products/exdivo-interstellar-35k-disposable-vape?data_from=blog_detail&amp;spm=</x:v>
      </x:c>
      <x:c r="B534" t="str">
        <x:v>ExDivo INTERSTELLAR 35K Disposable Vape</x:v>
      </x:c>
      <x:c r="C534" t="str">
        <x:v>35000 puffs</x:v>
      </x:c>
      <x:c r="D534" t="str">
        <x:v>35000 puff disposable vape us</x:v>
      </x:c>
      <x:c r="E534" t="str">
        <x:v>recommended</x:v>
      </x:c>
      <x:c r="F534" t="n">
        <x:v>0</x:v>
      </x:c>
      <x:c r="G534" t="n">
        <x:v>0</x:v>
      </x:c>
      <x:c r="H534" t="str">
        <x:v>48</x:v>
      </x:c>
    </x:row>
    <x:row r="535">
      <x:c r="A535" t="str">
        <x:v>https://exdivo.com/products/exdivo-interstellar-35k-disposable-vape?data_from=blog_detail&amp;spm=</x:v>
      </x:c>
      <x:c r="B535" t="str">
        <x:v>ExDivo INTERSTELLAR 35K Disposable Vape</x:v>
      </x:c>
      <x:c r="C535" t="str">
        <x:v>35000 puffs</x:v>
      </x:c>
      <x:c r="D535" t="str">
        <x:v>best 35k disposable vape</x:v>
      </x:c>
      <x:c r="E535" t="str">
        <x:v>recommended</x:v>
      </x:c>
      <x:c r="F535" t="n">
        <x:v>0</x:v>
      </x:c>
      <x:c r="G535" t="n">
        <x:v>0</x:v>
      </x:c>
      <x:c r="H535" t="str">
        <x:v>48</x:v>
      </x:c>
    </x:row>
    <x:row r="536">
      <x:c r="A536" t="str">
        <x:v>https://exdivo.com/products/exdivo-interstellar-35k-disposable-vape?data_from=blog_detail&amp;spm=</x:v>
      </x:c>
      <x:c r="B536" t="str">
        <x:v>ExDivo INTERSTELLAR 35K Disposable Vape</x:v>
      </x:c>
      <x:c r="C536" t="str">
        <x:v>35000 puffs</x:v>
      </x:c>
      <x:c r="D536" t="str">
        <x:v>best 35k puff vape</x:v>
      </x:c>
      <x:c r="E536" t="str">
        <x:v>recommended</x:v>
      </x:c>
      <x:c r="F536" t="n">
        <x:v>0</x:v>
      </x:c>
      <x:c r="G536" t="n">
        <x:v>0</x:v>
      </x:c>
      <x:c r="H536" t="str">
        <x:v>48</x:v>
      </x:c>
    </x:row>
    <x:row r="537">
      <x:c r="A537" t="str">
        <x:v>https://exdivo.com/products/exdivo-interstellar-35k-disposable-vape?data_from=blog_detail&amp;spm=</x:v>
      </x:c>
      <x:c r="B537" t="str">
        <x:v>ExDivo INTERSTELLAR 35K Disposable Vape</x:v>
      </x:c>
      <x:c r="C537" t="str">
        <x:v>35000 puffs</x:v>
      </x:c>
      <x:c r="D537" t="str">
        <x:v>best 35000 puff vape</x:v>
      </x:c>
      <x:c r="E537" t="str">
        <x:v>recommended</x:v>
      </x:c>
      <x:c r="F537" t="n">
        <x:v>0</x:v>
      </x:c>
      <x:c r="G537" t="n">
        <x:v>0</x:v>
      </x:c>
      <x:c r="H537" t="str">
        <x:v>48</x:v>
      </x:c>
    </x:row>
    <x:row r="538">
      <x:c r="A538" t="str">
        <x:v>https://exdivo.com/products/exdivo-interstellar-35k-disposable-vape?data_from=blog_detail&amp;spm=</x:v>
      </x:c>
      <x:c r="B538" t="str">
        <x:v>ExDivo INTERSTELLAR 35K Disposable Vape</x:v>
      </x:c>
      <x:c r="C538" t="str">
        <x:v>35000 puffs</x:v>
      </x:c>
      <x:c r="D538" t="str">
        <x:v>30k puff vape</x:v>
      </x:c>
      <x:c r="E538" t="str">
        <x:v>recommended</x:v>
      </x:c>
      <x:c r="F538" t="n">
        <x:v>70</x:v>
      </x:c>
      <x:c r="G538" t="n">
        <x:v>4</x:v>
      </x:c>
      <x:c r="H538" t="str">
        <x:v>informational</x:v>
      </x:c>
    </x:row>
    <x:row r="539">
      <x:c r="A539" t="str">
        <x:v>https://exdivo.com/collections/brightmirror/products/exdivo-bright-mirror-35k-replaceable-vape-kit_17dd6a51?data_from=index_index&amp;spm=index_index..block_collection_slides-11702967.3.</x:v>
      </x:c>
      <x:c r="B539" t="str">
        <x:v>ExDivo BRIGHT MIRROR 35K Replaceable VAPE kit</x:v>
      </x:c>
      <x:c r="C539" t="str">
        <x:v>35000 puffs</x:v>
      </x:c>
      <x:c r="D539" t="str">
        <x:v>replaceable vape kit 35k puff</x:v>
      </x:c>
      <x:c r="E539" t="str">
        <x:v>recommended</x:v>
      </x:c>
      <x:c r="F539" t="n">
        <x:v>0</x:v>
      </x:c>
      <x:c r="G539" t="n">
        <x:v>0</x:v>
      </x:c>
      <x:c r="H539" t="str">
        <x:v>48</x:v>
      </x:c>
    </x:row>
    <x:row r="540">
      <x:c r="A540" t="str">
        <x:v>https://exdivo.com/collections/brightmirror/products/exdivo-bright-mirror-35k-replaceable-vape-kit_17dd6a51?data_from=index_index&amp;spm=index_index..block_collection_slides-11702967.3.</x:v>
      </x:c>
      <x:c r="B540" t="str">
        <x:v>ExDivo BRIGHT MIRROR 35K Replaceable VAPE kit</x:v>
      </x:c>
      <x:c r="C540" t="str">
        <x:v>35000 puffs</x:v>
      </x:c>
      <x:c r="D540" t="str">
        <x:v>vape kit 35k puffs</x:v>
      </x:c>
      <x:c r="E540" t="str">
        <x:v>recommended</x:v>
      </x:c>
      <x:c r="F540" t="n">
        <x:v>0</x:v>
      </x:c>
      <x:c r="G540" t="n">
        <x:v>0</x:v>
      </x:c>
      <x:c r="H540" t="str">
        <x:v>48</x:v>
      </x:c>
    </x:row>
    <x:row r="541">
      <x:c r="A541" t="str">
        <x:v>https://exdivo.com/collections/brightmirror/products/exdivo-bright-mirror-35k-replaceable-vape-kit_17dd6a51?data_from=index_index&amp;spm=index_index..block_collection_slides-11702967.3.</x:v>
      </x:c>
      <x:c r="B541" t="str">
        <x:v>ExDivo BRIGHT MIRROR 35K Replaceable VAPE kit</x:v>
      </x:c>
      <x:c r="C541" t="str">
        <x:v>35000 puffs</x:v>
      </x:c>
      <x:c r="D541" t="str">
        <x:v>35000 puff vape kit replaceable</x:v>
      </x:c>
      <x:c r="E541" t="str">
        <x:v>recommended</x:v>
      </x:c>
      <x:c r="F541" t="n">
        <x:v>0</x:v>
      </x:c>
      <x:c r="G541" t="n">
        <x:v>0</x:v>
      </x:c>
      <x:c r="H541" t="str">
        <x:v>48</x:v>
      </x:c>
    </x:row>
    <x:row r="542">
      <x:c r="A542" t="str">
        <x:v>https://exdivo.com/collections/brightmirror/products/exdivo-bright-mirror-35k-replaceable-vape-kit_17dd6a51?data_from=index_index&amp;spm=index_index..block_collection_slides-11702967.3.</x:v>
      </x:c>
      <x:c r="B542" t="str">
        <x:v>ExDivo BRIGHT MIRROR 35K Replaceable VAPE kit</x:v>
      </x:c>
      <x:c r="C542" t="str">
        <x:v>35000 puffs</x:v>
      </x:c>
      <x:c r="D542" t="str">
        <x:v>replaceable vape kit 35000 puffs</x:v>
      </x:c>
      <x:c r="E542" t="str">
        <x:v>recommended</x:v>
      </x:c>
      <x:c r="F542" t="n">
        <x:v>0</x:v>
      </x:c>
      <x:c r="G542" t="n">
        <x:v>0</x:v>
      </x:c>
      <x:c r="H542" t="str">
        <x:v>48</x:v>
      </x:c>
    </x:row>
    <x:row r="543">
      <x:c r="A543" t="str">
        <x:v>https://exdivo.com/collections/brightmirror/products/exdivo-bright-mirror-35k-replaceable-vape-kit_17dd6a51?data_from=index_index&amp;spm=index_index..block_collection_slides-11702967.3.</x:v>
      </x:c>
      <x:c r="B543" t="str">
        <x:v>ExDivo BRIGHT MIRROR 35K Replaceable VAPE kit</x:v>
      </x:c>
      <x:c r="C543" t="str">
        <x:v>35000 puffs</x:v>
      </x:c>
      <x:c r="D543" t="str">
        <x:v>35k replaceable vape</x:v>
      </x:c>
      <x:c r="E543" t="str">
        <x:v>recommended</x:v>
      </x:c>
      <x:c r="F543" t="n">
        <x:v>0</x:v>
      </x:c>
      <x:c r="G543" t="n">
        <x:v>0</x:v>
      </x:c>
      <x:c r="H543" t="str">
        <x:v>48</x:v>
      </x:c>
    </x:row>
    <x:row r="544">
      <x:c r="A544" t="str">
        <x:v>https://exdivo.com/collections/brightmirror/products/exdivo-bright-mirror-35k-replaceable-vape-kit_17dd6a51?data_from=index_index&amp;spm=index_index..block_collection_slides-11702967.3.</x:v>
      </x:c>
      <x:c r="B544" t="str">
        <x:v>ExDivo BRIGHT MIRROR 35K Replaceable VAPE kit</x:v>
      </x:c>
      <x:c r="C544" t="str">
        <x:v>35000 puffs</x:v>
      </x:c>
      <x:c r="D544" t="str">
        <x:v>35k puff vape kit</x:v>
      </x:c>
      <x:c r="E544" t="str">
        <x:v>recommended</x:v>
      </x:c>
      <x:c r="F544" t="n">
        <x:v>0</x:v>
      </x:c>
      <x:c r="G544" t="n">
        <x:v>0</x:v>
      </x:c>
      <x:c r="H544" t="str">
        <x:v>48</x:v>
      </x:c>
    </x:row>
    <x:row r="545">
      <x:c r="A545" t="str">
        <x:v>https://exdivo.com/collections/brightmirror/products/exdivo-bright-mirror-35k-replaceable-vape-kit_17dd6a51?data_from=index_index&amp;spm=index_index..block_collection_slides-11702967.3.</x:v>
      </x:c>
      <x:c r="B545" t="str">
        <x:v>ExDivo BRIGHT MIRROR 35K Replaceable VAPE kit</x:v>
      </x:c>
      <x:c r="C545" t="str">
        <x:v>35000 puffs</x:v>
      </x:c>
      <x:c r="D545" t="str">
        <x:v>replaceable vape kit 35k</x:v>
      </x:c>
      <x:c r="E545" t="str">
        <x:v>recommended</x:v>
      </x:c>
      <x:c r="F545" t="n">
        <x:v>0</x:v>
      </x:c>
      <x:c r="G545" t="n">
        <x:v>0</x:v>
      </x:c>
      <x:c r="H545" t="str">
        <x:v>48</x:v>
      </x:c>
    </x:row>
    <x:row r="546">
      <x:c r="A546" t="str">
        <x:v>https://exdivo.com/collections/brightmirror/products/exdivo-bright-mirror-35k-replaceable-vape-kit_17dd6a51?data_from=index_index&amp;spm=index_index..block_collection_slides-11702967.3.</x:v>
      </x:c>
      <x:c r="B546" t="str">
        <x:v>ExDivo BRIGHT MIRROR 35K Replaceable VAPE kit</x:v>
      </x:c>
      <x:c r="C546" t="str">
        <x:v>35000 puffs</x:v>
      </x:c>
      <x:c r="D546" t="str">
        <x:v>35000 puff replaceable vape</x:v>
      </x:c>
      <x:c r="E546" t="str">
        <x:v>recommended</x:v>
      </x:c>
      <x:c r="F546" t="n">
        <x:v>0</x:v>
      </x:c>
      <x:c r="G546" t="n">
        <x:v>0</x:v>
      </x:c>
      <x:c r="H546" t="str">
        <x:v>48</x:v>
      </x:c>
    </x:row>
    <x:row r="547">
      <x:c r="A547" t="str">
        <x:v>https://exdivo.com/collections/visionaura-full-screen/products/exdivo-space-45k-disposable-vape_fbf48b6e?data_from=collection_detail&amp;spm=collection_detail.313081.collection_detail-11702364.10.</x:v>
      </x:c>
      <x:c r="B547" t="str">
        <x:v>ExDivo SPACE 45K Disposable Vape</x:v>
      </x:c>
      <x:c r="C547" t="str">
        <x:v>45000 puffs</x:v>
      </x:c>
      <x:c r="D547" t="str">
        <x:v>disposable vape</x:v>
      </x:c>
      <x:c r="E547" t="str">
        <x:v>recommended</x:v>
      </x:c>
      <x:c r="F547" t="n">
        <x:v>27100</x:v>
      </x:c>
      <x:c r="G547" t="n">
        <x:v>50</x:v>
      </x:c>
      <x:c r="H547" t="str">
        <x:v>informational</x:v>
      </x:c>
    </x:row>
    <x:row r="548">
      <x:c r="A548" t="str">
        <x:v>https://exdivo.com/collections/visionaura-full-screen/products/exdivo-space-45k-disposable-vape_fbf48b6e?data_from=collection_detail&amp;spm=collection_detail.313081.collection_detail-11702364.10.</x:v>
      </x:c>
      <x:c r="B548" t="str">
        <x:v>ExDivo SPACE 45K Disposable Vape</x:v>
      </x:c>
      <x:c r="C548" t="str">
        <x:v>45000 puffs</x:v>
      </x:c>
      <x:c r="D548" t="str">
        <x:v>non disposable vape</x:v>
      </x:c>
      <x:c r="E548" t="str">
        <x:v>recommended</x:v>
      </x:c>
      <x:c r="F548" t="n">
        <x:v>880</x:v>
      </x:c>
      <x:c r="G548" t="n">
        <x:v>16</x:v>
      </x:c>
      <x:c r="H548" t="str">
        <x:v>informational</x:v>
      </x:c>
    </x:row>
    <x:row r="549">
      <x:c r="A549" t="str">
        <x:v>https://exdivo.com/collections/visionaura-full-screen/products/exdivo-space-45k-disposable-vape_fbf48b6e?data_from=collection_detail&amp;spm=collection_detail.313081.collection_detail-11702364.10.</x:v>
      </x:c>
      <x:c r="B549" t="str">
        <x:v>ExDivo SPACE 45K Disposable Vape</x:v>
      </x:c>
      <x:c r="C549" t="str">
        <x:v>45000 puffs</x:v>
      </x:c>
      <x:c r="D549" t="str">
        <x:v>disposable vape juice</x:v>
      </x:c>
      <x:c r="E549" t="str">
        <x:v>recommended</x:v>
      </x:c>
      <x:c r="F549" t="n">
        <x:v>90</x:v>
      </x:c>
      <x:c r="G549" t="n">
        <x:v>16</x:v>
      </x:c>
      <x:c r="H549" t="str">
        <x:v>commercial</x:v>
      </x:c>
    </x:row>
    <x:row r="550">
      <x:c r="A550" t="str">
        <x:v>https://exdivo.com/collections/visionaura-full-screen/products/exdivo-space-45k-disposable-vape_fbf48b6e?data_from=collection_detail&amp;spm=collection_detail.313081.collection_detail-11702364.10.</x:v>
      </x:c>
      <x:c r="B550" t="str">
        <x:v>ExDivo SPACE 45K Disposable Vape</x:v>
      </x:c>
      <x:c r="C550" t="str">
        <x:v>45000 puffs</x:v>
      </x:c>
      <x:c r="D550" t="str">
        <x:v>disposable e cig</x:v>
      </x:c>
      <x:c r="E550" t="str">
        <x:v>recommended</x:v>
      </x:c>
      <x:c r="F550" t="n">
        <x:v>170</x:v>
      </x:c>
      <x:c r="G550" t="n">
        <x:v>36</x:v>
      </x:c>
      <x:c r="H550" t="str">
        <x:v>informational, commercial</x:v>
      </x:c>
    </x:row>
    <x:row r="551">
      <x:c r="A551" t="str">
        <x:v>https://exdivo.com/collections/visionaura-full-screen/products/exdivo-space-45k-disposable-vape_fbf48b6e?data_from=collection_detail&amp;spm=collection_detail.313081.collection_detail-11702364.10.</x:v>
      </x:c>
      <x:c r="B551" t="str">
        <x:v>ExDivo SPACE 45K Disposable Vape</x:v>
      </x:c>
      <x:c r="C551" t="str">
        <x:v>45000 puffs</x:v>
      </x:c>
      <x:c r="D551" t="str">
        <x:v>disposable vape brand</x:v>
      </x:c>
      <x:c r="E551" t="str">
        <x:v>recommended</x:v>
      </x:c>
      <x:c r="F551" t="n">
        <x:v>50</x:v>
      </x:c>
      <x:c r="G551" t="n">
        <x:v>38</x:v>
      </x:c>
      <x:c r="H551" t="str">
        <x:v>commercial</x:v>
      </x:c>
    </x:row>
    <x:row r="552">
      <x:c r="A552" t="str">
        <x:v>https://exdivo.com/collections/visionaura-full-screen/products/exdivo-space-45k-disposable-vape_fbf48b6e?data_from=collection_detail&amp;spm=collection_detail.313081.collection_detail-11702364.10.</x:v>
      </x:c>
      <x:c r="B552" t="str">
        <x:v>ExDivo SPACE 45K Disposable Vape</x:v>
      </x:c>
      <x:c r="C552" t="str">
        <x:v>45000 puffs</x:v>
      </x:c>
      <x:c r="D552" t="str">
        <x:v>disposal vape</x:v>
      </x:c>
      <x:c r="E552" t="str">
        <x:v>recommended</x:v>
      </x:c>
      <x:c r="F552" t="n">
        <x:v>70</x:v>
      </x:c>
      <x:c r="G552" t="n">
        <x:v>50</x:v>
      </x:c>
      <x:c r="H552" t="str">
        <x:v>informational</x:v>
      </x:c>
    </x:row>
    <x:row r="553">
      <x:c r="A553" t="str">
        <x:v>https://exdivo.com/collections/visionaura-full-screen/products/exdivo-space-45k-disposable-vape_fbf48b6e?data_from=collection_detail&amp;spm=collection_detail.313081.collection_detail-11702364.10.</x:v>
      </x:c>
      <x:c r="B553" t="str">
        <x:v>ExDivo SPACE 45K Disposable Vape</x:v>
      </x:c>
      <x:c r="C553" t="str">
        <x:v>45000 puffs</x:v>
      </x:c>
      <x:c r="D553" t="str">
        <x:v>disposable vape pen</x:v>
      </x:c>
      <x:c r="E553" t="str">
        <x:v>recommended</x:v>
      </x:c>
      <x:c r="F553" t="n">
        <x:v>2900</x:v>
      </x:c>
      <x:c r="G553" t="n">
        <x:v>36</x:v>
      </x:c>
      <x:c r="H553" t="str">
        <x:v>informational</x:v>
      </x:c>
    </x:row>
    <x:row r="554">
      <x:c r="A554" t="str">
        <x:v>https://exdivo.com/collections/visionaura-full-screen/products/exdivo-space-45k-disposable-vape_fbf48b6e?data_from=collection_detail&amp;spm=collection_detail.313081.collection_detail-11702364.10.</x:v>
      </x:c>
      <x:c r="B554" t="str">
        <x:v>ExDivo SPACE 45K Disposable Vape</x:v>
      </x:c>
      <x:c r="C554" t="str">
        <x:v>45000 puffs</x:v>
      </x:c>
      <x:c r="D554" t="str">
        <x:v>space disposable vape</x:v>
      </x:c>
      <x:c r="E554" t="str">
        <x:v>recommended</x:v>
      </x:c>
      <x:c r="F554" t="n">
        <x:v>0</x:v>
      </x:c>
      <x:c r="G554" t="n">
        <x:v>0</x:v>
      </x:c>
      <x:c r="H554" t="str">
        <x:v>48</x:v>
      </x:c>
    </x:row>
    <x:row r="555">
      <x:c r="A555" t="str">
        <x:v>https://exdivo.com/collections/visionaura-full-screen/products/exdivo-space-45k-disposable-vape_fbf48b6e?data_from=collection_detail&amp;spm=collection_detail.313081.collection_detail-11702364.10.</x:v>
      </x:c>
      <x:c r="B555" t="str">
        <x:v>ExDivo SPACE 45K Disposable Vape</x:v>
      </x:c>
      <x:c r="C555" t="str">
        <x:v>45000 puffs</x:v>
      </x:c>
      <x:c r="D555" t="str">
        <x:v>extra long life disposable vape</x:v>
      </x:c>
      <x:c r="E555" t="str">
        <x:v>recommended</x:v>
      </x:c>
      <x:c r="F555" t="n">
        <x:v>0</x:v>
      </x:c>
      <x:c r="G555" t="n">
        <x:v>0</x:v>
      </x:c>
      <x:c r="H555" t="str">
        <x:v>48</x:v>
      </x:c>
    </x:row>
    <x:row r="556">
      <x:c r="A556" t="str">
        <x:v>https://exdivo.com/collections/visionaura-full-screen/products/exdivo-space-45k-disposable-vape_fbf48b6e?data_from=collection_detail&amp;spm=collection_detail.313081.collection_detail-11702364.10.</x:v>
      </x:c>
      <x:c r="B556" t="str">
        <x:v>ExDivo SPACE 45K Disposable Vape</x:v>
      </x:c>
      <x:c r="C556" t="str">
        <x:v>45000 puffs</x:v>
      </x:c>
      <x:c r="D556" t="str">
        <x:v>space 45k disposable vape</x:v>
      </x:c>
      <x:c r="E556" t="str">
        <x:v>recommended</x:v>
      </x:c>
      <x:c r="F556" t="n">
        <x:v>0</x:v>
      </x:c>
      <x:c r="G556" t="n">
        <x:v>0</x:v>
      </x:c>
      <x:c r="H556" t="str">
        <x:v>48</x:v>
      </x:c>
    </x:row>
    <x:row r="557">
      <x:c r="A557" t="str">
        <x:v>https://exdivo.com/collections/visionaura-full-screen/products/exdivo-space-45k-disposable-vape_fbf48b6e?data_from=collection_detail&amp;spm=collection_detail.313081.collection_detail-11702364.10.</x:v>
      </x:c>
      <x:c r="B557" t="str">
        <x:v>ExDivo SPACE 45K Disposable Vape</x:v>
      </x:c>
      <x:c r="C557" t="str">
        <x:v>45000 puffs</x:v>
      </x:c>
      <x:c r="D557" t="str">
        <x:v>long life disposable vape</x:v>
      </x:c>
      <x:c r="E557" t="str">
        <x:v>recommended</x:v>
      </x:c>
      <x:c r="F557" t="n">
        <x:v>0</x:v>
      </x:c>
      <x:c r="G557" t="n">
        <x:v>0</x:v>
      </x:c>
      <x:c r="H557" t="str">
        <x:v>48</x:v>
      </x:c>
    </x:row>
    <x:row r="558">
      <x:c r="A558" t="str">
        <x:v>https://exdivo.com/comments/exdivo-kuz-25k-replaceable-pod-vape_64dec8c7?writeComment=true</x:v>
      </x:c>
      <x:c r="B558" t="str">
        <x:v>Reviews - MR.BLUE - ExDivo KUZ 25K Replaceable Pod Vape - ExDivo</x:v>
      </x:c>
      <x:c r="C558" t="str">
        <x:v>48</x:v>
      </x:c>
      <x:c r="D558" t="str">
        <x:v>kuz 25k vape review</x:v>
      </x:c>
      <x:c r="E558" t="str">
        <x:v>recommended</x:v>
      </x:c>
      <x:c r="F558" t="n">
        <x:v>0</x:v>
      </x:c>
      <x:c r="G558" t="n">
        <x:v>0</x:v>
      </x:c>
      <x:c r="H558" t="str">
        <x:v>48</x:v>
      </x:c>
    </x:row>
    <x:row r="559">
      <x:c r="A559" t="str">
        <x:v>https://exdivo.com/collections/misty-rain/products/exdivo-kuz-25k-replaceable-pod-vape_b963acca?data_from=index_index&amp;spm=index_index..block_collection_slides-11702856.4.</x:v>
      </x:c>
      <x:c r="B559" t="str">
        <x:v>ExDivo KUZ 25K Replaceable Pod Vape</x:v>
      </x:c>
      <x:c r="C559" t="str">
        <x:v>25000 puffs</x:v>
      </x:c>
      <x:c r="D559" t="str">
        <x:v>25k puffs vape</x:v>
      </x:c>
      <x:c r="E559" t="str">
        <x:v>recommended</x:v>
      </x:c>
      <x:c r="F559" t="n">
        <x:v>0</x:v>
      </x:c>
      <x:c r="G559" t="n">
        <x:v>0</x:v>
      </x:c>
      <x:c r="H559" t="str">
        <x:v>48</x:v>
      </x:c>
    </x:row>
    <x:row r="560">
      <x:c r="A560" t="str">
        <x:v>https://exdivo.com/collections/misty-rain/products/exdivo-kuz-25k-replaceable-pod-vape_b963acca?data_from=index_index&amp;spm=index_index..block_collection_slides-11702856.4.</x:v>
      </x:c>
      <x:c r="B560" t="str">
        <x:v>ExDivo KUZ 25K Replaceable Pod Vape</x:v>
      </x:c>
      <x:c r="C560" t="str">
        <x:v>25000 puffs</x:v>
      </x:c>
      <x:c r="D560" t="str">
        <x:v>25k pod vape flavor</x:v>
      </x:c>
      <x:c r="E560" t="str">
        <x:v>recommended</x:v>
      </x:c>
      <x:c r="F560" t="n">
        <x:v>0</x:v>
      </x:c>
      <x:c r="G560" t="n">
        <x:v>0</x:v>
      </x:c>
      <x:c r="H560" t="str">
        <x:v>48</x:v>
      </x:c>
    </x:row>
    <x:row r="561">
      <x:c r="A561" t="str">
        <x:v>https://exdivo.com/collections/misty-rain/products/exdivo-kuz-25k-replaceable-pod-vape_b963acca?data_from=index_index&amp;spm=index_index..block_collection_slides-11702856.4.</x:v>
      </x:c>
      <x:c r="B561" t="str">
        <x:v>ExDivo KUZ 25K Replaceable Pod Vape</x:v>
      </x:c>
      <x:c r="C561" t="str">
        <x:v>25000 puffs</x:v>
      </x:c>
      <x:c r="D561" t="str">
        <x:v>kuz 25k replaceable pod vape</x:v>
      </x:c>
      <x:c r="E561" t="str">
        <x:v>recommended</x:v>
      </x:c>
      <x:c r="F561" t="n">
        <x:v>0</x:v>
      </x:c>
      <x:c r="G561" t="n">
        <x:v>0</x:v>
      </x:c>
      <x:c r="H561" t="str">
        <x:v>48</x:v>
      </x:c>
    </x:row>
    <x:row r="562">
      <x:c r="A562" t="str">
        <x:v>https://exdivo.com/collections/misty-rain/products/exdivo-kuz-25k-replaceable-pod-vape_b963acca?data_from=index_index&amp;spm=index_index..block_collection_slides-11702856.4.</x:v>
      </x:c>
      <x:c r="B562" t="str">
        <x:v>ExDivo KUZ 25K Replaceable Pod Vape</x:v>
      </x:c>
      <x:c r="C562" t="str">
        <x:v>25000 puffs</x:v>
      </x:c>
      <x:c r="D562" t="str">
        <x:v>kuz 25k pod vape</x:v>
      </x:c>
      <x:c r="E562" t="str">
        <x:v>recommended</x:v>
      </x:c>
      <x:c r="F562" t="n">
        <x:v>0</x:v>
      </x:c>
      <x:c r="G562" t="n">
        <x:v>0</x:v>
      </x:c>
      <x:c r="H562" t="str">
        <x:v>48</x:v>
      </x:c>
    </x:row>
    <x:row r="563">
      <x:c r="A563" t="str">
        <x:v>https://exdivo.com/collections/misty-rain/products/exdivo-kuz-25k-replaceable-pod-vape_b963acca?data_from=index_index&amp;spm=index_index..block_collection_slides-11702856.4.</x:v>
      </x:c>
      <x:c r="B563" t="str">
        <x:v>ExDivo KUZ 25K Replaceable Pod Vape</x:v>
      </x:c>
      <x:c r="C563" t="str">
        <x:v>25000 puffs</x:v>
      </x:c>
      <x:c r="D563" t="str">
        <x:v>kuz 25k vape kit</x:v>
      </x:c>
      <x:c r="E563" t="str">
        <x:v>recommended</x:v>
      </x:c>
      <x:c r="F563" t="n">
        <x:v>0</x:v>
      </x:c>
      <x:c r="G563" t="n">
        <x:v>0</x:v>
      </x:c>
      <x:c r="H563" t="str">
        <x:v>48</x:v>
      </x:c>
    </x:row>
    <x:row r="564">
      <x:c r="A564" t="str">
        <x:v>https://exdivo.com/collections/misty-rain/products/exdivo-kuz-25k-replaceable-pod-vape_b963acca?data_from=index_index&amp;spm=index_index..block_collection_slides-11702856.4.</x:v>
      </x:c>
      <x:c r="B564" t="str">
        <x:v>ExDivo KUZ 25K Replaceable Pod Vape</x:v>
      </x:c>
      <x:c r="C564" t="str">
        <x:v>25000 puffs</x:v>
      </x:c>
      <x:c r="D564" t="str">
        <x:v>raz 25k vape</x:v>
      </x:c>
      <x:c r="E564" t="str">
        <x:v>recommended</x:v>
      </x:c>
      <x:c r="F564" t="n">
        <x:v>110</x:v>
      </x:c>
      <x:c r="G564" t="n">
        <x:v>7</x:v>
      </x:c>
      <x:c r="H564" t="str">
        <x:v>informational, commercial</x:v>
      </x:c>
    </x:row>
    <x:row r="565">
      <x:c r="A565" t="str">
        <x:v>https://exdivo.com/collections/misty-rain/products/exdivo-kuz-25k-replaceable-pod-vape_b963acca?data_from=index_index&amp;spm=index_index..block_collection_slides-11702856.4.</x:v>
      </x:c>
      <x:c r="B565" t="str">
        <x:v>ExDivo KUZ 25K Replaceable Pod Vape</x:v>
      </x:c>
      <x:c r="C565" t="str">
        <x:v>25000 puffs</x:v>
      </x:c>
      <x:c r="D565" t="str">
        <x:v>50k vape</x:v>
      </x:c>
      <x:c r="E565" t="str">
        <x:v>recommended</x:v>
      </x:c>
      <x:c r="F565" t="n">
        <x:v>70</x:v>
      </x:c>
      <x:c r="G565" t="n">
        <x:v>5</x:v>
      </x:c>
      <x:c r="H565" t="str">
        <x:v>commercial</x:v>
      </x:c>
    </x:row>
    <x:row r="566">
      <x:c r="A566" t="str">
        <x:v>https://exdivo.com/collections/misty-rain/products/exdivo-kuz-25k-replaceable-pod-vape_b963acca?data_from=index_index&amp;spm=index_index..block_collection_slides-11702856.4.</x:v>
      </x:c>
      <x:c r="B566" t="str">
        <x:v>ExDivo KUZ 25K Replaceable Pod Vape</x:v>
      </x:c>
      <x:c r="C566" t="str">
        <x:v>25000 puffs</x:v>
      </x:c>
      <x:c r="D566" t="str">
        <x:v>replaceable pod vape 25k</x:v>
      </x:c>
      <x:c r="E566" t="str">
        <x:v>recommended</x:v>
      </x:c>
      <x:c r="F566" t="n">
        <x:v>0</x:v>
      </x:c>
      <x:c r="G566" t="n">
        <x:v>0</x:v>
      </x:c>
      <x:c r="H566" t="str">
        <x:v>48</x:v>
      </x:c>
    </x:row>
    <x:row r="567">
      <x:c r="A567" t="str">
        <x:v>https://exdivo.com/collections/misty-rain/products/exdivo-kuz-25k-replaceable-pod-vape_b963acca?data_from=index_index&amp;spm=index_index..block_collection_slides-11702856.4.</x:v>
      </x:c>
      <x:c r="B567" t="str">
        <x:v>ExDivo KUZ 25K Replaceable Pod Vape</x:v>
      </x:c>
      <x:c r="C567" t="str">
        <x:v>25000 puffs</x:v>
      </x:c>
      <x:c r="D567" t="str">
        <x:v>kuz 25k vape</x:v>
      </x:c>
      <x:c r="E567" t="str">
        <x:v>recommended</x:v>
      </x:c>
      <x:c r="F567" t="n">
        <x:v>0</x:v>
      </x:c>
      <x:c r="G567" t="n">
        <x:v>0</x:v>
      </x:c>
      <x:c r="H567" t="str">
        <x:v>48</x:v>
      </x:c>
    </x:row>
    <x:row r="568">
      <x:c r="A568" t="str">
        <x:v>https://exdivo.com/blogs</x:v>
      </x:c>
      <x:c r="B568" t="str">
        <x:v>Blog - ExDivo</x:v>
      </x:c>
      <x:c r="C568" t="str">
        <x:v>48</x:v>
      </x:c>
      <x:c r="D568" t="str">
        <x:v>vaping news</x:v>
      </x:c>
      <x:c r="E568" t="str">
        <x:v>recommended</x:v>
      </x:c>
      <x:c r="F568" t="n">
        <x:v>1600</x:v>
      </x:c>
      <x:c r="G568" t="n">
        <x:v>48</x:v>
      </x:c>
      <x:c r="H568" t="str">
        <x:v>informational</x:v>
      </x:c>
    </x:row>
    <x:row r="569">
      <x:c r="A569" t="str">
        <x:v>https://exdivo.com/blogs</x:v>
      </x:c>
      <x:c r="B569" t="str">
        <x:v>Blog - ExDivo</x:v>
      </x:c>
      <x:c r="C569" t="str">
        <x:v>48</x:v>
      </x:c>
      <x:c r="D569" t="str">
        <x:v>vape industry news</x:v>
      </x:c>
      <x:c r="E569" t="str">
        <x:v>recommended</x:v>
      </x:c>
      <x:c r="F569" t="n">
        <x:v>320</x:v>
      </x:c>
      <x:c r="G569" t="n">
        <x:v>22</x:v>
      </x:c>
      <x:c r="H569" t="str">
        <x:v>informational</x:v>
      </x:c>
    </x:row>
    <x:row r="570">
      <x:c r="A570" t="str">
        <x:v>https://exdivo.com/blogs</x:v>
      </x:c>
      <x:c r="B570" t="str">
        <x:v>Blog - ExDivo</x:v>
      </x:c>
      <x:c r="C570" t="str">
        <x:v>48</x:v>
      </x:c>
      <x:c r="D570" t="str">
        <x:v>vape forum</x:v>
      </x:c>
      <x:c r="E570" t="str">
        <x:v>recommended</x:v>
      </x:c>
      <x:c r="F570" t="n">
        <x:v>260</x:v>
      </x:c>
      <x:c r="G570" t="n">
        <x:v>27</x:v>
      </x:c>
      <x:c r="H570" t="str">
        <x:v>informational</x:v>
      </x:c>
    </x:row>
    <x:row r="571">
      <x:c r="A571" t="str">
        <x:v>https://exdivo.com/blogs</x:v>
      </x:c>
      <x:c r="B571" t="str">
        <x:v>Blog - ExDivo</x:v>
      </x:c>
      <x:c r="C571" t="str">
        <x:v>48</x:v>
      </x:c>
      <x:c r="D571" t="str">
        <x:v>vape recommendation</x:v>
      </x:c>
      <x:c r="E571" t="str">
        <x:v>recommended</x:v>
      </x:c>
      <x:c r="F571" t="n">
        <x:v>40</x:v>
      </x:c>
      <x:c r="G571" t="n">
        <x:v>22</x:v>
      </x:c>
      <x:c r="H571" t="str">
        <x:v>informational, commercial</x:v>
      </x:c>
    </x:row>
    <x:row r="572">
      <x:c r="A572" t="str">
        <x:v>https://exdivo.com/blogs</x:v>
      </x:c>
      <x:c r="B572" t="str">
        <x:v>Blog - ExDivo</x:v>
      </x:c>
      <x:c r="C572" t="str">
        <x:v>48</x:v>
      </x:c>
      <x:c r="D572" t="str">
        <x:v>vape forums</x:v>
      </x:c>
      <x:c r="E572" t="str">
        <x:v>recommended</x:v>
      </x:c>
      <x:c r="F572" t="n">
        <x:v>70</x:v>
      </x:c>
      <x:c r="G572" t="n">
        <x:v>19</x:v>
      </x:c>
      <x:c r="H572" t="str">
        <x:v>informational</x:v>
      </x:c>
    </x:row>
    <x:row r="573">
      <x:c r="A573" t="str">
        <x:v>https://exdivo.com/blogs</x:v>
      </x:c>
      <x:c r="B573" t="str">
        <x:v>Blog - ExDivo</x:v>
      </x:c>
      <x:c r="C573" t="str">
        <x:v>48</x:v>
      </x:c>
      <x:c r="D573" t="str">
        <x:v>vaping tips</x:v>
      </x:c>
      <x:c r="E573" t="str">
        <x:v>recommended</x:v>
      </x:c>
      <x:c r="F573" t="n">
        <x:v>90</x:v>
      </x:c>
      <x:c r="G573" t="n">
        <x:v>30</x:v>
      </x:c>
      <x:c r="H573" t="str">
        <x:v>informational</x:v>
      </x:c>
    </x:row>
    <x:row r="574">
      <x:c r="A574" t="str">
        <x:v>https://exdivo.com/blogs</x:v>
      </x:c>
      <x:c r="B574" t="str">
        <x:v>Blog - ExDivo</x:v>
      </x:c>
      <x:c r="C574" t="str">
        <x:v>48</x:v>
      </x:c>
      <x:c r="D574" t="str">
        <x:v>vape facts</x:v>
      </x:c>
      <x:c r="E574" t="str">
        <x:v>recommended</x:v>
      </x:c>
      <x:c r="F574" t="n">
        <x:v>480</x:v>
      </x:c>
      <x:c r="G574" t="n">
        <x:v>76</x:v>
      </x:c>
      <x:c r="H574" t="str">
        <x:v>informational</x:v>
      </x:c>
    </x:row>
    <x:row r="575">
      <x:c r="A575" t="str">
        <x:v>https://exdivo.com/blogs</x:v>
      </x:c>
      <x:c r="B575" t="str">
        <x:v>Blog - ExDivo</x:v>
      </x:c>
      <x:c r="C575" t="str">
        <x:v>48</x:v>
      </x:c>
      <x:c r="D575" t="str">
        <x:v>vape tricks</x:v>
      </x:c>
      <x:c r="E575" t="str">
        <x:v>recommended</x:v>
      </x:c>
      <x:c r="F575" t="n">
        <x:v>4400</x:v>
      </x:c>
      <x:c r="G575" t="n">
        <x:v>14</x:v>
      </x:c>
      <x:c r="H575" t="str">
        <x:v>informational</x:v>
      </x:c>
    </x:row>
    <x:row r="576">
      <x:c r="A576" t="str">
        <x:v>https://exdivo.com/blogs</x:v>
      </x:c>
      <x:c r="B576" t="str">
        <x:v>Blog - ExDivo</x:v>
      </x:c>
      <x:c r="C576" t="str">
        <x:v>48</x:v>
      </x:c>
      <x:c r="D576" t="str">
        <x:v>vape information</x:v>
      </x:c>
      <x:c r="E576" t="str">
        <x:v>recommended</x:v>
      </x:c>
      <x:c r="F576" t="n">
        <x:v>110</x:v>
      </x:c>
      <x:c r="G576" t="n">
        <x:v>84</x:v>
      </x:c>
      <x:c r="H576" t="str">
        <x:v>informational</x:v>
      </x:c>
    </x:row>
    <x:row r="577">
      <x:c r="A577" t="str">
        <x:v>https://exdivo.com/blogs</x:v>
      </x:c>
      <x:c r="B577" t="str">
        <x:v>Blog - ExDivo</x:v>
      </x:c>
      <x:c r="C577" t="str">
        <x:v>48</x:v>
      </x:c>
      <x:c r="D577" t="str">
        <x:v>information about vaping</x:v>
      </x:c>
      <x:c r="E577" t="str">
        <x:v>recommended</x:v>
      </x:c>
      <x:c r="F577" t="n">
        <x:v>70</x:v>
      </x:c>
      <x:c r="G577" t="n">
        <x:v>80</x:v>
      </x:c>
      <x:c r="H577" t="str">
        <x:v>informational</x:v>
      </x:c>
    </x:row>
    <x:row r="578">
      <x:c r="A578" t="str">
        <x:v>https://exdivo.com/blogs</x:v>
      </x:c>
      <x:c r="B578" t="str">
        <x:v>Blog - ExDivo</x:v>
      </x:c>
      <x:c r="C578" t="str">
        <x:v>48</x:v>
      </x:c>
      <x:c r="D578" t="str">
        <x:v>vape blog</x:v>
      </x:c>
      <x:c r="E578" t="str">
        <x:v>recommended</x:v>
      </x:c>
      <x:c r="F578" t="n">
        <x:v>0</x:v>
      </x:c>
      <x:c r="G578" t="n">
        <x:v>0</x:v>
      </x:c>
      <x:c r="H578" t="str">
        <x:v>48</x:v>
      </x:c>
    </x:row>
    <x:row r="579">
      <x:c r="A579" t="str">
        <x:v>https://exdivo.com/blogs</x:v>
      </x:c>
      <x:c r="B579" t="str">
        <x:v>Blog - ExDivo</x:v>
      </x:c>
      <x:c r="C579" t="str">
        <x:v>48</x:v>
      </x:c>
      <x:c r="D579" t="str">
        <x:v>vape news</x:v>
      </x:c>
      <x:c r="E579" t="str">
        <x:v>recommended</x:v>
      </x:c>
      <x:c r="F579" t="n">
        <x:v>0</x:v>
      </x:c>
      <x:c r="G579" t="n">
        <x:v>0</x:v>
      </x:c>
      <x:c r="H579" t="str">
        <x:v>48</x:v>
      </x:c>
    </x:row>
    <x:row r="580">
      <x:c r="A580" t="str">
        <x:v>https://exdivo.com/comments/exdivo-flora-40k-disposable-vape_933ac4e7?writeComment=true</x:v>
      </x:c>
      <x:c r="B580" t="str">
        <x:v>Reviews - STRAWBERRY COLADA - ExDivo FLORA 40K Disposable Vape - ExDivo</x:v>
      </x:c>
      <x:c r="C580" t="str">
        <x:v>48</x:v>
      </x:c>
      <x:c r="D580" t="str">
        <x:v>disposable vape strawberry colada</x:v>
      </x:c>
      <x:c r="E580" t="str">
        <x:v>recommended</x:v>
      </x:c>
      <x:c r="F580" t="n">
        <x:v>0</x:v>
      </x:c>
      <x:c r="G580" t="n">
        <x:v>0</x:v>
      </x:c>
      <x:c r="H580" t="str">
        <x:v>48</x:v>
      </x:c>
    </x:row>
    <x:row r="581">
      <x:c r="A581" t="str">
        <x:v>https://exdivo.com/comments/exdivo-flora-40k-disposable-vape_933ac4e7?writeComment=true</x:v>
      </x:c>
      <x:c r="B581" t="str">
        <x:v>Reviews - STRAWBERRY COLADA - ExDivo FLORA 40K Disposable Vape - ExDivo</x:v>
      </x:c>
      <x:c r="C581" t="str">
        <x:v>48</x:v>
      </x:c>
      <x:c r="D581" t="str">
        <x:v>flora 40k disposable vape strawberry colada</x:v>
      </x:c>
      <x:c r="E581" t="str">
        <x:v>recommended</x:v>
      </x:c>
      <x:c r="F581" t="n">
        <x:v>0</x:v>
      </x:c>
      <x:c r="G581" t="n">
        <x:v>0</x:v>
      </x:c>
      <x:c r="H581" t="str">
        <x:v>48</x:v>
      </x:c>
    </x:row>
    <x:row r="582">
      <x:c r="A582" t="str">
        <x:v>https://exdivo.com/collections/brightmirror/products/exdivo-bright-mirror-35k-replaceable-vape-kit_25244789?data_from=index_index&amp;spm=index_index..block_collection_slides-11702967.2.</x:v>
      </x:c>
      <x:c r="B582" t="str">
        <x:v>ExDivo BRIGHT MIRROR 35K Replaceable VAPE kit</x:v>
      </x:c>
      <x:c r="C582" t="str">
        <x:v>40000 puffs</x:v>
      </x:c>
      <x:c r="D582" t="str">
        <x:v>bright mirror vape kit</x:v>
      </x:c>
      <x:c r="E582" t="str">
        <x:v>recommended</x:v>
      </x:c>
      <x:c r="F582" t="n">
        <x:v>0</x:v>
      </x:c>
      <x:c r="G582" t="n">
        <x:v>0</x:v>
      </x:c>
      <x:c r="H582" t="str">
        <x:v>48</x:v>
      </x:c>
    </x:row>
    <x:row r="583">
      <x:c r="A583" t="str">
        <x:v>https://exdivo.com/collections/brightmirror/products/exdivo-bright-mirror-35k-replaceable-vape-kit_25244789?data_from=index_index&amp;spm=index_index..block_collection_slides-11702967.2.</x:v>
      </x:c>
      <x:c r="B583" t="str">
        <x:v>ExDivo BRIGHT MIRROR 35K Replaceable VAPE kit</x:v>
      </x:c>
      <x:c r="C583" t="str">
        <x:v>40000 puffs</x:v>
      </x:c>
      <x:c r="D583" t="str">
        <x:v>bright mirror 35k vape kit</x:v>
      </x:c>
      <x:c r="E583" t="str">
        <x:v>recommended</x:v>
      </x:c>
      <x:c r="F583" t="n">
        <x:v>0</x:v>
      </x:c>
      <x:c r="G583" t="n">
        <x:v>0</x:v>
      </x:c>
      <x:c r="H583" t="str">
        <x:v>48</x:v>
      </x:c>
    </x:row>
    <x:row r="584">
      <x:c r="A584" t="str">
        <x:v>https://exdivo.com/collections/brightmirror/products/exdivo-bright-mirror-35k-replaceable-vape-kit_25244789?data_from=index_index&amp;spm=index_index..block_collection_slides-11702967.2.</x:v>
      </x:c>
      <x:c r="B584" t="str">
        <x:v>ExDivo BRIGHT MIRROR 35K Replaceable VAPE kit</x:v>
      </x:c>
      <x:c r="C584" t="str">
        <x:v>40000 puffs</x:v>
      </x:c>
      <x:c r="D584" t="str">
        <x:v>bright mirror vape</x:v>
      </x:c>
      <x:c r="E584" t="str">
        <x:v>recommended</x:v>
      </x:c>
      <x:c r="F584" t="n">
        <x:v>0</x:v>
      </x:c>
      <x:c r="G584" t="n">
        <x:v>0</x:v>
      </x:c>
      <x:c r="H584" t="str">
        <x:v>48</x:v>
      </x:c>
    </x:row>
    <x:row r="585">
      <x:c r="A585" t="str">
        <x:v>https://exdivo.com/collections/brightmirror/products/exdivo-bright-mirror-35k-replaceable-vape-kit_25244789?data_from=index_index&amp;spm=index_index..block_collection_slides-11702967.2.</x:v>
      </x:c>
      <x:c r="B585" t="str">
        <x:v>ExDivo BRIGHT MIRROR 35K Replaceable VAPE kit</x:v>
      </x:c>
      <x:c r="C585" t="str">
        <x:v>40000 puffs</x:v>
      </x:c>
      <x:c r="D585" t="str">
        <x:v>bright mirror 35k puffs</x:v>
      </x:c>
      <x:c r="E585" t="str">
        <x:v>recommended</x:v>
      </x:c>
      <x:c r="F585" t="n">
        <x:v>0</x:v>
      </x:c>
      <x:c r="G585" t="n">
        <x:v>0</x:v>
      </x:c>
      <x:c r="H585" t="str">
        <x:v>48</x:v>
      </x:c>
    </x:row>
    <x:row r="586">
      <x:c r="A586" t="str">
        <x:v>https://exdivo.com/comments/exdivo-bright-mirror-35k-replaceable-vape-kit_9fb2cea3?writeComment=true</x:v>
      </x:c>
      <x:c r="B586" t="str">
        <x:v>Reviews - WHITE GUMMY - ExDivo BRIGHT MIRROR 35K Replaceable VAPE kit - ExDivo</x:v>
      </x:c>
      <x:c r="C586" t="str">
        <x:v>48</x:v>
      </x:c>
      <x:c r="D586" t="str">
        <x:v>replaceable vape kit white gummy</x:v>
      </x:c>
      <x:c r="E586" t="str">
        <x:v>recommended</x:v>
      </x:c>
      <x:c r="F586" t="n">
        <x:v>0</x:v>
      </x:c>
      <x:c r="G586" t="n">
        <x:v>0</x:v>
      </x:c>
      <x:c r="H586" t="str">
        <x:v>48</x:v>
      </x:c>
    </x:row>
    <x:row r="587">
      <x:c r="A587" t="str">
        <x:v>https://exdivo.com/comments/exdivo-bright-mirror-35k-replaceable-vape-kit_9fb2cea3?writeComment=true</x:v>
      </x:c>
      <x:c r="B587" t="str">
        <x:v>Reviews - WHITE GUMMY - ExDivo BRIGHT MIRROR 35K Replaceable VAPE kit - ExDivo</x:v>
      </x:c>
      <x:c r="C587" t="str">
        <x:v>48</x:v>
      </x:c>
      <x:c r="D587" t="str">
        <x:v>bright mirror white gummy</x:v>
      </x:c>
      <x:c r="E587" t="str">
        <x:v>recommended</x:v>
      </x:c>
      <x:c r="F587" t="n">
        <x:v>0</x:v>
      </x:c>
      <x:c r="G587" t="n">
        <x:v>0</x:v>
      </x:c>
      <x:c r="H587" t="str">
        <x:v>48</x:v>
      </x:c>
    </x:row>
    <x:row r="588">
      <x:c r="A588" t="str">
        <x:v>https://exdivo.com/blogs/top-exdivo-vape-flavors-you-must-try-in-2026?data_from=index_index</x:v>
      </x:c>
      <x:c r="B588" t="str">
        <x:v>Top EXDIVO Vape Flavors You Must Try in 2026 - ExDivo</x:v>
      </x:c>
      <x:c r="C588" t="str">
        <x:v>top exdivo vape flavors you must try in 2026</x:v>
      </x:c>
      <x:c r="D588" t="str">
        <x:v>best vape</x:v>
      </x:c>
      <x:c r="E588" t="str">
        <x:v>recommended</x:v>
      </x:c>
      <x:c r="F588" t="n">
        <x:v>8100</x:v>
      </x:c>
      <x:c r="G588" t="n">
        <x:v>30</x:v>
      </x:c>
      <x:c r="H588" t="str">
        <x:v>commercial</x:v>
      </x:c>
    </x:row>
    <x:row r="589">
      <x:c r="A589" t="str">
        <x:v>https://exdivo.com/blogs/top-exdivo-vape-flavors-you-must-try-in-2026?data_from=index_index</x:v>
      </x:c>
      <x:c r="B589" t="str">
        <x:v>Top EXDIVO Vape Flavors You Must Try in 2026 - ExDivo</x:v>
      </x:c>
      <x:c r="C589" t="str">
        <x:v>top exdivo vape flavors you must try in 2026</x:v>
      </x:c>
      <x:c r="D589" t="str">
        <x:v>best vape flavors</x:v>
      </x:c>
      <x:c r="E589" t="str">
        <x:v>recommended</x:v>
      </x:c>
      <x:c r="F589" t="n">
        <x:v>2900</x:v>
      </x:c>
      <x:c r="G589" t="n">
        <x:v>21</x:v>
      </x:c>
      <x:c r="H589" t="str">
        <x:v>commercial</x:v>
      </x:c>
    </x:row>
    <x:row r="590">
      <x:c r="A590" t="str">
        <x:v>https://exdivo.com/blogs/top-exdivo-vape-flavors-you-must-try-in-2026?data_from=index_index</x:v>
      </x:c>
      <x:c r="B590" t="str">
        <x:v>Top EXDIVO Vape Flavors You Must Try in 2026 - ExDivo</x:v>
      </x:c>
      <x:c r="C590" t="str">
        <x:v>top exdivo vape flavors you must try in 2026</x:v>
      </x:c>
      <x:c r="D590" t="str">
        <x:v>best vape juice flavors</x:v>
      </x:c>
      <x:c r="E590" t="str">
        <x:v>recommended</x:v>
      </x:c>
      <x:c r="F590" t="n">
        <x:v>390</x:v>
      </x:c>
      <x:c r="G590" t="n">
        <x:v>23</x:v>
      </x:c>
      <x:c r="H590" t="str">
        <x:v>commercial</x:v>
      </x:c>
    </x:row>
    <x:row r="591">
      <x:c r="A591" t="str">
        <x:v>https://exdivo.com/blogs/top-exdivo-vape-flavors-you-must-try-in-2026?data_from=index_index</x:v>
      </x:c>
      <x:c r="B591" t="str">
        <x:v>Top EXDIVO Vape Flavors You Must Try in 2026 - ExDivo</x:v>
      </x:c>
      <x:c r="C591" t="str">
        <x:v>top exdivo vape flavors you must try in 2026</x:v>
      </x:c>
      <x:c r="D591" t="str">
        <x:v>best vape juice brands</x:v>
      </x:c>
      <x:c r="E591" t="str">
        <x:v>recommended</x:v>
      </x:c>
      <x:c r="F591" t="n">
        <x:v>880</x:v>
      </x:c>
      <x:c r="G591" t="n">
        <x:v>9</x:v>
      </x:c>
      <x:c r="H591" t="str">
        <x:v>commercial</x:v>
      </x:c>
    </x:row>
    <x:row r="592">
      <x:c r="A592" t="str">
        <x:v>https://exdivo.com/blogs/top-exdivo-vape-flavors-you-must-try-in-2026?data_from=index_index</x:v>
      </x:c>
      <x:c r="B592" t="str">
        <x:v>Top EXDIVO Vape Flavors You Must Try in 2026 - ExDivo</x:v>
      </x:c>
      <x:c r="C592" t="str">
        <x:v>top exdivo vape flavors you must try in 2026</x:v>
      </x:c>
      <x:c r="D592" t="str">
        <x:v>best tasting vapes</x:v>
      </x:c>
      <x:c r="E592" t="str">
        <x:v>recommended</x:v>
      </x:c>
      <x:c r="F592" t="n">
        <x:v>170</x:v>
      </x:c>
      <x:c r="G592" t="n">
        <x:v>20</x:v>
      </x:c>
      <x:c r="H592" t="str">
        <x:v>commercial</x:v>
      </x:c>
    </x:row>
    <x:row r="593">
      <x:c r="A593" t="str">
        <x:v>https://exdivo.com/blogs/top-exdivo-vape-flavors-you-must-try-in-2026?data_from=index_index</x:v>
      </x:c>
      <x:c r="B593" t="str">
        <x:v>Top EXDIVO Vape Flavors You Must Try in 2026 - ExDivo</x:v>
      </x:c>
      <x:c r="C593" t="str">
        <x:v>top exdivo vape flavors you must try in 2026</x:v>
      </x:c>
      <x:c r="D593" t="str">
        <x:v>what is the best vape</x:v>
      </x:c>
      <x:c r="E593" t="str">
        <x:v>recommended</x:v>
      </x:c>
      <x:c r="F593" t="n">
        <x:v>390</x:v>
      </x:c>
      <x:c r="G593" t="n">
        <x:v>15</x:v>
      </x:c>
      <x:c r="H593" t="str">
        <x:v>commercial</x:v>
      </x:c>
    </x:row>
    <x:row r="594">
      <x:c r="A594" t="str">
        <x:v>https://exdivo.com/blogs/top-exdivo-vape-flavors-you-must-try-in-2026?data_from=index_index</x:v>
      </x:c>
      <x:c r="B594" t="str">
        <x:v>Top EXDIVO Vape Flavors You Must Try in 2026 - ExDivo</x:v>
      </x:c>
      <x:c r="C594" t="str">
        <x:v>top exdivo vape flavors you must try in 2026</x:v>
      </x:c>
      <x:c r="D594" t="str">
        <x:v>best tasting vape juice</x:v>
      </x:c>
      <x:c r="E594" t="str">
        <x:v>recommended</x:v>
      </x:c>
      <x:c r="F594" t="n">
        <x:v>140</x:v>
      </x:c>
      <x:c r="G594" t="n">
        <x:v>17</x:v>
      </x:c>
      <x:c r="H594" t="str">
        <x:v>commercial</x:v>
      </x:c>
    </x:row>
    <x:row r="595">
      <x:c r="A595" t="str">
        <x:v>https://exdivo.com/blogs/top-exdivo-vape-flavors-you-must-try-in-2026?data_from=index_index</x:v>
      </x:c>
      <x:c r="B595" t="str">
        <x:v>Top EXDIVO Vape Flavors You Must Try in 2026 - ExDivo</x:v>
      </x:c>
      <x:c r="C595" t="str">
        <x:v>top exdivo vape flavors you must try in 2026</x:v>
      </x:c>
      <x:c r="D595" t="str">
        <x:v>best vape for flavour</x:v>
      </x:c>
      <x:c r="E595" t="str">
        <x:v>recommended</x:v>
      </x:c>
      <x:c r="F595" t="n">
        <x:v>110</x:v>
      </x:c>
      <x:c r="G595" t="n">
        <x:v>13</x:v>
      </x:c>
      <x:c r="H595" t="str">
        <x:v>commercial</x:v>
      </x:c>
    </x:row>
    <x:row r="596">
      <x:c r="A596" t="str">
        <x:v>https://exdivo.com/blogs/top-exdivo-vape-flavors-you-must-try-in-2026?data_from=index_index</x:v>
      </x:c>
      <x:c r="B596" t="str">
        <x:v>Top EXDIVO Vape Flavors You Must Try in 2026 - ExDivo</x:v>
      </x:c>
      <x:c r="C596" t="str">
        <x:v>top exdivo vape flavors you must try in 2026</x:v>
      </x:c>
      <x:c r="D596" t="str">
        <x:v>best flavored vapes</x:v>
      </x:c>
      <x:c r="E596" t="str">
        <x:v>recommended</x:v>
      </x:c>
      <x:c r="F596" t="n">
        <x:v>170</x:v>
      </x:c>
      <x:c r="G596" t="n">
        <x:v>26</x:v>
      </x:c>
      <x:c r="H596" t="str">
        <x:v>commercial</x:v>
      </x:c>
    </x:row>
    <x:row r="597">
      <x:c r="A597" t="str">
        <x:v>https://exdivo.com/blogs/top-exdivo-vape-flavors-you-must-try-in-2026?data_from=index_index</x:v>
      </x:c>
      <x:c r="B597" t="str">
        <x:v>Top EXDIVO Vape Flavors You Must Try in 2026 - ExDivo</x:v>
      </x:c>
      <x:c r="C597" t="str">
        <x:v>top exdivo vape flavors you must try in 2026</x:v>
      </x:c>
      <x:c r="D597" t="str">
        <x:v>good vape flavors</x:v>
      </x:c>
      <x:c r="E597" t="str">
        <x:v>recommended</x:v>
      </x:c>
      <x:c r="F597" t="n">
        <x:v>720</x:v>
      </x:c>
      <x:c r="G597" t="n">
        <x:v>19</x:v>
      </x:c>
      <x:c r="H597" t="str">
        <x:v>informational</x:v>
      </x:c>
    </x:row>
    <x:row r="598">
      <x:c r="A598" t="str">
        <x:v>https://exdivo.com/blogs/top-exdivo-vape-flavors-you-must-try-in-2026?data_from=index_index</x:v>
      </x:c>
      <x:c r="B598" t="str">
        <x:v>Top EXDIVO Vape Flavors You Must Try in 2026 - ExDivo</x:v>
      </x:c>
      <x:c r="C598" t="str">
        <x:v>top exdivo vape flavors you must try in 2026</x:v>
      </x:c>
      <x:c r="D598" t="str">
        <x:v>best vape for flavor</x:v>
      </x:c>
      <x:c r="E598" t="str">
        <x:v>recommended</x:v>
      </x:c>
      <x:c r="F598" t="n">
        <x:v>50</x:v>
      </x:c>
      <x:c r="G598" t="n">
        <x:v>0</x:v>
      </x:c>
      <x:c r="H598" t="str">
        <x:v>commercial</x:v>
      </x:c>
    </x:row>
    <x:row r="599">
      <x:c r="A599" t="str">
        <x:v>https://exdivo.com/blogs/top-exdivo-vape-flavors-you-must-try-in-2026?data_from=index_index</x:v>
      </x:c>
      <x:c r="B599" t="str">
        <x:v>Top EXDIVO Vape Flavors You Must Try in 2026 - ExDivo</x:v>
      </x:c>
      <x:c r="C599" t="str">
        <x:v>top exdivo vape flavors you must try in 2026</x:v>
      </x:c>
      <x:c r="D599" t="str">
        <x:v>most flavorful vape juice</x:v>
      </x:c>
      <x:c r="E599" t="str">
        <x:v>recommended</x:v>
      </x:c>
      <x:c r="F599" t="n">
        <x:v>70</x:v>
      </x:c>
      <x:c r="G599" t="n">
        <x:v>17</x:v>
      </x:c>
      <x:c r="H599" t="str">
        <x:v>informational</x:v>
      </x:c>
    </x:row>
    <x:row r="600">
      <x:c r="A600" t="str">
        <x:v>https://exdivo.com/blogs/top-exdivo-vape-flavors-you-must-try-in-2026?data_from=index_index</x:v>
      </x:c>
      <x:c r="B600" t="str">
        <x:v>Top EXDIVO Vape Flavors You Must Try in 2026 - ExDivo</x:v>
      </x:c>
      <x:c r="C600" t="str">
        <x:v>top exdivo vape flavors you must try in 2026</x:v>
      </x:c>
      <x:c r="D600" t="str">
        <x:v>what is the best vape juice</x:v>
      </x:c>
      <x:c r="E600" t="str">
        <x:v>recommended</x:v>
      </x:c>
      <x:c r="F600" t="n">
        <x:v>50</x:v>
      </x:c>
      <x:c r="G600" t="n">
        <x:v>18</x:v>
      </x:c>
      <x:c r="H600" t="str">
        <x:v>commercial</x:v>
      </x:c>
    </x:row>
    <x:row r="601">
      <x:c r="A601" t="str">
        <x:v>https://exdivo.com/blogs/top-exdivo-vape-flavors-you-must-try-in-2026?data_from=index_index</x:v>
      </x:c>
      <x:c r="B601" t="str">
        <x:v>Top EXDIVO Vape Flavors You Must Try in 2026 - ExDivo</x:v>
      </x:c>
      <x:c r="C601" t="str">
        <x:v>top exdivo vape flavors you must try in 2026</x:v>
      </x:c>
      <x:c r="D601" t="str">
        <x:v>best flavored vape</x:v>
      </x:c>
      <x:c r="E601" t="str">
        <x:v>recommended</x:v>
      </x:c>
      <x:c r="F601" t="n">
        <x:v>40</x:v>
      </x:c>
      <x:c r="G601" t="n">
        <x:v>13</x:v>
      </x:c>
      <x:c r="H601" t="str">
        <x:v>commercial</x:v>
      </x:c>
    </x:row>
    <x:row r="602">
      <x:c r="A602" t="str">
        <x:v>https://exdivo.com/blogs/top-exdivo-vape-flavors-you-must-try-in-2026?data_from=index_index</x:v>
      </x:c>
      <x:c r="B602" t="str">
        <x:v>Top EXDIVO Vape Flavors You Must Try in 2026 - ExDivo</x:v>
      </x:c>
      <x:c r="C602" t="str">
        <x:v>top exdivo vape flavors you must try in 2026</x:v>
      </x:c>
      <x:c r="D602" t="str">
        <x:v>good vape juice flavors</x:v>
      </x:c>
      <x:c r="E602" t="str">
        <x:v>recommended</x:v>
      </x:c>
      <x:c r="F602" t="n">
        <x:v>50</x:v>
      </x:c>
      <x:c r="G602" t="n">
        <x:v>20</x:v>
      </x:c>
      <x:c r="H602" t="str">
        <x:v>informational</x:v>
      </x:c>
    </x:row>
    <x:row r="603">
      <x:c r="A603" t="str">
        <x:v>https://exdivo.com/blogs/top-exdivo-vape-flavors-you-must-try-in-2026?data_from=index_index</x:v>
      </x:c>
      <x:c r="B603" t="str">
        <x:v>Top EXDIVO Vape Flavors You Must Try in 2026 - ExDivo</x:v>
      </x:c>
      <x:c r="C603" t="str">
        <x:v>top exdivo vape flavors you must try in 2026</x:v>
      </x:c>
      <x:c r="D603" t="str">
        <x:v>best vape liquids</x:v>
      </x:c>
      <x:c r="E603" t="str">
        <x:v>recommended</x:v>
      </x:c>
      <x:c r="F603" t="n">
        <x:v>40</x:v>
      </x:c>
      <x:c r="G603" t="n">
        <x:v>18</x:v>
      </x:c>
      <x:c r="H603" t="str">
        <x:v>commercial</x:v>
      </x:c>
    </x:row>
    <x:row r="604">
      <x:c r="A604" t="str">
        <x:v>https://exdivo.com/blogs/top-exdivo-vape-flavors-you-must-try-in-2026?data_from=index_index</x:v>
      </x:c>
      <x:c r="B604" t="str">
        <x:v>Top EXDIVO Vape Flavors You Must Try in 2026 - ExDivo</x:v>
      </x:c>
      <x:c r="C604" t="str">
        <x:v>top exdivo vape flavors you must try in 2026</x:v>
      </x:c>
      <x:c r="D604" t="str">
        <x:v>best vape liquid</x:v>
      </x:c>
      <x:c r="E604" t="str">
        <x:v>recommended</x:v>
      </x:c>
      <x:c r="F604" t="n">
        <x:v>140</x:v>
      </x:c>
      <x:c r="G604" t="n">
        <x:v>20</x:v>
      </x:c>
      <x:c r="H604" t="str">
        <x:v>commercial</x:v>
      </x:c>
    </x:row>
    <x:row r="605">
      <x:c r="A605" t="str">
        <x:v>https://exdivo.com/blogs/top-exdivo-vape-flavors-you-must-try-in-2026?data_from=index_index</x:v>
      </x:c>
      <x:c r="B605" t="str">
        <x:v>Top EXDIVO Vape Flavors You Must Try in 2026 - ExDivo</x:v>
      </x:c>
      <x:c r="C605" t="str">
        <x:v>top exdivo vape flavors you must try in 2026</x:v>
      </x:c>
      <x:c r="D605" t="str">
        <x:v>best vape liquid for flavour</x:v>
      </x:c>
      <x:c r="E605" t="str">
        <x:v>recommended</x:v>
      </x:c>
      <x:c r="F605" t="n">
        <x:v>90</x:v>
      </x:c>
      <x:c r="G605" t="n">
        <x:v>23</x:v>
      </x:c>
      <x:c r="H605" t="str">
        <x:v>commercial</x:v>
      </x:c>
    </x:row>
    <x:row r="606">
      <x:c r="A606" t="str">
        <x:v>https://exdivo.com/blogs/top-exdivo-vape-flavors-you-must-try-in-2026?data_from=index_index</x:v>
      </x:c>
      <x:c r="B606" t="str">
        <x:v>Top EXDIVO Vape Flavors You Must Try in 2026 - ExDivo</x:v>
      </x:c>
      <x:c r="C606" t="str">
        <x:v>top exdivo vape flavors you must try in 2026</x:v>
      </x:c>
      <x:c r="D606" t="str">
        <x:v>top vape flavors</x:v>
      </x:c>
      <x:c r="E606" t="str">
        <x:v>recommended</x:v>
      </x:c>
      <x:c r="F606" t="n">
        <x:v>90</x:v>
      </x:c>
      <x:c r="G606" t="n">
        <x:v>23</x:v>
      </x:c>
      <x:c r="H606" t="str">
        <x:v>informational, commercial</x:v>
      </x:c>
    </x:row>
    <x:row r="607">
      <x:c r="A607" t="str">
        <x:v>https://exdivo.com/blogs/top-exdivo-vape-flavors-you-must-try-in-2026?data_from=index_index</x:v>
      </x:c>
      <x:c r="B607" t="str">
        <x:v>Top EXDIVO Vape Flavors You Must Try in 2026 - ExDivo</x:v>
      </x:c>
      <x:c r="C607" t="str">
        <x:v>top exdivo vape flavors you must try in 2026</x:v>
      </x:c>
      <x:c r="D607" t="str">
        <x:v>best vape juice</x:v>
      </x:c>
      <x:c r="E607" t="str">
        <x:v>recommended</x:v>
      </x:c>
      <x:c r="F607" t="n">
        <x:v>1600</x:v>
      </x:c>
      <x:c r="G607" t="n">
        <x:v>25</x:v>
      </x:c>
      <x:c r="H607" t="str">
        <x:v>commercial</x:v>
      </x:c>
    </x:row>
    <x:row r="608">
      <x:c r="A608" t="str">
        <x:v>https://exdivo.com/blogs/top-exdivo-vape-flavors-you-must-try-in-2026?data_from=index_index</x:v>
      </x:c>
      <x:c r="B608" t="str">
        <x:v>Top EXDIVO Vape Flavors You Must Try in 2026 - ExDivo</x:v>
      </x:c>
      <x:c r="C608" t="str">
        <x:v>top exdivo vape flavors you must try in 2026</x:v>
      </x:c>
      <x:c r="D608" t="str">
        <x:v>best vapes 2024</x:v>
      </x:c>
      <x:c r="E608" t="str">
        <x:v>recommended</x:v>
      </x:c>
      <x:c r="F608" t="n">
        <x:v>1600</x:v>
      </x:c>
      <x:c r="G608" t="n">
        <x:v>25</x:v>
      </x:c>
      <x:c r="H608" t="str">
        <x:v>commercial</x:v>
      </x:c>
    </x:row>
    <x:row r="609">
      <x:c r="A609" t="str">
        <x:v>https://exdivo.com/blogs/top-exdivo-vape-flavors-you-must-try-in-2026?data_from=index_index</x:v>
      </x:c>
      <x:c r="B609" t="str">
        <x:v>Top EXDIVO Vape Flavors You Must Try in 2026 - ExDivo</x:v>
      </x:c>
      <x:c r="C609" t="str">
        <x:v>top exdivo vape flavors you must try in 2026</x:v>
      </x:c>
      <x:c r="D609" t="str">
        <x:v>best vape flavors 2026</x:v>
      </x:c>
      <x:c r="E609" t="str">
        <x:v>recommended</x:v>
      </x:c>
      <x:c r="F609" t="n">
        <x:v>0</x:v>
      </x:c>
      <x:c r="G609" t="n">
        <x:v>0</x:v>
      </x:c>
      <x:c r="H609" t="str">
        <x:v>48</x:v>
      </x:c>
    </x:row>
    <x:row r="610">
      <x:c r="A610" t="str">
        <x:v>https://exdivo.com/blogs/top-exdivo-vape-flavors-you-must-try-in-2026?data_from=index_index</x:v>
      </x:c>
      <x:c r="B610" t="str">
        <x:v>Top EXDIVO Vape Flavors You Must Try in 2026 - ExDivo</x:v>
      </x:c>
      <x:c r="C610" t="str">
        <x:v>top exdivo vape flavors you must try in 2026</x:v>
      </x:c>
      <x:c r="D610" t="str">
        <x:v>top vape flavors to try</x:v>
      </x:c>
      <x:c r="E610" t="str">
        <x:v>recommended</x:v>
      </x:c>
      <x:c r="F610" t="n">
        <x:v>0</x:v>
      </x:c>
      <x:c r="G610" t="n">
        <x:v>0</x:v>
      </x:c>
      <x:c r="H610" t="str">
        <x:v>48</x:v>
      </x:c>
    </x:row>
    <x:row r="611">
      <x:c r="A611" t="str">
        <x:v>https://exdivo.com/blogs/top-exdivo-vape-flavors-you-must-try-in-2026?data_from=index_index</x:v>
      </x:c>
      <x:c r="B611" t="str">
        <x:v>Top EXDIVO Vape Flavors You Must Try in 2026 - ExDivo</x:v>
      </x:c>
      <x:c r="C611" t="str">
        <x:v>top exdivo vape flavors you must try in 2026</x:v>
      </x:c>
      <x:c r="D611" t="str">
        <x:v>must try vape flavors</x:v>
      </x:c>
      <x:c r="E611" t="str">
        <x:v>recommended</x:v>
      </x:c>
      <x:c r="F611" t="n">
        <x:v>0</x:v>
      </x:c>
      <x:c r="G611" t="n">
        <x:v>0</x:v>
      </x:c>
      <x:c r="H611" t="str">
        <x:v>48</x:v>
      </x:c>
    </x:row>
    <x:row r="612">
      <x:c r="A612" t="str">
        <x:v>https://exdivo.com/blogs/top-exdivo-vape-flavors-you-must-try-in-2026?data_from=index_index</x:v>
      </x:c>
      <x:c r="B612" t="str">
        <x:v>Top EXDIVO Vape Flavors You Must Try in 2026 - ExDivo</x:v>
      </x:c>
      <x:c r="C612" t="str">
        <x:v>top exdivo vape flavors you must try in 2026</x:v>
      </x:c>
      <x:c r="D612" t="str">
        <x:v>exotic vape flavors</x:v>
      </x:c>
      <x:c r="E612" t="str">
        <x:v>recommended</x:v>
      </x:c>
      <x:c r="F612" t="n">
        <x:v>0</x:v>
      </x:c>
      <x:c r="G612" t="n">
        <x:v>0</x:v>
      </x:c>
      <x:c r="H612" t="str">
        <x:v>48</x:v>
      </x:c>
    </x:row>
    <x:row r="613">
      <x:c r="A613" t="str">
        <x:v>https://exdivo.com/comments/exdivo-bright-mirror-35k-replaceable-vape-kit_17dd6a51?writeComment=true</x:v>
      </x:c>
      <x:c r="B613" t="str">
        <x:v>Reviews - MEXICAN MANGO - ExDivo BRIGHT MIRROR 35K Replaceable VAPE kit - ExDivo</x:v>
      </x:c>
      <x:c r="C613" t="str">
        <x:v>48</x:v>
      </x:c>
      <x:c r="D613" t="str">
        <x:v>replaceable vape kit mango</x:v>
      </x:c>
      <x:c r="E613" t="str">
        <x:v>recommended</x:v>
      </x:c>
      <x:c r="F613" t="n">
        <x:v>0</x:v>
      </x:c>
      <x:c r="G613" t="n">
        <x:v>0</x:v>
      </x:c>
      <x:c r="H613" t="str">
        <x:v>48</x:v>
      </x:c>
    </x:row>
    <x:row r="614">
      <x:c r="A614" t="str">
        <x:v>https://exdivo.com/comments/exdivo-bright-mirror-35k-replaceable-vape-kit_17dd6a51?writeComment=true</x:v>
      </x:c>
      <x:c r="B614" t="str">
        <x:v>Reviews - MEXICAN MANGO - ExDivo BRIGHT MIRROR 35K Replaceable VAPE kit - ExDivo</x:v>
      </x:c>
      <x:c r="C614" t="str">
        <x:v>48</x:v>
      </x:c>
      <x:c r="D614" t="str">
        <x:v>bright mirror mexican mango</x:v>
      </x:c>
      <x:c r="E614" t="str">
        <x:v>recommended</x:v>
      </x:c>
      <x:c r="F614" t="n">
        <x:v>0</x:v>
      </x:c>
      <x:c r="G614" t="n">
        <x:v>0</x:v>
      </x:c>
      <x:c r="H614" t="str">
        <x:v>48</x:v>
      </x:c>
    </x:row>
    <x:row r="615">
      <x:c r="A615" t="str">
        <x:v>https://exdivo.com/collections/interstellar/products/exdivo-interstellar-35k-disposable-vape_a50f7cf9?data_from=index_index&amp;spm=index_index..block_collection_slides-11702936.9.</x:v>
      </x:c>
      <x:c r="B615" t="str">
        <x:v>ExDivo INTERSTELLAR 35K Disposable Vape</x:v>
      </x:c>
      <x:c r="C615" t="str">
        <x:v>35000 puffs</x:v>
      </x:c>
      <x:c r="D615" t="str">
        <x:v>exdivo disposable vape models</x:v>
      </x:c>
      <x:c r="E615" t="str">
        <x:v>recommended</x:v>
      </x:c>
      <x:c r="F615" t="n">
        <x:v>0</x:v>
      </x:c>
      <x:c r="G615" t="n">
        <x:v>0</x:v>
      </x:c>
      <x:c r="H615" t="str">
        <x:v>48</x:v>
      </x:c>
    </x:row>
    <x:row r="616">
      <x:c r="A616" t="str">
        <x:v>https://exdivo.com/collections/interstellar/products/exdivo-interstellar-35k-disposable-vape_a50f7cf9?data_from=index_index&amp;spm=index_index..block_collection_slides-11702936.9.</x:v>
      </x:c>
      <x:c r="B616" t="str">
        <x:v>ExDivo INTERSTELLAR 35K Disposable Vape</x:v>
      </x:c>
      <x:c r="C616" t="str">
        <x:v>35000 puffs</x:v>
      </x:c>
      <x:c r="D616" t="str">
        <x:v>exdivo electronic cigarettes</x:v>
      </x:c>
      <x:c r="E616" t="str">
        <x:v>recommended</x:v>
      </x:c>
      <x:c r="F616" t="n">
        <x:v>0</x:v>
      </x:c>
      <x:c r="G616" t="n">
        <x:v>0</x:v>
      </x:c>
      <x:c r="H616" t="str">
        <x:v>48</x:v>
      </x:c>
    </x:row>
    <x:row r="617">
      <x:c r="A617" t="str">
        <x:v>https://exdivo.com/comments/exdivo-interstellar-35k-disposable-vape_c59c5d3c?writeComment=true</x:v>
      </x:c>
      <x:c r="B617" t="str">
        <x:v>Reviews - Fcuking Fab - ExDivo INTERSTELLAR 35K Disposable Vape - ExDivo</x:v>
      </x:c>
      <x:c r="C617" t="str">
        <x:v>48</x:v>
      </x:c>
      <x:c r="D617" t="str">
        <x:v>fcuking fab vape flavor</x:v>
      </x:c>
      <x:c r="E617" t="str">
        <x:v>recommended</x:v>
      </x:c>
      <x:c r="F617" t="n">
        <x:v>90</x:v>
      </x:c>
      <x:c r="G617" t="n">
        <x:v>1</x:v>
      </x:c>
      <x:c r="H617" t="str">
        <x:v>commercial</x:v>
      </x:c>
    </x:row>
    <x:row r="618">
      <x:c r="A618" t="str">
        <x:v>https://exdivo.com/comments/exdivo-interstellar-35k-disposable-vape_c59c5d3c?writeComment=true</x:v>
      </x:c>
      <x:c r="B618" t="str">
        <x:v>Reviews - Fcuking Fab - ExDivo INTERSTELLAR 35K Disposable Vape - ExDivo</x:v>
      </x:c>
      <x:c r="C618" t="str">
        <x:v>48</x:v>
      </x:c>
      <x:c r="D618" t="str">
        <x:v>fcking fab vape</x:v>
      </x:c>
      <x:c r="E618" t="str">
        <x:v>recommended</x:v>
      </x:c>
      <x:c r="F618" t="n">
        <x:v>70</x:v>
      </x:c>
      <x:c r="G618" t="n">
        <x:v>0</x:v>
      </x:c>
      <x:c r="H618" t="str">
        <x:v>commercial</x:v>
      </x:c>
    </x:row>
    <x:row r="619">
      <x:c r="A619" t="str">
        <x:v>https://exdivo.com/comments/exdivo-interstellar-35k-disposable-vape_c59c5d3c?writeComment=true</x:v>
      </x:c>
      <x:c r="B619" t="str">
        <x:v>Reviews - Fcuking Fab - ExDivo INTERSTELLAR 35K Disposable Vape - ExDivo</x:v>
      </x:c>
      <x:c r="C619" t="str">
        <x:v>48</x:v>
      </x:c>
      <x:c r="D619" t="str">
        <x:v>disposable vape fcuking fab</x:v>
      </x:c>
      <x:c r="E619" t="str">
        <x:v>recommended</x:v>
      </x:c>
      <x:c r="F619" t="n">
        <x:v>0</x:v>
      </x:c>
      <x:c r="G619" t="n">
        <x:v>0</x:v>
      </x:c>
      <x:c r="H619" t="str">
        <x:v>48</x:v>
      </x:c>
    </x:row>
    <x:row r="620">
      <x:c r="A620" t="str">
        <x:v>https://exdivo.com/comments/exdivo-interstellar-35k-disposable-vape_c59c5d3c?writeComment=true</x:v>
      </x:c>
      <x:c r="B620" t="str">
        <x:v>Reviews - Fcuking Fab - ExDivo INTERSTELLAR 35K Disposable Vape - ExDivo</x:v>
      </x:c>
      <x:c r="C620" t="str">
        <x:v>48</x:v>
      </x:c>
      <x:c r="D620" t="str">
        <x:v>fcuking fab vape review</x:v>
      </x:c>
      <x:c r="E620" t="str">
        <x:v>recommended</x:v>
      </x:c>
      <x:c r="F620" t="n">
        <x:v>0</x:v>
      </x:c>
      <x:c r="G620" t="n">
        <x:v>0</x:v>
      </x:c>
      <x:c r="H620" t="str">
        <x:v>48</x:v>
      </x:c>
    </x:row>
    <x:row r="621">
      <x:c r="A621" t="str">
        <x:v>https://exdivo.com/comments/exdivo-interstellar-35k-disposable-vape_c59c5d3c?writeComment=true</x:v>
      </x:c>
      <x:c r="B621" t="str">
        <x:v>Reviews - Fcuking Fab - ExDivo INTERSTELLAR 35K Disposable Vape - ExDivo</x:v>
      </x:c>
      <x:c r="C621" t="str">
        <x:v>48</x:v>
      </x:c>
      <x:c r="D621" t="str">
        <x:v>fcuking fab disposable vape review</x:v>
      </x:c>
      <x:c r="E621" t="str">
        <x:v>recommended</x:v>
      </x:c>
      <x:c r="F621" t="n">
        <x:v>0</x:v>
      </x:c>
      <x:c r="G621" t="n">
        <x:v>0</x:v>
      </x:c>
      <x:c r="H621" t="str">
        <x:v>48</x:v>
      </x:c>
    </x:row>
    <x:row r="622">
      <x:c r="A622" t="str">
        <x:v>https://exdivo.com/collections/meifu/products/exdivo-flora-40k-disposable-vape_0a54c488?data_from=collection_detail&amp;spm=collection_detail.313027.collection_detail-11702364.6.</x:v>
      </x:c>
      <x:c r="B622" t="str">
        <x:v>ExDivo FLORA 40K Disposable Vape</x:v>
      </x:c>
      <x:c r="C622" t="str">
        <x:v>40000 puffs</x:v>
      </x:c>
      <x:c r="D622" t="str">
        <x:v>exdivo flora 40k disposable vape</x:v>
      </x:c>
      <x:c r="E622" t="str">
        <x:v>recommended</x:v>
      </x:c>
      <x:c r="F622" t="n">
        <x:v>0</x:v>
      </x:c>
      <x:c r="G622" t="n">
        <x:v>0</x:v>
      </x:c>
      <x:c r="H622" t="str">
        <x:v>48</x:v>
      </x:c>
    </x:row>
    <x:row r="623">
      <x:c r="A623" t="str">
        <x:v>https://exdivo.com/collections/meifu/products/exdivo-flora-40k-disposable-vape_0a54c488?data_from=collection_detail&amp;spm=collection_detail.313027.collection_detail-11702364.6.</x:v>
      </x:c>
      <x:c r="B623" t="str">
        <x:v>ExDivo FLORA 40K Disposable Vape</x:v>
      </x:c>
      <x:c r="C623" t="str">
        <x:v>40000 puffs</x:v>
      </x:c>
      <x:c r="D623" t="str">
        <x:v>exdivo flora 40k flavors</x:v>
      </x:c>
      <x:c r="E623" t="str">
        <x:v>recommended</x:v>
      </x:c>
      <x:c r="F623" t="n">
        <x:v>0</x:v>
      </x:c>
      <x:c r="G623" t="n">
        <x:v>0</x:v>
      </x:c>
      <x:c r="H623" t="str">
        <x:v>48</x:v>
      </x:c>
    </x:row>
    <x:row r="624">
      <x:c r="A624" t="str">
        <x:v>https://exdivo.com/comments/exdivo-kuz-25k-replaceable-pod-vape_b963acca</x:v>
      </x:c>
      <x:c r="B624" t="str">
        <x:v>Reviews - STRAWBERRY WATERMELON - ExDivo KUZ 25K Replaceable Pod Vape - ExDivo</x:v>
      </x:c>
      <x:c r="C624" t="str">
        <x:v>48</x:v>
      </x:c>
      <x:c r="D624" t="str">
        <x:v>fruit vape pod review</x:v>
      </x:c>
      <x:c r="E624" t="str">
        <x:v>recommended</x:v>
      </x:c>
      <x:c r="F624" t="n">
        <x:v>0</x:v>
      </x:c>
      <x:c r="G624" t="n">
        <x:v>0</x:v>
      </x:c>
      <x:c r="H624" t="str">
        <x:v>48</x:v>
      </x:c>
    </x:row>
    <x:row r="625">
      <x:c r="A625" t="str">
        <x:v>https://exdivo.com/collections/misty-rain</x:v>
      </x:c>
      <x:c r="B625" t="str">
        <x:v>KUZ - ExDivo</x:v>
      </x:c>
      <x:c r="C625" t="str">
        <x:v>kuz</x:v>
      </x:c>
      <x:c r="D625" t="str">
        <x:v>exdivo kuz vape kit</x:v>
      </x:c>
      <x:c r="E625" t="str">
        <x:v>recommended</x:v>
      </x:c>
      <x:c r="F625" t="n">
        <x:v>0</x:v>
      </x:c>
      <x:c r="G625" t="n">
        <x:v>0</x:v>
      </x:c>
      <x:c r="H625" t="str">
        <x:v>48</x:v>
      </x:c>
    </x:row>
    <x:row r="626">
      <x:c r="A626" t="str">
        <x:v>https://exdivo.com/collections/misty-rain</x:v>
      </x:c>
      <x:c r="B626" t="str">
        <x:v>KUZ - ExDivo</x:v>
      </x:c>
      <x:c r="C626" t="str">
        <x:v>kuz</x:v>
      </x:c>
      <x:c r="D626" t="str">
        <x:v>exdivo kuz series</x:v>
      </x:c>
      <x:c r="E626" t="str">
        <x:v>recommended</x:v>
      </x:c>
      <x:c r="F626" t="n">
        <x:v>0</x:v>
      </x:c>
      <x:c r="G626" t="n">
        <x:v>0</x:v>
      </x:c>
      <x:c r="H626" t="str">
        <x:v>48</x:v>
      </x:c>
    </x:row>
    <x:row r="627">
      <x:c r="A627" t="str">
        <x:v>https://exdivo.com/collections/misty-rain</x:v>
      </x:c>
      <x:c r="B627" t="str">
        <x:v>KUZ - ExDivo</x:v>
      </x:c>
      <x:c r="C627" t="str">
        <x:v>kuz</x:v>
      </x:c>
      <x:c r="D627" t="str">
        <x:v>exdivo vape technology</x:v>
      </x:c>
      <x:c r="E627" t="str">
        <x:v>recommended</x:v>
      </x:c>
      <x:c r="F627" t="n">
        <x:v>0</x:v>
      </x:c>
      <x:c r="G627" t="n">
        <x:v>0</x:v>
      </x:c>
      <x:c r="H627" t="str">
        <x:v>48</x:v>
      </x:c>
    </x:row>
    <x:row r="628">
      <x:c r="A628" t="str">
        <x:v>https://exdivo.com/collections/misty-rain</x:v>
      </x:c>
      <x:c r="B628" t="str">
        <x:v>KUZ - ExDivo</x:v>
      </x:c>
      <x:c r="C628" t="str">
        <x:v>kuz</x:v>
      </x:c>
      <x:c r="D628" t="str">
        <x:v>exdivo kuz vape</x:v>
      </x:c>
      <x:c r="E628" t="str">
        <x:v>recommended</x:v>
      </x:c>
      <x:c r="F628" t="n">
        <x:v>0</x:v>
      </x:c>
      <x:c r="G628" t="n">
        <x:v>0</x:v>
      </x:c>
      <x:c r="H628" t="str">
        <x:v>48</x:v>
      </x:c>
    </x:row>
    <x:row r="629">
      <x:c r="A629" t="str">
        <x:v>https://exdivo.com/collections/misty-rain</x:v>
      </x:c>
      <x:c r="B629" t="str">
        <x:v>KUZ - ExDivo</x:v>
      </x:c>
      <x:c r="C629" t="str">
        <x:v>kuz</x:v>
      </x:c>
      <x:c r="D629" t="str">
        <x:v>exdivo kuz vape reviews</x:v>
      </x:c>
      <x:c r="E629" t="str">
        <x:v>recommended</x:v>
      </x:c>
      <x:c r="F629" t="n">
        <x:v>0</x:v>
      </x:c>
      <x:c r="G629" t="n">
        <x:v>0</x:v>
      </x:c>
      <x:c r="H629" t="str">
        <x:v>48</x:v>
      </x:c>
    </x:row>
    <x:row r="630">
      <x:c r="A630" t="str">
        <x:v>https://exdivo.com/collections/misty-rain</x:v>
      </x:c>
      <x:c r="B630" t="str">
        <x:v>KUZ - ExDivo</x:v>
      </x:c>
      <x:c r="C630" t="str">
        <x:v>kuz</x:v>
      </x:c>
      <x:c r="D630" t="str">
        <x:v>exdivo kuz collection</x:v>
      </x:c>
      <x:c r="E630" t="str">
        <x:v>recommended</x:v>
      </x:c>
      <x:c r="F630" t="n">
        <x:v>0</x:v>
      </x:c>
      <x:c r="G630" t="n">
        <x:v>0</x:v>
      </x:c>
      <x:c r="H630" t="str">
        <x:v>48</x:v>
      </x:c>
    </x:row>
    <x:row r="631">
      <x:c r="A631" t="str">
        <x:v>https://exdivo.com/comments/exdivo-flora-40k-disposable-vape_d40647e8?writeComment=true</x:v>
      </x:c>
      <x:c r="B631" t="str">
        <x:v>Reviews - WATERMELON ICE - ExDivo FLORA 40K Disposable Vape - ExDivo</x:v>
      </x:c>
      <x:c r="C631" t="str">
        <x:v>48</x:v>
      </x:c>
      <x:c r="D631" t="str">
        <x:v>fruit menthol vape review</x:v>
      </x:c>
      <x:c r="E631" t="str">
        <x:v>recommended</x:v>
      </x:c>
      <x:c r="F631" t="n">
        <x:v>0</x:v>
      </x:c>
      <x:c r="G631" t="n">
        <x:v>0</x:v>
      </x:c>
      <x:c r="H631" t="str">
        <x:v>48</x:v>
      </x:c>
    </x:row>
    <x:row r="632">
      <x:c r="A632" t="str">
        <x:v>https://exdivo.com/comments/exdivo-flora-40k-disposable-vape_d40647e8?writeComment=true</x:v>
      </x:c>
      <x:c r="B632" t="str">
        <x:v>Reviews - WATERMELON ICE - ExDivo FLORA 40K Disposable Vape - ExDivo</x:v>
      </x:c>
      <x:c r="C632" t="str">
        <x:v>48</x:v>
      </x:c>
      <x:c r="D632" t="str">
        <x:v>menthol vape flavor review</x:v>
      </x:c>
      <x:c r="E632" t="str">
        <x:v>recommended</x:v>
      </x:c>
      <x:c r="F632" t="n">
        <x:v>0</x:v>
      </x:c>
      <x:c r="G632" t="n">
        <x:v>0</x:v>
      </x:c>
      <x:c r="H632" t="str">
        <x:v>48</x:v>
      </x:c>
    </x:row>
    <x:row r="633">
      <x:c r="A633" t="str">
        <x:v>https://exdivo.com/collections/meifu/products/luxury-women-s-vape-18ml-dual-mesh-40000-puffs_151a2c79?data_from=collection_detail&amp;spm=collection_detail.313027.collection_detail-11702364.5.</x:v>
      </x:c>
      <x:c r="B633" t="str">
        <x:v>WHITE GUMMY ICE - ExDivo FLORA 40K Disposable Vape - ExDivo</x:v>
      </x:c>
      <x:c r="C633" t="str">
        <x:v>white gummy ice - exdivo flora 40k disposable vape</x:v>
      </x:c>
      <x:c r="D633" t="str">
        <x:v>exdivo flora 40k white gummy ice</x:v>
      </x:c>
      <x:c r="E633" t="str">
        <x:v>recommended</x:v>
      </x:c>
      <x:c r="F633" t="n">
        <x:v>0</x:v>
      </x:c>
      <x:c r="G633" t="n">
        <x:v>0</x:v>
      </x:c>
      <x:c r="H633" t="str">
        <x:v>48</x:v>
      </x:c>
    </x:row>
    <x:row r="634">
      <x:c r="A634" t="str">
        <x:v>https://exdivo.com/collections/meifu/products/luxury-women-s-vape-18ml-dual-mesh-40000-puffs_151a2c79?data_from=collection_detail&amp;spm=collection_detail.313027.collection_detail-11702364.5.</x:v>
      </x:c>
      <x:c r="B634" t="str">
        <x:v>WHITE GUMMY ICE - ExDivo FLORA 40K Disposable Vape - ExDivo</x:v>
      </x:c>
      <x:c r="C634" t="str">
        <x:v>white gummy ice - exdivo flora 40k disposable vape</x:v>
      </x:c>
      <x:c r="D634" t="str">
        <x:v>exdivo flora 40k white gummy ice review</x:v>
      </x:c>
      <x:c r="E634" t="str">
        <x:v>recommended</x:v>
      </x:c>
      <x:c r="F634" t="n">
        <x:v>0</x:v>
      </x:c>
      <x:c r="G634" t="n">
        <x:v>0</x:v>
      </x:c>
      <x:c r="H634" t="str">
        <x:v>48</x:v>
      </x:c>
    </x:row>
    <x:row r="635">
      <x:c r="A635" t="str">
        <x:v>https://exdivo.com/comments/exdivo-interstellar-35k-disposable-vape_2c06745d</x:v>
      </x:c>
      <x:c r="B635" t="str">
        <x:v>Reviews - Mexican Mango - ExDivo INTERSTELLAR 35K Disposable Vape - ExDivo</x:v>
      </x:c>
      <x:c r="C635" t="str">
        <x:v>48</x:v>
      </x:c>
      <x:c r="D635" t="str">
        <x:v>mexican mango disposable vape review</x:v>
      </x:c>
      <x:c r="E635" t="str">
        <x:v>recommended</x:v>
      </x:c>
      <x:c r="F635" t="n">
        <x:v>0</x:v>
      </x:c>
      <x:c r="G635" t="n">
        <x:v>0</x:v>
      </x:c>
      <x:c r="H635" t="str">
        <x:v>48</x:v>
      </x:c>
    </x:row>
    <x:row r="636">
      <x:c r="A636" t="str">
        <x:v>https://exdivo.com/comments/exdivo-interstellar-35k-disposable-vape_2c06745d</x:v>
      </x:c>
      <x:c r="B636" t="str">
        <x:v>Reviews - Mexican Mango - ExDivo INTERSTELLAR 35K Disposable Vape - ExDivo</x:v>
      </x:c>
      <x:c r="C636" t="str">
        <x:v>48</x:v>
      </x:c>
      <x:c r="D636" t="str">
        <x:v>mexican mango vape review</x:v>
      </x:c>
      <x:c r="E636" t="str">
        <x:v>recommended</x:v>
      </x:c>
      <x:c r="F636" t="n">
        <x:v>0</x:v>
      </x:c>
      <x:c r="G636" t="n">
        <x:v>0</x:v>
      </x:c>
      <x:c r="H636" t="str">
        <x:v>48</x:v>
      </x:c>
    </x:row>
    <x:row r="637">
      <x:c r="A637" t="str">
        <x:v>https://exdivo.com/comments/exdivo-flora-40k-disposable-vape_ce44b467</x:v>
      </x:c>
      <x:c r="B637" t="str">
        <x:v>Reviews - BLUE RAZZ ICE - ExDivo FLORA 40K Disposable Vape - ExDivo</x:v>
      </x:c>
      <x:c r="C637" t="str">
        <x:v>48</x:v>
      </x:c>
      <x:c r="D637" t="str">
        <x:v>blue razz ice disposable vape review</x:v>
      </x:c>
      <x:c r="E637" t="str">
        <x:v>recommended</x:v>
      </x:c>
      <x:c r="F637" t="n">
        <x:v>0</x:v>
      </x:c>
      <x:c r="G637" t="n">
        <x:v>0</x:v>
      </x:c>
      <x:c r="H637" t="str">
        <x:v>48</x:v>
      </x:c>
    </x:row>
    <x:row r="638">
      <x:c r="A638" t="str">
        <x:v>https://exdivo.com/comments/exdivo-flora-40k-disposable-vape_ce44b467</x:v>
      </x:c>
      <x:c r="B638" t="str">
        <x:v>Reviews - BLUE RAZZ ICE - ExDivo FLORA 40K Disposable Vape - ExDivo</x:v>
      </x:c>
      <x:c r="C638" t="str">
        <x:v>48</x:v>
      </x:c>
      <x:c r="D638" t="str">
        <x:v>blue razz ice vape review</x:v>
      </x:c>
      <x:c r="E638" t="str">
        <x:v>recommended</x:v>
      </x:c>
      <x:c r="F638" t="n">
        <x:v>0</x:v>
      </x:c>
      <x:c r="G638" t="n">
        <x:v>0</x:v>
      </x:c>
      <x:c r="H638" t="str">
        <x:v>48</x:v>
      </x:c>
    </x:row>
    <x:row r="639">
      <x:c r="A639" t="str">
        <x:v>https://exdivo.com/comments/exdivo-interstellar-35k-disposable-vape_c59c5d3c</x:v>
      </x:c>
      <x:c r="B639" t="str">
        <x:v>Reviews - Fcuking Fab - ExDivo INTERSTELLAR 35K Disposable Vape - ExDivo</x:v>
      </x:c>
      <x:c r="C639" t="str">
        <x:v>48</x:v>
      </x:c>
      <x:c r="D639" t="str">
        <x:v>exdivo interstellar 35k fcuking fab review</x:v>
      </x:c>
      <x:c r="E639" t="str">
        <x:v>recommended</x:v>
      </x:c>
      <x:c r="F639" t="n">
        <x:v>0</x:v>
      </x:c>
      <x:c r="G639" t="n">
        <x:v>0</x:v>
      </x:c>
      <x:c r="H639" t="str">
        <x:v>48</x:v>
      </x:c>
    </x:row>
    <x:row r="640">
      <x:c r="A640" t="str">
        <x:v>https://exdivo.com/comments/exdivo-interstellar-35k-disposable-vape_c59c5d3c</x:v>
      </x:c>
      <x:c r="B640" t="str">
        <x:v>Reviews - Fcuking Fab - ExDivo INTERSTELLAR 35K Disposable Vape - ExDivo</x:v>
      </x:c>
      <x:c r="C640" t="str">
        <x:v>48</x:v>
      </x:c>
      <x:c r="D640" t="str">
        <x:v>exdivo interstellar vape review</x:v>
      </x:c>
      <x:c r="E640" t="str">
        <x:v>recommended</x:v>
      </x:c>
      <x:c r="F640" t="n">
        <x:v>0</x:v>
      </x:c>
      <x:c r="G640" t="n">
        <x:v>0</x:v>
      </x:c>
      <x:c r="H640" t="str">
        <x:v>48</x:v>
      </x:c>
    </x:row>
    <x:row r="641">
      <x:c r="A641" t="str">
        <x:v>https://exdivo.com/comments/exdivo-interstellar-35k-disposable-vape_c59c5d3c</x:v>
      </x:c>
      <x:c r="B641" t="str">
        <x:v>Reviews - Fcuking Fab - ExDivo INTERSTELLAR 35K Disposable Vape - ExDivo</x:v>
      </x:c>
      <x:c r="C641" t="str">
        <x:v>48</x:v>
      </x:c>
      <x:c r="D641" t="str">
        <x:v>exdivo interstellar flavor review</x:v>
      </x:c>
      <x:c r="E641" t="str">
        <x:v>recommended</x:v>
      </x:c>
      <x:c r="F641" t="n">
        <x:v>0</x:v>
      </x:c>
      <x:c r="G641" t="n">
        <x:v>0</x:v>
      </x:c>
      <x:c r="H641" t="str">
        <x:v>48</x:v>
      </x:c>
    </x:row>
    <x:row r="642">
      <x:c r="A642" t="str">
        <x:v>https://exdivo.com/collections/interstellar/products/exdivo-interstellar-35k-disposable-vape_103ccdd9?data_from=index_index&amp;spm=index_index..block_collection_slides-11702936.5.</x:v>
      </x:c>
      <x:c r="B642" t="str">
        <x:v>ExDivo INTERSTELLAR 35K Disposable Vape</x:v>
      </x:c>
      <x:c r="C642" t="str">
        <x:v>35000 puffs</x:v>
      </x:c>
      <x:c r="D642" t="str">
        <x:v>exdivo 35k vape</x:v>
      </x:c>
      <x:c r="E642" t="str">
        <x:v>recommended</x:v>
      </x:c>
      <x:c r="F642" t="n">
        <x:v>0</x:v>
      </x:c>
      <x:c r="G642" t="n">
        <x:v>0</x:v>
      </x:c>
      <x:c r="H642" t="str">
        <x:v>48</x:v>
      </x:c>
    </x:row>
    <x:row r="643">
      <x:c r="A643" t="str">
        <x:v>https://exdivo.com/collections/all?page=4</x:v>
      </x:c>
      <x:c r="B643" t="str">
        <x:v>All Products - ExDivo</x:v>
      </x:c>
      <x:c r="C643" t="str">
        <x:v>all products</x:v>
      </x:c>
      <x:c r="D643" t="str">
        <x:v>all exdivo vapes</x:v>
      </x:c>
      <x:c r="E643" t="str">
        <x:v>recommended</x:v>
      </x:c>
      <x:c r="F643" t="n">
        <x:v>0</x:v>
      </x:c>
      <x:c r="G643" t="n">
        <x:v>0</x:v>
      </x:c>
      <x:c r="H643" t="str">
        <x:v>48</x:v>
      </x:c>
    </x:row>
    <x:row r="644">
      <x:c r="A644" t="str">
        <x:v>https://exdivo.com/collections/interstellar</x:v>
      </x:c>
      <x:c r="B644" t="str">
        <x:v>Exdivo collections INTERSTELLAR</x:v>
      </x:c>
      <x:c r="C644" t="str">
        <x:v>interstellar</x:v>
      </x:c>
      <x:c r="D644" t="str">
        <x:v>exdivo interstellar collection</x:v>
      </x:c>
      <x:c r="E644" t="str">
        <x:v>recommended</x:v>
      </x:c>
      <x:c r="F644" t="n">
        <x:v>0</x:v>
      </x:c>
      <x:c r="G644" t="n">
        <x:v>0</x:v>
      </x:c>
      <x:c r="H644" t="str">
        <x:v>48</x:v>
      </x:c>
    </x:row>
    <x:row r="645">
      <x:c r="A645" t="str">
        <x:v>https://exdivo.com/collections/interstellar</x:v>
      </x:c>
      <x:c r="B645" t="str">
        <x:v>Exdivo collections INTERSTELLAR</x:v>
      </x:c>
      <x:c r="C645" t="str">
        <x:v>interstellar</x:v>
      </x:c>
      <x:c r="D645" t="str">
        <x:v>exdivo interstellar flavors</x:v>
      </x:c>
      <x:c r="E645" t="str">
        <x:v>recommended</x:v>
      </x:c>
      <x:c r="F645" t="n">
        <x:v>0</x:v>
      </x:c>
      <x:c r="G645" t="n">
        <x:v>0</x:v>
      </x:c>
      <x:c r="H645" t="str">
        <x:v>48</x:v>
      </x:c>
    </x:row>
    <x:row r="646">
      <x:c r="A646" t="str">
        <x:v>https://exdivo.com/comments/exdivo-flora-40k-disposable-vape_1361e485?writeComment=true</x:v>
      </x:c>
      <x:c r="B646" t="str">
        <x:v>Reviews - FUCKING FAB - ExDivo FLORA 40K Disposable Vape - ExDivo</x:v>
      </x:c>
      <x:c r="C646" t="str">
        <x:v>48</x:v>
      </x:c>
      <x:c r="D646" t="str">
        <x:v>fucking fab disposable vape review</x:v>
      </x:c>
      <x:c r="E646" t="str">
        <x:v>recommended</x:v>
      </x:c>
      <x:c r="F646" t="n">
        <x:v>0</x:v>
      </x:c>
      <x:c r="G646" t="n">
        <x:v>0</x:v>
      </x:c>
      <x:c r="H646" t="str">
        <x:v>48</x:v>
      </x:c>
    </x:row>
    <x:row r="647">
      <x:c r="A647" t="str">
        <x:v>https://exdivo.com/collections/misty-rain?page=1</x:v>
      </x:c>
      <x:c r="B647" t="str">
        <x:v>KUZ - ExDivo</x:v>
      </x:c>
      <x:c r="C647" t="str">
        <x:v>kuz</x:v>
      </x:c>
      <x:c r="D647" t="str">
        <x:v>kuz vape</x:v>
      </x:c>
      <x:c r="E647" t="str">
        <x:v>recommended</x:v>
      </x:c>
      <x:c r="F647" t="n">
        <x:v>390</x:v>
      </x:c>
      <x:c r="G647" t="n">
        <x:v>2</x:v>
      </x:c>
      <x:c r="H647" t="str">
        <x:v>informational, commercial</x:v>
      </x:c>
    </x:row>
    <x:row r="648">
      <x:c r="A648" t="str">
        <x:v>https://exdivo.com/collections/misty-rain?page=1</x:v>
      </x:c>
      <x:c r="B648" t="str">
        <x:v>KUZ - ExDivo</x:v>
      </x:c>
      <x:c r="C648" t="str">
        <x:v>kuz</x:v>
      </x:c>
      <x:c r="D648" t="str">
        <x:v>kuz vapes</x:v>
      </x:c>
      <x:c r="E648" t="str">
        <x:v>recommended</x:v>
      </x:c>
      <x:c r="F648" t="n">
        <x:v>70</x:v>
      </x:c>
      <x:c r="G648" t="n">
        <x:v>5</x:v>
      </x:c>
      <x:c r="H648" t="str">
        <x:v>informational</x:v>
      </x:c>
    </x:row>
    <x:row r="649">
      <x:c r="A649" t="str">
        <x:v>https://exdivo.com/collections/misty-rain?page=1</x:v>
      </x:c>
      <x:c r="B649" t="str">
        <x:v>KUZ - ExDivo</x:v>
      </x:c>
      <x:c r="C649" t="str">
        <x:v>kuz</x:v>
      </x:c>
      <x:c r="D649" t="str">
        <x:v>kuz disposable vape</x:v>
      </x:c>
      <x:c r="E649" t="str">
        <x:v>recommended</x:v>
      </x:c>
      <x:c r="F649" t="n">
        <x:v>0</x:v>
      </x:c>
      <x:c r="G649" t="n">
        <x:v>0</x:v>
      </x:c>
      <x:c r="H649" t="str">
        <x:v>48</x:v>
      </x:c>
    </x:row>
    <x:row r="650">
      <x:c r="A650" t="str">
        <x:v>https://exdivo.com/comments/exdivo-interstellar-35k-disposable-vape_a50f7cf9</x:v>
      </x:c>
      <x:c r="B650" t="str">
        <x:v>Reviews - Strawberry Mango - ExDivo INTERSTELLAR 35K Disposable Vape - ExDivo</x:v>
      </x:c>
      <x:c r="C650" t="str">
        <x:v>48</x:v>
      </x:c>
      <x:c r="D650" t="str">
        <x:v>exdivo interstellar strawberry mango review</x:v>
      </x:c>
      <x:c r="E650" t="str">
        <x:v>recommended</x:v>
      </x:c>
      <x:c r="F650" t="n">
        <x:v>0</x:v>
      </x:c>
      <x:c r="G650" t="n">
        <x:v>0</x:v>
      </x:c>
      <x:c r="H650" t="str">
        <x:v>48</x:v>
      </x:c>
    </x:row>
    <x:row r="651">
      <x:c r="A651" t="str">
        <x:v>https://exdivo.com/comments/exdivo-bright-mirror-35k-replaceable-vape-kit_98e835ff?writeComment=true</x:v>
      </x:c>
      <x:c r="B651" t="str">
        <x:v>Reviews - MIAMI MINT - ExDivo BRIGHT MIRROR 35K Replaceable VAPE kit - ExDivo</x:v>
      </x:c>
      <x:c r="C651" t="str">
        <x:v>48</x:v>
      </x:c>
      <x:c r="D651" t="str">
        <x:v>exdivo 35k vape kit review</x:v>
      </x:c>
      <x:c r="E651" t="str">
        <x:v>recommended</x:v>
      </x:c>
      <x:c r="F651" t="n">
        <x:v>0</x:v>
      </x:c>
      <x:c r="G651" t="n">
        <x:v>0</x:v>
      </x:c>
      <x:c r="H651" t="str">
        <x:v>48</x:v>
      </x:c>
    </x:row>
    <x:row r="652">
      <x:c r="A652" t="str">
        <x:v>https://exdivo.com/products/exdivo-space-45k-disposable-vape_5bb6d08c?data_from=collection_detail&amp;spm=collection_detail..collection_detail-11702364.4.</x:v>
      </x:c>
      <x:c r="B652" t="str">
        <x:v>ExDivo SPACE 45K Disposable Vape</x:v>
      </x:c>
      <x:c r="C652" t="str">
        <x:v>45000 puffs</x:v>
      </x:c>
      <x:c r="D652" t="str">
        <x:v>exdivo 45k vape</x:v>
      </x:c>
      <x:c r="E652" t="str">
        <x:v>recommended</x:v>
      </x:c>
      <x:c r="F652" t="n">
        <x:v>0</x:v>
      </x:c>
      <x:c r="G652" t="n">
        <x:v>0</x:v>
      </x:c>
      <x:c r="H652" t="str">
        <x:v>48</x:v>
      </x:c>
    </x:row>
    <x:row r="653">
      <x:c r="A653" t="str">
        <x:v>https://exdivo.com/products/exdivo-space-45k-disposable-vape_5bb6d08c?data_from=collection_detail&amp;spm=collection_detail..collection_detail-11702364.4.</x:v>
      </x:c>
      <x:c r="B653" t="str">
        <x:v>ExDivo SPACE 45K Disposable Vape</x:v>
      </x:c>
      <x:c r="C653" t="str">
        <x:v>45000 puffs</x:v>
      </x:c>
      <x:c r="D653" t="str">
        <x:v>space 45k vape</x:v>
      </x:c>
      <x:c r="E653" t="str">
        <x:v>recommended</x:v>
      </x:c>
      <x:c r="F653" t="n">
        <x:v>0</x:v>
      </x:c>
      <x:c r="G653" t="n">
        <x:v>0</x:v>
      </x:c>
      <x:c r="H653" t="str">
        <x:v>48</x:v>
      </x:c>
    </x:row>
    <x:row r="654">
      <x:c r="A654" t="str">
        <x:v>https://exdivo.com/products/exdivo-space-45k-disposable-vape_5bb6d08c?data_from=collection_detail&amp;spm=collection_detail..collection_detail-11702364.4.</x:v>
      </x:c>
      <x:c r="B654" t="str">
        <x:v>ExDivo SPACE 45K Disposable Vape</x:v>
      </x:c>
      <x:c r="C654" t="str">
        <x:v>45000 puffs</x:v>
      </x:c>
      <x:c r="D654" t="str">
        <x:v>exdivo space 45k disposable</x:v>
      </x:c>
      <x:c r="E654" t="str">
        <x:v>recommended</x:v>
      </x:c>
      <x:c r="F654" t="n">
        <x:v>0</x:v>
      </x:c>
      <x:c r="G654" t="n">
        <x:v>0</x:v>
      </x:c>
      <x:c r="H654" t="str">
        <x:v>48</x:v>
      </x:c>
    </x:row>
    <x:row r="655">
      <x:c r="A655" t="str">
        <x:v>https://exdivo.com/products/exdivo-flora-40k-disposable-vape_1361e485</x:v>
      </x:c>
      <x:c r="B655" t="str">
        <x:v>ExDivo FLORA 40K Disposable Vape</x:v>
      </x:c>
      <x:c r="C655" t="str">
        <x:v>40000 puffs</x:v>
      </x:c>
      <x:c r="D655" t="str">
        <x:v>exdivo 40k vape</x:v>
      </x:c>
      <x:c r="E655" t="str">
        <x:v>recommended</x:v>
      </x:c>
      <x:c r="F655" t="n">
        <x:v>0</x:v>
      </x:c>
      <x:c r="G655" t="n">
        <x:v>0</x:v>
      </x:c>
      <x:c r="H655" t="str">
        <x:v>48</x:v>
      </x:c>
    </x:row>
    <x:row r="656">
      <x:c r="A656" t="str">
        <x:v>https://exdivo.com/products/exdivo-flora-40k-disposable-vape_1361e485</x:v>
      </x:c>
      <x:c r="B656" t="str">
        <x:v>ExDivo FLORA 40K Disposable Vape</x:v>
      </x:c>
      <x:c r="C656" t="str">
        <x:v>40000 puffs</x:v>
      </x:c>
      <x:c r="D656" t="str">
        <x:v>exdivo 40k disposable</x:v>
      </x:c>
      <x:c r="E656" t="str">
        <x:v>recommended</x:v>
      </x:c>
      <x:c r="F656" t="n">
        <x:v>0</x:v>
      </x:c>
      <x:c r="G656" t="n">
        <x:v>0</x:v>
      </x:c>
      <x:c r="H656" t="str">
        <x:v>48</x:v>
      </x:c>
    </x:row>
    <x:row r="657">
      <x:c r="A657" t="str">
        <x:v>https://exdivo.com/products/exdivo-flora-40k-disposable-vape_1361e485</x:v>
      </x:c>
      <x:c r="B657" t="str">
        <x:v>ExDivo FLORA 40K Disposable Vape</x:v>
      </x:c>
      <x:c r="C657" t="str">
        <x:v>40000 puffs</x:v>
      </x:c>
      <x:c r="D657" t="str">
        <x:v>exdivo 40k puffs</x:v>
      </x:c>
      <x:c r="E657" t="str">
        <x:v>recommended</x:v>
      </x:c>
      <x:c r="F657" t="n">
        <x:v>0</x:v>
      </x:c>
      <x:c r="G657" t="n">
        <x:v>0</x:v>
      </x:c>
      <x:c r="H657" t="str">
        <x:v>48</x:v>
      </x:c>
    </x:row>
    <x:row r="658">
      <x:c r="A658" t="str">
        <x:v>https://exdivo.com/products/exdivo-flora-40k-disposable-vape_1361e485</x:v>
      </x:c>
      <x:c r="B658" t="str">
        <x:v>ExDivo FLORA 40K Disposable Vape</x:v>
      </x:c>
      <x:c r="C658" t="str">
        <x:v>40000 puffs</x:v>
      </x:c>
      <x:c r="D658" t="str">
        <x:v>exdivo flora 40k disposable</x:v>
      </x:c>
      <x:c r="E658" t="str">
        <x:v>recommended</x:v>
      </x:c>
      <x:c r="F658" t="n">
        <x:v>0</x:v>
      </x:c>
      <x:c r="G658" t="n">
        <x:v>0</x:v>
      </x:c>
      <x:c r="H658" t="str">
        <x:v>48</x:v>
      </x:c>
    </x:row>
    <x:row r="659">
      <x:c r="A659" t="str">
        <x:v>https://exdivo.com/products/exdivo-flora-40k-disposable-vape_1361e485</x:v>
      </x:c>
      <x:c r="B659" t="str">
        <x:v>ExDivo FLORA 40K Disposable Vape</x:v>
      </x:c>
      <x:c r="C659" t="str">
        <x:v>40000 puffs</x:v>
      </x:c>
      <x:c r="D659" t="str">
        <x:v>exdivo 45k disposable</x:v>
      </x:c>
      <x:c r="E659" t="str">
        <x:v>recommended</x:v>
      </x:c>
      <x:c r="F659" t="n">
        <x:v>0</x:v>
      </x:c>
      <x:c r="G659" t="n">
        <x:v>0</x:v>
      </x:c>
      <x:c r="H659" t="str">
        <x:v>48</x:v>
      </x:c>
    </x:row>
    <x:row r="660">
      <x:c r="A660" t="str">
        <x:v>https://exdivo.com/comments/exdivo-kuz-25k-replaceable-pod-vape_8c92b717</x:v>
      </x:c>
      <x:c r="B660" t="str">
        <x:v>Reviews - FRESH MINT - ExDivo KUZ 25K Replaceable Pod Vape - ExDivo</x:v>
      </x:c>
      <x:c r="C660" t="str">
        <x:v>48</x:v>
      </x:c>
      <x:c r="D660" t="str">
        <x:v>mint pod vape review</x:v>
      </x:c>
      <x:c r="E660" t="str">
        <x:v>recommended</x:v>
      </x:c>
      <x:c r="F660" t="n">
        <x:v>0</x:v>
      </x:c>
      <x:c r="G660" t="n">
        <x:v>0</x:v>
      </x:c>
      <x:c r="H660" t="str">
        <x:v>48</x:v>
      </x:c>
    </x:row>
    <x:row r="661">
      <x:c r="A661" t="str">
        <x:v>https://exdivo.com/comments/exdivo-kuz-25k-replaceable-pod-vape_8c92b717</x:v>
      </x:c>
      <x:c r="B661" t="str">
        <x:v>Reviews - FRESH MINT - ExDivo KUZ 25K Replaceable Pod Vape - ExDivo</x:v>
      </x:c>
      <x:c r="C661" t="str">
        <x:v>48</x:v>
      </x:c>
      <x:c r="D661" t="str">
        <x:v>replaceable pod vape review</x:v>
      </x:c>
      <x:c r="E661" t="str">
        <x:v>recommended</x:v>
      </x:c>
      <x:c r="F661" t="n">
        <x:v>0</x:v>
      </x:c>
      <x:c r="G661" t="n">
        <x:v>0</x:v>
      </x:c>
      <x:c r="H661" t="str">
        <x:v>48</x:v>
      </x:c>
    </x:row>
    <x:row r="662">
      <x:c r="A662" t="str">
        <x:v>https://exdivo.com/comments/exdivo-flora-40k-disposable-vape_ce44b467?writeComment=true</x:v>
      </x:c>
      <x:c r="B662" t="str">
        <x:v>Reviews - BLUE RAZZ ICE - ExDivo FLORA 40K Disposable Vape - ExDivo</x:v>
      </x:c>
      <x:c r="C662" t="str">
        <x:v>48</x:v>
      </x:c>
      <x:c r="D662" t="str">
        <x:v>exdivo flora blue razz ice review</x:v>
      </x:c>
      <x:c r="E662" t="str">
        <x:v>recommended</x:v>
      </x:c>
      <x:c r="F662" t="n">
        <x:v>0</x:v>
      </x:c>
      <x:c r="G662" t="n">
        <x:v>0</x:v>
      </x:c>
      <x:c r="H662" t="str">
        <x:v>48</x:v>
      </x:c>
    </x:row>
    <x:row r="663">
      <x:c r="A663" t="str">
        <x:v>https://exdivo.com/comments/exdivo-flora-40k-disposable-vape_ce44b467?writeComment=true</x:v>
      </x:c>
      <x:c r="B663" t="str">
        <x:v>Reviews - BLUE RAZZ ICE - ExDivo FLORA 40K Disposable Vape - ExDivo</x:v>
      </x:c>
      <x:c r="C663" t="str">
        <x:v>48</x:v>
      </x:c>
      <x:c r="D663" t="str">
        <x:v>exdivo flora 40k blue razz ice review</x:v>
      </x:c>
      <x:c r="E663" t="str">
        <x:v>recommended</x:v>
      </x:c>
      <x:c r="F663" t="n">
        <x:v>0</x:v>
      </x:c>
      <x:c r="G663" t="n">
        <x:v>0</x:v>
      </x:c>
      <x:c r="H663" t="str">
        <x:v>48</x:v>
      </x:c>
    </x:row>
    <x:row r="664">
      <x:c r="A664" t="str">
        <x:v>https://exdivo.com/products/exdivo-kuz-25k-replaceable-pod-vape_11a813e7?data_from=index_index&amp;spm=</x:v>
      </x:c>
      <x:c r="B664" t="str">
        <x:v>ExDivo KUZ 25K Replaceable Pod Vape</x:v>
      </x:c>
      <x:c r="C664" t="str">
        <x:v>25000 puffs</x:v>
      </x:c>
      <x:c r="D664" t="str">
        <x:v>exdivo 25k pod vape</x:v>
      </x:c>
      <x:c r="E664" t="str">
        <x:v>recommended</x:v>
      </x:c>
      <x:c r="F664" t="n">
        <x:v>0</x:v>
      </x:c>
      <x:c r="G664" t="n">
        <x:v>0</x:v>
      </x:c>
      <x:c r="H664" t="str">
        <x:v>48</x:v>
      </x:c>
    </x:row>
    <x:row r="665">
      <x:c r="A665" t="str">
        <x:v>https://exdivo.com/products/exdivo-kuz-25k-replaceable-pod-vape_11a813e7?data_from=index_index&amp;spm=</x:v>
      </x:c>
      <x:c r="B665" t="str">
        <x:v>ExDivo KUZ 25K Replaceable Pod Vape</x:v>
      </x:c>
      <x:c r="C665" t="str">
        <x:v>25000 puffs</x:v>
      </x:c>
      <x:c r="D665" t="str">
        <x:v>exdivo kuz 25k vape</x:v>
      </x:c>
      <x:c r="E665" t="str">
        <x:v>recommended</x:v>
      </x:c>
      <x:c r="F665" t="n">
        <x:v>0</x:v>
      </x:c>
      <x:c r="G665" t="n">
        <x:v>0</x:v>
      </x:c>
      <x:c r="H665" t="str">
        <x:v>48</x:v>
      </x:c>
    </x:row>
    <x:row r="666">
      <x:c r="A666" t="str">
        <x:v>https://exdivo.com/products/exdivo-kuz-25k-replaceable-pod-vape_11a813e7?data_from=index_index&amp;spm=</x:v>
      </x:c>
      <x:c r="B666" t="str">
        <x:v>ExDivo KUZ 25K Replaceable Pod Vape</x:v>
      </x:c>
      <x:c r="C666" t="str">
        <x:v>25000 puffs</x:v>
      </x:c>
      <x:c r="D666" t="str">
        <x:v>exdivo kuz 25k</x:v>
      </x:c>
      <x:c r="E666" t="str">
        <x:v>recommended</x:v>
      </x:c>
      <x:c r="F666" t="n">
        <x:v>0</x:v>
      </x:c>
      <x:c r="G666" t="n">
        <x:v>0</x:v>
      </x:c>
      <x:c r="H666" t="str">
        <x:v>48</x:v>
      </x:c>
    </x:row>
    <x:row r="667">
      <x:c r="A667" t="str">
        <x:v>https://exdivo.com/products/exdivo-kuz-25k-replaceable-pod-vape_11a813e7?data_from=index_index&amp;spm=</x:v>
      </x:c>
      <x:c r="B667" t="str">
        <x:v>ExDivo KUZ 25K Replaceable Pod Vape</x:v>
      </x:c>
      <x:c r="C667" t="str">
        <x:v>25000 puffs</x:v>
      </x:c>
      <x:c r="D667" t="str">
        <x:v>exdivo kuz 25k pod system</x:v>
      </x:c>
      <x:c r="E667" t="str">
        <x:v>recommended</x:v>
      </x:c>
      <x:c r="F667" t="n">
        <x:v>0</x:v>
      </x:c>
      <x:c r="G667" t="n">
        <x:v>0</x:v>
      </x:c>
      <x:c r="H667" t="str">
        <x:v>48</x:v>
      </x:c>
    </x:row>
    <x:row r="668">
      <x:c r="A668" t="str">
        <x:v>https://exdivo.com/products/exdivo-kuz-25k-replaceable-pod-vape_11a813e7?data_from=index_index&amp;spm=</x:v>
      </x:c>
      <x:c r="B668" t="str">
        <x:v>ExDivo KUZ 25K Replaceable Pod Vape</x:v>
      </x:c>
      <x:c r="C668" t="str">
        <x:v>25000 puffs</x:v>
      </x:c>
      <x:c r="D668" t="str">
        <x:v>exdivo kuz 25k pod flavors</x:v>
      </x:c>
      <x:c r="E668" t="str">
        <x:v>recommended</x:v>
      </x:c>
      <x:c r="F668" t="n">
        <x:v>0</x:v>
      </x:c>
      <x:c r="G668" t="n">
        <x:v>0</x:v>
      </x:c>
      <x:c r="H668" t="str">
        <x:v>48</x:v>
      </x:c>
    </x:row>
    <x:row r="669">
      <x:c r="A669" t="str">
        <x:v>https://exdivo.com/products/exdivo-kuz-25k-replaceable-pod-vape_11a813e7?data_from=index_index&amp;spm=</x:v>
      </x:c>
      <x:c r="B669" t="str">
        <x:v>ExDivo KUZ 25K Replaceable Pod Vape</x:v>
      </x:c>
      <x:c r="C669" t="str">
        <x:v>25000 puffs</x:v>
      </x:c>
      <x:c r="D669" t="str">
        <x:v>exdivo kuz 25k flavor review</x:v>
      </x:c>
      <x:c r="E669" t="str">
        <x:v>recommended</x:v>
      </x:c>
      <x:c r="F669" t="n">
        <x:v>0</x:v>
      </x:c>
      <x:c r="G669" t="n">
        <x:v>0</x:v>
      </x:c>
      <x:c r="H669" t="str">
        <x:v>48</x:v>
      </x:c>
    </x:row>
    <x:row r="670">
      <x:c r="A670" t="str">
        <x:v>https://exdivo.com/products/exdivo-kuz-25k-replaceable-pod-vape_11a813e7?data_from=index_index&amp;spm=</x:v>
      </x:c>
      <x:c r="B670" t="str">
        <x:v>ExDivo KUZ 25K Replaceable Pod Vape</x:v>
      </x:c>
      <x:c r="C670" t="str">
        <x:v>25000 puffs</x:v>
      </x:c>
      <x:c r="D670" t="str">
        <x:v>exdivo kuz 25k flavors</x:v>
      </x:c>
      <x:c r="E670" t="str">
        <x:v>recommended</x:v>
      </x:c>
      <x:c r="F670" t="n">
        <x:v>0</x:v>
      </x:c>
      <x:c r="G670" t="n">
        <x:v>0</x:v>
      </x:c>
      <x:c r="H670" t="str">
        <x:v>48</x:v>
      </x:c>
    </x:row>
    <x:row r="671">
      <x:c r="A671" t="str">
        <x:v>https://exdivo.com/products/exdivo-kuz-25k-replaceable-pod-vape_11a813e7?data_from=index_index&amp;spm=</x:v>
      </x:c>
      <x:c r="B671" t="str">
        <x:v>ExDivo KUZ 25K Replaceable Pod Vape</x:v>
      </x:c>
      <x:c r="C671" t="str">
        <x:v>25000 puffs</x:v>
      </x:c>
      <x:c r="D671" t="str">
        <x:v>exdivo kuz 25k review</x:v>
      </x:c>
      <x:c r="E671" t="str">
        <x:v>recommended</x:v>
      </x:c>
      <x:c r="F671" t="n">
        <x:v>0</x:v>
      </x:c>
      <x:c r="G671" t="n">
        <x:v>0</x:v>
      </x:c>
      <x:c r="H671" t="str">
        <x:v>48</x:v>
      </x:c>
    </x:row>
    <x:row r="672">
      <x:c r="A672" t="str">
        <x:v>https://exdivo.com/collections/all?page=5</x:v>
      </x:c>
      <x:c r="B672" t="str">
        <x:v>All Products - ExDivo</x:v>
      </x:c>
      <x:c r="C672" t="str">
        <x:v>all products</x:v>
      </x:c>
      <x:c r="D672" t="str">
        <x:v>exdivo vape products</x:v>
      </x:c>
      <x:c r="E672" t="str">
        <x:v>recommended</x:v>
      </x:c>
      <x:c r="F672" t="n">
        <x:v>0</x:v>
      </x:c>
      <x:c r="G672" t="n">
        <x:v>0</x:v>
      </x:c>
      <x:c r="H672" t="str">
        <x:v>48</x:v>
      </x:c>
    </x:row>
    <x:row r="673">
      <x:c r="A673" t="str">
        <x:v>https://exdivo.com/collections/all?page=5</x:v>
      </x:c>
      <x:c r="B673" t="str">
        <x:v>All Products - ExDivo</x:v>
      </x:c>
      <x:c r="C673" t="str">
        <x:v>all products</x:v>
      </x:c>
      <x:c r="D673" t="str">
        <x:v>buy exdivo vapes</x:v>
      </x:c>
      <x:c r="E673" t="str">
        <x:v>recommended</x:v>
      </x:c>
      <x:c r="F673" t="n">
        <x:v>0</x:v>
      </x:c>
      <x:c r="G673" t="n">
        <x:v>0</x:v>
      </x:c>
      <x:c r="H673" t="str">
        <x:v>48</x:v>
      </x:c>
    </x:row>
    <x:row r="674">
      <x:c r="A674" t="str">
        <x:v>https://exdivo.com/collections/all?page=5</x:v>
      </x:c>
      <x:c r="B674" t="str">
        <x:v>All Products - ExDivo</x:v>
      </x:c>
      <x:c r="C674" t="str">
        <x:v>all products</x:v>
      </x:c>
      <x:c r="D674" t="str">
        <x:v>exdivo vape kits</x:v>
      </x:c>
      <x:c r="E674" t="str">
        <x:v>recommended</x:v>
      </x:c>
      <x:c r="F674" t="n">
        <x:v>0</x:v>
      </x:c>
      <x:c r="G674" t="n">
        <x:v>0</x:v>
      </x:c>
      <x:c r="H674" t="str">
        <x:v>48</x:v>
      </x:c>
    </x:row>
    <x:row r="675">
      <x:c r="A675" t="str">
        <x:v>https://exdivo.com/collections/all?page=5</x:v>
      </x:c>
      <x:c r="B675" t="str">
        <x:v>All Products - ExDivo</x:v>
      </x:c>
      <x:c r="C675" t="str">
        <x:v>all products</x:v>
      </x:c>
      <x:c r="D675" t="str">
        <x:v>exdivo disposable vapes</x:v>
      </x:c>
      <x:c r="E675" t="str">
        <x:v>recommended</x:v>
      </x:c>
      <x:c r="F675" t="n">
        <x:v>0</x:v>
      </x:c>
      <x:c r="G675" t="n">
        <x:v>0</x:v>
      </x:c>
      <x:c r="H675" t="str">
        <x:v>48</x:v>
      </x:c>
    </x:row>
    <x:row r="676">
      <x:c r="A676" t="str">
        <x:v>https://exdivo.com/collections/all?page=5</x:v>
      </x:c>
      <x:c r="B676" t="str">
        <x:v>All Products - ExDivo</x:v>
      </x:c>
      <x:c r="C676" t="str">
        <x:v>all products</x:v>
      </x:c>
      <x:c r="D676" t="str">
        <x:v>buy exdivo vapes online</x:v>
      </x:c>
      <x:c r="E676" t="str">
        <x:v>recommended</x:v>
      </x:c>
      <x:c r="F676" t="n">
        <x:v>0</x:v>
      </x:c>
      <x:c r="G676" t="n">
        <x:v>0</x:v>
      </x:c>
      <x:c r="H676" t="str">
        <x:v>48</x:v>
      </x:c>
    </x:row>
    <x:row r="677">
      <x:c r="A677" t="str">
        <x:v>https://exdivo.com/collections/all?page=5</x:v>
      </x:c>
      <x:c r="B677" t="str">
        <x:v>All Products - ExDivo</x:v>
      </x:c>
      <x:c r="C677" t="str">
        <x:v>all products</x:v>
      </x:c>
      <x:c r="D677" t="str">
        <x:v>exdivo vape brand</x:v>
      </x:c>
      <x:c r="E677" t="str">
        <x:v>recommended</x:v>
      </x:c>
      <x:c r="F677" t="n">
        <x:v>0</x:v>
      </x:c>
      <x:c r="G677" t="n">
        <x:v>0</x:v>
      </x:c>
      <x:c r="H677" t="str">
        <x:v>48</x:v>
      </x:c>
    </x:row>
    <x:row r="678">
      <x:c r="A678" t="str">
        <x:v>https://exdivo.com/collections/all?page=5</x:v>
      </x:c>
      <x:c r="B678" t="str">
        <x:v>All Products - ExDivo</x:v>
      </x:c>
      <x:c r="C678" t="str">
        <x:v>all products</x:v>
      </x:c>
      <x:c r="D678" t="str">
        <x:v>exdivo vape kit</x:v>
      </x:c>
      <x:c r="E678" t="str">
        <x:v>recommended</x:v>
      </x:c>
      <x:c r="F678" t="n">
        <x:v>0</x:v>
      </x:c>
      <x:c r="G678" t="n">
        <x:v>0</x:v>
      </x:c>
      <x:c r="H678" t="str">
        <x:v>48</x:v>
      </x:c>
    </x:row>
    <x:row r="679">
      <x:c r="A679" t="str">
        <x:v>https://exdivo.com/collections/all?page=5</x:v>
      </x:c>
      <x:c r="B679" t="str">
        <x:v>All Products - ExDivo</x:v>
      </x:c>
      <x:c r="C679" t="str">
        <x:v>all products</x:v>
      </x:c>
      <x:c r="D679" t="str">
        <x:v>exdivo vape pods</x:v>
      </x:c>
      <x:c r="E679" t="str">
        <x:v>recommended</x:v>
      </x:c>
      <x:c r="F679" t="n">
        <x:v>0</x:v>
      </x:c>
      <x:c r="G679" t="n">
        <x:v>0</x:v>
      </x:c>
      <x:c r="H679" t="str">
        <x:v>48</x:v>
      </x:c>
    </x:row>
    <x:row r="680">
      <x:c r="A680" t="str">
        <x:v>https://exdivo.com/collections/all?page=5</x:v>
      </x:c>
      <x:c r="B680" t="str">
        <x:v>All Products - ExDivo</x:v>
      </x:c>
      <x:c r="C680" t="str">
        <x:v>all products</x:v>
      </x:c>
      <x:c r="D680" t="str">
        <x:v>exdivo vape online</x:v>
      </x:c>
      <x:c r="E680" t="str">
        <x:v>recommended</x:v>
      </x:c>
      <x:c r="F680" t="n">
        <x:v>0</x:v>
      </x:c>
      <x:c r="G680" t="n">
        <x:v>0</x:v>
      </x:c>
      <x:c r="H680" t="str">
        <x:v>48</x:v>
      </x:c>
    </x:row>
    <x:row r="681">
      <x:c r="A681" t="str">
        <x:v>https://exdivo.com/collections/all?page=5</x:v>
      </x:c>
      <x:c r="B681" t="str">
        <x:v>All Products - ExDivo</x:v>
      </x:c>
      <x:c r="C681" t="str">
        <x:v>all products</x:v>
      </x:c>
      <x:c r="D681" t="str">
        <x:v>exdivo vape deals</x:v>
      </x:c>
      <x:c r="E681" t="str">
        <x:v>recommended</x:v>
      </x:c>
      <x:c r="F681" t="n">
        <x:v>0</x:v>
      </x:c>
      <x:c r="G681" t="n">
        <x:v>0</x:v>
      </x:c>
      <x:c r="H681" t="str">
        <x:v>48</x:v>
      </x:c>
    </x:row>
    <x:row r="682">
      <x:c r="A682" t="str">
        <x:v>https://exdivo.com/collections/all?page=5</x:v>
      </x:c>
      <x:c r="B682" t="str">
        <x:v>All Products - ExDivo</x:v>
      </x:c>
      <x:c r="C682" t="str">
        <x:v>all products</x:v>
      </x:c>
      <x:c r="D682" t="str">
        <x:v>exdivo vape shop</x:v>
      </x:c>
      <x:c r="E682" t="str">
        <x:v>recommended</x:v>
      </x:c>
      <x:c r="F682" t="n">
        <x:v>0</x:v>
      </x:c>
      <x:c r="G682" t="n">
        <x:v>0</x:v>
      </x:c>
      <x:c r="H682" t="str">
        <x:v>48</x:v>
      </x:c>
    </x:row>
    <x:row r="683">
      <x:c r="A683" t="str">
        <x:v>https://exdivo.com/collections/all?page=5</x:v>
      </x:c>
      <x:c r="B683" t="str">
        <x:v>All Products - ExDivo</x:v>
      </x:c>
      <x:c r="C683" t="str">
        <x:v>all products</x:v>
      </x:c>
      <x:c r="D683" t="str">
        <x:v>exdivo vape models</x:v>
      </x:c>
      <x:c r="E683" t="str">
        <x:v>recommended</x:v>
      </x:c>
      <x:c r="F683" t="n">
        <x:v>0</x:v>
      </x:c>
      <x:c r="G683" t="n">
        <x:v>0</x:v>
      </x:c>
      <x:c r="H683" t="str">
        <x:v>48</x:v>
      </x:c>
    </x:row>
    <x:row r="684">
      <x:c r="A684" t="str">
        <x:v>https://exdivo.com/collections/all?page=5</x:v>
      </x:c>
      <x:c r="B684" t="str">
        <x:v>All Products - ExDivo</x:v>
      </x:c>
      <x:c r="C684" t="str">
        <x:v>all products</x:v>
      </x:c>
      <x:c r="D684" t="str">
        <x:v>exdivo vape accessories</x:v>
      </x:c>
      <x:c r="E684" t="str">
        <x:v>recommended</x:v>
      </x:c>
      <x:c r="F684" t="n">
        <x:v>0</x:v>
      </x:c>
      <x:c r="G684" t="n">
        <x:v>0</x:v>
      </x:c>
      <x:c r="H684" t="str">
        <x:v>48</x:v>
      </x:c>
    </x:row>
    <x:row r="685">
      <x:c r="A685" t="str">
        <x:v>48</x:v>
      </x:c>
      <x:c r="B685" t="str">
        <x:v>nexa ultra 50000 disposable vape</x:v>
      </x:c>
      <x:c r="C685" t="str">
        <x:v>48</x:v>
      </x:c>
      <x:c r="D685" t="str">
        <x:v>nexa ultra 50000 disposable vape</x:v>
      </x:c>
      <x:c r="E685" t="str">
        <x:v>recommended</x:v>
      </x:c>
      <x:c r="F685" t="n">
        <x:v>110</x:v>
      </x:c>
      <x:c r="G685" t="n">
        <x:v>0</x:v>
      </x:c>
      <x:c r="H685" t="str">
        <x:v>informational, commercial</x:v>
      </x:c>
    </x:row>
    <x:row r="686">
      <x:c r="A686" t="str">
        <x:v>48</x:v>
      </x:c>
      <x:c r="B686" t="str">
        <x:v>nexa ultra 50000 disposable vape</x:v>
      </x:c>
      <x:c r="C686" t="str">
        <x:v>48</x:v>
      </x:c>
      <x:c r="D686" t="str">
        <x:v>nexa strawberry banana vape</x:v>
      </x:c>
      <x:c r="E686" t="str">
        <x:v>recommended</x:v>
      </x:c>
      <x:c r="F686" t="n">
        <x:v>40</x:v>
      </x:c>
      <x:c r="G686" t="n">
        <x:v>0</x:v>
      </x:c>
      <x:c r="H686" t="str">
        <x:v>informational, commercial</x:v>
      </x:c>
    </x:row>
    <x:row r="687">
      <x:c r="A687" t="str">
        <x:v>48</x:v>
      </x:c>
      <x:c r="B687" t="str">
        <x:v>foger vape pods</x:v>
      </x:c>
      <x:c r="C687" t="str">
        <x:v>48</x:v>
      </x:c>
      <x:c r="D687" t="str">
        <x:v>foger vape pods</x:v>
      </x:c>
      <x:c r="E687" t="str">
        <x:v>recommended</x:v>
      </x:c>
      <x:c r="F687" t="n">
        <x:v>2400</x:v>
      </x:c>
      <x:c r="G687" t="n">
        <x:v>7</x:v>
      </x:c>
      <x:c r="H687" t="str">
        <x:v>informational</x:v>
      </x:c>
    </x:row>
    <x:row r="688">
      <x:c r="A688" t="str">
        <x:v>48</x:v>
      </x:c>
      <x:c r="B688" t="str">
        <x:v>foger vape pods</x:v>
      </x:c>
      <x:c r="C688" t="str">
        <x:v>48</x:v>
      </x:c>
      <x:c r="D688" t="str">
        <x:v>fogger vape pods</x:v>
      </x:c>
      <x:c r="E688" t="str">
        <x:v>recommended</x:v>
      </x:c>
      <x:c r="F688" t="n">
        <x:v>320</x:v>
      </x:c>
      <x:c r="G688" t="n">
        <x:v>6</x:v>
      </x:c>
      <x:c r="H688" t="str">
        <x:v>informational</x:v>
      </x:c>
    </x:row>
    <x:row r="689">
      <x:c r="A689" t="str">
        <x:v>48</x:v>
      </x:c>
      <x:c r="B689" t="str">
        <x:v>foger vape pods</x:v>
      </x:c>
      <x:c r="C689" t="str">
        <x:v>48</x:v>
      </x:c>
      <x:c r="D689" t="str">
        <x:v>foger vape flavors ranked</x:v>
      </x:c>
      <x:c r="E689" t="str">
        <x:v>recommended</x:v>
      </x:c>
      <x:c r="F689" t="n">
        <x:v>140</x:v>
      </x:c>
      <x:c r="G689" t="n">
        <x:v>0</x:v>
      </x:c>
      <x:c r="H689" t="str">
        <x:v>commercial</x:v>
      </x:c>
    </x:row>
    <x:row r="690">
      <x:c r="A690" t="str">
        <x:v>48</x:v>
      </x:c>
      <x:c r="B690" t="str">
        <x:v>foger vape pods</x:v>
      </x:c>
      <x:c r="C690" t="str">
        <x:v>48</x:v>
      </x:c>
      <x:c r="D690" t="str">
        <x:v>foger vape refill pods</x:v>
      </x:c>
      <x:c r="E690" t="str">
        <x:v>recommended</x:v>
      </x:c>
      <x:c r="F690" t="n">
        <x:v>140</x:v>
      </x:c>
      <x:c r="G690" t="n">
        <x:v>2</x:v>
      </x:c>
      <x:c r="H690" t="str">
        <x:v>informational</x:v>
      </x:c>
    </x:row>
    <x:row r="691">
      <x:c r="A691" t="str">
        <x:v>48</x:v>
      </x:c>
      <x:c r="B691" t="str">
        <x:v>foger vape pods</x:v>
      </x:c>
      <x:c r="C691" t="str">
        <x:v>48</x:v>
      </x:c>
      <x:c r="D691" t="str">
        <x:v>foger vape reviews</x:v>
      </x:c>
      <x:c r="E691" t="str">
        <x:v>recommended</x:v>
      </x:c>
      <x:c r="F691" t="n">
        <x:v>140</x:v>
      </x:c>
      <x:c r="G691" t="n">
        <x:v>5</x:v>
      </x:c>
      <x:c r="H691" t="str">
        <x:v>commercial</x:v>
      </x:c>
    </x:row>
    <x:row r="692">
      <x:c r="A692" t="str">
        <x:v>48</x:v>
      </x:c>
      <x:c r="B692" t="str">
        <x:v>foger vape pods</x:v>
      </x:c>
      <x:c r="C692" t="str">
        <x:v>48</x:v>
      </x:c>
      <x:c r="D692" t="str">
        <x:v>sour apple ice foger</x:v>
      </x:c>
      <x:c r="E692" t="str">
        <x:v>recommended</x:v>
      </x:c>
      <x:c r="F692" t="n">
        <x:v>110</x:v>
      </x:c>
      <x:c r="G692" t="n">
        <x:v>2</x:v>
      </x:c>
      <x:c r="H692" t="str">
        <x:v>informational, commercial</x:v>
      </x:c>
    </x:row>
    <x:row r="693">
      <x:c r="A693" t="str">
        <x:v>48</x:v>
      </x:c>
      <x:c r="B693" t="str">
        <x:v>foger vape pods</x:v>
      </x:c>
      <x:c r="C693" t="str">
        <x:v>48</x:v>
      </x:c>
      <x:c r="D693" t="str">
        <x:v>fogger disposable vape flavors</x:v>
      </x:c>
      <x:c r="E693" t="str">
        <x:v>recommended</x:v>
      </x:c>
      <x:c r="F693" t="n">
        <x:v>70</x:v>
      </x:c>
      <x:c r="G693" t="n">
        <x:v>4</x:v>
      </x:c>
      <x:c r="H693" t="str">
        <x:v>commercial</x:v>
      </x:c>
    </x:row>
    <x:row r="694">
      <x:c r="A694" t="str">
        <x:v>48</x:v>
      </x:c>
      <x:c r="B694" t="str">
        <x:v>foger vape pods</x:v>
      </x:c>
      <x:c r="C694" t="str">
        <x:v>48</x:v>
      </x:c>
      <x:c r="D694" t="str">
        <x:v>fogger vape refill kit</x:v>
      </x:c>
      <x:c r="E694" t="str">
        <x:v>recommended</x:v>
      </x:c>
      <x:c r="F694" t="n">
        <x:v>50</x:v>
      </x:c>
      <x:c r="G694" t="n">
        <x:v>0</x:v>
      </x:c>
      <x:c r="H694" t="str">
        <x:v>informational, commercial</x:v>
      </x:c>
    </x:row>
    <x:row r="695">
      <x:c r="A695" t="str">
        <x:v>48</x:v>
      </x:c>
      <x:c r="B695" t="str">
        <x:v>foger vape pods</x:v>
      </x:c>
      <x:c r="C695" t="str">
        <x:v>48</x:v>
      </x:c>
      <x:c r="D695" t="str">
        <x:v>foger disposable vape flavors</x:v>
      </x:c>
      <x:c r="E695" t="str">
        <x:v>recommended</x:v>
      </x:c>
      <x:c r="F695" t="n">
        <x:v>50</x:v>
      </x:c>
      <x:c r="G695" t="n">
        <x:v>0</x:v>
      </x:c>
      <x:c r="H695" t="str">
        <x:v>commercial</x:v>
      </x:c>
    </x:row>
    <x:row r="696">
      <x:c r="A696" t="str">
        <x:v>48</x:v>
      </x:c>
      <x:c r="B696" t="str">
        <x:v>foger vape pods</x:v>
      </x:c>
      <x:c r="C696" t="str">
        <x:v>48</x:v>
      </x:c>
      <x:c r="D696" t="str">
        <x:v>fogger disposable vapes</x:v>
      </x:c>
      <x:c r="E696" t="str">
        <x:v>recommended</x:v>
      </x:c>
      <x:c r="F696" t="n">
        <x:v>70</x:v>
      </x:c>
      <x:c r="G696" t="n">
        <x:v>11</x:v>
      </x:c>
      <x:c r="H696" t="str">
        <x:v>informational, commercial</x:v>
      </x:c>
    </x:row>
    <x:row r="697">
      <x:c r="A697" t="str">
        <x:v>48</x:v>
      </x:c>
      <x:c r="B697" t="str">
        <x:v>foger vape pods</x:v>
      </x:c>
      <x:c r="C697" t="str">
        <x:v>48</x:v>
      </x:c>
      <x:c r="D697" t="str">
        <x:v>how much does a vape pod cost</x:v>
      </x:c>
      <x:c r="E697" t="str">
        <x:v>recommended</x:v>
      </x:c>
      <x:c r="F697" t="n">
        <x:v>50</x:v>
      </x:c>
      <x:c r="G697" t="n">
        <x:v>11</x:v>
      </x:c>
      <x:c r="H697" t="str">
        <x:v>informational</x:v>
      </x:c>
    </x:row>
    <x:row r="698">
      <x:c r="A698" t="str">
        <x:v>48</x:v>
      </x:c>
      <x:c r="B698" t="str">
        <x:v>foger vape pods</x:v>
      </x:c>
      <x:c r="C698" t="str">
        <x:v>48</x:v>
      </x:c>
      <x:c r="D698" t="str">
        <x:v>foger vape refill</x:v>
      </x:c>
      <x:c r="E698" t="str">
        <x:v>recommended</x:v>
      </x:c>
      <x:c r="F698" t="n">
        <x:v>6600</x:v>
      </x:c>
      <x:c r="G698" t="n">
        <x:v>12</x:v>
      </x:c>
      <x:c r="H698" t="str">
        <x:v>informational</x:v>
      </x:c>
    </x:row>
    <x:row r="699">
      <x:c r="A699" t="str">
        <x:v>48</x:v>
      </x:c>
      <x:c r="B699" t="str">
        <x:v>foger vape pods</x:v>
      </x:c>
      <x:c r="C699" t="str">
        <x:v>48</x:v>
      </x:c>
      <x:c r="D699" t="str">
        <x:v>foger switch pro 30k disposable vape</x:v>
      </x:c>
      <x:c r="E699" t="str">
        <x:v>recommended</x:v>
      </x:c>
      <x:c r="F699" t="n">
        <x:v>2400</x:v>
      </x:c>
      <x:c r="G699" t="n">
        <x:v>8</x:v>
      </x:c>
      <x:c r="H699" t="str">
        <x:v>informational</x:v>
      </x:c>
    </x:row>
    <x:row r="700">
      <x:c r="A700" t="str">
        <x:v>48</x:v>
      </x:c>
      <x:c r="B700" t="str">
        <x:v>foger vape pods</x:v>
      </x:c>
      <x:c r="C700" t="str">
        <x:v>48</x:v>
      </x:c>
      <x:c r="D700" t="str">
        <x:v>fogger vape refill</x:v>
      </x:c>
      <x:c r="E700" t="str">
        <x:v>recommended</x:v>
      </x:c>
      <x:c r="F700" t="n">
        <x:v>4400</x:v>
      </x:c>
      <x:c r="G700" t="n">
        <x:v>13</x:v>
      </x:c>
      <x:c r="H700" t="str">
        <x:v>informational</x:v>
      </x:c>
    </x:row>
    <x:row r="701">
      <x:c r="A701" t="str">
        <x:v>48</x:v>
      </x:c>
      <x:c r="B701" t="str">
        <x:v>vape sales near me</x:v>
      </x:c>
      <x:c r="C701" t="str">
        <x:v>48</x:v>
      </x:c>
      <x:c r="D701" t="str">
        <x:v>vape sales near me</x:v>
      </x:c>
      <x:c r="E701" t="str">
        <x:v>recommended</x:v>
      </x:c>
      <x:c r="F701" t="n">
        <x:v>70</x:v>
      </x:c>
      <x:c r="G701" t="n">
        <x:v>64</x:v>
      </x:c>
      <x:c r="H701" t="str">
        <x:v>transactional</x:v>
      </x:c>
    </x:row>
    <x:row r="702">
      <x:c r="A702" t="str">
        <x:v>48</x:v>
      </x:c>
      <x:c r="B702" t="str">
        <x:v>vape sales near me</x:v>
      </x:c>
      <x:c r="C702" t="str">
        <x:v>48</x:v>
      </x:c>
      <x:c r="D702" t="str">
        <x:v>nearest vape shop</x:v>
      </x:c>
      <x:c r="E702" t="str">
        <x:v>recommended</x:v>
      </x:c>
      <x:c r="F702" t="n">
        <x:v>2400</x:v>
      </x:c>
      <x:c r="G702" t="n">
        <x:v>63</x:v>
      </x:c>
      <x:c r="H702" t="str">
        <x:v>commercial</x:v>
      </x:c>
    </x:row>
    <x:row r="703">
      <x:c r="A703" t="str">
        <x:v>48</x:v>
      </x:c>
      <x:c r="B703" t="str">
        <x:v>vape sales near me</x:v>
      </x:c>
      <x:c r="C703" t="str">
        <x:v>48</x:v>
      </x:c>
      <x:c r="D703" t="str">
        <x:v>premium e cigs</x:v>
      </x:c>
      <x:c r="E703" t="str">
        <x:v>recommended</x:v>
      </x:c>
      <x:c r="F703" t="n">
        <x:v>40</x:v>
      </x:c>
      <x:c r="G703" t="n">
        <x:v>59</x:v>
      </x:c>
      <x:c r="H703" t="str">
        <x:v>commercial</x:v>
      </x:c>
    </x:row>
    <x:row r="704">
      <x:c r="A704" t="str">
        <x:v>48</x:v>
      </x:c>
      <x:c r="B704" t="str">
        <x:v>peach jam vape</x:v>
      </x:c>
      <x:c r="C704" t="str">
        <x:v>48</x:v>
      </x:c>
      <x:c r="D704" t="str">
        <x:v>peach jam vape</x:v>
      </x:c>
      <x:c r="E704" t="str">
        <x:v>recommended</x:v>
      </x:c>
      <x:c r="F704" t="n">
        <x:v>70</x:v>
      </x:c>
      <x:c r="G704" t="n">
        <x:v>0</x:v>
      </x:c>
      <x:c r="H704" t="str">
        <x:v>informational</x:v>
      </x:c>
    </x:row>
    <x:row r="705">
      <x:c r="A705" t="str">
        <x:v>48</x:v>
      </x:c>
      <x:c r="B705" t="str">
        <x:v>peach jam vape</x:v>
      </x:c>
      <x:c r="C705" t="str">
        <x:v>48</x:v>
      </x:c>
      <x:c r="D705" t="str">
        <x:v>pulse disposable vape</x:v>
      </x:c>
      <x:c r="E705" t="str">
        <x:v>recommended</x:v>
      </x:c>
      <x:c r="F705" t="n">
        <x:v>40</x:v>
      </x:c>
      <x:c r="G705" t="n">
        <x:v>16</x:v>
      </x:c>
      <x:c r="H705" t="str">
        <x:v>informational</x:v>
      </x:c>
    </x:row>
    <x:row r="706">
      <x:c r="A706" t="str">
        <x:v>48</x:v>
      </x:c>
      <x:c r="B706" t="str">
        <x:v>peach jam vape</x:v>
      </x:c>
      <x:c r="C706" t="str">
        <x:v>48</x:v>
      </x:c>
      <x:c r="D706" t="str">
        <x:v>pulse vape</x:v>
      </x:c>
      <x:c r="E706" t="str">
        <x:v>recommended</x:v>
      </x:c>
      <x:c r="F706" t="n">
        <x:v>3600</x:v>
      </x:c>
      <x:c r="G706" t="n">
        <x:v>35</x:v>
      </x:c>
      <x:c r="H706" t="str">
        <x:v>informational</x:v>
      </x:c>
    </x:row>
    <x:row r="707">
      <x:c r="A707" t="str">
        <x:v>48</x:v>
      </x:c>
      <x:c r="B707" t="str">
        <x:v>vaping deals</x:v>
      </x:c>
      <x:c r="C707" t="str">
        <x:v>48</x:v>
      </x:c>
      <x:c r="D707" t="str">
        <x:v>vaping deals</x:v>
      </x:c>
      <x:c r="E707" t="str">
        <x:v>recommended</x:v>
      </x:c>
      <x:c r="F707" t="n">
        <x:v>390</x:v>
      </x:c>
      <x:c r="G707" t="n">
        <x:v>38</x:v>
      </x:c>
      <x:c r="H707" t="str">
        <x:v>transactional</x:v>
      </x:c>
    </x:row>
    <x:row r="708">
      <x:c r="A708" t="str">
        <x:v>48</x:v>
      </x:c>
      <x:c r="B708" t="str">
        <x:v>vaping deals</x:v>
      </x:c>
      <x:c r="C708" t="str">
        <x:v>48</x:v>
      </x:c>
      <x:c r="D708" t="str">
        <x:v>magnetic disposable vape</x:v>
      </x:c>
      <x:c r="E708" t="str">
        <x:v>recommended</x:v>
      </x:c>
      <x:c r="F708" t="n">
        <x:v>110</x:v>
      </x:c>
      <x:c r="G708" t="n">
        <x:v>12</x:v>
      </x:c>
      <x:c r="H708" t="str">
        <x:v>informational</x:v>
      </x:c>
    </x:row>
    <x:row r="709">
      <x:c r="A709" t="str">
        <x:v>48</x:v>
      </x:c>
      <x:c r="B709" t="str">
        <x:v>vaping deals</x:v>
      </x:c>
      <x:c r="C709" t="str">
        <x:v>48</x:v>
      </x:c>
      <x:c r="D709" t="str">
        <x:v>vape juice flavors with nicotine</x:v>
      </x:c>
      <x:c r="E709" t="str">
        <x:v>recommended</x:v>
      </x:c>
      <x:c r="F709" t="n">
        <x:v>170</x:v>
      </x:c>
      <x:c r="G709" t="n">
        <x:v>49</x:v>
      </x:c>
      <x:c r="H709" t="str">
        <x:v>informational, transactional</x:v>
      </x:c>
    </x:row>
    <x:row r="710">
      <x:c r="A710" t="str">
        <x:v>48</x:v>
      </x:c>
      <x:c r="B710" t="str">
        <x:v>vaping deals</x:v>
      </x:c>
      <x:c r="C710" t="str">
        <x:v>48</x:v>
      </x:c>
      <x:c r="D710" t="str">
        <x:v>vape liquid online</x:v>
      </x:c>
      <x:c r="E710" t="str">
        <x:v>recommended</x:v>
      </x:c>
      <x:c r="F710" t="n">
        <x:v>260</x:v>
      </x:c>
      <x:c r="G710" t="n">
        <x:v>74</x:v>
      </x:c>
      <x:c r="H710" t="str">
        <x:v>commercial</x:v>
      </x:c>
    </x:row>
    <x:row r="711">
      <x:c r="A711" t="str">
        <x:v>48</x:v>
      </x:c>
      <x:c r="B711" t="str">
        <x:v>vaping deals</x:v>
      </x:c>
      <x:c r="C711" t="str">
        <x:v>48</x:v>
      </x:c>
      <x:c r="D711" t="str">
        <x:v>flat vapes</x:v>
      </x:c>
      <x:c r="E711" t="str">
        <x:v>recommended</x:v>
      </x:c>
      <x:c r="F711" t="n">
        <x:v>90</x:v>
      </x:c>
      <x:c r="G711" t="n">
        <x:v>24</x:v>
      </x:c>
      <x:c r="H711" t="str">
        <x:v>informational</x:v>
      </x:c>
    </x:row>
    <x:row r="712">
      <x:c r="A712" t="str">
        <x:v>48</x:v>
      </x:c>
      <x:c r="B712" t="str">
        <x:v>vaping deals</x:v>
      </x:c>
      <x:c r="C712" t="str">
        <x:v>48</x:v>
      </x:c>
      <x:c r="D712" t="str">
        <x:v>online vapes for sale</x:v>
      </x:c>
      <x:c r="E712" t="str">
        <x:v>recommended</x:v>
      </x:c>
      <x:c r="F712" t="n">
        <x:v>70</x:v>
      </x:c>
      <x:c r="G712" t="n">
        <x:v>73</x:v>
      </x:c>
      <x:c r="H712" t="str">
        <x:v>transactional</x:v>
      </x:c>
    </x:row>
    <x:row r="713">
      <x:c r="A713" t="str">
        <x:v>48</x:v>
      </x:c>
      <x:c r="B713" t="str">
        <x:v>vaping deals</x:v>
      </x:c>
      <x:c r="C713" t="str">
        <x:v>48</x:v>
      </x:c>
      <x:c r="D713" t="str">
        <x:v>where can i order disposable vapes online</x:v>
      </x:c>
      <x:c r="E713" t="str">
        <x:v>recommended</x:v>
      </x:c>
      <x:c r="F713" t="n">
        <x:v>30</x:v>
      </x:c>
      <x:c r="G713" t="n">
        <x:v>51</x:v>
      </x:c>
      <x:c r="H713" t="str">
        <x:v>informational</x:v>
      </x:c>
    </x:row>
    <x:row r="714">
      <x:c r="A714" t="str">
        <x:v>48</x:v>
      </x:c>
      <x:c r="B714" t="str">
        <x:v>vaping deals</x:v>
      </x:c>
      <x:c r="C714" t="str">
        <x:v>48</x:v>
      </x:c>
      <x:c r="D714" t="str">
        <x:v>how much does a vape cost</x:v>
      </x:c>
      <x:c r="E714" t="str">
        <x:v>recommended</x:v>
      </x:c>
      <x:c r="F714" t="n">
        <x:v>2900</x:v>
      </x:c>
      <x:c r="G714" t="n">
        <x:v>22</x:v>
      </x:c>
      <x:c r="H714" t="str">
        <x:v>informational</x:v>
      </x:c>
    </x:row>
    <x:row r="715">
      <x:c r="A715" t="str">
        <x:v>48</x:v>
      </x:c>
      <x:c r="B715" t="str">
        <x:v>vaping deals</x:v>
      </x:c>
      <x:c r="C715" t="str">
        <x:v>48</x:v>
      </x:c>
      <x:c r="D715" t="str">
        <x:v>e cigarette accessories</x:v>
      </x:c>
      <x:c r="E715" t="str">
        <x:v>recommended</x:v>
      </x:c>
      <x:c r="F715" t="n">
        <x:v>50</x:v>
      </x:c>
      <x:c r="G715" t="n">
        <x:v>27</x:v>
      </x:c>
      <x:c r="H715" t="str">
        <x:v>commercial</x:v>
      </x:c>
    </x:row>
    <x:row r="716">
      <x:c r="A716" t="str">
        <x:v>48</x:v>
      </x:c>
      <x:c r="B716" t="str">
        <x:v>vaping deals</x:v>
      </x:c>
      <x:c r="C716" t="str">
        <x:v>48</x:v>
      </x:c>
      <x:c r="D716" t="str">
        <x:v>vape charger</x:v>
      </x:c>
      <x:c r="E716" t="str">
        <x:v>recommended</x:v>
      </x:c>
      <x:c r="F716" t="n">
        <x:v>1900</x:v>
      </x:c>
      <x:c r="G716" t="n">
        <x:v>28</x:v>
      </x:c>
      <x:c r="H716" t="str">
        <x:v>informational, commercial</x:v>
      </x:c>
    </x:row>
    <x:row r="717">
      <x:c r="A717" t="str">
        <x:v>48</x:v>
      </x:c>
      <x:c r="B717" t="str">
        <x:v>vaping deals</x:v>
      </x:c>
      <x:c r="C717" t="str">
        <x:v>48</x:v>
      </x:c>
      <x:c r="D717" t="str">
        <x:v>vape juice supplies</x:v>
      </x:c>
      <x:c r="E717" t="str">
        <x:v>recommended</x:v>
      </x:c>
      <x:c r="F717" t="n">
        <x:v>40</x:v>
      </x:c>
      <x:c r="G717" t="n">
        <x:v>57</x:v>
      </x:c>
      <x:c r="H717" t="str">
        <x:v>commercial</x:v>
      </x:c>
    </x:row>
    <x:row r="718">
      <x:c r="A718" t="str">
        <x:v>48</x:v>
      </x:c>
      <x:c r="B718" t="str">
        <x:v>vaping deals</x:v>
      </x:c>
      <x:c r="C718" t="str">
        <x:v>48</x:v>
      </x:c>
      <x:c r="D718" t="str">
        <x:v>thc vape pens</x:v>
      </x:c>
      <x:c r="E718" t="str">
        <x:v>recommended</x:v>
      </x:c>
      <x:c r="F718" t="n">
        <x:v>2400</x:v>
      </x:c>
      <x:c r="G718" t="n">
        <x:v>51</x:v>
      </x:c>
      <x:c r="H718" t="str">
        <x:v>informational</x:v>
      </x:c>
    </x:row>
    <x:row r="719">
      <x:c r="A719" t="str">
        <x:v>48</x:v>
      </x:c>
      <x:c r="B719" t="str">
        <x:v>vaping deals</x:v>
      </x:c>
      <x:c r="C719" t="str">
        <x:v>48</x:v>
      </x:c>
      <x:c r="D719" t="str">
        <x:v>tienda de vapeo</x:v>
      </x:c>
      <x:c r="E719" t="str">
        <x:v>recommended</x:v>
      </x:c>
      <x:c r="F719" t="n">
        <x:v>90</x:v>
      </x:c>
      <x:c r="G719" t="n">
        <x:v>77</x:v>
      </x:c>
      <x:c r="H719" t="str">
        <x:v>commercial</x:v>
      </x:c>
    </x:row>
    <x:row r="720">
      <x:c r="A720" t="str">
        <x:v>48</x:v>
      </x:c>
      <x:c r="B720" t="str">
        <x:v>vaping deals</x:v>
      </x:c>
      <x:c r="C720" t="str">
        <x:v>48</x:v>
      </x:c>
      <x:c r="D720" t="str">
        <x:v>vape store nesr.me</x:v>
      </x:c>
      <x:c r="E720" t="str">
        <x:v>recommended</x:v>
      </x:c>
      <x:c r="F720" t="n">
        <x:v>2900</x:v>
      </x:c>
      <x:c r="G720" t="n">
        <x:v>69</x:v>
      </x:c>
      <x:c r="H720" t="str">
        <x:v>commercial</x:v>
      </x:c>
    </x:row>
    <x:row r="721">
      <x:c r="A721" t="str">
        <x:v>48</x:v>
      </x:c>
      <x:c r="B721" t="str">
        <x:v>blow pop vape</x:v>
      </x:c>
      <x:c r="C721" t="str">
        <x:v>48</x:v>
      </x:c>
      <x:c r="D721" t="str">
        <x:v>blow pop vape</x:v>
      </x:c>
      <x:c r="E721" t="str">
        <x:v>recommended</x:v>
      </x:c>
      <x:c r="F721" t="n">
        <x:v>210</x:v>
      </x:c>
      <x:c r="G721" t="n">
        <x:v>0</x:v>
      </x:c>
      <x:c r="H721" t="str">
        <x:v>informational</x:v>
      </x:c>
    </x:row>
    <x:row r="722">
      <x:c r="A722" t="str">
        <x:v>48</x:v>
      </x:c>
      <x:c r="B722" t="str">
        <x:v>blow pop vape</x:v>
      </x:c>
      <x:c r="C722" t="str">
        <x:v>48</x:v>
      </x:c>
      <x:c r="D722" t="str">
        <x:v>vape flavors fruity</x:v>
      </x:c>
      <x:c r="E722" t="str">
        <x:v>recommended</x:v>
      </x:c>
      <x:c r="F722" t="n">
        <x:v>170</x:v>
      </x:c>
      <x:c r="G722" t="n">
        <x:v>3</x:v>
      </x:c>
      <x:c r="H722" t="str">
        <x:v>informational</x:v>
      </x:c>
    </x:row>
    <x:row r="723">
      <x:c r="A723" t="str">
        <x:v>48</x:v>
      </x:c>
      <x:c r="B723" t="str">
        <x:v>blow pop vape</x:v>
      </x:c>
      <x:c r="C723" t="str">
        <x:v>48</x:v>
      </x:c>
      <x:c r="D723" t="str">
        <x:v>mint chocolate vape</x:v>
      </x:c>
      <x:c r="E723" t="str">
        <x:v>recommended</x:v>
      </x:c>
      <x:c r="F723" t="n">
        <x:v>50</x:v>
      </x:c>
      <x:c r="G723" t="n">
        <x:v>4</x:v>
      </x:c>
      <x:c r="H723" t="str">
        <x:v>informational</x:v>
      </x:c>
    </x:row>
    <x:row r="724">
      <x:c r="A724" t="str">
        <x:v>48</x:v>
      </x:c>
      <x:c r="B724" t="str">
        <x:v>blow pop vape</x:v>
      </x:c>
      <x:c r="C724" t="str">
        <x:v>48</x:v>
      </x:c>
      <x:c r="D724" t="str">
        <x:v>what does white gummy ice taste like</x:v>
      </x:c>
      <x:c r="E724" t="str">
        <x:v>recommended</x:v>
      </x:c>
      <x:c r="F724" t="n">
        <x:v>140</x:v>
      </x:c>
      <x:c r="G724" t="n">
        <x:v>2</x:v>
      </x:c>
      <x:c r="H724" t="str">
        <x:v>informational</x:v>
      </x:c>
    </x:row>
    <x:row r="725">
      <x:c r="A725" t="str">
        <x:v>48</x:v>
      </x:c>
      <x:c r="B725" t="str">
        <x:v>blow pop vape</x:v>
      </x:c>
      <x:c r="C725" t="str">
        <x:v>48</x:v>
      </x:c>
      <x:c r="D725" t="str">
        <x:v>white gummy ice geek bar</x:v>
      </x:c>
      <x:c r="E725" t="str">
        <x:v>recommended</x:v>
      </x:c>
      <x:c r="F725" t="n">
        <x:v>2900</x:v>
      </x:c>
      <x:c r="G725" t="n">
        <x:v>7</x:v>
      </x:c>
      <x:c r="H725" t="str">
        <x:v>informational</x:v>
      </x:c>
    </x:row>
    <x:row r="726">
      <x:c r="A726" t="str">
        <x:v>48</x:v>
      </x:c>
      <x:c r="B726" t="str">
        <x:v>blow pop vape</x:v>
      </x:c>
      <x:c r="C726" t="str">
        <x:v>48</x:v>
      </x:c>
      <x:c r="D726" t="str">
        <x:v>sour apple ice geek bar</x:v>
      </x:c>
      <x:c r="E726" t="str">
        <x:v>recommended</x:v>
      </x:c>
      <x:c r="F726" t="n">
        <x:v>2400</x:v>
      </x:c>
      <x:c r="G726" t="n">
        <x:v>11</x:v>
      </x:c>
      <x:c r="H726" t="str">
        <x:v>informational</x:v>
      </x:c>
    </x:row>
    <x:row r="727">
      <x:c r="A727" t="str">
        <x:v>48</x:v>
      </x:c>
      <x:c r="B727" t="str">
        <x:v>blow pop vape</x:v>
      </x:c>
      <x:c r="C727" t="str">
        <x:v>48</x:v>
      </x:c>
      <x:c r="D727" t="str">
        <x:v>crazy vape flavors</x:v>
      </x:c>
      <x:c r="E727" t="str">
        <x:v>recommended</x:v>
      </x:c>
      <x:c r="F727" t="n">
        <x:v>90</x:v>
      </x:c>
      <x:c r="G727" t="n">
        <x:v>0</x:v>
      </x:c>
      <x:c r="H727" t="str">
        <x:v>informational, commercial</x:v>
      </x:c>
    </x:row>
    <x:row r="728">
      <x:c r="A728" t="str">
        <x:v>48</x:v>
      </x:c>
      <x:c r="B728" t="str">
        <x:v>blow pop vape</x:v>
      </x:c>
      <x:c r="C728" t="str">
        <x:v>48</x:v>
      </x:c>
      <x:c r="D728" t="str">
        <x:v>banana vape disposable</x:v>
      </x:c>
      <x:c r="E728" t="str">
        <x:v>recommended</x:v>
      </x:c>
      <x:c r="F728" t="n">
        <x:v>140</x:v>
      </x:c>
      <x:c r="G728" t="n">
        <x:v>3</x:v>
      </x:c>
      <x:c r="H728" t="str">
        <x:v>informational, commercial</x:v>
      </x:c>
    </x:row>
    <x:row r="729">
      <x:c r="A729" t="str">
        <x:v>48</x:v>
      </x:c>
      <x:c r="B729" t="str">
        <x:v>blow pop vape</x:v>
      </x:c>
      <x:c r="C729" t="str">
        <x:v>48</x:v>
      </x:c>
      <x:c r="D729" t="str">
        <x:v>gummy vape</x:v>
      </x:c>
      <x:c r="E729" t="str">
        <x:v>recommended</x:v>
      </x:c>
      <x:c r="F729" t="n">
        <x:v>110</x:v>
      </x:c>
      <x:c r="G729" t="n">
        <x:v>3</x:v>
      </x:c>
      <x:c r="H729" t="str">
        <x:v>informational</x:v>
      </x:c>
    </x:row>
    <x:row r="730">
      <x:c r="A730" t="str">
        <x:v>48</x:v>
      </x:c>
      <x:c r="B730" t="str">
        <x:v>blow pop vape</x:v>
      </x:c>
      <x:c r="C730" t="str">
        <x:v>48</x:v>
      </x:c>
      <x:c r="D730" t="str">
        <x:v>banana ice vape</x:v>
      </x:c>
      <x:c r="E730" t="str">
        <x:v>recommended</x:v>
      </x:c>
      <x:c r="F730" t="n">
        <x:v>1000</x:v>
      </x:c>
      <x:c r="G730" t="n">
        <x:v>4</x:v>
      </x:c>
      <x:c r="H730" t="str">
        <x:v>informational</x:v>
      </x:c>
    </x:row>
    <x:row r="731">
      <x:c r="A731" t="str">
        <x:v>48</x:v>
      </x:c>
      <x:c r="B731" t="str">
        <x:v>blow pop vape</x:v>
      </x:c>
      <x:c r="C731" t="str">
        <x:v>48</x:v>
      </x:c>
      <x:c r="D731" t="str">
        <x:v>mango ice vape</x:v>
      </x:c>
      <x:c r="E731" t="str">
        <x:v>recommended</x:v>
      </x:c>
      <x:c r="F731" t="n">
        <x:v>320</x:v>
      </x:c>
      <x:c r="G731" t="n">
        <x:v>5</x:v>
      </x:c>
      <x:c r="H731" t="str">
        <x:v>informational</x:v>
      </x:c>
    </x:row>
    <x:row r="732">
      <x:c r="A732" t="str">
        <x:v>48</x:v>
      </x:c>
      <x:c r="B732" t="str">
        <x:v>blow pop vape</x:v>
      </x:c>
      <x:c r="C732" t="str">
        <x:v>48</x:v>
      </x:c>
      <x:c r="D732" t="str">
        <x:v>juicy peach ice</x:v>
      </x:c>
      <x:c r="E732" t="str">
        <x:v>recommended</x:v>
      </x:c>
      <x:c r="F732" t="n">
        <x:v>590</x:v>
      </x:c>
      <x:c r="G732" t="n">
        <x:v>6</x:v>
      </x:c>
      <x:c r="H732" t="str">
        <x:v>informational</x:v>
      </x:c>
    </x:row>
    <x:row r="733">
      <x:c r="A733" t="str">
        <x:v>48</x:v>
      </x:c>
      <x:c r="B733" t="str">
        <x:v>blow pop vape</x:v>
      </x:c>
      <x:c r="C733" t="str">
        <x:v>48</x:v>
      </x:c>
      <x:c r="D733" t="str">
        <x:v>vapes white</x:v>
      </x:c>
      <x:c r="E733" t="str">
        <x:v>recommended</x:v>
      </x:c>
      <x:c r="F733" t="n">
        <x:v>140</x:v>
      </x:c>
      <x:c r="G733" t="n">
        <x:v>11</x:v>
      </x:c>
      <x:c r="H733" t="str">
        <x:v>informational</x:v>
      </x:c>
    </x:row>
    <x:row r="734">
      <x:c r="A734" t="str">
        <x:v>48</x:v>
      </x:c>
      <x:c r="B734" t="str">
        <x:v>blow pop vape</x:v>
      </x:c>
      <x:c r="C734" t="str">
        <x:v>48</x:v>
      </x:c>
      <x:c r="D734" t="str">
        <x:v>peach vapes</x:v>
      </x:c>
      <x:c r="E734" t="str">
        <x:v>recommended</x:v>
      </x:c>
      <x:c r="F734" t="n">
        <x:v>110</x:v>
      </x:c>
      <x:c r="G734" t="n">
        <x:v>14</x:v>
      </x:c>
      <x:c r="H734" t="str">
        <x:v>informational, commercial</x:v>
      </x:c>
    </x:row>
    <x:row r="735">
      <x:c r="A735" t="str">
        <x:v>48</x:v>
      </x:c>
      <x:c r="B735" t="str">
        <x:v>vapes that come apart</x:v>
      </x:c>
      <x:c r="C735" t="str">
        <x:v>48</x:v>
      </x:c>
      <x:c r="D735" t="str">
        <x:v>vapes that come apart</x:v>
      </x:c>
      <x:c r="E735" t="str">
        <x:v>recommended</x:v>
      </x:c>
      <x:c r="F735" t="n">
        <x:v>70</x:v>
      </x:c>
      <x:c r="G735" t="n">
        <x:v>16</x:v>
      </x:c>
      <x:c r="H735" t="str">
        <x:v>informational</x:v>
      </x:c>
    </x:row>
    <x:row r="736">
      <x:c r="A736" t="str">
        <x:v>48</x:v>
      </x:c>
      <x:c r="B736" t="str">
        <x:v>vapes that come apart</x:v>
      </x:c>
      <x:c r="C736" t="str">
        <x:v>48</x:v>
      </x:c>
      <x:c r="D736" t="str">
        <x:v>vape pipe</x:v>
      </x:c>
      <x:c r="E736" t="str">
        <x:v>recommended</x:v>
      </x:c>
      <x:c r="F736" t="n">
        <x:v>2900</x:v>
      </x:c>
      <x:c r="G736" t="n">
        <x:v>17</x:v>
      </x:c>
      <x:c r="H736" t="str">
        <x:v>commercial</x:v>
      </x:c>
    </x:row>
    <x:row r="737">
      <x:c r="A737" t="str">
        <x:v>48</x:v>
      </x:c>
      <x:c r="B737" t="str">
        <x:v>vapes that come apart</x:v>
      </x:c>
      <x:c r="C737" t="str">
        <x:v>48</x:v>
      </x:c>
      <x:c r="D737" t="str">
        <x:v>digital vape</x:v>
      </x:c>
      <x:c r="E737" t="str">
        <x:v>recommended</x:v>
      </x:c>
      <x:c r="F737" t="n">
        <x:v>170</x:v>
      </x:c>
      <x:c r="G737" t="n">
        <x:v>50</x:v>
      </x:c>
      <x:c r="H737" t="str">
        <x:v>informational</x:v>
      </x:c>
    </x:row>
    <x:row r="738">
      <x:c r="A738" t="str">
        <x:v>48</x:v>
      </x:c>
      <x:c r="B738" t="str">
        <x:v>vapes that come apart</x:v>
      </x:c>
      <x:c r="C738" t="str">
        <x:v>48</x:v>
      </x:c>
      <x:c r="D738" t="str">
        <x:v>vape case</x:v>
      </x:c>
      <x:c r="E738" t="str">
        <x:v>recommended</x:v>
      </x:c>
      <x:c r="F738" t="n">
        <x:v>1300</x:v>
      </x:c>
      <x:c r="G738" t="n">
        <x:v>13</x:v>
      </x:c>
      <x:c r="H738" t="str">
        <x:v>informational</x:v>
      </x:c>
    </x:row>
    <x:row r="739">
      <x:c r="A739" t="str">
        <x:v>48</x:v>
      </x:c>
      <x:c r="B739" t="str">
        <x:v>vapes that come apart</x:v>
      </x:c>
      <x:c r="C739" t="str">
        <x:v>48</x:v>
      </x:c>
      <x:c r="D739" t="str">
        <x:v>vape machines</x:v>
      </x:c>
      <x:c r="E739" t="str">
        <x:v>recommended</x:v>
      </x:c>
      <x:c r="F739" t="n">
        <x:v>140</x:v>
      </x:c>
      <x:c r="G739" t="n">
        <x:v>38</x:v>
      </x:c>
      <x:c r="H739" t="str">
        <x:v>commercial</x:v>
      </x:c>
    </x:row>
    <x:row r="740">
      <x:c r="A740" t="str">
        <x:v>48</x:v>
      </x:c>
      <x:c r="B740" t="str">
        <x:v>vapes that come apart</x:v>
      </x:c>
      <x:c r="C740" t="str">
        <x:v>48</x:v>
      </x:c>
      <x:c r="D740" t="str">
        <x:v>vuse vaping</x:v>
      </x:c>
      <x:c r="E740" t="str">
        <x:v>recommended</x:v>
      </x:c>
      <x:c r="F740" t="n">
        <x:v>2900</x:v>
      </x:c>
      <x:c r="G740" t="n">
        <x:v>40</x:v>
      </x:c>
      <x:c r="H740" t="str">
        <x:v>informational, transactional</x:v>
      </x:c>
    </x:row>
    <x:row r="741">
      <x:c r="A741" t="str">
        <x:v>48</x:v>
      </x:c>
      <x:c r="B741" t="str">
        <x:v>vapes for tricks</x:v>
      </x:c>
      <x:c r="C741" t="str">
        <x:v>48</x:v>
      </x:c>
      <x:c r="D741" t="str">
        <x:v>vapes for tricks</x:v>
      </x:c>
      <x:c r="E741" t="str">
        <x:v>recommended</x:v>
      </x:c>
      <x:c r="F741" t="n">
        <x:v>210</x:v>
      </x:c>
      <x:c r="G741" t="n">
        <x:v>7</x:v>
      </x:c>
      <x:c r="H741" t="str">
        <x:v>informational, commercial</x:v>
      </x:c>
    </x:row>
    <x:row r="742">
      <x:c r="A742" t="str">
        <x:v>48</x:v>
      </x:c>
      <x:c r="B742" t="str">
        <x:v>vapes for tricks</x:v>
      </x:c>
      <x:c r="C742" t="str">
        <x:v>48</x:v>
      </x:c>
      <x:c r="D742" t="str">
        <x:v>ecig tricks</x:v>
      </x:c>
      <x:c r="E742" t="str">
        <x:v>recommended</x:v>
      </x:c>
      <x:c r="F742" t="n">
        <x:v>1600</x:v>
      </x:c>
      <x:c r="G742" t="n">
        <x:v>4</x:v>
      </x:c>
      <x:c r="H742" t="str">
        <x:v>informational</x:v>
      </x:c>
    </x:row>
    <x:row r="743">
      <x:c r="A743" t="str">
        <x:v>48</x:v>
      </x:c>
      <x:c r="B743" t="str">
        <x:v>airfuze vape</x:v>
      </x:c>
      <x:c r="C743" t="str">
        <x:v>48</x:v>
      </x:c>
      <x:c r="D743" t="str">
        <x:v>airfuze vape</x:v>
      </x:c>
      <x:c r="E743" t="str">
        <x:v>recommended</x:v>
      </x:c>
      <x:c r="F743" t="n">
        <x:v>2400</x:v>
      </x:c>
      <x:c r="G743" t="n">
        <x:v>6</x:v>
      </x:c>
      <x:c r="H743" t="str">
        <x:v>informational</x:v>
      </x:c>
    </x:row>
    <x:row r="744">
      <x:c r="A744" t="str">
        <x:v>48</x:v>
      </x:c>
      <x:c r="B744" t="str">
        <x:v>airfuze vape</x:v>
      </x:c>
      <x:c r="C744" t="str">
        <x:v>48</x:v>
      </x:c>
      <x:c r="D744" t="str">
        <x:v>airfuze vape addon 40000</x:v>
      </x:c>
      <x:c r="E744" t="str">
        <x:v>recommended</x:v>
      </x:c>
      <x:c r="F744" t="n">
        <x:v>50</x:v>
      </x:c>
      <x:c r="G744" t="n">
        <x:v>8</x:v>
      </x:c>
      <x:c r="H744" t="str">
        <x:v>informational, commercial</x:v>
      </x:c>
    </x:row>
    <x:row r="745">
      <x:c r="A745" t="str">
        <x:v>48</x:v>
      </x:c>
      <x:c r="B745" t="str">
        <x:v>juul compatible pods</x:v>
      </x:c>
      <x:c r="C745" t="str">
        <x:v>48</x:v>
      </x:c>
      <x:c r="D745" t="str">
        <x:v>juul compatible pods</x:v>
      </x:c>
      <x:c r="E745" t="str">
        <x:v>recommended</x:v>
      </x:c>
      <x:c r="F745" t="n">
        <x:v>1900</x:v>
      </x:c>
      <x:c r="G745" t="n">
        <x:v>0</x:v>
      </x:c>
      <x:c r="H745" t="str">
        <x:v>informational</x:v>
      </x:c>
    </x:row>
    <x:row r="746">
      <x:c r="A746" t="str">
        <x:v>48</x:v>
      </x:c>
      <x:c r="B746" t="str">
        <x:v>juul compatible pods</x:v>
      </x:c>
      <x:c r="C746" t="str">
        <x:v>48</x:v>
      </x:c>
      <x:c r="D746" t="str">
        <x:v>jewel vape</x:v>
      </x:c>
      <x:c r="E746" t="str">
        <x:v>recommended</x:v>
      </x:c>
      <x:c r="F746" t="n">
        <x:v>1600</x:v>
      </x:c>
      <x:c r="G746" t="n">
        <x:v>54</x:v>
      </x:c>
      <x:c r="H746" t="str">
        <x:v>informational, commercial</x:v>
      </x:c>
    </x:row>
    <x:row r="747">
      <x:c r="A747" t="str">
        <x:v>48</x:v>
      </x:c>
      <x:c r="B747" t="str">
        <x:v>vaping images</x:v>
      </x:c>
      <x:c r="C747" t="str">
        <x:v>48</x:v>
      </x:c>
      <x:c r="D747" t="str">
        <x:v>vaping images</x:v>
      </x:c>
      <x:c r="E747" t="str">
        <x:v>recommended</x:v>
      </x:c>
      <x:c r="F747" t="n">
        <x:v>1000</x:v>
      </x:c>
      <x:c r="G747" t="n">
        <x:v>26</x:v>
      </x:c>
      <x:c r="H747" t="str">
        <x:v>informational</x:v>
      </x:c>
    </x:row>
    <x:row r="748">
      <x:c r="A748" t="str">
        <x:v>48</x:v>
      </x:c>
      <x:c r="B748" t="str">
        <x:v>vaping images</x:v>
      </x:c>
      <x:c r="C748" t="str">
        <x:v>48</x:v>
      </x:c>
      <x:c r="D748" t="str">
        <x:v>vape images</x:v>
      </x:c>
      <x:c r="E748" t="str">
        <x:v>recommended</x:v>
      </x:c>
      <x:c r="F748" t="n">
        <x:v>880</x:v>
      </x:c>
      <x:c r="G748" t="n">
        <x:v>26</x:v>
      </x:c>
      <x:c r="H748" t="str">
        <x:v>informational</x:v>
      </x:c>
    </x:row>
    <x:row r="749">
      <x:c r="A749" t="str">
        <x:v>48</x:v>
      </x:c>
      <x:c r="B749" t="str">
        <x:v>vaping images</x:v>
      </x:c>
      <x:c r="C749" t="str">
        <x:v>48</x:v>
      </x:c>
      <x:c r="D749" t="str">
        <x:v>pictures of vapes</x:v>
      </x:c>
      <x:c r="E749" t="str">
        <x:v>recommended</x:v>
      </x:c>
      <x:c r="F749" t="n">
        <x:v>590</x:v>
      </x:c>
      <x:c r="G749" t="n">
        <x:v>21</x:v>
      </x:c>
      <x:c r="H749" t="str">
        <x:v>informational</x:v>
      </x:c>
    </x:row>
    <x:row r="750">
      <x:c r="A750" t="str">
        <x:v>48</x:v>
      </x:c>
      <x:c r="B750" t="str">
        <x:v>vaping images</x:v>
      </x:c>
      <x:c r="C750" t="str">
        <x:v>48</x:v>
      </x:c>
      <x:c r="D750" t="str">
        <x:v>images of a vape</x:v>
      </x:c>
      <x:c r="E750" t="str">
        <x:v>recommended</x:v>
      </x:c>
      <x:c r="F750" t="n">
        <x:v>390</x:v>
      </x:c>
      <x:c r="G750" t="n">
        <x:v>24</x:v>
      </x:c>
      <x:c r="H750" t="str">
        <x:v>informational</x:v>
      </x:c>
    </x:row>
    <x:row r="751">
      <x:c r="A751" t="str">
        <x:v>48</x:v>
      </x:c>
      <x:c r="B751" t="str">
        <x:v>vaping images</x:v>
      </x:c>
      <x:c r="C751" t="str">
        <x:v>48</x:v>
      </x:c>
      <x:c r="D751" t="str">
        <x:v>vape image</x:v>
      </x:c>
      <x:c r="E751" t="str">
        <x:v>recommended</x:v>
      </x:c>
      <x:c r="F751" t="n">
        <x:v>320</x:v>
      </x:c>
      <x:c r="G751" t="n">
        <x:v>22</x:v>
      </x:c>
      <x:c r="H751" t="str">
        <x:v>informational</x:v>
      </x:c>
    </x:row>
    <x:row r="752">
      <x:c r="A752" t="str">
        <x:v>48</x:v>
      </x:c>
      <x:c r="B752" t="str">
        <x:v>vaping images</x:v>
      </x:c>
      <x:c r="C752" t="str">
        <x:v>48</x:v>
      </x:c>
      <x:c r="D752" t="str">
        <x:v>vape pic</x:v>
      </x:c>
      <x:c r="E752" t="str">
        <x:v>recommended</x:v>
      </x:c>
      <x:c r="F752" t="n">
        <x:v>260</x:v>
      </x:c>
      <x:c r="G752" t="n">
        <x:v>25</x:v>
      </x:c>
      <x:c r="H752" t="str">
        <x:v>informational</x:v>
      </x:c>
    </x:row>
    <x:row r="753">
      <x:c r="A753" t="str">
        <x:v>48</x:v>
      </x:c>
      <x:c r="B753" t="str">
        <x:v>vaping images</x:v>
      </x:c>
      <x:c r="C753" t="str">
        <x:v>48</x:v>
      </x:c>
      <x:c r="D753" t="str">
        <x:v>vape pics</x:v>
      </x:c>
      <x:c r="E753" t="str">
        <x:v>recommended</x:v>
      </x:c>
      <x:c r="F753" t="n">
        <x:v>40</x:v>
      </x:c>
      <x:c r="G753" t="n">
        <x:v>24</x:v>
      </x:c>
      <x:c r="H753" t="str">
        <x:v>informational</x:v>
      </x:c>
    </x:row>
    <x:row r="754">
      <x:c r="A754" t="str">
        <x:v>48</x:v>
      </x:c>
      <x:c r="B754" t="str">
        <x:v>vaping images</x:v>
      </x:c>
      <x:c r="C754" t="str">
        <x:v>48</x:v>
      </x:c>
      <x:c r="D754" t="str">
        <x:v>vape photos</x:v>
      </x:c>
      <x:c r="E754" t="str">
        <x:v>recommended</x:v>
      </x:c>
      <x:c r="F754" t="n">
        <x:v>40</x:v>
      </x:c>
      <x:c r="G754" t="n">
        <x:v>26</x:v>
      </x:c>
      <x:c r="H754" t="str">
        <x:v>informational</x:v>
      </x:c>
    </x:row>
    <x:row r="755">
      <x:c r="A755" t="str">
        <x:v>48</x:v>
      </x:c>
      <x:c r="B755" t="str">
        <x:v>best tobacco vape juice</x:v>
      </x:c>
      <x:c r="C755" t="str">
        <x:v>48</x:v>
      </x:c>
      <x:c r="D755" t="str">
        <x:v>best tobacco vape juice</x:v>
      </x:c>
      <x:c r="E755" t="str">
        <x:v>recommended</x:v>
      </x:c>
      <x:c r="F755" t="n">
        <x:v>170</x:v>
      </x:c>
      <x:c r="G755" t="n">
        <x:v>14</x:v>
      </x:c>
      <x:c r="H755" t="str">
        <x:v>commercial</x:v>
      </x:c>
    </x:row>
    <x:row r="756">
      <x:c r="A756" t="str">
        <x:v>48</x:v>
      </x:c>
      <x:c r="B756" t="str">
        <x:v>best tobacco vape juice</x:v>
      </x:c>
      <x:c r="C756" t="str">
        <x:v>48</x:v>
      </x:c>
      <x:c r="D756" t="str">
        <x:v>vape tobacco flavor</x:v>
      </x:c>
      <x:c r="E756" t="str">
        <x:v>recommended</x:v>
      </x:c>
      <x:c r="F756" t="n">
        <x:v>110</x:v>
      </x:c>
      <x:c r="G756" t="n">
        <x:v>5</x:v>
      </x:c>
      <x:c r="H756" t="str">
        <x:v>informational, commercial</x:v>
      </x:c>
    </x:row>
    <x:row r="757">
      <x:c r="A757" t="str">
        <x:v>48</x:v>
      </x:c>
      <x:c r="B757" t="str">
        <x:v>best tobacco vape juice</x:v>
      </x:c>
      <x:c r="C757" t="str">
        <x:v>48</x:v>
      </x:c>
      <x:c r="D757" t="str">
        <x:v>tobacco flavour vape</x:v>
      </x:c>
      <x:c r="E757" t="str">
        <x:v>recommended</x:v>
      </x:c>
      <x:c r="F757" t="n">
        <x:v>50</x:v>
      </x:c>
      <x:c r="G757" t="n">
        <x:v>9</x:v>
      </x:c>
      <x:c r="H757" t="str">
        <x:v>informational</x:v>
      </x:c>
    </x:row>
    <x:row r="758">
      <x:c r="A758" t="str">
        <x:v>48</x:v>
      </x:c>
      <x:c r="B758" t="str">
        <x:v>best tobacco vape juice</x:v>
      </x:c>
      <x:c r="C758" t="str">
        <x:v>48</x:v>
      </x:c>
      <x:c r="D758" t="str">
        <x:v>e liquid vape juice</x:v>
      </x:c>
      <x:c r="E758" t="str">
        <x:v>recommended</x:v>
      </x:c>
      <x:c r="F758" t="n">
        <x:v>170</x:v>
      </x:c>
      <x:c r="G758" t="n">
        <x:v>52</x:v>
      </x:c>
      <x:c r="H758" t="str">
        <x:v>commercial</x:v>
      </x:c>
    </x:row>
    <x:row r="759">
      <x:c r="A759" t="str">
        <x:v>48</x:v>
      </x:c>
      <x:c r="B759" t="str">
        <x:v>puff disposable</x:v>
      </x:c>
      <x:c r="C759" t="str">
        <x:v>48</x:v>
      </x:c>
      <x:c r="D759" t="str">
        <x:v>puff disposable</x:v>
      </x:c>
      <x:c r="E759" t="str">
        <x:v>recommended</x:v>
      </x:c>
      <x:c r="F759" t="n">
        <x:v>70</x:v>
      </x:c>
      <x:c r="G759" t="n">
        <x:v>11</x:v>
      </x:c>
      <x:c r="H759" t="str">
        <x:v>commercial</x:v>
      </x:c>
    </x:row>
    <x:row r="760">
      <x:c r="A760" t="str">
        <x:v>48</x:v>
      </x:c>
      <x:c r="B760" t="str">
        <x:v>puff disposable</x:v>
      </x:c>
      <x:c r="C760" t="str">
        <x:v>48</x:v>
      </x:c>
      <x:c r="D760" t="str">
        <x:v>puff vape pen</x:v>
      </x:c>
      <x:c r="E760" t="str">
        <x:v>recommended</x:v>
      </x:c>
      <x:c r="F760" t="n">
        <x:v>40</x:v>
      </x:c>
      <x:c r="G760" t="n">
        <x:v>30</x:v>
      </x:c>
      <x:c r="H760" t="str">
        <x:v>informational, transactional</x:v>
      </x:c>
    </x:row>
    <x:row r="761">
      <x:c r="A761" t="str">
        <x:v>48</x:v>
      </x:c>
      <x:c r="B761" t="str">
        <x:v>puff disposable</x:v>
      </x:c>
      <x:c r="C761" t="str">
        <x:v>48</x:v>
      </x:c>
      <x:c r="D761" t="str">
        <x:v>spaceman vape near me</x:v>
      </x:c>
      <x:c r="E761" t="str">
        <x:v>recommended</x:v>
      </x:c>
      <x:c r="F761" t="n">
        <x:v>70</x:v>
      </x:c>
      <x:c r="G761" t="n">
        <x:v>4</x:v>
      </x:c>
      <x:c r="H761" t="str">
        <x:v>transactional</x:v>
      </x:c>
    </x:row>
    <x:row r="762">
      <x:c r="A762" t="str">
        <x:v>48</x:v>
      </x:c>
      <x:c r="B762" t="str">
        <x:v>berry menthol vape review</x:v>
      </x:c>
      <x:c r="C762" t="str">
        <x:v>48</x:v>
      </x:c>
      <x:c r="D762" t="str">
        <x:v>berry menthol vape review</x:v>
      </x:c>
      <x:c r="E762" t="str">
        <x:v>recommended</x:v>
      </x:c>
      <x:c r="F762" t="n">
        <x:v>0</x:v>
      </x:c>
      <x:c r="G762" t="n">
        <x:v>0</x:v>
      </x:c>
      <x:c r="H762" t="str">
        <x:v>48</x:v>
      </x:c>
    </x:row>
    <x:row r="763">
      <x:c r="A763" t="str">
        <x:v>48</x:v>
      </x:c>
      <x:c r="B763" t="str">
        <x:v>berry menthol vape review</x:v>
      </x:c>
      <x:c r="C763" t="str">
        <x:v>48</x:v>
      </x:c>
      <x:c r="D763" t="str">
        <x:v>berry vape flavor review</x:v>
      </x:c>
      <x:c r="E763" t="str">
        <x:v>recommended</x:v>
      </x:c>
      <x:c r="F763" t="n">
        <x:v>0</x:v>
      </x:c>
      <x:c r="G763" t="n">
        <x:v>0</x:v>
      </x:c>
      <x:c r="H763" t="str">
        <x:v>48</x:v>
      </x:c>
    </x:row>
    <x:row r="764">
      <x:c r="A764" t="str">
        <x:v>48</x:v>
      </x:c>
      <x:c r="B764" t="str">
        <x:v>exdivo flora 40k watermelon ice review</x:v>
      </x:c>
      <x:c r="C764" t="str">
        <x:v>48</x:v>
      </x:c>
      <x:c r="D764" t="str">
        <x:v>exdivo kuz 25k strawberry watermelon review</x:v>
      </x:c>
      <x:c r="E764" t="str">
        <x:v>recommended</x:v>
      </x:c>
      <x:c r="F764" t="n">
        <x:v>0</x:v>
      </x:c>
      <x:c r="G764" t="n">
        <x:v>0</x:v>
      </x:c>
      <x:c r="H764" t="str">
        <x:v>48</x:v>
      </x:c>
    </x:row>
    <x:row r="765">
      <x:c r="A765" t="str">
        <x:v>48</x:v>
      </x:c>
      <x:c r="B765" t="str">
        <x:v>exdivo flora 40k watermelon ice review</x:v>
      </x:c>
      <x:c r="C765" t="str">
        <x:v>48</x:v>
      </x:c>
      <x:c r="D765" t="str">
        <x:v>exdivo flora 40k watermelon ice review</x:v>
      </x:c>
      <x:c r="E765" t="str">
        <x:v>recommended</x:v>
      </x:c>
      <x:c r="F765" t="n">
        <x:v>0</x:v>
      </x:c>
      <x:c r="G765" t="n">
        <x:v>0</x:v>
      </x:c>
      <x:c r="H765" t="str">
        <x:v>48</x:v>
      </x:c>
    </x:row>
    <x:row r="766">
      <x:c r="A766" t="str">
        <x:v>48</x:v>
      </x:c>
      <x:c r="B766" t="str">
        <x:v>exdivo flora 40k watermelon ice review</x:v>
      </x:c>
      <x:c r="C766" t="str">
        <x:v>48</x:v>
      </x:c>
      <x:c r="D766" t="str">
        <x:v>exdivo kuz flavor reviews</x:v>
      </x:c>
      <x:c r="E766" t="str">
        <x:v>recommended</x:v>
      </x:c>
      <x:c r="F766" t="n">
        <x:v>0</x:v>
      </x:c>
      <x:c r="G766" t="n">
        <x:v>0</x:v>
      </x:c>
      <x:c r="H766" t="str">
        <x:v>48</x:v>
      </x:c>
    </x:row>
    <x:row r="767">
      <x:c r="A767" t="str">
        <x:v>48</x:v>
      </x:c>
      <x:c r="B767" t="str">
        <x:v>exdivo flora 40k watermelon ice review</x:v>
      </x:c>
      <x:c r="C767" t="str">
        <x:v>48</x:v>
      </x:c>
      <x:c r="D767" t="str">
        <x:v>exdivo kuz lemon lime</x:v>
      </x:c>
      <x:c r="E767" t="str">
        <x:v>recommended</x:v>
      </x:c>
      <x:c r="F767" t="n">
        <x:v>0</x:v>
      </x:c>
      <x:c r="G767" t="n">
        <x:v>0</x:v>
      </x:c>
      <x:c r="H767" t="str">
        <x:v>48</x:v>
      </x:c>
    </x:row>
    <x:row r="768">
      <x:c r="A768" t="str">
        <x:v>48</x:v>
      </x:c>
      <x:c r="B768" t="str">
        <x:v>exdivo flora 40k watermelon ice review</x:v>
      </x:c>
      <x:c r="C768" t="str">
        <x:v>48</x:v>
      </x:c>
      <x:c r="D768" t="str">
        <x:v>exdivo flora flavor review</x:v>
      </x:c>
      <x:c r="E768" t="str">
        <x:v>recommended</x:v>
      </x:c>
      <x:c r="F768" t="n">
        <x:v>0</x:v>
      </x:c>
      <x:c r="G768" t="n">
        <x:v>0</x:v>
      </x:c>
      <x:c r="H768" t="str">
        <x:v>48</x:v>
      </x:c>
    </x:row>
    <x:row r="769">
      <x:c r="A769" t="str">
        <x:v>48</x:v>
      </x:c>
      <x:c r="B769" t="str">
        <x:v>tobacco vape</x:v>
      </x:c>
      <x:c r="C769" t="str">
        <x:v>48</x:v>
      </x:c>
      <x:c r="D769" t="str">
        <x:v>how much are vapes</x:v>
      </x:c>
      <x:c r="E769" t="str">
        <x:v>recommended</x:v>
      </x:c>
      <x:c r="F769" t="n">
        <x:v>1600</x:v>
      </x:c>
      <x:c r="G769" t="n">
        <x:v>19</x:v>
      </x:c>
      <x:c r="H769" t="str">
        <x:v>informational</x:v>
      </x:c>
    </x:row>
    <x:row r="770">
      <x:c r="A770" t="str">
        <x:v>48</x:v>
      </x:c>
      <x:c r="B770" t="str">
        <x:v>tobacco vape</x:v>
      </x:c>
      <x:c r="C770" t="str">
        <x:v>48</x:v>
      </x:c>
      <x:c r="D770" t="str">
        <x:v>what is the best vape brand</x:v>
      </x:c>
      <x:c r="E770" t="str">
        <x:v>recommended</x:v>
      </x:c>
      <x:c r="F770" t="n">
        <x:v>170</x:v>
      </x:c>
      <x:c r="G770" t="n">
        <x:v>15</x:v>
      </x:c>
      <x:c r="H770" t="str">
        <x:v>commercial</x:v>
      </x:c>
    </x:row>
    <x:row r="771">
      <x:c r="A771" t="str">
        <x:v>48</x:v>
      </x:c>
      <x:c r="B771" t="str">
        <x:v>tobacco vape</x:v>
      </x:c>
      <x:c r="C771" t="str">
        <x:v>48</x:v>
      </x:c>
      <x:c r="D771" t="str">
        <x:v>how much does a disposable vape cost</x:v>
      </x:c>
      <x:c r="E771" t="str">
        <x:v>recommended</x:v>
      </x:c>
      <x:c r="F771" t="n">
        <x:v>70</x:v>
      </x:c>
      <x:c r="G771" t="n">
        <x:v>15</x:v>
      </x:c>
      <x:c r="H771" t="str">
        <x:v>informational</x:v>
      </x:c>
    </x:row>
    <x:row r="772">
      <x:c r="A772" t="str">
        <x:v>48</x:v>
      </x:c>
      <x:c r="B772" t="str">
        <x:v>tobacco vape</x:v>
      </x:c>
      <x:c r="C772" t="str">
        <x:v>48</x:v>
      </x:c>
      <x:c r="D772" t="str">
        <x:v>which vape is the best</x:v>
      </x:c>
      <x:c r="E772" t="str">
        <x:v>recommended</x:v>
      </x:c>
      <x:c r="F772" t="n">
        <x:v>70</x:v>
      </x:c>
      <x:c r="G772" t="n">
        <x:v>18</x:v>
      </x:c>
      <x:c r="H772" t="str">
        <x:v>commercial</x:v>
      </x:c>
    </x:row>
    <x:row r="773">
      <x:c r="A773" t="str">
        <x:v>48</x:v>
      </x:c>
      <x:c r="B773" t="str">
        <x:v>tobacco vape</x:v>
      </x:c>
      <x:c r="C773" t="str">
        <x:v>48</x:v>
      </x:c>
      <x:c r="D773" t="str">
        <x:v>how much is a vape disposable</x:v>
      </x:c>
      <x:c r="E773" t="str">
        <x:v>recommended</x:v>
      </x:c>
      <x:c r="F773" t="n">
        <x:v>70</x:v>
      </x:c>
      <x:c r="G773" t="n">
        <x:v>32</x:v>
      </x:c>
      <x:c r="H773" t="str">
        <x:v>informational</x:v>
      </x:c>
    </x:row>
    <x:row r="774">
      <x:c r="A774" t="str">
        <x:v>48</x:v>
      </x:c>
      <x:c r="B774" t="str">
        <x:v>tobacco vape</x:v>
      </x:c>
      <x:c r="C774" t="str">
        <x:v>48</x:v>
      </x:c>
      <x:c r="D774" t="str">
        <x:v>which vape to buy</x:v>
      </x:c>
      <x:c r="E774" t="str">
        <x:v>recommended</x:v>
      </x:c>
      <x:c r="F774" t="n">
        <x:v>50</x:v>
      </x:c>
      <x:c r="G774" t="n">
        <x:v>22</x:v>
      </x:c>
      <x:c r="H774" t="str">
        <x:v>commercial</x:v>
      </x:c>
    </x:row>
    <x:row r="775">
      <x:c r="A775" t="str">
        <x:v>48</x:v>
      </x:c>
      <x:c r="B775" t="str">
        <x:v>tobacco vape</x:v>
      </x:c>
      <x:c r="C775" t="str">
        <x:v>48</x:v>
      </x:c>
      <x:c r="D775" t="str">
        <x:v>what is the best nicotine vape</x:v>
      </x:c>
      <x:c r="E775" t="str">
        <x:v>recommended</x:v>
      </x:c>
      <x:c r="F775" t="n">
        <x:v>50</x:v>
      </x:c>
      <x:c r="G775" t="n">
        <x:v>26</x:v>
      </x:c>
      <x:c r="H775" t="str">
        <x:v>commercial</x:v>
      </x:c>
    </x:row>
    <x:row r="776">
      <x:c r="A776" t="str">
        <x:v>48</x:v>
      </x:c>
      <x:c r="B776" t="str">
        <x:v>tobacco vape</x:v>
      </x:c>
      <x:c r="C776" t="str">
        <x:v>48</x:v>
      </x:c>
      <x:c r="D776" t="str">
        <x:v>how to get a vape</x:v>
      </x:c>
      <x:c r="E776" t="str">
        <x:v>recommended</x:v>
      </x:c>
      <x:c r="F776" t="n">
        <x:v>170</x:v>
      </x:c>
      <x:c r="G776" t="n">
        <x:v>66</x:v>
      </x:c>
      <x:c r="H776" t="str">
        <x:v>informational</x:v>
      </x:c>
    </x:row>
    <x:row r="777">
      <x:c r="A777" t="str">
        <x:v>48</x:v>
      </x:c>
      <x:c r="B777" t="str">
        <x:v>tobacco vape</x:v>
      </x:c>
      <x:c r="C777" t="str">
        <x:v>48</x:v>
      </x:c>
      <x:c r="D777" t="str">
        <x:v>where to buy a vape online</x:v>
      </x:c>
      <x:c r="E777" t="str">
        <x:v>recommended</x:v>
      </x:c>
      <x:c r="F777" t="n">
        <x:v>260</x:v>
      </x:c>
      <x:c r="G777" t="n">
        <x:v>79</x:v>
      </x:c>
      <x:c r="H777" t="str">
        <x:v>transactional</x:v>
      </x:c>
    </x:row>
    <x:row r="778">
      <x:c r="A778" t="str">
        <x:v>48</x:v>
      </x:c>
      <x:c r="B778" t="str">
        <x:v>tobacco vape</x:v>
      </x:c>
      <x:c r="C778" t="str">
        <x:v>48</x:v>
      </x:c>
      <x:c r="D778" t="str">
        <x:v>can you buy disposable vapes online</x:v>
      </x:c>
      <x:c r="E778" t="str">
        <x:v>recommended</x:v>
      </x:c>
      <x:c r="F778" t="n">
        <x:v>90</x:v>
      </x:c>
      <x:c r="G778" t="n">
        <x:v>50</x:v>
      </x:c>
      <x:c r="H778" t="str">
        <x:v>informational</x:v>
      </x:c>
    </x:row>
    <x:row r="779">
      <x:c r="A779" t="str">
        <x:v>48</x:v>
      </x:c>
      <x:c r="B779" t="str">
        <x:v>tobacco vape</x:v>
      </x:c>
      <x:c r="C779" t="str">
        <x:v>48</x:v>
      </x:c>
      <x:c r="D779" t="str">
        <x:v>can you order disposable vapes online</x:v>
      </x:c>
      <x:c r="E779" t="str">
        <x:v>recommended</x:v>
      </x:c>
      <x:c r="F779" t="n">
        <x:v>70</x:v>
      </x:c>
      <x:c r="G779" t="n">
        <x:v>58</x:v>
      </x:c>
      <x:c r="H779" t="str">
        <x:v>informational, transactional</x:v>
      </x:c>
    </x:row>
    <x:row r="780">
      <x:c r="A780" t="str">
        <x:v>48</x:v>
      </x:c>
      <x:c r="B780" t="str">
        <x:v>tobacco vape</x:v>
      </x:c>
      <x:c r="C780" t="str">
        <x:v>48</x:v>
      </x:c>
      <x:c r="D780" t="str">
        <x:v>where to get vapes</x:v>
      </x:c>
      <x:c r="E780" t="str">
        <x:v>recommended</x:v>
      </x:c>
      <x:c r="F780" t="n">
        <x:v>110</x:v>
      </x:c>
      <x:c r="G780" t="n">
        <x:v>76</x:v>
      </x:c>
      <x:c r="H780" t="str">
        <x:v>transactional</x:v>
      </x:c>
    </x:row>
    <x:row r="781">
      <x:c r="A781" t="str">
        <x:v>48</x:v>
      </x:c>
      <x:c r="B781" t="str">
        <x:v>tobacco vape</x:v>
      </x:c>
      <x:c r="C781" t="str">
        <x:v>48</x:v>
      </x:c>
      <x:c r="D781" t="str">
        <x:v>how to buy a vape online</x:v>
      </x:c>
      <x:c r="E781" t="str">
        <x:v>recommended</x:v>
      </x:c>
      <x:c r="F781" t="n">
        <x:v>90</x:v>
      </x:c>
      <x:c r="G781" t="n">
        <x:v>71</x:v>
      </x:c>
      <x:c r="H781" t="str">
        <x:v>informational</x:v>
      </x:c>
    </x:row>
    <x:row r="782">
      <x:c r="A782" t="str">
        <x:v>48</x:v>
      </x:c>
      <x:c r="B782" t="str">
        <x:v>tobacco vape</x:v>
      </x:c>
      <x:c r="C782" t="str">
        <x:v>48</x:v>
      </x:c>
      <x:c r="D782" t="str">
        <x:v>where to get vapes online</x:v>
      </x:c>
      <x:c r="E782" t="str">
        <x:v>recommended</x:v>
      </x:c>
      <x:c r="F782" t="n">
        <x:v>40</x:v>
      </x:c>
      <x:c r="G782" t="n">
        <x:v>74</x:v>
      </x:c>
      <x:c r="H782" t="str">
        <x:v>transactional</x:v>
      </x:c>
    </x:row>
    <x:row r="783">
      <x:c r="A783" t="str">
        <x:v>48</x:v>
      </x:c>
      <x:c r="B783" t="str">
        <x:v>tobacco vape</x:v>
      </x:c>
      <x:c r="C783" t="str">
        <x:v>48</x:v>
      </x:c>
      <x:c r="D783" t="str">
        <x:v>tobacco vape</x:v>
      </x:c>
      <x:c r="E783" t="str">
        <x:v>recommended</x:v>
      </x:c>
      <x:c r="F783" t="n">
        <x:v>2900</x:v>
      </x:c>
      <x:c r="G783" t="n">
        <x:v>23</x:v>
      </x:c>
      <x:c r="H783" t="str">
        <x:v>commercial</x:v>
      </x:c>
    </x:row>
    <x:row r="784">
      <x:c r="A784" t="str">
        <x:v>48</x:v>
      </x:c>
      <x:c r="B784" t="str">
        <x:v>tobacco vape</x:v>
      </x:c>
      <x:c r="C784" t="str">
        <x:v>48</x:v>
      </x:c>
      <x:c r="D784" t="str">
        <x:v>vapes made in usa</x:v>
      </x:c>
      <x:c r="E784" t="str">
        <x:v>recommended</x:v>
      </x:c>
      <x:c r="F784" t="n">
        <x:v>1300</x:v>
      </x:c>
      <x:c r="G784" t="n">
        <x:v>3</x:v>
      </x:c>
      <x:c r="H784" t="str">
        <x:v>informational</x:v>
      </x:c>
    </x:row>
    <x:row r="785">
      <x:c r="A785" t="str">
        <x:v>48</x:v>
      </x:c>
      <x:c r="B785" t="str">
        <x:v>tobacco vape</x:v>
      </x:c>
      <x:c r="C785" t="str">
        <x:v>48</x:v>
      </x:c>
      <x:c r="D785" t="str">
        <x:v>vape mod</x:v>
      </x:c>
      <x:c r="E785" t="str">
        <x:v>recommended</x:v>
      </x:c>
      <x:c r="F785" t="n">
        <x:v>3600</x:v>
      </x:c>
      <x:c r="G785" t="n">
        <x:v>30</x:v>
      </x:c>
      <x:c r="H785" t="str">
        <x:v>informational, commercial</x:v>
      </x:c>
    </x:row>
    <x:row r="786">
      <x:c r="A786" t="str">
        <x:v>48</x:v>
      </x:c>
      <x:c r="B786" t="str">
        <x:v>tobacco vape</x:v>
      </x:c>
      <x:c r="C786" t="str">
        <x:v>48</x:v>
      </x:c>
      <x:c r="D786" t="str">
        <x:v>modded vapes</x:v>
      </x:c>
      <x:c r="E786" t="str">
        <x:v>recommended</x:v>
      </x:c>
      <x:c r="F786" t="n">
        <x:v>4400</x:v>
      </x:c>
      <x:c r="G786" t="n">
        <x:v>35</x:v>
      </x:c>
      <x:c r="H786" t="str">
        <x:v>commercial</x:v>
      </x:c>
    </x:row>
    <x:row r="787">
      <x:c r="A787" t="str">
        <x:v>48</x:v>
      </x:c>
      <x:c r="B787" t="str">
        <x:v>tobacco vape</x:v>
      </x:c>
      <x:c r="C787" t="str">
        <x:v>48</x:v>
      </x:c>
      <x:c r="D787" t="str">
        <x:v>nicotine vape</x:v>
      </x:c>
      <x:c r="E787" t="str">
        <x:v>recommended</x:v>
      </x:c>
      <x:c r="F787" t="n">
        <x:v>9900</x:v>
      </x:c>
      <x:c r="G787" t="n">
        <x:v>66</x:v>
      </x:c>
      <x:c r="H787" t="str">
        <x:v>informational</x:v>
      </x:c>
    </x:row>
    <x:row r="788">
      <x:c r="A788" t="str">
        <x:v>48</x:v>
      </x:c>
      <x:c r="B788" t="str">
        <x:v>tobacco vape</x:v>
      </x:c>
      <x:c r="C788" t="str">
        <x:v>48</x:v>
      </x:c>
      <x:c r="D788" t="str">
        <x:v>best vape mods</x:v>
      </x:c>
      <x:c r="E788" t="str">
        <x:v>recommended</x:v>
      </x:c>
      <x:c r="F788" t="n">
        <x:v>1300</x:v>
      </x:c>
      <x:c r="G788" t="n">
        <x:v>23</x:v>
      </x:c>
      <x:c r="H788" t="str">
        <x:v>commercial</x:v>
      </x:c>
    </x:row>
    <x:row r="789">
      <x:c r="A789" t="str">
        <x:v>48</x:v>
      </x:c>
      <x:c r="B789" t="str">
        <x:v>tobacco vape</x:v>
      </x:c>
      <x:c r="C789" t="str">
        <x:v>48</x:v>
      </x:c>
      <x:c r="D789" t="str">
        <x:v>vape store</x:v>
      </x:c>
      <x:c r="E789" t="str">
        <x:v>recommended</x:v>
      </x:c>
      <x:c r="F789" t="n">
        <x:v>60500</x:v>
      </x:c>
      <x:c r="G789" t="n">
        <x:v>88</x:v>
      </x:c>
      <x:c r="H789" t="str">
        <x:v>commercial</x:v>
      </x:c>
    </x:row>
    <x:row r="790">
      <x:c r="A790" t="str">
        <x:v>48</x:v>
      </x:c>
      <x:c r="B790" t="str">
        <x:v>tobacco vape</x:v>
      </x:c>
      <x:c r="C790" t="str">
        <x:v>48</x:v>
      </x:c>
      <x:c r="D790" t="str">
        <x:v>geek vape disposable</x:v>
      </x:c>
      <x:c r="E790" t="str">
        <x:v>recommended</x:v>
      </x:c>
      <x:c r="F790" t="n">
        <x:v>1000</x:v>
      </x:c>
      <x:c r="G790" t="n">
        <x:v>21</x:v>
      </x:c>
      <x:c r="H790" t="str">
        <x:v>informational</x:v>
      </x:c>
    </x:row>
    <x:row r="791">
      <x:c r="A791" t="str">
        <x:v>48</x:v>
      </x:c>
      <x:c r="B791" t="str">
        <x:v>tobacco vape</x:v>
      </x:c>
      <x:c r="C791" t="str">
        <x:v>48</x:v>
      </x:c>
      <x:c r="D791" t="str">
        <x:v>best nicotine vape</x:v>
      </x:c>
      <x:c r="E791" t="str">
        <x:v>recommended</x:v>
      </x:c>
      <x:c r="F791" t="n">
        <x:v>1600</x:v>
      </x:c>
      <x:c r="G791" t="n">
        <x:v>32</x:v>
      </x:c>
      <x:c r="H791" t="str">
        <x:v>commercial</x:v>
      </x:c>
    </x:row>
    <x:row r="792">
      <x:c r="A792" t="str">
        <x:v>48</x:v>
      </x:c>
      <x:c r="B792" t="str">
        <x:v>tobacco vape</x:v>
      </x:c>
      <x:c r="C792" t="str">
        <x:v>48</x:v>
      </x:c>
      <x:c r="D792" t="str">
        <x:v>online vape shop</x:v>
      </x:c>
      <x:c r="E792" t="str">
        <x:v>recommended</x:v>
      </x:c>
      <x:c r="F792" t="n">
        <x:v>12100</x:v>
      </x:c>
      <x:c r="G792" t="n">
        <x:v>86</x:v>
      </x:c>
      <x:c r="H792" t="str">
        <x:v>informational</x:v>
      </x:c>
    </x:row>
    <x:row r="793">
      <x:c r="A793" t="str">
        <x:v>48</x:v>
      </x:c>
      <x:c r="B793" t="str">
        <x:v>tobacco vape</x:v>
      </x:c>
      <x:c r="C793" t="str">
        <x:v>48</x:v>
      </x:c>
      <x:c r="D793" t="str">
        <x:v>vapid vapes</x:v>
      </x:c>
      <x:c r="E793" t="str">
        <x:v>recommended</x:v>
      </x:c>
      <x:c r="F793" t="n">
        <x:v>1300</x:v>
      </x:c>
      <x:c r="G793" t="n">
        <x:v>31</x:v>
      </x:c>
      <x:c r="H793" t="str">
        <x:v>informational</x:v>
      </x:c>
    </x:row>
    <x:row r="794">
      <x:c r="A794" t="str">
        <x:v>48</x:v>
      </x:c>
      <x:c r="B794" t="str">
        <x:v>tobacco vape</x:v>
      </x:c>
      <x:c r="C794" t="str">
        <x:v>48</x:v>
      </x:c>
      <x:c r="D794" t="str">
        <x:v>good e cigarettes</x:v>
      </x:c>
      <x:c r="E794" t="str">
        <x:v>recommended</x:v>
      </x:c>
      <x:c r="F794" t="n">
        <x:v>1000</x:v>
      </x:c>
      <x:c r="G794" t="n">
        <x:v>25</x:v>
      </x:c>
      <x:c r="H794" t="str">
        <x:v>informational, commercial</x:v>
      </x:c>
    </x:row>
    <x:row r="795">
      <x:c r="A795" t="str">
        <x:v>48</x:v>
      </x:c>
      <x:c r="B795" t="str">
        <x:v>tobacco vape</x:v>
      </x:c>
      <x:c r="C795" t="str">
        <x:v>48</x:v>
      </x:c>
      <x:c r="D795" t="str">
        <x:v>e cigarette brands</x:v>
      </x:c>
      <x:c r="E795" t="str">
        <x:v>recommended</x:v>
      </x:c>
      <x:c r="F795" t="n">
        <x:v>1000</x:v>
      </x:c>
      <x:c r="G795" t="n">
        <x:v>32</x:v>
      </x:c>
      <x:c r="H795" t="str">
        <x:v>informational, commercial</x:v>
      </x:c>
    </x:row>
    <x:row r="796">
      <x:c r="A796" t="str">
        <x:v>48</x:v>
      </x:c>
      <x:c r="B796" t="str">
        <x:v>tobacco vape</x:v>
      </x:c>
      <x:c r="C796" t="str">
        <x:v>48</x:v>
      </x:c>
      <x:c r="D796" t="str">
        <x:v>vape tank</x:v>
      </x:c>
      <x:c r="E796" t="str">
        <x:v>recommended</x:v>
      </x:c>
      <x:c r="F796" t="n">
        <x:v>1600</x:v>
      </x:c>
      <x:c r="G796" t="n">
        <x:v>39</x:v>
      </x:c>
      <x:c r="H796" t="str">
        <x:v>commercial</x:v>
      </x:c>
    </x:row>
    <x:row r="797">
      <x:c r="A797" t="str">
        <x:v>48</x:v>
      </x:c>
      <x:c r="B797" t="str">
        <x:v>tobacco vape</x:v>
      </x:c>
      <x:c r="C797" t="str">
        <x:v>48</x:v>
      </x:c>
      <x:c r="D797" t="str">
        <x:v>rechargeable vape</x:v>
      </x:c>
      <x:c r="E797" t="str">
        <x:v>recommended</x:v>
      </x:c>
      <x:c r="F797" t="n">
        <x:v>720</x:v>
      </x:c>
      <x:c r="G797" t="n">
        <x:v>33</x:v>
      </x:c>
      <x:c r="H797" t="str">
        <x:v>informational</x:v>
      </x:c>
    </x:row>
    <x:row r="798">
      <x:c r="A798" t="str">
        <x:v>48</x:v>
      </x:c>
      <x:c r="B798" t="str">
        <x:v>tobacco vape</x:v>
      </x:c>
      <x:c r="C798" t="str">
        <x:v>48</x:v>
      </x:c>
      <x:c r="D798" t="str">
        <x:v>cheapest disposable vapes</x:v>
      </x:c>
      <x:c r="E798" t="str">
        <x:v>recommended</x:v>
      </x:c>
      <x:c r="F798" t="n">
        <x:v>390</x:v>
      </x:c>
      <x:c r="G798" t="n">
        <x:v>17</x:v>
      </x:c>
      <x:c r="H798" t="str">
        <x:v>informational, commercial</x:v>
      </x:c>
    </x:row>
    <x:row r="799">
      <x:c r="A799" t="str">
        <x:v>48</x:v>
      </x:c>
      <x:c r="B799" t="str">
        <x:v>razz vape flavors</x:v>
      </x:c>
      <x:c r="C799" t="str">
        <x:v>48</x:v>
      </x:c>
      <x:c r="D799" t="str">
        <x:v>razz vape flavors</x:v>
      </x:c>
      <x:c r="E799" t="str">
        <x:v>recommended</x:v>
      </x:c>
      <x:c r="F799" t="n">
        <x:v>1000</x:v>
      </x:c>
      <x:c r="G799" t="n">
        <x:v>15</x:v>
      </x:c>
      <x:c r="H799" t="str">
        <x:v>informational, commercial</x:v>
      </x:c>
    </x:row>
    <x:row r="800">
      <x:c r="A800" t="str">
        <x:v>48</x:v>
      </x:c>
      <x:c r="B800" t="str">
        <x:v>razz vape flavors</x:v>
      </x:c>
      <x:c r="C800" t="str">
        <x:v>48</x:v>
      </x:c>
      <x:c r="D800" t="str">
        <x:v>raz disposable vape</x:v>
      </x:c>
      <x:c r="E800" t="str">
        <x:v>recommended</x:v>
      </x:c>
      <x:c r="F800" t="n">
        <x:v>1600</x:v>
      </x:c>
      <x:c r="G800" t="n">
        <x:v>14</x:v>
      </x:c>
      <x:c r="H800" t="str">
        <x:v>commercial</x:v>
      </x:c>
    </x:row>
    <x:row r="801">
      <x:c r="A801" t="str">
        <x:v>48</x:v>
      </x:c>
      <x:c r="B801" t="str">
        <x:v>razz vape flavors</x:v>
      </x:c>
      <x:c r="C801" t="str">
        <x:v>48</x:v>
      </x:c>
      <x:c r="D801" t="str">
        <x:v>mint raz vape</x:v>
      </x:c>
      <x:c r="E801" t="str">
        <x:v>recommended</x:v>
      </x:c>
      <x:c r="F801" t="n">
        <x:v>140</x:v>
      </x:c>
      <x:c r="G801" t="n">
        <x:v>0</x:v>
      </x:c>
      <x:c r="H801" t="str">
        <x:v>informational</x:v>
      </x:c>
    </x:row>
    <x:row r="802">
      <x:c r="A802" t="str">
        <x:v>48</x:v>
      </x:c>
      <x:c r="B802" t="str">
        <x:v>razz vape flavors</x:v>
      </x:c>
      <x:c r="C802" t="str">
        <x:v>48</x:v>
      </x:c>
      <x:c r="D802" t="str">
        <x:v>vapes raz</x:v>
      </x:c>
      <x:c r="E802" t="str">
        <x:v>recommended</x:v>
      </x:c>
      <x:c r="F802" t="n">
        <x:v>320</x:v>
      </x:c>
      <x:c r="G802" t="n">
        <x:v>20</x:v>
      </x:c>
      <x:c r="H802" t="str">
        <x:v>commercial</x:v>
      </x:c>
    </x:row>
    <x:row r="803">
      <x:c r="A803" t="str">
        <x:v>48</x:v>
      </x:c>
      <x:c r="B803" t="str">
        <x:v>razz vape flavors</x:v>
      </x:c>
      <x:c r="C803" t="str">
        <x:v>48</x:v>
      </x:c>
      <x:c r="D803" t="str">
        <x:v>blueberry razz vape</x:v>
      </x:c>
      <x:c r="E803" t="str">
        <x:v>recommended</x:v>
      </x:c>
      <x:c r="F803" t="n">
        <x:v>140</x:v>
      </x:c>
      <x:c r="G803" t="n">
        <x:v>1</x:v>
      </x:c>
      <x:c r="H803" t="str">
        <x:v>informational</x:v>
      </x:c>
    </x:row>
    <x:row r="804">
      <x:c r="A804" t="str">
        <x:v>48</x:v>
      </x:c>
      <x:c r="B804" t="str">
        <x:v>razz vape flavors</x:v>
      </x:c>
      <x:c r="C804" t="str">
        <x:v>48</x:v>
      </x:c>
      <x:c r="D804" t="str">
        <x:v>raz 25000 puff</x:v>
      </x:c>
      <x:c r="E804" t="str">
        <x:v>recommended</x:v>
      </x:c>
      <x:c r="F804" t="n">
        <x:v>90</x:v>
      </x:c>
      <x:c r="G804" t="n">
        <x:v>4</x:v>
      </x:c>
      <x:c r="H804" t="str">
        <x:v>commercial</x:v>
      </x:c>
    </x:row>
    <x:row r="805">
      <x:c r="A805" t="str">
        <x:v>48</x:v>
      </x:c>
      <x:c r="B805" t="str">
        <x:v>razz vape flavors</x:v>
      </x:c>
      <x:c r="C805" t="str">
        <x:v>48</x:v>
      </x:c>
      <x:c r="D805" t="str">
        <x:v>raz tobacco vape 25000</x:v>
      </x:c>
      <x:c r="E805" t="str">
        <x:v>recommended</x:v>
      </x:c>
      <x:c r="F805" t="n">
        <x:v>90</x:v>
      </x:c>
      <x:c r="G805" t="n">
        <x:v>7</x:v>
      </x:c>
      <x:c r="H805" t="str">
        <x:v>informational</x:v>
      </x:c>
    </x:row>
    <x:row r="806">
      <x:c r="A806" t="str">
        <x:v>48</x:v>
      </x:c>
      <x:c r="B806" t="str">
        <x:v>razz vape flavors</x:v>
      </x:c>
      <x:c r="C806" t="str">
        <x:v>48</x:v>
      </x:c>
      <x:c r="D806" t="str">
        <x:v>raz dc25000 disposable vape</x:v>
      </x:c>
      <x:c r="E806" t="str">
        <x:v>recommended</x:v>
      </x:c>
      <x:c r="F806" t="n">
        <x:v>90</x:v>
      </x:c>
      <x:c r="G806" t="n">
        <x:v>1</x:v>
      </x:c>
      <x:c r="H806" t="str">
        <x:v>informational, commercial</x:v>
      </x:c>
    </x:row>
    <x:row r="807">
      <x:c r="A807" t="str">
        <x:v>48</x:v>
      </x:c>
      <x:c r="B807" t="str">
        <x:v>razz vape flavors</x:v>
      </x:c>
      <x:c r="C807" t="str">
        <x:v>48</x:v>
      </x:c>
      <x:c r="D807" t="str">
        <x:v>blueberry watermelon raz vape</x:v>
      </x:c>
      <x:c r="E807" t="str">
        <x:v>recommended</x:v>
      </x:c>
      <x:c r="F807" t="n">
        <x:v>170</x:v>
      </x:c>
      <x:c r="G807" t="n">
        <x:v>3</x:v>
      </x:c>
      <x:c r="H807" t="str">
        <x:v>informational</x:v>
      </x:c>
    </x:row>
    <x:row r="808">
      <x:c r="A808" t="str">
        <x:v>48</x:v>
      </x:c>
      <x:c r="B808" t="str">
        <x:v>razz vape flavors</x:v>
      </x:c>
      <x:c r="C808" t="str">
        <x:v>48</x:v>
      </x:c>
      <x:c r="D808" t="str">
        <x:v>raz disposable vape 25000</x:v>
      </x:c>
      <x:c r="E808" t="str">
        <x:v>recommended</x:v>
      </x:c>
      <x:c r="F808" t="n">
        <x:v>70</x:v>
      </x:c>
      <x:c r="G808" t="n">
        <x:v>8</x:v>
      </x:c>
      <x:c r="H808" t="str">
        <x:v>informational</x:v>
      </x:c>
    </x:row>
    <x:row r="809">
      <x:c r="A809" t="str">
        <x:v>48</x:v>
      </x:c>
      <x:c r="B809" t="str">
        <x:v>razz vape flavors</x:v>
      </x:c>
      <x:c r="C809" t="str">
        <x:v>48</x:v>
      </x:c>
      <x:c r="D809" t="str">
        <x:v>blueberry raz vape</x:v>
      </x:c>
      <x:c r="E809" t="str">
        <x:v>recommended</x:v>
      </x:c>
      <x:c r="F809" t="n">
        <x:v>50</x:v>
      </x:c>
      <x:c r="G809" t="n">
        <x:v>0</x:v>
      </x:c>
      <x:c r="H809" t="str">
        <x:v>informational, commercial</x:v>
      </x:c>
    </x:row>
    <x:row r="810">
      <x:c r="A810" t="str">
        <x:v>48</x:v>
      </x:c>
      <x:c r="B810" t="str">
        <x:v>razz vape flavors</x:v>
      </x:c>
      <x:c r="C810" t="str">
        <x:v>48</x:v>
      </x:c>
      <x:c r="D810" t="str">
        <x:v>razz disposable vape</x:v>
      </x:c>
      <x:c r="E810" t="str">
        <x:v>recommended</x:v>
      </x:c>
      <x:c r="F810" t="n">
        <x:v>90</x:v>
      </x:c>
      <x:c r="G810" t="n">
        <x:v>18</x:v>
      </x:c>
      <x:c r="H810" t="str">
        <x:v>commercial</x:v>
      </x:c>
    </x:row>
    <x:row r="811">
      <x:c r="A811" t="str">
        <x:v>48</x:v>
      </x:c>
      <x:c r="B811" t="str">
        <x:v>razz vape flavors</x:v>
      </x:c>
      <x:c r="C811" t="str">
        <x:v>48</x:v>
      </x:c>
      <x:c r="D811" t="str">
        <x:v>raz brand vapes</x:v>
      </x:c>
      <x:c r="E811" t="str">
        <x:v>recommended</x:v>
      </x:c>
      <x:c r="F811" t="n">
        <x:v>40</x:v>
      </x:c>
      <x:c r="G811" t="n">
        <x:v>12</x:v>
      </x:c>
      <x:c r="H811" t="str">
        <x:v>commercial</x:v>
      </x:c>
    </x:row>
    <x:row r="812">
      <x:c r="A812" t="str">
        <x:v>48</x:v>
      </x:c>
      <x:c r="B812" t="str">
        <x:v>razz vape flavors</x:v>
      </x:c>
      <x:c r="C812" t="str">
        <x:v>48</x:v>
      </x:c>
      <x:c r="D812" t="str">
        <x:v>raz vape</x:v>
      </x:c>
      <x:c r="E812" t="str">
        <x:v>recommended</x:v>
      </x:c>
      <x:c r="F812" t="n">
        <x:v>74000</x:v>
      </x:c>
      <x:c r="G812" t="n">
        <x:v>29</x:v>
      </x:c>
      <x:c r="H812" t="str">
        <x:v>informational, commercial</x:v>
      </x:c>
    </x:row>
    <x:row r="813">
      <x:c r="A813" t="str">
        <x:v>48</x:v>
      </x:c>
      <x:c r="B813" t="str">
        <x:v>razz vape flavors</x:v>
      </x:c>
      <x:c r="C813" t="str">
        <x:v>48</x:v>
      </x:c>
      <x:c r="D813" t="str">
        <x:v>blue razz vape</x:v>
      </x:c>
      <x:c r="E813" t="str">
        <x:v>recommended</x:v>
      </x:c>
      <x:c r="F813" t="n">
        <x:v>1900</x:v>
      </x:c>
      <x:c r="G813" t="n">
        <x:v>8</x:v>
      </x:c>
      <x:c r="H813" t="str">
        <x:v>informational</x:v>
      </x:c>
    </x:row>
    <x:row r="814">
      <x:c r="A814" t="str">
        <x:v>48</x:v>
      </x:c>
      <x:c r="B814" t="str">
        <x:v>razz vape flavors</x:v>
      </x:c>
      <x:c r="C814" t="str">
        <x:v>48</x:v>
      </x:c>
      <x:c r="D814" t="str">
        <x:v>raz vape 25000</x:v>
      </x:c>
      <x:c r="E814" t="str">
        <x:v>recommended</x:v>
      </x:c>
      <x:c r="F814" t="n">
        <x:v>2400</x:v>
      </x:c>
      <x:c r="G814" t="n">
        <x:v>12</x:v>
      </x:c>
      <x:c r="H814" t="str">
        <x:v>informational</x:v>
      </x:c>
    </x:row>
    <x:row r="815">
      <x:c r="A815" t="str">
        <x:v>48</x:v>
      </x:c>
      <x:c r="B815" t="str">
        <x:v>razz vape flavors</x:v>
      </x:c>
      <x:c r="C815" t="str">
        <x:v>48</x:v>
      </x:c>
      <x:c r="D815" t="str">
        <x:v>raz vape flavors 25000</x:v>
      </x:c>
      <x:c r="E815" t="str">
        <x:v>recommended</x:v>
      </x:c>
      <x:c r="F815" t="n">
        <x:v>2400</x:v>
      </x:c>
      <x:c r="G815" t="n">
        <x:v>15</x:v>
      </x:c>
      <x:c r="H815" t="str">
        <x:v>commercial</x:v>
      </x:c>
    </x:row>
    <x:row r="816">
      <x:c r="A816" t="str">
        <x:v>48</x:v>
      </x:c>
      <x:c r="B816" t="str">
        <x:v>razz vape flavors</x:v>
      </x:c>
      <x:c r="C816" t="str">
        <x:v>48</x:v>
      </x:c>
      <x:c r="D816" t="str">
        <x:v>razz vape</x:v>
      </x:c>
      <x:c r="E816" t="str">
        <x:v>recommended</x:v>
      </x:c>
      <x:c r="F816" t="n">
        <x:v>8100</x:v>
      </x:c>
      <x:c r="G816" t="n">
        <x:v>31</x:v>
      </x:c>
      <x:c r="H816" t="str">
        <x:v>informational</x:v>
      </x:c>
    </x:row>
    <x:row r="817">
      <x:c r="A817" t="str">
        <x:v>48</x:v>
      </x:c>
      <x:c r="B817" t="str">
        <x:v>best fruity vape juice</x:v>
      </x:c>
      <x:c r="C817" t="str">
        <x:v>48</x:v>
      </x:c>
      <x:c r="D817" t="str">
        <x:v>best fruity vape juice</x:v>
      </x:c>
      <x:c r="E817" t="str">
        <x:v>recommended</x:v>
      </x:c>
      <x:c r="F817" t="n">
        <x:v>70</x:v>
      </x:c>
      <x:c r="G817" t="n">
        <x:v>1</x:v>
      </x:c>
      <x:c r="H817" t="str">
        <x:v>commercial</x:v>
      </x:c>
    </x:row>
    <x:row r="818">
      <x:c r="A818" t="str">
        <x:v>48</x:v>
      </x:c>
      <x:c r="B818" t="str">
        <x:v>best fruity vape juice</x:v>
      </x:c>
      <x:c r="C818" t="str">
        <x:v>48</x:v>
      </x:c>
      <x:c r="D818" t="str">
        <x:v>fruity vape juice</x:v>
      </x:c>
      <x:c r="E818" t="str">
        <x:v>recommended</x:v>
      </x:c>
      <x:c r="F818" t="n">
        <x:v>70</x:v>
      </x:c>
      <x:c r="G818" t="n">
        <x:v>6</x:v>
      </x:c>
      <x:c r="H818" t="str">
        <x:v>commercial</x:v>
      </x:c>
    </x:row>
    <x:row r="819">
      <x:c r="A819" t="str">
        <x:v>48</x:v>
      </x:c>
      <x:c r="B819" t="str">
        <x:v>best fruity vape juice</x:v>
      </x:c>
      <x:c r="C819" t="str">
        <x:v>48</x:v>
      </x:c>
      <x:c r="D819" t="str">
        <x:v>fruits flavor vape liquid</x:v>
      </x:c>
      <x:c r="E819" t="str">
        <x:v>recommended</x:v>
      </x:c>
      <x:c r="F819" t="n">
        <x:v>50</x:v>
      </x:c>
      <x:c r="G819" t="n">
        <x:v>0</x:v>
      </x:c>
      <x:c r="H819" t="str">
        <x:v>commercial</x:v>
      </x:c>
    </x:row>
    <x:row r="820">
      <x:c r="A820" t="str">
        <x:v>48</x:v>
      </x:c>
      <x:c r="B820" t="str">
        <x:v>best fruity vape juice</x:v>
      </x:c>
      <x:c r="C820" t="str">
        <x:v>48</x:v>
      </x:c>
      <x:c r="D820" t="str">
        <x:v>vape juice ingredients</x:v>
      </x:c>
      <x:c r="E820" t="str">
        <x:v>recommended</x:v>
      </x:c>
      <x:c r="F820" t="n">
        <x:v>1300</x:v>
      </x:c>
      <x:c r="G820" t="n">
        <x:v>21</x:v>
      </x:c>
      <x:c r="H820" t="str">
        <x:v>informational</x:v>
      </x:c>
    </x:row>
    <x:row r="821">
      <x:c r="A821" t="str">
        <x:v>48</x:v>
      </x:c>
      <x:c r="B821" t="str">
        <x:v>b vape</x:v>
      </x:c>
      <x:c r="C821" t="str">
        <x:v>48</x:v>
      </x:c>
      <x:c r="D821" t="str">
        <x:v>b vape</x:v>
      </x:c>
      <x:c r="E821" t="str">
        <x:v>recommended</x:v>
      </x:c>
      <x:c r="F821" t="n">
        <x:v>40</x:v>
      </x:c>
      <x:c r="G821" t="n">
        <x:v>20</x:v>
      </x:c>
      <x:c r="H821" t="str">
        <x:v>informational</x:v>
      </x:c>
    </x:row>
    <x:row r="822">
      <x:c r="A822" t="str">
        <x:v>48</x:v>
      </x:c>
      <x:c r="B822" t="str">
        <x:v>b vape</x:v>
      </x:c>
      <x:c r="C822" t="str">
        <x:v>48</x:v>
      </x:c>
      <x:c r="D822" t="str">
        <x:v>mango disposable vape</x:v>
      </x:c>
      <x:c r="E822" t="str">
        <x:v>recommended</x:v>
      </x:c>
      <x:c r="F822" t="n">
        <x:v>110</x:v>
      </x:c>
      <x:c r="G822" t="n">
        <x:v>5</x:v>
      </x:c>
      <x:c r="H822" t="str">
        <x:v>commercial</x:v>
      </x:c>
    </x:row>
    <x:row r="823">
      <x:c r="A823" t="str">
        <x:v>48</x:v>
      </x:c>
      <x:c r="B823" t="str">
        <x:v>b vape</x:v>
      </x:c>
      <x:c r="C823" t="str">
        <x:v>48</x:v>
      </x:c>
      <x:c r="D823" t="str">
        <x:v>mango vapes</x:v>
      </x:c>
      <x:c r="E823" t="str">
        <x:v>recommended</x:v>
      </x:c>
      <x:c r="F823" t="n">
        <x:v>260</x:v>
      </x:c>
      <x:c r="G823" t="n">
        <x:v>7</x:v>
      </x:c>
      <x:c r="H823" t="str">
        <x:v>informational</x:v>
      </x:c>
    </x:row>
    <x:row r="824">
      <x:c r="A824" t="str">
        <x:v>48</x:v>
      </x:c>
      <x:c r="B824" t="str">
        <x:v>reusable vape</x:v>
      </x:c>
      <x:c r="C824" t="str">
        <x:v>48</x:v>
      </x:c>
      <x:c r="D824" t="str">
        <x:v>what is the best vape to buy</x:v>
      </x:c>
      <x:c r="E824" t="str">
        <x:v>recommended</x:v>
      </x:c>
      <x:c r="F824" t="n">
        <x:v>260</x:v>
      </x:c>
      <x:c r="G824" t="n">
        <x:v>24</x:v>
      </x:c>
      <x:c r="H824" t="str">
        <x:v>commercial</x:v>
      </x:c>
    </x:row>
    <x:row r="825">
      <x:c r="A825" t="str">
        <x:v>48</x:v>
      </x:c>
      <x:c r="B825" t="str">
        <x:v>reusable vape</x:v>
      </x:c>
      <x:c r="C825" t="str">
        <x:v>48</x:v>
      </x:c>
      <x:c r="D825" t="str">
        <x:v>reusable vape</x:v>
      </x:c>
      <x:c r="E825" t="str">
        <x:v>recommended</x:v>
      </x:c>
      <x:c r="F825" t="n">
        <x:v>2400</x:v>
      </x:c>
      <x:c r="G825" t="n">
        <x:v>39</x:v>
      </x:c>
      <x:c r="H825" t="str">
        <x:v>informational</x:v>
      </x:c>
    </x:row>
    <x:row r="826">
      <x:c r="A826" t="str">
        <x:v>48</x:v>
      </x:c>
      <x:c r="B826" t="str">
        <x:v>reusable vape</x:v>
      </x:c>
      <x:c r="C826" t="str">
        <x:v>48</x:v>
      </x:c>
      <x:c r="D826" t="str">
        <x:v>vape cartridge</x:v>
      </x:c>
      <x:c r="E826" t="str">
        <x:v>recommended</x:v>
      </x:c>
      <x:c r="F826" t="n">
        <x:v>12100</x:v>
      </x:c>
      <x:c r="G826" t="n">
        <x:v>51</x:v>
      </x:c>
      <x:c r="H826" t="str">
        <x:v>informational</x:v>
      </x:c>
    </x:row>
    <x:row r="827">
      <x:c r="A827" t="str">
        <x:v>48</x:v>
      </x:c>
      <x:c r="B827" t="str">
        <x:v>reusable vape</x:v>
      </x:c>
      <x:c r="C827" t="str">
        <x:v>48</x:v>
      </x:c>
      <x:c r="D827" t="str">
        <x:v>box mod vape kit</x:v>
      </x:c>
      <x:c r="E827" t="str">
        <x:v>recommended</x:v>
      </x:c>
      <x:c r="F827" t="n">
        <x:v>720</x:v>
      </x:c>
      <x:c r="G827" t="n">
        <x:v>23</x:v>
      </x:c>
      <x:c r="H827" t="str">
        <x:v>commercial</x:v>
      </x:c>
    </x:row>
    <x:row r="828">
      <x:c r="A828" t="str">
        <x:v>48</x:v>
      </x:c>
      <x:c r="B828" t="str">
        <x:v>reusable vape</x:v>
      </x:c>
      <x:c r="C828" t="str">
        <x:v>48</x:v>
      </x:c>
      <x:c r="D828" t="str">
        <x:v>vape machine</x:v>
      </x:c>
      <x:c r="E828" t="str">
        <x:v>recommended</x:v>
      </x:c>
      <x:c r="F828" t="n">
        <x:v>720</x:v>
      </x:c>
      <x:c r="G828" t="n">
        <x:v>34</x:v>
      </x:c>
      <x:c r="H828" t="str">
        <x:v>commercial</x:v>
      </x:c>
    </x:row>
    <x:row r="829">
      <x:c r="A829" t="str">
        <x:v>48</x:v>
      </x:c>
      <x:c r="B829" t="str">
        <x:v>reusable vape</x:v>
      </x:c>
      <x:c r="C829" t="str">
        <x:v>48</x:v>
      </x:c>
      <x:c r="D829" t="str">
        <x:v>refillable vape pen</x:v>
      </x:c>
      <x:c r="E829" t="str">
        <x:v>recommended</x:v>
      </x:c>
      <x:c r="F829" t="n">
        <x:v>1900</x:v>
      </x:c>
      <x:c r="G829" t="n">
        <x:v>24</x:v>
      </x:c>
      <x:c r="H829" t="str">
        <x:v>informational</x:v>
      </x:c>
    </x:row>
    <x:row r="830">
      <x:c r="A830" t="str">
        <x:v>48</x:v>
      </x:c>
      <x:c r="B830" t="str">
        <x:v>reusable vape</x:v>
      </x:c>
      <x:c r="C830" t="str">
        <x:v>48</x:v>
      </x:c>
      <x:c r="D830" t="str">
        <x:v>vape pen brands</x:v>
      </x:c>
      <x:c r="E830" t="str">
        <x:v>recommended</x:v>
      </x:c>
      <x:c r="F830" t="n">
        <x:v>390</x:v>
      </x:c>
      <x:c r="G830" t="n">
        <x:v>34</x:v>
      </x:c>
      <x:c r="H830" t="str">
        <x:v>informational</x:v>
      </x:c>
    </x:row>
    <x:row r="831">
      <x:c r="A831" t="str">
        <x:v>48</x:v>
      </x:c>
      <x:c r="B831" t="str">
        <x:v>reusable vape</x:v>
      </x:c>
      <x:c r="C831" t="str">
        <x:v>48</x:v>
      </x:c>
      <x:c r="D831" t="str">
        <x:v>vaping box</x:v>
      </x:c>
      <x:c r="E831" t="str">
        <x:v>recommended</x:v>
      </x:c>
      <x:c r="F831" t="n">
        <x:v>260</x:v>
      </x:c>
      <x:c r="G831" t="n">
        <x:v>29</x:v>
      </x:c>
      <x:c r="H831" t="str">
        <x:v>informational, commercial</x:v>
      </x:c>
    </x:row>
    <x:row r="832">
      <x:c r="A832" t="str">
        <x:v>48</x:v>
      </x:c>
      <x:c r="B832" t="str">
        <x:v>reusable vape</x:v>
      </x:c>
      <x:c r="C832" t="str">
        <x:v>48</x:v>
      </x:c>
      <x:c r="D832" t="str">
        <x:v>cleanest vape</x:v>
      </x:c>
      <x:c r="E832" t="str">
        <x:v>recommended</x:v>
      </x:c>
      <x:c r="F832" t="n">
        <x:v>110</x:v>
      </x:c>
      <x:c r="G832" t="n">
        <x:v>12</x:v>
      </x:c>
      <x:c r="H832" t="str">
        <x:v>informational</x:v>
      </x:c>
    </x:row>
    <x:row r="833">
      <x:c r="A833" t="str">
        <x:v>48</x:v>
      </x:c>
      <x:c r="B833" t="str">
        <x:v>reusable vape</x:v>
      </x:c>
      <x:c r="C833" t="str">
        <x:v>48</x:v>
      </x:c>
      <x:c r="D833" t="str">
        <x:v>refillable pod system</x:v>
      </x:c>
      <x:c r="E833" t="str">
        <x:v>recommended</x:v>
      </x:c>
      <x:c r="F833" t="n">
        <x:v>170</x:v>
      </x:c>
      <x:c r="G833" t="n">
        <x:v>38</x:v>
      </x:c>
      <x:c r="H833" t="str">
        <x:v>commercial</x:v>
      </x:c>
    </x:row>
    <x:row r="834">
      <x:c r="A834" t="str">
        <x:v>48</x:v>
      </x:c>
      <x:c r="B834" t="str">
        <x:v>reusable vape</x:v>
      </x:c>
      <x:c r="C834" t="str">
        <x:v>48</x:v>
      </x:c>
      <x:c r="D834" t="str">
        <x:v>vaporesso vibe pods</x:v>
      </x:c>
      <x:c r="E834" t="str">
        <x:v>recommended</x:v>
      </x:c>
      <x:c r="F834" t="n">
        <x:v>170</x:v>
      </x:c>
      <x:c r="G834" t="n">
        <x:v>11</x:v>
      </x:c>
      <x:c r="H834" t="str">
        <x:v>informational</x:v>
      </x:c>
    </x:row>
    <x:row r="835">
      <x:c r="A835" t="str">
        <x:v>48</x:v>
      </x:c>
      <x:c r="B835" t="str">
        <x:v>reusable vape</x:v>
      </x:c>
      <x:c r="C835" t="str">
        <x:v>48</x:v>
      </x:c>
      <x:c r="D835" t="str">
        <x:v>refillable vape pen kit</x:v>
      </x:c>
      <x:c r="E835" t="str">
        <x:v>recommended</x:v>
      </x:c>
      <x:c r="F835" t="n">
        <x:v>110</x:v>
      </x:c>
      <x:c r="G835" t="n">
        <x:v>27</x:v>
      </x:c>
      <x:c r="H835" t="str">
        <x:v>commercial</x:v>
      </x:c>
    </x:row>
    <x:row r="836">
      <x:c r="A836" t="str">
        <x:v>48</x:v>
      </x:c>
      <x:c r="B836" t="str">
        <x:v>reusable vape</x:v>
      </x:c>
      <x:c r="C836" t="str">
        <x:v>48</x:v>
      </x:c>
      <x:c r="D836" t="str">
        <x:v>vape pod starter kit</x:v>
      </x:c>
      <x:c r="E836" t="str">
        <x:v>recommended</x:v>
      </x:c>
      <x:c r="F836" t="n">
        <x:v>90</x:v>
      </x:c>
      <x:c r="G836" t="n">
        <x:v>33</x:v>
      </x:c>
      <x:c r="H836" t="str">
        <x:v>informational</x:v>
      </x:c>
    </x:row>
    <x:row r="837">
      <x:c r="A837" t="str">
        <x:v>48</x:v>
      </x:c>
      <x:c r="B837" t="str">
        <x:v>reusable vape</x:v>
      </x:c>
      <x:c r="C837" t="str">
        <x:v>48</x:v>
      </x:c>
      <x:c r="D837" t="str">
        <x:v>best vaping pens</x:v>
      </x:c>
      <x:c r="E837" t="str">
        <x:v>recommended</x:v>
      </x:c>
      <x:c r="F837" t="n">
        <x:v>210</x:v>
      </x:c>
      <x:c r="G837" t="n">
        <x:v>31</x:v>
      </x:c>
      <x:c r="H837" t="str">
        <x:v>commercial</x:v>
      </x:c>
    </x:row>
    <x:row r="838">
      <x:c r="A838" t="str">
        <x:v>48</x:v>
      </x:c>
      <x:c r="B838" t="str">
        <x:v>reusable vape</x:v>
      </x:c>
      <x:c r="C838" t="str">
        <x:v>48</x:v>
      </x:c>
      <x:c r="D838" t="str">
        <x:v>chargeable vapes</x:v>
      </x:c>
      <x:c r="E838" t="str">
        <x:v>recommended</x:v>
      </x:c>
      <x:c r="F838" t="n">
        <x:v>90</x:v>
      </x:c>
      <x:c r="G838" t="n">
        <x:v>42</x:v>
      </x:c>
      <x:c r="H838" t="str">
        <x:v>commercial</x:v>
      </x:c>
    </x:row>
    <x:row r="839">
      <x:c r="A839" t="str">
        <x:v>48</x:v>
      </x:c>
      <x:c r="B839" t="str">
        <x:v>reusable vape</x:v>
      </x:c>
      <x:c r="C839" t="str">
        <x:v>48</x:v>
      </x:c>
      <x:c r="D839" t="str">
        <x:v>strongest vapes</x:v>
      </x:c>
      <x:c r="E839" t="str">
        <x:v>recommended</x:v>
      </x:c>
      <x:c r="F839" t="n">
        <x:v>50</x:v>
      </x:c>
      <x:c r="G839" t="n">
        <x:v>25</x:v>
      </x:c>
      <x:c r="H839" t="str">
        <x:v>informational, commercial</x:v>
      </x:c>
    </x:row>
    <x:row r="840">
      <x:c r="A840" t="str">
        <x:v>48</x:v>
      </x:c>
      <x:c r="B840" t="str">
        <x:v>reusable vape</x:v>
      </x:c>
      <x:c r="C840" t="str">
        <x:v>48</x:v>
      </x:c>
      <x:c r="D840" t="str">
        <x:v>portable vape</x:v>
      </x:c>
      <x:c r="E840" t="str">
        <x:v>recommended</x:v>
      </x:c>
      <x:c r="F840" t="n">
        <x:v>170</x:v>
      </x:c>
      <x:c r="G840" t="n">
        <x:v>34</x:v>
      </x:c>
      <x:c r="H840" t="str">
        <x:v>commercial</x:v>
      </x:c>
    </x:row>
    <x:row r="841">
      <x:c r="A841" t="str">
        <x:v>48</x:v>
      </x:c>
      <x:c r="B841" t="str">
        <x:v>reusable vape</x:v>
      </x:c>
      <x:c r="C841" t="str">
        <x:v>48</x:v>
      </x:c>
      <x:c r="D841" t="str">
        <x:v>vapers recargables</x:v>
      </x:c>
      <x:c r="E841" t="str">
        <x:v>recommended</x:v>
      </x:c>
      <x:c r="F841" t="n">
        <x:v>70</x:v>
      </x:c>
      <x:c r="G841" t="n">
        <x:v>20</x:v>
      </x:c>
      <x:c r="H841" t="str">
        <x:v>informational, commercial</x:v>
      </x:c>
    </x:row>
    <x:row r="842">
      <x:c r="A842" t="str">
        <x:v>48</x:v>
      </x:c>
      <x:c r="B842" t="str">
        <x:v>reusable vape</x:v>
      </x:c>
      <x:c r="C842" t="str">
        <x:v>48</x:v>
      </x:c>
      <x:c r="D842" t="str">
        <x:v>vape pen reviews</x:v>
      </x:c>
      <x:c r="E842" t="str">
        <x:v>recommended</x:v>
      </x:c>
      <x:c r="F842" t="n">
        <x:v>50</x:v>
      </x:c>
      <x:c r="G842" t="n">
        <x:v>21</x:v>
      </x:c>
      <x:c r="H842" t="str">
        <x:v>commercial</x:v>
      </x:c>
    </x:row>
    <x:row r="843">
      <x:c r="A843" t="str">
        <x:v>48</x:v>
      </x:c>
      <x:c r="B843" t="str">
        <x:v>reusable vape</x:v>
      </x:c>
      <x:c r="C843" t="str">
        <x:v>48</x:v>
      </x:c>
      <x:c r="D843" t="str">
        <x:v>touch screen vapes</x:v>
      </x:c>
      <x:c r="E843" t="str">
        <x:v>recommended</x:v>
      </x:c>
      <x:c r="F843" t="n">
        <x:v>110</x:v>
      </x:c>
      <x:c r="G843" t="n">
        <x:v>35</x:v>
      </x:c>
      <x:c r="H843" t="str">
        <x:v>informational</x:v>
      </x:c>
    </x:row>
    <x:row r="844">
      <x:c r="A844" t="str">
        <x:v>48</x:v>
      </x:c>
      <x:c r="B844" t="str">
        <x:v>reusable vape</x:v>
      </x:c>
      <x:c r="C844" t="str">
        <x:v>48</x:v>
      </x:c>
      <x:c r="D844" t="str">
        <x:v>best flower vape</x:v>
      </x:c>
      <x:c r="E844" t="str">
        <x:v>recommended</x:v>
      </x:c>
      <x:c r="F844" t="n">
        <x:v>140</x:v>
      </x:c>
      <x:c r="G844" t="n">
        <x:v>32</x:v>
      </x:c>
      <x:c r="H844" t="str">
        <x:v>commercial</x:v>
      </x:c>
    </x:row>
    <x:row r="845">
      <x:c r="A845" t="str">
        <x:v>48</x:v>
      </x:c>
      <x:c r="B845" t="str">
        <x:v>reusable vape</x:v>
      </x:c>
      <x:c r="C845" t="str">
        <x:v>48</x:v>
      </x:c>
      <x:c r="D845" t="str">
        <x:v>vaporizer starter kits</x:v>
      </x:c>
      <x:c r="E845" t="str">
        <x:v>recommended</x:v>
      </x:c>
      <x:c r="F845" t="n">
        <x:v>40</x:v>
      </x:c>
      <x:c r="G845" t="n">
        <x:v>29</x:v>
      </x:c>
      <x:c r="H845" t="str">
        <x:v>commercial</x:v>
      </x:c>
    </x:row>
    <x:row r="846">
      <x:c r="A846" t="str">
        <x:v>48</x:v>
      </x:c>
      <x:c r="B846" t="str">
        <x:v>reusable vape</x:v>
      </x:c>
      <x:c r="C846" t="str">
        <x:v>48</x:v>
      </x:c>
      <x:c r="D846" t="str">
        <x:v>slim vapes</x:v>
      </x:c>
      <x:c r="E846" t="str">
        <x:v>recommended</x:v>
      </x:c>
      <x:c r="F846" t="n">
        <x:v>50</x:v>
      </x:c>
      <x:c r="G846" t="n">
        <x:v>22</x:v>
      </x:c>
      <x:c r="H846" t="str">
        <x:v>informational</x:v>
      </x:c>
    </x:row>
    <x:row r="847">
      <x:c r="A847" t="str">
        <x:v>48</x:v>
      </x:c>
      <x:c r="B847" t="str">
        <x:v>reusable vape</x:v>
      </x:c>
      <x:c r="C847" t="str">
        <x:v>48</x:v>
      </x:c>
      <x:c r="D847" t="str">
        <x:v>vape for flower</x:v>
      </x:c>
      <x:c r="E847" t="str">
        <x:v>recommended</x:v>
      </x:c>
      <x:c r="F847" t="n">
        <x:v>320</x:v>
      </x:c>
      <x:c r="G847" t="n">
        <x:v>57</x:v>
      </x:c>
      <x:c r="H847" t="str">
        <x:v>informational, commercial</x:v>
      </x:c>
    </x:row>
    <x:row r="848">
      <x:c r="A848" t="str">
        <x:v>48</x:v>
      </x:c>
      <x:c r="B848" t="str">
        <x:v>reusable vape</x:v>
      </x:c>
      <x:c r="C848" t="str">
        <x:v>48</x:v>
      </x:c>
      <x:c r="D848" t="str">
        <x:v>electric vape</x:v>
      </x:c>
      <x:c r="E848" t="str">
        <x:v>recommended</x:v>
      </x:c>
      <x:c r="F848" t="n">
        <x:v>1300</x:v>
      </x:c>
      <x:c r="G848" t="n">
        <x:v>89</x:v>
      </x:c>
      <x:c r="H848" t="str">
        <x:v>commercial</x:v>
      </x:c>
    </x:row>
    <x:row r="849">
      <x:c r="A849" t="str">
        <x:v>48</x:v>
      </x:c>
      <x:c r="B849" t="str">
        <x:v>reusable vape</x:v>
      </x:c>
      <x:c r="C849" t="str">
        <x:v>48</x:v>
      </x:c>
      <x:c r="D849" t="str">
        <x:v>vape pen for cartridges</x:v>
      </x:c>
      <x:c r="E849" t="str">
        <x:v>recommended</x:v>
      </x:c>
      <x:c r="F849" t="n">
        <x:v>880</x:v>
      </x:c>
      <x:c r="G849" t="n">
        <x:v>49</x:v>
      </x:c>
      <x:c r="H849" t="str">
        <x:v>commercial</x:v>
      </x:c>
    </x:row>
    <x:row r="850">
      <x:c r="A850" t="str">
        <x:v>48</x:v>
      </x:c>
      <x:c r="B850" t="str">
        <x:v>reusable vape</x:v>
      </x:c>
      <x:c r="C850" t="str">
        <x:v>48</x:v>
      </x:c>
      <x:c r="D850" t="str">
        <x:v>reusable vape pens</x:v>
      </x:c>
      <x:c r="E850" t="str">
        <x:v>recommended</x:v>
      </x:c>
      <x:c r="F850" t="n">
        <x:v>50</x:v>
      </x:c>
      <x:c r="G850" t="n">
        <x:v>33</x:v>
      </x:c>
      <x:c r="H850" t="str">
        <x:v>informational, commercial</x:v>
      </x:c>
    </x:row>
    <x:row r="851">
      <x:c r="A851" t="str">
        <x:v>48</x:v>
      </x:c>
      <x:c r="B851" t="str">
        <x:v>reusable vape</x:v>
      </x:c>
      <x:c r="C851" t="str">
        <x:v>48</x:v>
      </x:c>
      <x:c r="D851" t="str">
        <x:v>vape juice refill</x:v>
      </x:c>
      <x:c r="E851" t="str">
        <x:v>recommended</x:v>
      </x:c>
      <x:c r="F851" t="n">
        <x:v>50</x:v>
      </x:c>
      <x:c r="G851" t="n">
        <x:v>35</x:v>
      </x:c>
      <x:c r="H851" t="str">
        <x:v>commercial</x:v>
      </x:c>
    </x:row>
    <x:row r="852">
      <x:c r="A852" t="str">
        <x:v>48</x:v>
      </x:c>
      <x:c r="B852" t="str">
        <x:v>reusable vape</x:v>
      </x:c>
      <x:c r="C852" t="str">
        <x:v>48</x:v>
      </x:c>
      <x:c r="D852" t="str">
        <x:v>vape flower pen</x:v>
      </x:c>
      <x:c r="E852" t="str">
        <x:v>recommended</x:v>
      </x:c>
      <x:c r="F852" t="n">
        <x:v>170</x:v>
      </x:c>
      <x:c r="G852" t="n">
        <x:v>56</x:v>
      </x:c>
      <x:c r="H852" t="str">
        <x:v>commercial</x:v>
      </x:c>
    </x:row>
    <x:row r="853">
      <x:c r="A853" t="str">
        <x:v>48</x:v>
      </x:c>
      <x:c r="B853" t="str">
        <x:v>reusable vape</x:v>
      </x:c>
      <x:c r="C853" t="str">
        <x:v>48</x:v>
      </x:c>
      <x:c r="D853" t="str">
        <x:v>dry vapes</x:v>
      </x:c>
      <x:c r="E853" t="str">
        <x:v>recommended</x:v>
      </x:c>
      <x:c r="F853" t="n">
        <x:v>90</x:v>
      </x:c>
      <x:c r="G853" t="n">
        <x:v>55</x:v>
      </x:c>
      <x:c r="H853" t="str">
        <x:v>commercial</x:v>
      </x:c>
    </x:row>
    <x:row r="854">
      <x:c r="A854" t="str">
        <x:v>48</x:v>
      </x:c>
      <x:c r="B854" t="str">
        <x:v>expensive vapes</x:v>
      </x:c>
      <x:c r="C854" t="str">
        <x:v>48</x:v>
      </x:c>
      <x:c r="D854" t="str">
        <x:v>expensive vapes</x:v>
      </x:c>
      <x:c r="E854" t="str">
        <x:v>recommended</x:v>
      </x:c>
      <x:c r="F854" t="n">
        <x:v>210</x:v>
      </x:c>
      <x:c r="G854" t="n">
        <x:v>18</x:v>
      </x:c>
      <x:c r="H854" t="str">
        <x:v>informational, commercial</x:v>
      </x:c>
    </x:row>
    <x:row r="855">
      <x:c r="A855" t="str">
        <x:v>48</x:v>
      </x:c>
      <x:c r="B855" t="str">
        <x:v>expensive vapes</x:v>
      </x:c>
      <x:c r="C855" t="str">
        <x:v>48</x:v>
      </x:c>
      <x:c r="D855" t="str">
        <x:v>vape mods and tanks</x:v>
      </x:c>
      <x:c r="E855" t="str">
        <x:v>recommended</x:v>
      </x:c>
      <x:c r="F855" t="n">
        <x:v>170</x:v>
      </x:c>
      <x:c r="G855" t="n">
        <x:v>20</x:v>
      </x:c>
      <x:c r="H855" t="str">
        <x:v>commercial</x:v>
      </x:c>
    </x:row>
    <x:row r="856">
      <x:c r="A856" t="str">
        <x:v>48</x:v>
      </x:c>
      <x:c r="B856" t="str">
        <x:v>expensive vapes</x:v>
      </x:c>
      <x:c r="C856" t="str">
        <x:v>48</x:v>
      </x:c>
      <x:c r="D856" t="str">
        <x:v>best vape mod for flavor</x:v>
      </x:c>
      <x:c r="E856" t="str">
        <x:v>recommended</x:v>
      </x:c>
      <x:c r="F856" t="n">
        <x:v>90</x:v>
      </x:c>
      <x:c r="G856" t="n">
        <x:v>21</x:v>
      </x:c>
      <x:c r="H856" t="str">
        <x:v>commercial</x:v>
      </x:c>
    </x:row>
    <x:row r="857">
      <x:c r="A857" t="str">
        <x:v>48</x:v>
      </x:c>
      <x:c r="B857" t="str">
        <x:v>expensive vapes</x:v>
      </x:c>
      <x:c r="C857" t="str">
        <x:v>48</x:v>
      </x:c>
      <x:c r="D857" t="str">
        <x:v>online electronic cigarette</x:v>
      </x:c>
      <x:c r="E857" t="str">
        <x:v>recommended</x:v>
      </x:c>
      <x:c r="F857" t="n">
        <x:v>880</x:v>
      </x:c>
      <x:c r="G857" t="n">
        <x:v>73</x:v>
      </x:c>
      <x:c r="H857" t="str">
        <x:v>informational</x:v>
      </x:c>
    </x:row>
    <x:row r="858">
      <x:c r="A858" t="str">
        <x:v>48</x:v>
      </x:c>
      <x:c r="B858" t="str">
        <x:v>expensive vapes</x:v>
      </x:c>
      <x:c r="C858" t="str">
        <x:v>48</x:v>
      </x:c>
      <x:c r="D858" t="str">
        <x:v>best refillable pod system</x:v>
      </x:c>
      <x:c r="E858" t="str">
        <x:v>recommended</x:v>
      </x:c>
      <x:c r="F858" t="n">
        <x:v>70</x:v>
      </x:c>
      <x:c r="G858" t="n">
        <x:v>31</x:v>
      </x:c>
      <x:c r="H858" t="str">
        <x:v>commercial</x:v>
      </x:c>
    </x:row>
    <x:row r="859">
      <x:c r="A859" t="str">
        <x:v>48</x:v>
      </x:c>
      <x:c r="B859" t="str">
        <x:v>expensive vapes</x:v>
      </x:c>
      <x:c r="C859" t="str">
        <x:v>48</x:v>
      </x:c>
      <x:c r="D859" t="str">
        <x:v>new vape products</x:v>
      </x:c>
      <x:c r="E859" t="str">
        <x:v>recommended</x:v>
      </x:c>
      <x:c r="F859" t="n">
        <x:v>70</x:v>
      </x:c>
      <x:c r="G859" t="n">
        <x:v>35</x:v>
      </x:c>
      <x:c r="H859" t="str">
        <x:v>informational, commercial</x:v>
      </x:c>
    </x:row>
    <x:row r="860">
      <x:c r="A860" t="str">
        <x:v>48</x:v>
      </x:c>
      <x:c r="B860" t="str">
        <x:v>expensive vapes</x:v>
      </x:c>
      <x:c r="C860" t="str">
        <x:v>48</x:v>
      </x:c>
      <x:c r="D860" t="str">
        <x:v>flavor electronic cigarette</x:v>
      </x:c>
      <x:c r="E860" t="str">
        <x:v>recommended</x:v>
      </x:c>
      <x:c r="F860" t="n">
        <x:v>140</x:v>
      </x:c>
      <x:c r="G860" t="n">
        <x:v>38</x:v>
      </x:c>
      <x:c r="H860" t="str">
        <x:v>informational</x:v>
      </x:c>
    </x:row>
    <x:row r="861">
      <x:c r="A861" t="str">
        <x:v>48</x:v>
      </x:c>
      <x:c r="B861" t="str">
        <x:v>expensive vapes</x:v>
      </x:c>
      <x:c r="C861" t="str">
        <x:v>48</x:v>
      </x:c>
      <x:c r="D861" t="str">
        <x:v>good cheap vapes</x:v>
      </x:c>
      <x:c r="E861" t="str">
        <x:v>recommended</x:v>
      </x:c>
      <x:c r="F861" t="n">
        <x:v>40</x:v>
      </x:c>
      <x:c r="G861" t="n">
        <x:v>31</x:v>
      </x:c>
      <x:c r="H861" t="str">
        <x:v>informational, commercial</x:v>
      </x:c>
    </x:row>
    <x:row r="862">
      <x:c r="A862" t="str">
        <x:v>48</x:v>
      </x:c>
      <x:c r="B862" t="str">
        <x:v>expensive vapes</x:v>
      </x:c>
      <x:c r="C862" t="str">
        <x:v>48</x:v>
      </x:c>
      <x:c r="D862" t="str">
        <x:v>pods vape price</x:v>
      </x:c>
      <x:c r="E862" t="str">
        <x:v>recommended</x:v>
      </x:c>
      <x:c r="F862" t="n">
        <x:v>40</x:v>
      </x:c>
      <x:c r="G862" t="n">
        <x:v>34</x:v>
      </x:c>
      <x:c r="H862" t="str">
        <x:v>commercial</x:v>
      </x:c>
    </x:row>
    <x:row r="863">
      <x:c r="A863" t="str">
        <x:v>48</x:v>
      </x:c>
      <x:c r="B863" t="str">
        <x:v>expensive vapes</x:v>
      </x:c>
      <x:c r="C863" t="str">
        <x:v>48</x:v>
      </x:c>
      <x:c r="D863" t="str">
        <x:v>vape mods for sale online</x:v>
      </x:c>
      <x:c r="E863" t="str">
        <x:v>recommended</x:v>
      </x:c>
      <x:c r="F863" t="n">
        <x:v>50</x:v>
      </x:c>
      <x:c r="G863" t="n">
        <x:v>57</x:v>
      </x:c>
      <x:c r="H863" t="str">
        <x:v>transactional</x:v>
      </x:c>
    </x:row>
    <x:row r="864">
      <x:c r="A864" t="str">
        <x:v>48</x:v>
      </x:c>
      <x:c r="B864" t="str">
        <x:v>expensive vapes</x:v>
      </x:c>
      <x:c r="C864" t="str">
        <x:v>48</x:v>
      </x:c>
      <x:c r="D864" t="str">
        <x:v>best vapes 2025</x:v>
      </x:c>
      <x:c r="E864" t="str">
        <x:v>recommended</x:v>
      </x:c>
      <x:c r="F864" t="n">
        <x:v>3600</x:v>
      </x:c>
      <x:c r="G864" t="n">
        <x:v>29</x:v>
      </x:c>
      <x:c r="H864" t="str">
        <x:v>commercial</x:v>
      </x:c>
    </x:row>
    <x:row r="865">
      <x:c r="A865" t="str">
        <x:v>48</x:v>
      </x:c>
      <x:c r="B865" t="str">
        <x:v>expensive vapes</x:v>
      </x:c>
      <x:c r="C865" t="str">
        <x:v>48</x:v>
      </x:c>
      <x:c r="D865" t="str">
        <x:v>box mod vape</x:v>
      </x:c>
      <x:c r="E865" t="str">
        <x:v>recommended</x:v>
      </x:c>
      <x:c r="F865" t="n">
        <x:v>4400</x:v>
      </x:c>
      <x:c r="G865" t="n">
        <x:v>36</x:v>
      </x:c>
      <x:c r="H865" t="str">
        <x:v>commercial</x:v>
      </x:c>
    </x:row>
    <x:row r="866">
      <x:c r="A866" t="str">
        <x:v>48</x:v>
      </x:c>
      <x:c r="B866" t="str">
        <x:v>expensive vapes</x:v>
      </x:c>
      <x:c r="C866" t="str">
        <x:v>48</x:v>
      </x:c>
      <x:c r="D866" t="str">
        <x:v>mods for vaping</x:v>
      </x:c>
      <x:c r="E866" t="str">
        <x:v>recommended</x:v>
      </x:c>
      <x:c r="F866" t="n">
        <x:v>2900</x:v>
      </x:c>
      <x:c r="G866" t="n">
        <x:v>34</x:v>
      </x:c>
      <x:c r="H866" t="str">
        <x:v>commercial</x:v>
      </x:c>
    </x:row>
    <x:row r="867">
      <x:c r="A867" t="str">
        <x:v>48</x:v>
      </x:c>
      <x:c r="B867" t="str">
        <x:v>expensive vapes</x:v>
      </x:c>
      <x:c r="C867" t="str">
        <x:v>48</x:v>
      </x:c>
      <x:c r="D867" t="str">
        <x:v>juice for a vape</x:v>
      </x:c>
      <x:c r="E867" t="str">
        <x:v>recommended</x:v>
      </x:c>
      <x:c r="F867" t="n">
        <x:v>3600</x:v>
      </x:c>
      <x:c r="G867" t="n">
        <x:v>51</x:v>
      </x:c>
      <x:c r="H867" t="str">
        <x:v>commercial</x:v>
      </x:c>
    </x:row>
    <x:row r="868">
      <x:c r="A868" t="str">
        <x:v>48</x:v>
      </x:c>
      <x:c r="B868" t="str">
        <x:v>expensive vapes</x:v>
      </x:c>
      <x:c r="C868" t="str">
        <x:v>48</x:v>
      </x:c>
      <x:c r="D868" t="str">
        <x:v>juice of vape</x:v>
      </x:c>
      <x:c r="E868" t="str">
        <x:v>recommended</x:v>
      </x:c>
      <x:c r="F868" t="n">
        <x:v>3600</x:v>
      </x:c>
      <x:c r="G868" t="n">
        <x:v>58</x:v>
      </x:c>
      <x:c r="H868" t="str">
        <x:v>commercial</x:v>
      </x:c>
    </x:row>
    <x:row r="869">
      <x:c r="A869" t="str">
        <x:v>48</x:v>
      </x:c>
      <x:c r="B869" t="str">
        <x:v>expensive vapes</x:v>
      </x:c>
      <x:c r="C869" t="str">
        <x:v>48</x:v>
      </x:c>
      <x:c r="D869" t="str">
        <x:v>high puff pod system</x:v>
      </x:c>
      <x:c r="E869" t="str">
        <x:v>recommended</x:v>
      </x:c>
      <x:c r="F869" t="n">
        <x:v>0</x:v>
      </x:c>
      <x:c r="G869" t="n">
        <x:v>0</x:v>
      </x:c>
      <x:c r="H869" t="str">
        <x:v>48</x:v>
      </x:c>
    </x:row>
    <x:row r="870">
      <x:c r="A870" t="str">
        <x:v>48</x:v>
      </x:c>
      <x:c r="B870" t="str">
        <x:v>expensive vapes</x:v>
      </x:c>
      <x:c r="C870" t="str">
        <x:v>48</x:v>
      </x:c>
      <x:c r="D870" t="str">
        <x:v>replaceable vape pod flavors</x:v>
      </x:c>
      <x:c r="E870" t="str">
        <x:v>recommended</x:v>
      </x:c>
      <x:c r="F870" t="n">
        <x:v>0</x:v>
      </x:c>
      <x:c r="G870" t="n">
        <x:v>0</x:v>
      </x:c>
      <x:c r="H870" t="str">
        <x:v>48</x:v>
      </x:c>
    </x:row>
    <x:row r="871">
      <x:c r="A871" t="str">
        <x:v>48</x:v>
      </x:c>
      <x:c r="B871" t="str">
        <x:v>expensive vapes</x:v>
      </x:c>
      <x:c r="C871" t="str">
        <x:v>48</x:v>
      </x:c>
      <x:c r="D871" t="str">
        <x:v>best replaceable pod vape flavors</x:v>
      </x:c>
      <x:c r="E871" t="str">
        <x:v>recommended</x:v>
      </x:c>
      <x:c r="F871" t="n">
        <x:v>0</x:v>
      </x:c>
      <x:c r="G871" t="n">
        <x:v>0</x:v>
      </x:c>
      <x:c r="H871" t="str">
        <x:v>48</x:v>
      </x:c>
    </x:row>
    <x:row r="872">
      <x:c r="A872" t="str">
        <x:v>48</x:v>
      </x:c>
      <x:c r="B872" t="str">
        <x:v>expensive vapes</x:v>
      </x:c>
      <x:c r="C872" t="str">
        <x:v>48</x:v>
      </x:c>
      <x:c r="D872" t="str">
        <x:v>replaceable vape flavor review</x:v>
      </x:c>
      <x:c r="E872" t="str">
        <x:v>recommended</x:v>
      </x:c>
      <x:c r="F872" t="n">
        <x:v>0</x:v>
      </x:c>
      <x:c r="G872" t="n">
        <x:v>0</x:v>
      </x:c>
      <x:c r="H872" t="str">
        <x:v>48</x:v>
      </x:c>
    </x:row>
    <x:row r="873">
      <x:c r="A873" t="str">
        <x:v>48</x:v>
      </x:c>
      <x:c r="B873" t="str">
        <x:v>expensive vapes</x:v>
      </x:c>
      <x:c r="C873" t="str">
        <x:v>48</x:v>
      </x:c>
      <x:c r="D873" t="str">
        <x:v>vaping juice</x:v>
      </x:c>
      <x:c r="E873" t="str">
        <x:v>recommended</x:v>
      </x:c>
      <x:c r="F873" t="n">
        <x:v>3600</x:v>
      </x:c>
      <x:c r="G873" t="n">
        <x:v>64</x:v>
      </x:c>
      <x:c r="H873" t="str">
        <x:v>commercial</x:v>
      </x:c>
    </x:row>
    <x:row r="874">
      <x:c r="A874" t="str">
        <x:v>48</x:v>
      </x:c>
      <x:c r="B874" t="str">
        <x:v>expensive vapes</x:v>
      </x:c>
      <x:c r="C874" t="str">
        <x:v>48</x:v>
      </x:c>
      <x:c r="D874" t="str">
        <x:v>juice for vapes</x:v>
      </x:c>
      <x:c r="E874" t="str">
        <x:v>recommended</x:v>
      </x:c>
      <x:c r="F874" t="n">
        <x:v>4400</x:v>
      </x:c>
      <x:c r="G874" t="n">
        <x:v>70</x:v>
      </x:c>
      <x:c r="H874" t="str">
        <x:v>commercial</x:v>
      </x:c>
    </x:row>
    <x:row r="875">
      <x:c r="A875" t="str">
        <x:v>48</x:v>
      </x:c>
      <x:c r="B875" t="str">
        <x:v>nexa disposable vape</x:v>
      </x:c>
      <x:c r="C875" t="str">
        <x:v>48</x:v>
      </x:c>
      <x:c r="D875" t="str">
        <x:v>nexa disposable vape</x:v>
      </x:c>
      <x:c r="E875" t="str">
        <x:v>recommended</x:v>
      </x:c>
      <x:c r="F875" t="n">
        <x:v>260</x:v>
      </x:c>
      <x:c r="G875" t="n">
        <x:v>16</x:v>
      </x:c>
      <x:c r="H875" t="str">
        <x:v>commercial</x:v>
      </x:c>
    </x:row>
    <x:row r="876">
      <x:c r="A876" t="str">
        <x:v>48</x:v>
      </x:c>
      <x:c r="B876" t="str">
        <x:v>nexa disposable vape</x:v>
      </x:c>
      <x:c r="C876" t="str">
        <x:v>48</x:v>
      </x:c>
      <x:c r="D876" t="str">
        <x:v>mint vape juice</x:v>
      </x:c>
      <x:c r="E876" t="str">
        <x:v>recommended</x:v>
      </x:c>
      <x:c r="F876" t="n">
        <x:v>390</x:v>
      </x:c>
      <x:c r="G876" t="n">
        <x:v>15</x:v>
      </x:c>
      <x:c r="H876" t="str">
        <x:v>informational, commercial</x:v>
      </x:c>
    </x:row>
    <x:row r="877">
      <x:c r="A877" t="str">
        <x:v>48</x:v>
      </x:c>
      <x:c r="B877" t="str">
        <x:v>nexa disposable vape</x:v>
      </x:c>
      <x:c r="C877" t="str">
        <x:v>48</x:v>
      </x:c>
      <x:c r="D877" t="str">
        <x:v>best mint vapes</x:v>
      </x:c>
      <x:c r="E877" t="str">
        <x:v>recommended</x:v>
      </x:c>
      <x:c r="F877" t="n">
        <x:v>110</x:v>
      </x:c>
      <x:c r="G877" t="n">
        <x:v>5</x:v>
      </x:c>
      <x:c r="H877" t="str">
        <x:v>commercial</x:v>
      </x:c>
    </x:row>
    <x:row r="878">
      <x:c r="A878" t="str">
        <x:v>48</x:v>
      </x:c>
      <x:c r="B878" t="str">
        <x:v>nexa disposable vape</x:v>
      </x:c>
      <x:c r="C878" t="str">
        <x:v>48</x:v>
      </x:c>
      <x:c r="D878" t="str">
        <x:v>best mint disposable vape</x:v>
      </x:c>
      <x:c r="E878" t="str">
        <x:v>recommended</x:v>
      </x:c>
      <x:c r="F878" t="n">
        <x:v>90</x:v>
      </x:c>
      <x:c r="G878" t="n">
        <x:v>2</x:v>
      </x:c>
      <x:c r="H878" t="str">
        <x:v>informational, commercial</x:v>
      </x:c>
    </x:row>
    <x:row r="879">
      <x:c r="A879" t="str">
        <x:v>48</x:v>
      </x:c>
      <x:c r="B879" t="str">
        <x:v>nexa disposable vape</x:v>
      </x:c>
      <x:c r="C879" t="str">
        <x:v>48</x:v>
      </x:c>
      <x:c r="D879" t="str">
        <x:v>sweet mint vape</x:v>
      </x:c>
      <x:c r="E879" t="str">
        <x:v>recommended</x:v>
      </x:c>
      <x:c r="F879" t="n">
        <x:v>70</x:v>
      </x:c>
      <x:c r="G879" t="n">
        <x:v>2</x:v>
      </x:c>
      <x:c r="H879" t="str">
        <x:v>informational</x:v>
      </x:c>
    </x:row>
    <x:row r="880">
      <x:c r="A880" t="str">
        <x:v>48</x:v>
      </x:c>
      <x:c r="B880" t="str">
        <x:v>nexa disposable vape</x:v>
      </x:c>
      <x:c r="C880" t="str">
        <x:v>48</x:v>
      </x:c>
      <x:c r="D880" t="str">
        <x:v>mint nicotine vape</x:v>
      </x:c>
      <x:c r="E880" t="str">
        <x:v>recommended</x:v>
      </x:c>
      <x:c r="F880" t="n">
        <x:v>70</x:v>
      </x:c>
      <x:c r="G880" t="n">
        <x:v>3</x:v>
      </x:c>
      <x:c r="H880" t="str">
        <x:v>commercial</x:v>
      </x:c>
    </x:row>
    <x:row r="881">
      <x:c r="A881" t="str">
        <x:v>48</x:v>
      </x:c>
      <x:c r="B881" t="str">
        <x:v>nexa disposable vape</x:v>
      </x:c>
      <x:c r="C881" t="str">
        <x:v>48</x:v>
      </x:c>
      <x:c r="D881" t="str">
        <x:v>mint flavored vapes</x:v>
      </x:c>
      <x:c r="E881" t="str">
        <x:v>recommended</x:v>
      </x:c>
      <x:c r="F881" t="n">
        <x:v>70</x:v>
      </x:c>
      <x:c r="G881" t="n">
        <x:v>1</x:v>
      </x:c>
      <x:c r="H881" t="str">
        <x:v>commercial</x:v>
      </x:c>
    </x:row>
    <x:row r="882">
      <x:c r="A882" t="str">
        <x:v>48</x:v>
      </x:c>
      <x:c r="B882" t="str">
        <x:v>nexa disposable vape</x:v>
      </x:c>
      <x:c r="C882" t="str">
        <x:v>48</x:v>
      </x:c>
      <x:c r="D882" t="str">
        <x:v>mint vape brands</x:v>
      </x:c>
      <x:c r="E882" t="str">
        <x:v>recommended</x:v>
      </x:c>
      <x:c r="F882" t="n">
        <x:v>40</x:v>
      </x:c>
      <x:c r="G882" t="n">
        <x:v>0</x:v>
      </x:c>
      <x:c r="H882" t="str">
        <x:v>informational</x:v>
      </x:c>
    </x:row>
    <x:row r="883">
      <x:c r="A883" t="str">
        <x:v>48</x:v>
      </x:c>
      <x:c r="B883" t="str">
        <x:v>nexa disposable vape</x:v>
      </x:c>
      <x:c r="C883" t="str">
        <x:v>48</x:v>
      </x:c>
      <x:c r="D883" t="str">
        <x:v>mint vape</x:v>
      </x:c>
      <x:c r="E883" t="str">
        <x:v>recommended</x:v>
      </x:c>
      <x:c r="F883" t="n">
        <x:v>3600</x:v>
      </x:c>
      <x:c r="G883" t="n">
        <x:v>13</x:v>
      </x:c>
      <x:c r="H883" t="str">
        <x:v>informational</x:v>
      </x:c>
    </x:row>
    <x:row r="884">
      <x:c r="A884" t="str">
        <x:v>48</x:v>
      </x:c>
      <x:c r="B884" t="str">
        <x:v>nexa disposable vape</x:v>
      </x:c>
      <x:c r="C884" t="str">
        <x:v>48</x:v>
      </x:c>
      <x:c r="D884" t="str">
        <x:v>menthol fruit vape</x:v>
      </x:c>
      <x:c r="E884" t="str">
        <x:v>recommended</x:v>
      </x:c>
      <x:c r="F884" t="n">
        <x:v>0</x:v>
      </x:c>
      <x:c r="G884" t="n">
        <x:v>0</x:v>
      </x:c>
      <x:c r="H884" t="str">
        <x:v>48</x:v>
      </x:c>
    </x:row>
    <x:row r="885">
      <x:c r="A885" t="str">
        <x:v>48</x:v>
      </x:c>
      <x:c r="B885" t="str">
        <x:v>nexa disposable vape</x:v>
      </x:c>
      <x:c r="C885" t="str">
        <x:v>48</x:v>
      </x:c>
      <x:c r="D885" t="str">
        <x:v>best mint vape flavor</x:v>
      </x:c>
      <x:c r="E885" t="str">
        <x:v>recommended</x:v>
      </x:c>
      <x:c r="F885" t="n">
        <x:v>0</x:v>
      </x:c>
      <x:c r="G885" t="n">
        <x:v>0</x:v>
      </x:c>
      <x:c r="H885" t="str">
        <x:v>48</x:v>
      </x:c>
    </x:row>
    <x:row r="886">
      <x:c r="A886" t="str">
        <x:v>48</x:v>
      </x:c>
      <x:c r="B886" t="str">
        <x:v>swft vape</x:v>
      </x:c>
      <x:c r="C886" t="str">
        <x:v>48</x:v>
      </x:c>
      <x:c r="D886" t="str">
        <x:v>swft vape</x:v>
      </x:c>
      <x:c r="E886" t="str">
        <x:v>recommended</x:v>
      </x:c>
      <x:c r="F886" t="n">
        <x:v>2400</x:v>
      </x:c>
      <x:c r="G886" t="n">
        <x:v>9</x:v>
      </x:c>
      <x:c r="H886" t="str">
        <x:v>informational</x:v>
      </x:c>
    </x:row>
    <x:row r="887">
      <x:c r="A887" t="str">
        <x:v>48</x:v>
      </x:c>
      <x:c r="B887" t="str">
        <x:v>swft vape</x:v>
      </x:c>
      <x:c r="C887" t="str">
        <x:v>48</x:v>
      </x:c>
      <x:c r="D887" t="str">
        <x:v>swift vape</x:v>
      </x:c>
      <x:c r="E887" t="str">
        <x:v>recommended</x:v>
      </x:c>
      <x:c r="F887" t="n">
        <x:v>1600</x:v>
      </x:c>
      <x:c r="G887" t="n">
        <x:v>12</x:v>
      </x:c>
      <x:c r="H887" t="str">
        <x:v>informational</x:v>
      </x:c>
    </x:row>
    <x:row r="888">
      <x:c r="A888" t="str">
        <x:v>48</x:v>
      </x:c>
      <x:c r="B888" t="str">
        <x:v>flum vape</x:v>
      </x:c>
      <x:c r="C888" t="str">
        <x:v>48</x:v>
      </x:c>
      <x:c r="D888" t="str">
        <x:v>flum vape</x:v>
      </x:c>
      <x:c r="E888" t="str">
        <x:v>recommended</x:v>
      </x:c>
      <x:c r="F888" t="n">
        <x:v>12100</x:v>
      </x:c>
      <x:c r="G888" t="n">
        <x:v>27</x:v>
      </x:c>
      <x:c r="H888" t="str">
        <x:v>informational</x:v>
      </x:c>
    </x:row>
    <x:row r="889">
      <x:c r="A889" t="str">
        <x:v>48</x:v>
      </x:c>
      <x:c r="B889" t="str">
        <x:v>flum vape</x:v>
      </x:c>
      <x:c r="C889" t="str">
        <x:v>48</x:v>
      </x:c>
      <x:c r="D889" t="str">
        <x:v>flum vapes</x:v>
      </x:c>
      <x:c r="E889" t="str">
        <x:v>recommended</x:v>
      </x:c>
      <x:c r="F889" t="n">
        <x:v>1900</x:v>
      </x:c>
      <x:c r="G889" t="n">
        <x:v>32</x:v>
      </x:c>
      <x:c r="H889" t="str">
        <x:v>informational</x:v>
      </x:c>
    </x:row>
    <x:row r="890">
      <x:c r="A890" t="str">
        <x:v>48</x:v>
      </x:c>
      <x:c r="B890" t="str">
        <x:v>vape wholesale</x:v>
      </x:c>
      <x:c r="C890" t="str">
        <x:v>48</x:v>
      </x:c>
      <x:c r="D890" t="str">
        <x:v>vape wholesale</x:v>
      </x:c>
      <x:c r="E890" t="str">
        <x:v>recommended</x:v>
      </x:c>
      <x:c r="F890" t="n">
        <x:v>6600</x:v>
      </x:c>
      <x:c r="G890" t="n">
        <x:v>64</x:v>
      </x:c>
      <x:c r="H890" t="str">
        <x:v>commercial</x:v>
      </x:c>
    </x:row>
    <x:row r="891">
      <x:c r="A891" t="str">
        <x:v>48</x:v>
      </x:c>
      <x:c r="B891" t="str">
        <x:v>vape wholesale</x:v>
      </x:c>
      <x:c r="C891" t="str">
        <x:v>48</x:v>
      </x:c>
      <x:c r="D891" t="str">
        <x:v>wholesale vapes</x:v>
      </x:c>
      <x:c r="E891" t="str">
        <x:v>recommended</x:v>
      </x:c>
      <x:c r="F891" t="n">
        <x:v>3600</x:v>
      </x:c>
      <x:c r="G891" t="n">
        <x:v>61</x:v>
      </x:c>
      <x:c r="H891" t="str">
        <x:v>commercial</x:v>
      </x:c>
    </x:row>
    <x:row r="892">
      <x:c r="A892" t="str">
        <x:v>48</x:v>
      </x:c>
      <x:c r="B892" t="str">
        <x:v>ice vape</x:v>
      </x:c>
      <x:c r="C892" t="str">
        <x:v>48</x:v>
      </x:c>
      <x:c r="D892" t="str">
        <x:v>ice vape</x:v>
      </x:c>
      <x:c r="E892" t="str">
        <x:v>recommended</x:v>
      </x:c>
      <x:c r="F892" t="n">
        <x:v>1300</x:v>
      </x:c>
      <x:c r="G892" t="n">
        <x:v>11</x:v>
      </x:c>
      <x:c r="H892" t="str">
        <x:v>informational</x:v>
      </x:c>
    </x:row>
    <x:row r="893">
      <x:c r="A893" t="str">
        <x:v>48</x:v>
      </x:c>
      <x:c r="B893" t="str">
        <x:v>ice vape</x:v>
      </x:c>
      <x:c r="C893" t="str">
        <x:v>48</x:v>
      </x:c>
      <x:c r="D893" t="str">
        <x:v>discount vape</x:v>
      </x:c>
      <x:c r="E893" t="str">
        <x:v>recommended</x:v>
      </x:c>
      <x:c r="F893" t="n">
        <x:v>1900</x:v>
      </x:c>
      <x:c r="G893" t="n">
        <x:v>53</x:v>
      </x:c>
      <x:c r="H893" t="str">
        <x:v>commercial</x:v>
      </x:c>
    </x:row>
    <x:row r="894">
      <x:c r="A894" t="str">
        <x:v>48</x:v>
      </x:c>
      <x:c r="B894" t="str">
        <x:v>ice vape</x:v>
      </x:c>
      <x:c r="C894" t="str">
        <x:v>48</x:v>
      </x:c>
      <x:c r="D894" t="str">
        <x:v>highest nicotine vape</x:v>
      </x:c>
      <x:c r="E894" t="str">
        <x:v>recommended</x:v>
      </x:c>
      <x:c r="F894" t="n">
        <x:v>390</x:v>
      </x:c>
      <x:c r="G894" t="n">
        <x:v>15</x:v>
      </x:c>
      <x:c r="H894" t="str">
        <x:v>informational</x:v>
      </x:c>
    </x:row>
    <x:row r="895">
      <x:c r="A895" t="str">
        <x:v>48</x:v>
      </x:c>
      <x:c r="B895" t="str">
        <x:v>ice vape</x:v>
      </x:c>
      <x:c r="C895" t="str">
        <x:v>48</x:v>
      </x:c>
      <x:c r="D895" t="str">
        <x:v>famous vape brands in usa</x:v>
      </x:c>
      <x:c r="E895" t="str">
        <x:v>recommended</x:v>
      </x:c>
      <x:c r="F895" t="n">
        <x:v>260</x:v>
      </x:c>
      <x:c r="G895" t="n">
        <x:v>19</x:v>
      </x:c>
      <x:c r="H895" t="str">
        <x:v>commercial</x:v>
      </x:c>
    </x:row>
    <x:row r="896">
      <x:c r="A896" t="str">
        <x:v>48</x:v>
      </x:c>
      <x:c r="B896" t="str">
        <x:v>ice vape</x:v>
      </x:c>
      <x:c r="C896" t="str">
        <x:v>48</x:v>
      </x:c>
      <x:c r="D896" t="str">
        <x:v>non menthol vapes</x:v>
      </x:c>
      <x:c r="E896" t="str">
        <x:v>recommended</x:v>
      </x:c>
      <x:c r="F896" t="n">
        <x:v>90</x:v>
      </x:c>
      <x:c r="G896" t="n">
        <x:v>2</x:v>
      </x:c>
      <x:c r="H896" t="str">
        <x:v>commercial</x:v>
      </x:c>
    </x:row>
    <x:row r="897">
      <x:c r="A897" t="str">
        <x:v>48</x:v>
      </x:c>
      <x:c r="B897" t="str">
        <x:v>ice vape</x:v>
      </x:c>
      <x:c r="C897" t="str">
        <x:v>48</x:v>
      </x:c>
      <x:c r="D897" t="str">
        <x:v>e cig flavors</x:v>
      </x:c>
      <x:c r="E897" t="str">
        <x:v>recommended</x:v>
      </x:c>
      <x:c r="F897" t="n">
        <x:v>170</x:v>
      </x:c>
      <x:c r="G897" t="n">
        <x:v>28</x:v>
      </x:c>
      <x:c r="H897" t="str">
        <x:v>informational</x:v>
      </x:c>
    </x:row>
    <x:row r="898">
      <x:c r="A898" t="str">
        <x:v>48</x:v>
      </x:c>
      <x:c r="B898" t="str">
        <x:v>ice vape</x:v>
      </x:c>
      <x:c r="C898" t="str">
        <x:v>48</x:v>
      </x:c>
      <x:c r="D898" t="str">
        <x:v>ice vape flavors</x:v>
      </x:c>
      <x:c r="E898" t="str">
        <x:v>recommended</x:v>
      </x:c>
      <x:c r="F898" t="n">
        <x:v>110</x:v>
      </x:c>
      <x:c r="G898" t="n">
        <x:v>2</x:v>
      </x:c>
      <x:c r="H898" t="str">
        <x:v>informational</x:v>
      </x:c>
    </x:row>
    <x:row r="899">
      <x:c r="A899" t="str">
        <x:v>48</x:v>
      </x:c>
      <x:c r="B899" t="str">
        <x:v>ice vape</x:v>
      </x:c>
      <x:c r="C899" t="str">
        <x:v>48</x:v>
      </x:c>
      <x:c r="D899" t="str">
        <x:v>flavored nicotine vape</x:v>
      </x:c>
      <x:c r="E899" t="str">
        <x:v>recommended</x:v>
      </x:c>
      <x:c r="F899" t="n">
        <x:v>140</x:v>
      </x:c>
      <x:c r="G899" t="n">
        <x:v>25</x:v>
      </x:c>
      <x:c r="H899" t="str">
        <x:v>commercial</x:v>
      </x:c>
    </x:row>
    <x:row r="900">
      <x:c r="A900" t="str">
        <x:v>48</x:v>
      </x:c>
      <x:c r="B900" t="str">
        <x:v>ice vape</x:v>
      </x:c>
      <x:c r="C900" t="str">
        <x:v>48</x:v>
      </x:c>
      <x:c r="D900" t="str">
        <x:v>big puff vape</x:v>
      </x:c>
      <x:c r="E900" t="str">
        <x:v>recommended</x:v>
      </x:c>
      <x:c r="F900" t="n">
        <x:v>70</x:v>
      </x:c>
      <x:c r="G900" t="n">
        <x:v>10</x:v>
      </x:c>
      <x:c r="H900" t="str">
        <x:v>commercial</x:v>
      </x:c>
    </x:row>
    <x:row r="901">
      <x:c r="A901" t="str">
        <x:v>48</x:v>
      </x:c>
      <x:c r="B901" t="str">
        <x:v>ice vape</x:v>
      </x:c>
      <x:c r="C901" t="str">
        <x:v>48</x:v>
      </x:c>
      <x:c r="D901" t="str">
        <x:v>best eliquid</x:v>
      </x:c>
      <x:c r="E901" t="str">
        <x:v>recommended</x:v>
      </x:c>
      <x:c r="F901" t="n">
        <x:v>70</x:v>
      </x:c>
      <x:c r="G901" t="n">
        <x:v>14</x:v>
      </x:c>
      <x:c r="H901" t="str">
        <x:v>commercial</x:v>
      </x:c>
    </x:row>
    <x:row r="902">
      <x:c r="A902" t="str">
        <x:v>48</x:v>
      </x:c>
      <x:c r="B902" t="str">
        <x:v>ice vape</x:v>
      </x:c>
      <x:c r="C902" t="str">
        <x:v>48</x:v>
      </x:c>
      <x:c r="D902" t="str">
        <x:v>best dessert flavor disposable vape</x:v>
      </x:c>
      <x:c r="E902" t="str">
        <x:v>recommended</x:v>
      </x:c>
      <x:c r="F902" t="n">
        <x:v>70</x:v>
      </x:c>
      <x:c r="G902" t="n">
        <x:v>0</x:v>
      </x:c>
      <x:c r="H902" t="str">
        <x:v>commercial</x:v>
      </x:c>
    </x:row>
    <x:row r="903">
      <x:c r="A903" t="str">
        <x:v>48</x:v>
      </x:c>
      <x:c r="B903" t="str">
        <x:v>ice vape</x:v>
      </x:c>
      <x:c r="C903" t="str">
        <x:v>48</x:v>
      </x:c>
      <x:c r="D903" t="str">
        <x:v>best disposable vape pen</x:v>
      </x:c>
      <x:c r="E903" t="str">
        <x:v>recommended</x:v>
      </x:c>
      <x:c r="F903" t="n">
        <x:v>110</x:v>
      </x:c>
      <x:c r="G903" t="n">
        <x:v>34</x:v>
      </x:c>
      <x:c r="H903" t="str">
        <x:v>commercial</x:v>
      </x:c>
    </x:row>
    <x:row r="904">
      <x:c r="A904" t="str">
        <x:v>48</x:v>
      </x:c>
      <x:c r="B904" t="str">
        <x:v>ice vape</x:v>
      </x:c>
      <x:c r="C904" t="str">
        <x:v>48</x:v>
      </x:c>
      <x:c r="D904" t="str">
        <x:v>discount disposable vapes</x:v>
      </x:c>
      <x:c r="E904" t="str">
        <x:v>recommended</x:v>
      </x:c>
      <x:c r="F904" t="n">
        <x:v>110</x:v>
      </x:c>
      <x:c r="G904" t="n">
        <x:v>38</x:v>
      </x:c>
      <x:c r="H904" t="str">
        <x:v>commercial</x:v>
      </x:c>
    </x:row>
    <x:row r="905">
      <x:c r="A905" t="str">
        <x:v>48</x:v>
      </x:c>
      <x:c r="B905" t="str">
        <x:v>ice vape</x:v>
      </x:c>
      <x:c r="C905" t="str">
        <x:v>48</x:v>
      </x:c>
      <x:c r="D905" t="str">
        <x:v>puffs disposable</x:v>
      </x:c>
      <x:c r="E905" t="str">
        <x:v>recommended</x:v>
      </x:c>
      <x:c r="F905" t="n">
        <x:v>40</x:v>
      </x:c>
      <x:c r="G905" t="n">
        <x:v>13</x:v>
      </x:c>
      <x:c r="H905" t="str">
        <x:v>informational, transactional</x:v>
      </x:c>
    </x:row>
    <x:row r="906">
      <x:c r="A906" t="str">
        <x:v>48</x:v>
      </x:c>
      <x:c r="B906" t="str">
        <x:v>ice vape</x:v>
      </x:c>
      <x:c r="C906" t="str">
        <x:v>48</x:v>
      </x:c>
      <x:c r="D906" t="str">
        <x:v>e cigarettes disposable</x:v>
      </x:c>
      <x:c r="E906" t="str">
        <x:v>recommended</x:v>
      </x:c>
      <x:c r="F906" t="n">
        <x:v>70</x:v>
      </x:c>
      <x:c r="G906" t="n">
        <x:v>33</x:v>
      </x:c>
      <x:c r="H906" t="str">
        <x:v>informational, commercial</x:v>
      </x:c>
    </x:row>
    <x:row r="907">
      <x:c r="A907" t="str">
        <x:v>48</x:v>
      </x:c>
      <x:c r="B907" t="str">
        <x:v>ice vape</x:v>
      </x:c>
      <x:c r="C907" t="str">
        <x:v>48</x:v>
      </x:c>
      <x:c r="D907" t="str">
        <x:v>vapes mint</x:v>
      </x:c>
      <x:c r="E907" t="str">
        <x:v>recommended</x:v>
      </x:c>
      <x:c r="F907" t="n">
        <x:v>50</x:v>
      </x:c>
      <x:c r="G907" t="n">
        <x:v>7</x:v>
      </x:c>
      <x:c r="H907" t="str">
        <x:v>informational</x:v>
      </x:c>
    </x:row>
    <x:row r="908">
      <x:c r="A908" t="str">
        <x:v>48</x:v>
      </x:c>
      <x:c r="B908" t="str">
        <x:v>ice vape</x:v>
      </x:c>
      <x:c r="C908" t="str">
        <x:v>48</x:v>
      </x:c>
      <x:c r="D908" t="str">
        <x:v>best ecigarettes</x:v>
      </x:c>
      <x:c r="E908" t="str">
        <x:v>recommended</x:v>
      </x:c>
      <x:c r="F908" t="n">
        <x:v>90</x:v>
      </x:c>
      <x:c r="G908" t="n">
        <x:v>40</x:v>
      </x:c>
      <x:c r="H908" t="str">
        <x:v>commercial</x:v>
      </x:c>
    </x:row>
    <x:row r="909">
      <x:c r="A909" t="str">
        <x:v>48</x:v>
      </x:c>
      <x:c r="B909" t="str">
        <x:v>ice vape</x:v>
      </x:c>
      <x:c r="C909" t="str">
        <x:v>48</x:v>
      </x:c>
      <x:c r="D909" t="str">
        <x:v>fruity disposable vape</x:v>
      </x:c>
      <x:c r="E909" t="str">
        <x:v>recommended</x:v>
      </x:c>
      <x:c r="F909" t="n">
        <x:v>40</x:v>
      </x:c>
      <x:c r="G909" t="n">
        <x:v>0</x:v>
      </x:c>
      <x:c r="H909" t="str">
        <x:v>informational</x:v>
      </x:c>
    </x:row>
    <x:row r="910">
      <x:c r="A910" t="str">
        <x:v>48</x:v>
      </x:c>
      <x:c r="B910" t="str">
        <x:v>ice vape</x:v>
      </x:c>
      <x:c r="C910" t="str">
        <x:v>48</x:v>
      </x:c>
      <x:c r="D910" t="str">
        <x:v>vap brands</x:v>
      </x:c>
      <x:c r="E910" t="str">
        <x:v>recommended</x:v>
      </x:c>
      <x:c r="F910" t="n">
        <x:v>50</x:v>
      </x:c>
      <x:c r="G910" t="n">
        <x:v>31</x:v>
      </x:c>
      <x:c r="H910" t="str">
        <x:v>informational, commercial</x:v>
      </x:c>
    </x:row>
    <x:row r="911">
      <x:c r="A911" t="str">
        <x:v>48</x:v>
      </x:c>
      <x:c r="B911" t="str">
        <x:v>ice vape</x:v>
      </x:c>
      <x:c r="C911" t="str">
        <x:v>48</x:v>
      </x:c>
      <x:c r="D911" t="str">
        <x:v>my flavor vapes</x:v>
      </x:c>
      <x:c r="E911" t="str">
        <x:v>recommended</x:v>
      </x:c>
      <x:c r="F911" t="n">
        <x:v>40</x:v>
      </x:c>
      <x:c r="G911" t="n">
        <x:v>0</x:v>
      </x:c>
      <x:c r="H911" t="str">
        <x:v>informational, commercial</x:v>
      </x:c>
    </x:row>
    <x:row r="912">
      <x:c r="A912" t="str">
        <x:v>48</x:v>
      </x:c>
      <x:c r="B912" t="str">
        <x:v>ice vape</x:v>
      </x:c>
      <x:c r="C912" t="str">
        <x:v>48</x:v>
      </x:c>
      <x:c r="D912" t="str">
        <x:v>flavored vapes for sale</x:v>
      </x:c>
      <x:c r="E912" t="str">
        <x:v>recommended</x:v>
      </x:c>
      <x:c r="F912" t="n">
        <x:v>40</x:v>
      </x:c>
      <x:c r="G912" t="n">
        <x:v>32</x:v>
      </x:c>
      <x:c r="H912" t="str">
        <x:v>transactional</x:v>
      </x:c>
    </x:row>
    <x:row r="913">
      <x:c r="A913" t="str">
        <x:v>48</x:v>
      </x:c>
      <x:c r="B913" t="str">
        <x:v>ice vape</x:v>
      </x:c>
      <x:c r="C913" t="str">
        <x:v>48</x:v>
      </x:c>
      <x:c r="D913" t="str">
        <x:v>premium vape liquid</x:v>
      </x:c>
      <x:c r="E913" t="str">
        <x:v>recommended</x:v>
      </x:c>
      <x:c r="F913" t="n">
        <x:v>40</x:v>
      </x:c>
      <x:c r="G913" t="n">
        <x:v>41</x:v>
      </x:c>
      <x:c r="H913" t="str">
        <x:v>transactional</x:v>
      </x:c>
    </x:row>
    <x:row r="914">
      <x:c r="A914" t="str">
        <x:v>48</x:v>
      </x:c>
      <x:c r="B914" t="str">
        <x:v>ice vape</x:v>
      </x:c>
      <x:c r="C914" t="str">
        <x:v>48</x:v>
      </x:c>
      <x:c r="D914" t="str">
        <x:v>e cigarette flavors</x:v>
      </x:c>
      <x:c r="E914" t="str">
        <x:v>recommended</x:v>
      </x:c>
      <x:c r="F914" t="n">
        <x:v>70</x:v>
      </x:c>
      <x:c r="G914" t="n">
        <x:v>42</x:v>
      </x:c>
      <x:c r="H914" t="str">
        <x:v>informational</x:v>
      </x:c>
    </x:row>
    <x:row r="915">
      <x:c r="A915" t="str">
        <x:v>48</x:v>
      </x:c>
      <x:c r="B915" t="str">
        <x:v>ice vape</x:v>
      </x:c>
      <x:c r="C915" t="str">
        <x:v>48</x:v>
      </x:c>
      <x:c r="D915" t="str">
        <x:v>vape banana</x:v>
      </x:c>
      <x:c r="E915" t="str">
        <x:v>recommended</x:v>
      </x:c>
      <x:c r="F915" t="n">
        <x:v>70</x:v>
      </x:c>
      <x:c r="G915" t="n">
        <x:v>19</x:v>
      </x:c>
      <x:c r="H915" t="str">
        <x:v>informational</x:v>
      </x:c>
    </x:row>
    <x:row r="916">
      <x:c r="A916" t="str">
        <x:v>48</x:v>
      </x:c>
      <x:c r="B916" t="str">
        <x:v>ice vape</x:v>
      </x:c>
      <x:c r="C916" t="str">
        <x:v>48</x:v>
      </x:c>
      <x:c r="D916" t="str">
        <x:v>perfectvape reviews</x:v>
      </x:c>
      <x:c r="E916" t="str">
        <x:v>recommended</x:v>
      </x:c>
      <x:c r="F916" t="n">
        <x:v>70</x:v>
      </x:c>
      <x:c r="G916" t="n">
        <x:v>18</x:v>
      </x:c>
      <x:c r="H916" t="str">
        <x:v>commercial</x:v>
      </x:c>
    </x:row>
    <x:row r="917">
      <x:c r="A917" t="str">
        <x:v>48</x:v>
      </x:c>
      <x:c r="B917" t="str">
        <x:v>ice vape</x:v>
      </x:c>
      <x:c r="C917" t="str">
        <x:v>48</x:v>
      </x:c>
      <x:c r="D917" t="str">
        <x:v>free vapes</x:v>
      </x:c>
      <x:c r="E917" t="str">
        <x:v>recommended</x:v>
      </x:c>
      <x:c r="F917" t="n">
        <x:v>1900</x:v>
      </x:c>
      <x:c r="G917" t="n">
        <x:v>9</x:v>
      </x:c>
      <x:c r="H917" t="str">
        <x:v>informational, commercial</x:v>
      </x:c>
    </x:row>
    <x:row r="918">
      <x:c r="A918" t="str">
        <x:v>48</x:v>
      </x:c>
      <x:c r="B918" t="str">
        <x:v>ice vape</x:v>
      </x:c>
      <x:c r="C918" t="str">
        <x:v>48</x:v>
      </x:c>
      <x:c r="D918" t="str">
        <x:v>50 bar vape</x:v>
      </x:c>
      <x:c r="E918" t="str">
        <x:v>recommended</x:v>
      </x:c>
      <x:c r="F918" t="n">
        <x:v>1900</x:v>
      </x:c>
      <x:c r="G918" t="n">
        <x:v>10</x:v>
      </x:c>
      <x:c r="H918" t="str">
        <x:v>informational</x:v>
      </x:c>
    </x:row>
    <x:row r="919">
      <x:c r="A919" t="str">
        <x:v>48</x:v>
      </x:c>
      <x:c r="B919" t="str">
        <x:v>ice vape</x:v>
      </x:c>
      <x:c r="C919" t="str">
        <x:v>48</x:v>
      </x:c>
      <x:c r="D919" t="str">
        <x:v>zero nicotine disposable vape</x:v>
      </x:c>
      <x:c r="E919" t="str">
        <x:v>recommended</x:v>
      </x:c>
      <x:c r="F919" t="n">
        <x:v>4400</x:v>
      </x:c>
      <x:c r="G919" t="n">
        <x:v>18</x:v>
      </x:c>
      <x:c r="H919" t="str">
        <x:v>informational, commercial</x:v>
      </x:c>
    </x:row>
    <x:row r="920">
      <x:c r="A920" t="str">
        <x:v>48</x:v>
      </x:c>
      <x:c r="B920" t="str">
        <x:v>ice vape</x:v>
      </x:c>
      <x:c r="C920" t="str">
        <x:v>48</x:v>
      </x:c>
      <x:c r="D920" t="str">
        <x:v>best electronic cigarette</x:v>
      </x:c>
      <x:c r="E920" t="str">
        <x:v>recommended</x:v>
      </x:c>
      <x:c r="F920" t="n">
        <x:v>1300</x:v>
      </x:c>
      <x:c r="G920" t="n">
        <x:v>15</x:v>
      </x:c>
      <x:c r="H920" t="str">
        <x:v>commercial</x:v>
      </x:c>
    </x:row>
    <x:row r="921">
      <x:c r="A921" t="str">
        <x:v>48</x:v>
      </x:c>
      <x:c r="B921" t="str">
        <x:v>ice vape</x:v>
      </x:c>
      <x:c r="C921" t="str">
        <x:v>48</x:v>
      </x:c>
      <x:c r="D921" t="str">
        <x:v>vapour flavours</x:v>
      </x:c>
      <x:c r="E921" t="str">
        <x:v>recommended</x:v>
      </x:c>
      <x:c r="F921" t="n">
        <x:v>8100</x:v>
      </x:c>
      <x:c r="G921" t="n">
        <x:v>45</x:v>
      </x:c>
      <x:c r="H921" t="str">
        <x:v>informational</x:v>
      </x:c>
    </x:row>
    <x:row r="922">
      <x:c r="A922" t="str">
        <x:v>48</x:v>
      </x:c>
      <x:c r="B922" t="str">
        <x:v>makeup mirror with lights</x:v>
      </x:c>
      <x:c r="C922" t="str">
        <x:v>48</x:v>
      </x:c>
      <x:c r="D922" t="str">
        <x:v>makeup mirror with lights</x:v>
      </x:c>
      <x:c r="E922" t="str">
        <x:v>recommended</x:v>
      </x:c>
      <x:c r="F922" t="n">
        <x:v>6600</x:v>
      </x:c>
      <x:c r="G922" t="n">
        <x:v>51</x:v>
      </x:c>
      <x:c r="H922" t="str">
        <x:v>informational, commercial</x:v>
      </x:c>
    </x:row>
    <x:row r="923">
      <x:c r="A923" t="str">
        <x:v>48</x:v>
      </x:c>
      <x:c r="B923" t="str">
        <x:v>makeup mirror with lights</x:v>
      </x:c>
      <x:c r="C923" t="str">
        <x:v>48</x:v>
      </x:c>
      <x:c r="D923" t="str">
        <x:v>lighted magnifying mirror</x:v>
      </x:c>
      <x:c r="E923" t="str">
        <x:v>recommended</x:v>
      </x:c>
      <x:c r="F923" t="n">
        <x:v>1600</x:v>
      </x:c>
      <x:c r="G923" t="n">
        <x:v>27</x:v>
      </x:c>
      <x:c r="H923" t="str">
        <x:v>commercial</x:v>
      </x:c>
    </x:row>
    <x:row r="924">
      <x:c r="A924" t="str">
        <x:v>48</x:v>
      </x:c>
      <x:c r="B924" t="str">
        <x:v>makeup mirror with lights</x:v>
      </x:c>
      <x:c r="C924" t="str">
        <x:v>48</x:v>
      </x:c>
      <x:c r="D924" t="str">
        <x:v>light makeup vanity mirror</x:v>
      </x:c>
      <x:c r="E924" t="str">
        <x:v>recommended</x:v>
      </x:c>
      <x:c r="F924" t="n">
        <x:v>880</x:v>
      </x:c>
      <x:c r="G924" t="n">
        <x:v>23</x:v>
      </x:c>
      <x:c r="H924" t="str">
        <x:v>informational, transactional</x:v>
      </x:c>
    </x:row>
    <x:row r="925">
      <x:c r="A925" t="str">
        <x:v>48</x:v>
      </x:c>
      <x:c r="B925" t="str">
        <x:v>makeup mirror with lights</x:v>
      </x:c>
      <x:c r="C925" t="str">
        <x:v>48</x:v>
      </x:c>
      <x:c r="D925" t="str">
        <x:v>makeup mirror with light</x:v>
      </x:c>
      <x:c r="E925" t="str">
        <x:v>recommended</x:v>
      </x:c>
      <x:c r="F925" t="n">
        <x:v>1900</x:v>
      </x:c>
      <x:c r="G925" t="n">
        <x:v>47</x:v>
      </x:c>
      <x:c r="H925" t="str">
        <x:v>commercial</x:v>
      </x:c>
    </x:row>
    <x:row r="926">
      <x:c r="A926" t="str">
        <x:v>48</x:v>
      </x:c>
      <x:c r="B926" t="str">
        <x:v>makeup mirror with lights</x:v>
      </x:c>
      <x:c r="C926" t="str">
        <x:v>48</x:v>
      </x:c>
      <x:c r="D926" t="str">
        <x:v>magnification mirror with light</x:v>
      </x:c>
      <x:c r="E926" t="str">
        <x:v>recommended</x:v>
      </x:c>
      <x:c r="F926" t="n">
        <x:v>390</x:v>
      </x:c>
      <x:c r="G926" t="n">
        <x:v>17</x:v>
      </x:c>
      <x:c r="H926" t="str">
        <x:v>informational, transactional</x:v>
      </x:c>
    </x:row>
    <x:row r="927">
      <x:c r="A927" t="str">
        <x:v>48</x:v>
      </x:c>
      <x:c r="B927" t="str">
        <x:v>makeup mirror with lights</x:v>
      </x:c>
      <x:c r="C927" t="str">
        <x:v>48</x:v>
      </x:c>
      <x:c r="D927" t="str">
        <x:v>make up mirror with lights</x:v>
      </x:c>
      <x:c r="E927" t="str">
        <x:v>recommended</x:v>
      </x:c>
      <x:c r="F927" t="n">
        <x:v>1300</x:v>
      </x:c>
      <x:c r="G927" t="n">
        <x:v>46</x:v>
      </x:c>
      <x:c r="H927" t="str">
        <x:v>informational, transactional</x:v>
      </x:c>
    </x:row>
    <x:row r="928">
      <x:c r="A928" t="str">
        <x:v>48</x:v>
      </x:c>
      <x:c r="B928" t="str">
        <x:v>makeup mirror with lights</x:v>
      </x:c>
      <x:c r="C928" t="str">
        <x:v>48</x:v>
      </x:c>
      <x:c r="D928" t="str">
        <x:v>good makeup mirror</x:v>
      </x:c>
      <x:c r="E928" t="str">
        <x:v>recommended</x:v>
      </x:c>
      <x:c r="F928" t="n">
        <x:v>390</x:v>
      </x:c>
      <x:c r="G928" t="n">
        <x:v>24</x:v>
      </x:c>
      <x:c r="H928" t="str">
        <x:v>informational, transactional</x:v>
      </x:c>
    </x:row>
    <x:row r="929">
      <x:c r="A929" t="str">
        <x:v>48</x:v>
      </x:c>
      <x:c r="B929" t="str">
        <x:v>makeup mirror with lights</x:v>
      </x:c>
      <x:c r="C929" t="str">
        <x:v>48</x:v>
      </x:c>
      <x:c r="D929" t="str">
        <x:v>mirror with lights for makeup</x:v>
      </x:c>
      <x:c r="E929" t="str">
        <x:v>recommended</x:v>
      </x:c>
      <x:c r="F929" t="n">
        <x:v>590</x:v>
      </x:c>
      <x:c r="G929" t="n">
        <x:v>41</x:v>
      </x:c>
      <x:c r="H929" t="str">
        <x:v>commercial</x:v>
      </x:c>
    </x:row>
    <x:row r="930">
      <x:c r="A930" t="str">
        <x:v>48</x:v>
      </x:c>
      <x:c r="B930" t="str">
        <x:v>makeup mirror with lights</x:v>
      </x:c>
      <x:c r="C930" t="str">
        <x:v>48</x:v>
      </x:c>
      <x:c r="D930" t="str">
        <x:v>mirror magnifying</x:v>
      </x:c>
      <x:c r="E930" t="str">
        <x:v>recommended</x:v>
      </x:c>
      <x:c r="F930" t="n">
        <x:v>320</x:v>
      </x:c>
      <x:c r="G930" t="n">
        <x:v>35</x:v>
      </x:c>
      <x:c r="H930" t="str">
        <x:v>informational, transactional</x:v>
      </x:c>
    </x:row>
    <x:row r="931">
      <x:c r="A931" t="str">
        <x:v>48</x:v>
      </x:c>
      <x:c r="B931" t="str">
        <x:v>makeup mirror with lights</x:v>
      </x:c>
      <x:c r="C931" t="str">
        <x:v>48</x:v>
      </x:c>
      <x:c r="D931" t="str">
        <x:v>lighted vanity magnifying mirror</x:v>
      </x:c>
      <x:c r="E931" t="str">
        <x:v>recommended</x:v>
      </x:c>
      <x:c r="F931" t="n">
        <x:v>90</x:v>
      </x:c>
      <x:c r="G931" t="n">
        <x:v>23</x:v>
      </x:c>
      <x:c r="H931" t="str">
        <x:v>commercial</x:v>
      </x:c>
    </x:row>
    <x:row r="932">
      <x:c r="A932" t="str">
        <x:v>48</x:v>
      </x:c>
      <x:c r="B932" t="str">
        <x:v>makeup mirror with lights</x:v>
      </x:c>
      <x:c r="C932" t="str">
        <x:v>48</x:v>
      </x:c>
      <x:c r="D932" t="str">
        <x:v>best makeup mirror lighted</x:v>
      </x:c>
      <x:c r="E932" t="str">
        <x:v>recommended</x:v>
      </x:c>
      <x:c r="F932" t="n">
        <x:v>70</x:v>
      </x:c>
      <x:c r="G932" t="n">
        <x:v>19</x:v>
      </x:c>
      <x:c r="H932" t="str">
        <x:v>commercial</x:v>
      </x:c>
    </x:row>
    <x:row r="933">
      <x:c r="A933" t="str">
        <x:v>48</x:v>
      </x:c>
      <x:c r="B933" t="str">
        <x:v>makeup mirror with lights</x:v>
      </x:c>
      <x:c r="C933" t="str">
        <x:v>48</x:v>
      </x:c>
      <x:c r="D933" t="str">
        <x:v>close up mirror</x:v>
      </x:c>
      <x:c r="E933" t="str">
        <x:v>recommended</x:v>
      </x:c>
      <x:c r="F933" t="n">
        <x:v>140</x:v>
      </x:c>
      <x:c r="G933" t="n">
        <x:v>36</x:v>
      </x:c>
      <x:c r="H933" t="str">
        <x:v>informational, transactional</x:v>
      </x:c>
    </x:row>
    <x:row r="934">
      <x:c r="A934" t="str">
        <x:v>48</x:v>
      </x:c>
      <x:c r="B934" t="str">
        <x:v>makeup mirror with lights</x:v>
      </x:c>
      <x:c r="C934" t="str">
        <x:v>48</x:v>
      </x:c>
      <x:c r="D934" t="str">
        <x:v>beauty mirror with lights</x:v>
      </x:c>
      <x:c r="E934" t="str">
        <x:v>recommended</x:v>
      </x:c>
      <x:c r="F934" t="n">
        <x:v>170</x:v>
      </x:c>
      <x:c r="G934" t="n">
        <x:v>41</x:v>
      </x:c>
      <x:c r="H934" t="str">
        <x:v>commercial</x:v>
      </x:c>
    </x:row>
    <x:row r="935">
      <x:c r="A935" t="str">
        <x:v>48</x:v>
      </x:c>
      <x:c r="B935" t="str">
        <x:v>makeup mirror with lights</x:v>
      </x:c>
      <x:c r="C935" t="str">
        <x:v>48</x:v>
      </x:c>
      <x:c r="D935" t="str">
        <x:v>magnifying light up mirror</x:v>
      </x:c>
      <x:c r="E935" t="str">
        <x:v>recommended</x:v>
      </x:c>
      <x:c r="F935" t="n">
        <x:v>110</x:v>
      </x:c>
      <x:c r="G935" t="n">
        <x:v>31</x:v>
      </x:c>
      <x:c r="H935" t="str">
        <x:v>informational, transactional</x:v>
      </x:c>
    </x:row>
    <x:row r="936">
      <x:c r="A936" t="str">
        <x:v>48</x:v>
      </x:c>
      <x:c r="B936" t="str">
        <x:v>makeup mirror with lights</x:v>
      </x:c>
      <x:c r="C936" t="str">
        <x:v>48</x:v>
      </x:c>
      <x:c r="D936" t="str">
        <x:v>lighted makeup mirror large</x:v>
      </x:c>
      <x:c r="E936" t="str">
        <x:v>recommended</x:v>
      </x:c>
      <x:c r="F936" t="n">
        <x:v>140</x:v>
      </x:c>
      <x:c r="G936" t="n">
        <x:v>37</x:v>
      </x:c>
      <x:c r="H936" t="str">
        <x:v>informational, transactional</x:v>
      </x:c>
    </x:row>
    <x:row r="937">
      <x:c r="A937" t="str">
        <x:v>48</x:v>
      </x:c>
      <x:c r="B937" t="str">
        <x:v>makeup mirror with lights</x:v>
      </x:c>
      <x:c r="C937" t="str">
        <x:v>48</x:v>
      </x:c>
      <x:c r="D937" t="str">
        <x:v>lighted magnifier mirror</x:v>
      </x:c>
      <x:c r="E937" t="str">
        <x:v>recommended</x:v>
      </x:c>
      <x:c r="F937" t="n">
        <x:v>90</x:v>
      </x:c>
      <x:c r="G937" t="n">
        <x:v>28</x:v>
      </x:c>
      <x:c r="H937" t="str">
        <x:v>transactional</x:v>
      </x:c>
    </x:row>
    <x:row r="938">
      <x:c r="A938" t="str">
        <x:v>48</x:v>
      </x:c>
      <x:c r="B938" t="str">
        <x:v>makeup mirror with lights</x:v>
      </x:c>
      <x:c r="C938" t="str">
        <x:v>48</x:v>
      </x:c>
      <x:c r="D938" t="str">
        <x:v>lighted magnification mirror</x:v>
      </x:c>
      <x:c r="E938" t="str">
        <x:v>recommended</x:v>
      </x:c>
      <x:c r="F938" t="n">
        <x:v>50</x:v>
      </x:c>
      <x:c r="G938" t="n">
        <x:v>15</x:v>
      </x:c>
      <x:c r="H938" t="str">
        <x:v>informational, transactional</x:v>
      </x:c>
    </x:row>
    <x:row r="939">
      <x:c r="A939" t="str">
        <x:v>48</x:v>
      </x:c>
      <x:c r="B939" t="str">
        <x:v>makeup mirror with lights</x:v>
      </x:c>
      <x:c r="C939" t="str">
        <x:v>48</x:v>
      </x:c>
      <x:c r="D939" t="str">
        <x:v>magnified mirror with light</x:v>
      </x:c>
      <x:c r="E939" t="str">
        <x:v>recommended</x:v>
      </x:c>
      <x:c r="F939" t="n">
        <x:v>110</x:v>
      </x:c>
      <x:c r="G939" t="n">
        <x:v>34</x:v>
      </x:c>
      <x:c r="H939" t="str">
        <x:v>informational, commercial</x:v>
      </x:c>
    </x:row>
    <x:row r="940">
      <x:c r="A940" t="str">
        <x:v>48</x:v>
      </x:c>
      <x:c r="B940" t="str">
        <x:v>makeup mirror with lights</x:v>
      </x:c>
      <x:c r="C940" t="str">
        <x:v>48</x:v>
      </x:c>
      <x:c r="D940" t="str">
        <x:v>brightest lighted makeup mirror</x:v>
      </x:c>
      <x:c r="E940" t="str">
        <x:v>recommended</x:v>
      </x:c>
      <x:c r="F940" t="n">
        <x:v>50</x:v>
      </x:c>
      <x:c r="G940" t="n">
        <x:v>17</x:v>
      </x:c>
      <x:c r="H940" t="str">
        <x:v>informational, commercial</x:v>
      </x:c>
    </x:row>
    <x:row r="941">
      <x:c r="A941" t="str">
        <x:v>48</x:v>
      </x:c>
      <x:c r="B941" t="str">
        <x:v>makeup mirror with lights</x:v>
      </x:c>
      <x:c r="C941" t="str">
        <x:v>48</x:v>
      </x:c>
      <x:c r="D941" t="str">
        <x:v>light face mirror</x:v>
      </x:c>
      <x:c r="E941" t="str">
        <x:v>recommended</x:v>
      </x:c>
      <x:c r="F941" t="n">
        <x:v>70</x:v>
      </x:c>
      <x:c r="G941" t="n">
        <x:v>26</x:v>
      </x:c>
      <x:c r="H941" t="str">
        <x:v>transactional</x:v>
      </x:c>
    </x:row>
    <x:row r="942">
      <x:c r="A942" t="str">
        <x:v>48</x:v>
      </x:c>
      <x:c r="B942" t="str">
        <x:v>makeup mirror with lights</x:v>
      </x:c>
      <x:c r="C942" t="str">
        <x:v>48</x:v>
      </x:c>
      <x:c r="D942" t="str">
        <x:v>face mirror with light</x:v>
      </x:c>
      <x:c r="E942" t="str">
        <x:v>recommended</x:v>
      </x:c>
      <x:c r="F942" t="n">
        <x:v>70</x:v>
      </x:c>
      <x:c r="G942" t="n">
        <x:v>37</x:v>
      </x:c>
      <x:c r="H942" t="str">
        <x:v>informational, transactional</x:v>
      </x:c>
    </x:row>
    <x:row r="943">
      <x:c r="A943" t="str">
        <x:v>48</x:v>
      </x:c>
      <x:c r="B943" t="str">
        <x:v>makeup mirror with lights</x:v>
      </x:c>
      <x:c r="C943" t="str">
        <x:v>48</x:v>
      </x:c>
      <x:c r="D943" t="str">
        <x:v>mirror for makeup</x:v>
      </x:c>
      <x:c r="E943" t="str">
        <x:v>recommended</x:v>
      </x:c>
      <x:c r="F943" t="n">
        <x:v>320</x:v>
      </x:c>
      <x:c r="G943" t="n">
        <x:v>25</x:v>
      </x:c>
      <x:c r="H943" t="str">
        <x:v>informational, transactional</x:v>
      </x:c>
    </x:row>
    <x:row r="944">
      <x:c r="A944" t="str">
        <x:v>48</x:v>
      </x:c>
      <x:c r="B944" t="str">
        <x:v>makeup mirror with lights</x:v>
      </x:c>
      <x:c r="C944" t="str">
        <x:v>48</x:v>
      </x:c>
      <x:c r="D944" t="str">
        <x:v>light makeup mirror</x:v>
      </x:c>
      <x:c r="E944" t="str">
        <x:v>recommended</x:v>
      </x:c>
      <x:c r="F944" t="n">
        <x:v>140</x:v>
      </x:c>
      <x:c r="G944" t="n">
        <x:v>14</x:v>
      </x:c>
      <x:c r="H944" t="str">
        <x:v>commercial</x:v>
      </x:c>
    </x:row>
    <x:row r="945">
      <x:c r="A945" t="str">
        <x:v>48</x:v>
      </x:c>
      <x:c r="B945" t="str">
        <x:v>makeup mirror with lights</x:v>
      </x:c>
      <x:c r="C945" t="str">
        <x:v>48</x:v>
      </x:c>
      <x:c r="D945" t="str">
        <x:v>high quality makeup mirror</x:v>
      </x:c>
      <x:c r="E945" t="str">
        <x:v>recommended</x:v>
      </x:c>
      <x:c r="F945" t="n">
        <x:v>170</x:v>
      </x:c>
      <x:c r="G945" t="n">
        <x:v>18</x:v>
      </x:c>
      <x:c r="H945" t="str">
        <x:v>commercial</x:v>
      </x:c>
    </x:row>
    <x:row r="946">
      <x:c r="A946" t="str">
        <x:v>48</x:v>
      </x:c>
      <x:c r="B946" t="str">
        <x:v>makeup mirror with lights</x:v>
      </x:c>
      <x:c r="C946" t="str">
        <x:v>48</x:v>
      </x:c>
      <x:c r="D946" t="str">
        <x:v>light magnifying mirror</x:v>
      </x:c>
      <x:c r="E946" t="str">
        <x:v>recommended</x:v>
      </x:c>
      <x:c r="F946" t="n">
        <x:v>30</x:v>
      </x:c>
      <x:c r="G946" t="n">
        <x:v>32</x:v>
      </x:c>
      <x:c r="H946" t="str">
        <x:v>informational, transactional</x:v>
      </x:c>
    </x:row>
    <x:row r="947">
      <x:c r="A947" t="str">
        <x:v>48</x:v>
      </x:c>
      <x:c r="B947" t="str">
        <x:v>makeup mirror with lights</x:v>
      </x:c>
      <x:c r="C947" t="str">
        <x:v>48</x:v>
      </x:c>
      <x:c r="D947" t="str">
        <x:v>magnifying beauty mirror</x:v>
      </x:c>
      <x:c r="E947" t="str">
        <x:v>recommended</x:v>
      </x:c>
      <x:c r="F947" t="n">
        <x:v>30</x:v>
      </x:c>
      <x:c r="G947" t="n">
        <x:v>34</x:v>
      </x:c>
      <x:c r="H947" t="str">
        <x:v>commercial</x:v>
      </x:c>
    </x:row>
    <x:row r="948">
      <x:c r="A948" t="str">
        <x:v>48</x:v>
      </x:c>
      <x:c r="B948" t="str">
        <x:v>makeup mirror with lights</x:v>
      </x:c>
      <x:c r="C948" t="str">
        <x:v>48</x:v>
      </x:c>
      <x:c r="D948" t="str">
        <x:v>small mirror with light</x:v>
      </x:c>
      <x:c r="E948" t="str">
        <x:v>recommended</x:v>
      </x:c>
      <x:c r="F948" t="n">
        <x:v>50</x:v>
      </x:c>
      <x:c r="G948" t="n">
        <x:v>31</x:v>
      </x:c>
      <x:c r="H948" t="str">
        <x:v>informational, transactional</x:v>
      </x:c>
    </x:row>
    <x:row r="949">
      <x:c r="A949" t="str">
        <x:v>48</x:v>
      </x:c>
      <x:c r="B949" t="str">
        <x:v>safest disposable vape</x:v>
      </x:c>
      <x:c r="C949" t="str">
        <x:v>48</x:v>
      </x:c>
      <x:c r="D949" t="str">
        <x:v>safest disposable vape</x:v>
      </x:c>
      <x:c r="E949" t="str">
        <x:v>recommended</x:v>
      </x:c>
      <x:c r="F949" t="n">
        <x:v>210</x:v>
      </x:c>
      <x:c r="G949" t="n">
        <x:v>0</x:v>
      </x:c>
      <x:c r="H949" t="str">
        <x:v>informational</x:v>
      </x:c>
    </x:row>
    <x:row r="950">
      <x:c r="A950" t="str">
        <x:v>48</x:v>
      </x:c>
      <x:c r="B950" t="str">
        <x:v>safest disposable vape</x:v>
      </x:c>
      <x:c r="C950" t="str">
        <x:v>48</x:v>
      </x:c>
      <x:c r="D950" t="str">
        <x:v>healthier vape options</x:v>
      </x:c>
      <x:c r="E950" t="str">
        <x:v>recommended</x:v>
      </x:c>
      <x:c r="F950" t="n">
        <x:v>40</x:v>
      </x:c>
      <x:c r="G950" t="n">
        <x:v>2</x:v>
      </x:c>
      <x:c r="H950" t="str">
        <x:v>informational</x:v>
      </x:c>
    </x:row>
    <x:row r="951">
      <x:c r="A951" t="str">
        <x:v>48</x:v>
      </x:c>
      <x:c r="B951" t="str">
        <x:v>safest disposable vape</x:v>
      </x:c>
      <x:c r="C951" t="str">
        <x:v>48</x:v>
      </x:c>
      <x:c r="D951" t="str">
        <x:v>cleanest vapes</x:v>
      </x:c>
      <x:c r="E951" t="str">
        <x:v>recommended</x:v>
      </x:c>
      <x:c r="F951" t="n">
        <x:v>70</x:v>
      </x:c>
      <x:c r="G951" t="n">
        <x:v>18</x:v>
      </x:c>
      <x:c r="H951" t="str">
        <x:v>informational</x:v>
      </x:c>
    </x:row>
    <x:row r="952">
      <x:c r="A952" t="str">
        <x:v>48</x:v>
      </x:c>
      <x:c r="B952" t="str">
        <x:v>safest disposable vape</x:v>
      </x:c>
      <x:c r="C952" t="str">
        <x:v>48</x:v>
      </x:c>
      <x:c r="D952" t="str">
        <x:v>vape with handle</x:v>
      </x:c>
      <x:c r="E952" t="str">
        <x:v>recommended</x:v>
      </x:c>
      <x:c r="F952" t="n">
        <x:v>50</x:v>
      </x:c>
      <x:c r="G952" t="n">
        <x:v>7</x:v>
      </x:c>
      <x:c r="H952" t="str">
        <x:v>informational</x:v>
      </x:c>
    </x:row>
    <x:row r="953">
      <x:c r="A953" t="str">
        <x:v>48</x:v>
      </x:c>
      <x:c r="B953" t="str">
        <x:v>safest disposable vape</x:v>
      </x:c>
      <x:c r="C953" t="str">
        <x:v>48</x:v>
      </x:c>
      <x:c r="D953" t="str">
        <x:v>nicotine free vape</x:v>
      </x:c>
      <x:c r="E953" t="str">
        <x:v>recommended</x:v>
      </x:c>
      <x:c r="F953" t="n">
        <x:v>27100</x:v>
      </x:c>
      <x:c r="G953" t="n">
        <x:v>15</x:v>
      </x:c>
      <x:c r="H953" t="str">
        <x:v>informational</x:v>
      </x:c>
    </x:row>
    <x:row r="954">
      <x:c r="A954" t="str">
        <x:v>48</x:v>
      </x:c>
      <x:c r="B954" t="str">
        <x:v>safest disposable vape</x:v>
      </x:c>
      <x:c r="C954" t="str">
        <x:v>48</x:v>
      </x:c>
      <x:c r="D954" t="str">
        <x:v>vapes to help quit smoking</x:v>
      </x:c>
      <x:c r="E954" t="str">
        <x:v>recommended</x:v>
      </x:c>
      <x:c r="F954" t="n">
        <x:v>50</x:v>
      </x:c>
      <x:c r="G954" t="n">
        <x:v>34</x:v>
      </x:c>
      <x:c r="H954" t="str">
        <x:v>informational</x:v>
      </x:c>
    </x:row>
    <x:row r="955">
      <x:c r="A955" t="str">
        <x:v>48</x:v>
      </x:c>
      <x:c r="B955" t="str">
        <x:v>safest disposable vape</x:v>
      </x:c>
      <x:c r="C955" t="str">
        <x:v>48</x:v>
      </x:c>
      <x:c r="D955" t="str">
        <x:v>black vape</x:v>
      </x:c>
      <x:c r="E955" t="str">
        <x:v>recommended</x:v>
      </x:c>
      <x:c r="F955" t="n">
        <x:v>1900</x:v>
      </x:c>
      <x:c r="G955" t="n">
        <x:v>6</x:v>
      </x:c>
      <x:c r="H955" t="str">
        <x:v>informational</x:v>
      </x:c>
    </x:row>
    <x:row r="956">
      <x:c r="A956" t="str">
        <x:v>48</x:v>
      </x:c>
      <x:c r="B956" t="str">
        <x:v>safest disposable vape</x:v>
      </x:c>
      <x:c r="C956" t="str">
        <x:v>48</x:v>
      </x:c>
      <x:c r="D956" t="str">
        <x:v>non toxic vapes</x:v>
      </x:c>
      <x:c r="E956" t="str">
        <x:v>recommended</x:v>
      </x:c>
      <x:c r="F956" t="n">
        <x:v>50</x:v>
      </x:c>
      <x:c r="G956" t="n">
        <x:v>15</x:v>
      </x:c>
      <x:c r="H956" t="str">
        <x:v>informational</x:v>
      </x:c>
    </x:row>
    <x:row r="957">
      <x:c r="A957" t="str">
        <x:v>48</x:v>
      </x:c>
      <x:c r="B957" t="str">
        <x:v>safest disposable vape</x:v>
      </x:c>
      <x:c r="C957" t="str">
        <x:v>48</x:v>
      </x:c>
      <x:c r="D957" t="str">
        <x:v>air vape</x:v>
      </x:c>
      <x:c r="E957" t="str">
        <x:v>recommended</x:v>
      </x:c>
      <x:c r="F957" t="n">
        <x:v>1900</x:v>
      </x:c>
      <x:c r="G957" t="n">
        <x:v>20</x:v>
      </x:c>
      <x:c r="H957" t="str">
        <x:v>informational</x:v>
      </x:c>
    </x:row>
    <x:row r="958">
      <x:c r="A958" t="str">
        <x:v>48</x:v>
      </x:c>
      <x:c r="B958" t="str">
        <x:v>safest disposable vape</x:v>
      </x:c>
      <x:c r="C958" t="str">
        <x:v>48</x:v>
      </x:c>
      <x:c r="D958" t="str">
        <x:v>fake vape</x:v>
      </x:c>
      <x:c r="E958" t="str">
        <x:v>recommended</x:v>
      </x:c>
      <x:c r="F958" t="n">
        <x:v>3600</x:v>
      </x:c>
      <x:c r="G958" t="n">
        <x:v>31</x:v>
      </x:c>
      <x:c r="H958" t="str">
        <x:v>informational</x:v>
      </x:c>
    </x:row>
    <x:row r="959">
      <x:c r="A959" t="str">
        <x:v>48</x:v>
      </x:c>
      <x:c r="B959" t="str">
        <x:v>safest disposable vape</x:v>
      </x:c>
      <x:c r="C959" t="str">
        <x:v>48</x:v>
      </x:c>
      <x:c r="D959" t="str">
        <x:v>vapes without nicotine</x:v>
      </x:c>
      <x:c r="E959" t="str">
        <x:v>recommended</x:v>
      </x:c>
      <x:c r="F959" t="n">
        <x:v>2900</x:v>
      </x:c>
      <x:c r="G959" t="n">
        <x:v>50</x:v>
      </x:c>
      <x:c r="H959" t="str">
        <x:v>informational</x:v>
      </x:c>
    </x:row>
    <x:row r="960">
      <x:c r="A960" t="str">
        <x:v>48</x:v>
      </x:c>
      <x:c r="B960" t="str">
        <x:v>safest disposable vape</x:v>
      </x:c>
      <x:c r="C960" t="str">
        <x:v>48</x:v>
      </x:c>
      <x:c r="D960" t="str">
        <x:v>non nicotine vapes</x:v>
      </x:c>
      <x:c r="E960" t="str">
        <x:v>recommended</x:v>
      </x:c>
      <x:c r="F960" t="n">
        <x:v>2400</x:v>
      </x:c>
      <x:c r="G960" t="n">
        <x:v>50</x:v>
      </x:c>
      <x:c r="H960" t="str">
        <x:v>informational</x:v>
      </x:c>
    </x:row>
    <x:row r="961">
      <x:c r="A961" t="str">
        <x:v>48</x:v>
      </x:c>
      <x:c r="B961" t="str">
        <x:v>safest disposable vape</x:v>
      </x:c>
      <x:c r="C961" t="str">
        <x:v>48</x:v>
      </x:c>
      <x:c r="D961" t="str">
        <x:v>vape effects</x:v>
      </x:c>
      <x:c r="E961" t="str">
        <x:v>recommended</x:v>
      </x:c>
      <x:c r="F961" t="n">
        <x:v>260</x:v>
      </x:c>
      <x:c r="G961" t="n">
        <x:v>72</x:v>
      </x:c>
      <x:c r="H961" t="str">
        <x:v>informational</x:v>
      </x:c>
    </x:row>
    <x:row r="962">
      <x:c r="A962" t="str">
        <x:v>48</x:v>
      </x:c>
      <x:c r="B962" t="str">
        <x:v>least harmful vapes</x:v>
      </x:c>
      <x:c r="C962" t="str">
        <x:v>48</x:v>
      </x:c>
      <x:c r="D962" t="str">
        <x:v>least harmful vapes</x:v>
      </x:c>
      <x:c r="E962" t="str">
        <x:v>recommended</x:v>
      </x:c>
      <x:c r="F962" t="n">
        <x:v>40</x:v>
      </x:c>
      <x:c r="G962" t="n">
        <x:v>5</x:v>
      </x:c>
      <x:c r="H962" t="str">
        <x:v>informational</x:v>
      </x:c>
    </x:row>
    <x:row r="963">
      <x:c r="A963" t="str">
        <x:v>48</x:v>
      </x:c>
      <x:c r="B963" t="str">
        <x:v>least harmful vapes</x:v>
      </x:c>
      <x:c r="C963" t="str">
        <x:v>48</x:v>
      </x:c>
      <x:c r="D963" t="str">
        <x:v>facts about vapes</x:v>
      </x:c>
      <x:c r="E963" t="str">
        <x:v>recommended</x:v>
      </x:c>
      <x:c r="F963" t="n">
        <x:v>1000</x:v>
      </x:c>
      <x:c r="G963" t="n">
        <x:v>66</x:v>
      </x:c>
      <x:c r="H963" t="str">
        <x:v>informational</x:v>
      </x:c>
    </x:row>
    <x:row r="964">
      <x:c r="A964" t="str">
        <x:v>48</x:v>
      </x:c>
      <x:c r="B964" t="str">
        <x:v>least harmful vapes</x:v>
      </x:c>
      <x:c r="C964" t="str">
        <x:v>48</x:v>
      </x:c>
      <x:c r="D964" t="str">
        <x:v>how do you vape</x:v>
      </x:c>
      <x:c r="E964" t="str">
        <x:v>recommended</x:v>
      </x:c>
      <x:c r="F964" t="n">
        <x:v>590</x:v>
      </x:c>
      <x:c r="G964" t="n">
        <x:v>13</x:v>
      </x:c>
      <x:c r="H964" t="str">
        <x:v>informational</x:v>
      </x:c>
    </x:row>
    <x:row r="965">
      <x:c r="A965" t="str">
        <x:v>48</x:v>
      </x:c>
      <x:c r="B965" t="str">
        <x:v>least harmful vapes</x:v>
      </x:c>
      <x:c r="C965" t="str">
        <x:v>48</x:v>
      </x:c>
      <x:c r="D965" t="str">
        <x:v>how many flavors of vapes are there</x:v>
      </x:c>
      <x:c r="E965" t="str">
        <x:v>recommended</x:v>
      </x:c>
      <x:c r="F965" t="n">
        <x:v>50</x:v>
      </x:c>
      <x:c r="G965" t="n">
        <x:v>25</x:v>
      </x:c>
      <x:c r="H965" t="str">
        <x:v>informational</x:v>
      </x:c>
    </x:row>
    <x:row r="966">
      <x:c r="A966" t="str">
        <x:v>48</x:v>
      </x:c>
      <x:c r="B966" t="str">
        <x:v>least harmful vapes</x:v>
      </x:c>
      <x:c r="C966" t="str">
        <x:v>48</x:v>
      </x:c>
      <x:c r="D966" t="str">
        <x:v>what is the vape</x:v>
      </x:c>
      <x:c r="E966" t="str">
        <x:v>recommended</x:v>
      </x:c>
      <x:c r="F966" t="n">
        <x:v>2900</x:v>
      </x:c>
      <x:c r="G966" t="n">
        <x:v>84</x:v>
      </x:c>
      <x:c r="H966" t="str">
        <x:v>informational</x:v>
      </x:c>
    </x:row>
    <x:row r="967">
      <x:c r="A967" t="str">
        <x:v>48</x:v>
      </x:c>
      <x:c r="B967" t="str">
        <x:v>least harmful vapes</x:v>
      </x:c>
      <x:c r="C967" t="str">
        <x:v>48</x:v>
      </x:c>
      <x:c r="D967" t="str">
        <x:v>the truth about vaping</x:v>
      </x:c>
      <x:c r="E967" t="str">
        <x:v>recommended</x:v>
      </x:c>
      <x:c r="F967" t="n">
        <x:v>480</x:v>
      </x:c>
      <x:c r="G967" t="n">
        <x:v>66</x:v>
      </x:c>
      <x:c r="H967" t="str">
        <x:v>informational</x:v>
      </x:c>
    </x:row>
    <x:row r="968">
      <x:c r="A968" t="str">
        <x:v>48</x:v>
      </x:c>
      <x:c r="B968" t="str">
        <x:v>least harmful vapes</x:v>
      </x:c>
      <x:c r="C968" t="str">
        <x:v>48</x:v>
      </x:c>
      <x:c r="D968" t="str">
        <x:v>first time vaping</x:v>
      </x:c>
      <x:c r="E968" t="str">
        <x:v>recommended</x:v>
      </x:c>
      <x:c r="F968" t="n">
        <x:v>170</x:v>
      </x:c>
      <x:c r="G968" t="n">
        <x:v>13</x:v>
      </x:c>
      <x:c r="H968" t="str">
        <x:v>informational</x:v>
      </x:c>
    </x:row>
    <x:row r="969">
      <x:c r="A969" t="str">
        <x:v>48</x:v>
      </x:c>
      <x:c r="B969" t="str">
        <x:v>least harmful vapes</x:v>
      </x:c>
      <x:c r="C969" t="str">
        <x:v>48</x:v>
      </x:c>
      <x:c r="D969" t="str">
        <x:v>vapes what is it</x:v>
      </x:c>
      <x:c r="E969" t="str">
        <x:v>recommended</x:v>
      </x:c>
      <x:c r="F969" t="n">
        <x:v>30</x:v>
      </x:c>
      <x:c r="G969" t="n">
        <x:v>63</x:v>
      </x:c>
      <x:c r="H969" t="str">
        <x:v>informational</x:v>
      </x:c>
    </x:row>
    <x:row r="970">
      <x:c r="A970" t="str">
        <x:v>48</x:v>
      </x:c>
      <x:c r="B970" t="str">
        <x:v>least harmful vapes</x:v>
      </x:c>
      <x:c r="C970" t="str">
        <x:v>48</x:v>
      </x:c>
      <x:c r="D970" t="str">
        <x:v>is it illegal to have a vape under 21</x:v>
      </x:c>
      <x:c r="E970" t="str">
        <x:v>recommended</x:v>
      </x:c>
      <x:c r="F970" t="n">
        <x:v>70</x:v>
      </x:c>
      <x:c r="G970" t="n">
        <x:v>26</x:v>
      </x:c>
      <x:c r="H970" t="str">
        <x:v>informational</x:v>
      </x:c>
    </x:row>
    <x:row r="971">
      <x:c r="A971" t="str">
        <x:v>48</x:v>
      </x:c>
      <x:c r="B971" t="str">
        <x:v>least harmful vapes</x:v>
      </x:c>
      <x:c r="C971" t="str">
        <x:v>48</x:v>
      </x:c>
      <x:c r="D971" t="str">
        <x:v>can you buy a vape at 18</x:v>
      </x:c>
      <x:c r="E971" t="str">
        <x:v>recommended</x:v>
      </x:c>
      <x:c r="F971" t="n">
        <x:v>320</x:v>
      </x:c>
      <x:c r="G971" t="n">
        <x:v>32</x:v>
      </x:c>
      <x:c r="H971" t="str">
        <x:v>informational</x:v>
      </x:c>
    </x:row>
    <x:row r="972">
      <x:c r="A972" t="str">
        <x:v>48</x:v>
      </x:c>
      <x:c r="B972" t="str">
        <x:v>least harmful vapes</x:v>
      </x:c>
      <x:c r="C972" t="str">
        <x:v>48</x:v>
      </x:c>
      <x:c r="D972" t="str">
        <x:v>how vapes work</x:v>
      </x:c>
      <x:c r="E972" t="str">
        <x:v>recommended</x:v>
      </x:c>
      <x:c r="F972" t="n">
        <x:v>40</x:v>
      </x:c>
      <x:c r="G972" t="n">
        <x:v>52</x:v>
      </x:c>
      <x:c r="H972" t="str">
        <x:v>informational</x:v>
      </x:c>
    </x:row>
    <x:row r="973">
      <x:c r="A973" t="str">
        <x:v>48</x:v>
      </x:c>
      <x:c r="B973" t="str">
        <x:v>rl vape flavors</x:v>
      </x:c>
      <x:c r="C973" t="str">
        <x:v>48</x:v>
      </x:c>
      <x:c r="D973" t="str">
        <x:v>rl vape flavors</x:v>
      </x:c>
      <x:c r="E973" t="str">
        <x:v>recommended</x:v>
      </x:c>
      <x:c r="F973" t="n">
        <x:v>260</x:v>
      </x:c>
      <x:c r="G973" t="n">
        <x:v>2</x:v>
      </x:c>
      <x:c r="H973" t="str">
        <x:v>informational</x:v>
      </x:c>
    </x:row>
    <x:row r="974">
      <x:c r="A974" t="str">
        <x:v>48</x:v>
      </x:c>
      <x:c r="B974" t="str">
        <x:v>rl vape flavors</x:v>
      </x:c>
      <x:c r="C974" t="str">
        <x:v>48</x:v>
      </x:c>
      <x:c r="D974" t="str">
        <x:v>rl disposable vape</x:v>
      </x:c>
      <x:c r="E974" t="str">
        <x:v>recommended</x:v>
      </x:c>
      <x:c r="F974" t="n">
        <x:v>90</x:v>
      </x:c>
      <x:c r="G974" t="n">
        <x:v>3</x:v>
      </x:c>
      <x:c r="H974" t="str">
        <x:v>informational</x:v>
      </x:c>
    </x:row>
    <x:row r="975">
      <x:c r="A975" t="str">
        <x:v>48</x:v>
      </x:c>
      <x:c r="B975" t="str">
        <x:v>rl vape flavors</x:v>
      </x:c>
      <x:c r="C975" t="str">
        <x:v>48</x:v>
      </x:c>
      <x:c r="D975" t="str">
        <x:v>vape purse flavors</x:v>
      </x:c>
      <x:c r="E975" t="str">
        <x:v>recommended</x:v>
      </x:c>
      <x:c r="F975" t="n">
        <x:v>90</x:v>
      </x:c>
      <x:c r="G975" t="n">
        <x:v>7</x:v>
      </x:c>
      <x:c r="H975" t="str">
        <x:v>informational</x:v>
      </x:c>
    </x:row>
    <x:row r="976">
      <x:c r="A976" t="str">
        <x:v>48</x:v>
      </x:c>
      <x:c r="B976" t="str">
        <x:v>rl vape flavors</x:v>
      </x:c>
      <x:c r="C976" t="str">
        <x:v>48</x:v>
      </x:c>
      <x:c r="D976" t="str">
        <x:v>raze vapes</x:v>
      </x:c>
      <x:c r="E976" t="str">
        <x:v>recommended</x:v>
      </x:c>
      <x:c r="F976" t="n">
        <x:v>70</x:v>
      </x:c>
      <x:c r="G976" t="n">
        <x:v>28</x:v>
      </x:c>
      <x:c r="H976" t="str">
        <x:v>informational, commercial</x:v>
      </x:c>
    </x:row>
    <x:row r="977">
      <x:c r="A977" t="str">
        <x:v>48</x:v>
      </x:c>
      <x:c r="B977" t="str">
        <x:v>rl vape flavors</x:v>
      </x:c>
      <x:c r="C977" t="str">
        <x:v>48</x:v>
      </x:c>
      <x:c r="D977" t="str">
        <x:v>purse vape</x:v>
      </x:c>
      <x:c r="E977" t="str">
        <x:v>recommended</x:v>
      </x:c>
      <x:c r="F977" t="n">
        <x:v>12100</x:v>
      </x:c>
      <x:c r="G977" t="n">
        <x:v>11</x:v>
      </x:c>
      <x:c r="H977" t="str">
        <x:v>informational</x:v>
      </x:c>
    </x:row>
    <x:row r="978">
      <x:c r="A978" t="str">
        <x:v>48</x:v>
      </x:c>
      <x:c r="B978" t="str">
        <x:v>rl vape flavors</x:v>
      </x:c>
      <x:c r="C978" t="str">
        <x:v>48</x:v>
      </x:c>
      <x:c r="D978" t="str">
        <x:v>raz purse vape</x:v>
      </x:c>
      <x:c r="E978" t="str">
        <x:v>recommended</x:v>
      </x:c>
      <x:c r="F978" t="n">
        <x:v>1900</x:v>
      </x:c>
      <x:c r="G978" t="n">
        <x:v>5</x:v>
      </x:c>
      <x:c r="H978" t="str">
        <x:v>informational</x:v>
      </x:c>
    </x:row>
    <x:row r="979">
      <x:c r="A979" t="str">
        <x:v>48</x:v>
      </x:c>
      <x:c r="B979" t="str">
        <x:v>rl vape flavors</x:v>
      </x:c>
      <x:c r="C979" t="str">
        <x:v>48</x:v>
      </x:c>
      <x:c r="D979" t="str">
        <x:v>rl vapes</x:v>
      </x:c>
      <x:c r="E979" t="str">
        <x:v>recommended</x:v>
      </x:c>
      <x:c r="F979" t="n">
        <x:v>1900</x:v>
      </x:c>
      <x:c r="G979" t="n">
        <x:v>9</x:v>
      </x:c>
      <x:c r="H979" t="str">
        <x:v>informational, commercial</x:v>
      </x:c>
    </x:row>
    <x:row r="980">
      <x:c r="A980" t="str">
        <x:v>48</x:v>
      </x:c>
      <x:c r="B980" t="str">
        <x:v>rl vape flavors</x:v>
      </x:c>
      <x:c r="C980" t="str">
        <x:v>48</x:v>
      </x:c>
      <x:c r="D980" t="str">
        <x:v>35k vape flavor review</x:v>
      </x:c>
      <x:c r="E980" t="str">
        <x:v>recommended</x:v>
      </x:c>
      <x:c r="F980" t="n">
        <x:v>0</x:v>
      </x:c>
      <x:c r="G980" t="n">
        <x:v>0</x:v>
      </x:c>
      <x:c r="H980" t="str">
        <x:v>48</x:v>
      </x:c>
    </x:row>
    <x:row r="981">
      <x:c r="A981" t="str">
        <x:v>48</x:v>
      </x:c>
      <x:c r="B981" t="str">
        <x:v>rl vape flavors</x:v>
      </x:c>
      <x:c r="C981" t="str">
        <x:v>48</x:v>
      </x:c>
      <x:c r="D981" t="str">
        <x:v>raz ryl classic 35k disposable vape</x:v>
      </x:c>
      <x:c r="E981" t="str">
        <x:v>recommended</x:v>
      </x:c>
      <x:c r="F981" t="n">
        <x:v>70</x:v>
      </x:c>
      <x:c r="G981" t="n">
        <x:v>4</x:v>
      </x:c>
      <x:c r="H981" t="str">
        <x:v>informational, commercial</x:v>
      </x:c>
    </x:row>
    <x:row r="982">
      <x:c r="A982" t="str">
        <x:v>48</x:v>
      </x:c>
      <x:c r="B982" t="str">
        <x:v>vaping strawberry</x:v>
      </x:c>
      <x:c r="C982" t="str">
        <x:v>48</x:v>
      </x:c>
      <x:c r="D982" t="str">
        <x:v>vaping strawberry</x:v>
      </x:c>
      <x:c r="E982" t="str">
        <x:v>recommended</x:v>
      </x:c>
      <x:c r="F982" t="n">
        <x:v>260</x:v>
      </x:c>
      <x:c r="G982" t="n">
        <x:v>9</x:v>
      </x:c>
      <x:c r="H982" t="str">
        <x:v>informational</x:v>
      </x:c>
    </x:row>
    <x:row r="983">
      <x:c r="A983" t="str">
        <x:v>48</x:v>
      </x:c>
      <x:c r="B983" t="str">
        <x:v>vaping strawberry</x:v>
      </x:c>
      <x:c r="C983" t="str">
        <x:v>48</x:v>
      </x:c>
      <x:c r="D983" t="str">
        <x:v>strawberry cream vape</x:v>
      </x:c>
      <x:c r="E983" t="str">
        <x:v>recommended</x:v>
      </x:c>
      <x:c r="F983" t="n">
        <x:v>140</x:v>
      </x:c>
      <x:c r="G983" t="n">
        <x:v>3</x:v>
      </x:c>
      <x:c r="H983" t="str">
        <x:v>informational</x:v>
      </x:c>
    </x:row>
    <x:row r="984">
      <x:c r="A984" t="str">
        <x:v>48</x:v>
      </x:c>
      <x:c r="B984" t="str">
        <x:v>vaping strawberry</x:v>
      </x:c>
      <x:c r="C984" t="str">
        <x:v>48</x:v>
      </x:c>
      <x:c r="D984" t="str">
        <x:v>vape strawberry</x:v>
      </x:c>
      <x:c r="E984" t="str">
        <x:v>recommended</x:v>
      </x:c>
      <x:c r="F984" t="n">
        <x:v>260</x:v>
      </x:c>
      <x:c r="G984" t="n">
        <x:v>18</x:v>
      </x:c>
      <x:c r="H984" t="str">
        <x:v>informational, transactional</x:v>
      </x:c>
    </x:row>
    <x:row r="985">
      <x:c r="A985" t="str">
        <x:v>48</x:v>
      </x:c>
      <x:c r="B985" t="str">
        <x:v>vaping strawberry</x:v>
      </x:c>
      <x:c r="C985" t="str">
        <x:v>48</x:v>
      </x:c>
      <x:c r="D985" t="str">
        <x:v>strawberry vapes</x:v>
      </x:c>
      <x:c r="E985" t="str">
        <x:v>recommended</x:v>
      </x:c>
      <x:c r="F985" t="n">
        <x:v>210</x:v>
      </x:c>
      <x:c r="G985" t="n">
        <x:v>17</x:v>
      </x:c>
      <x:c r="H985" t="str">
        <x:v>informational, commercial</x:v>
      </x:c>
    </x:row>
    <x:row r="986">
      <x:c r="A986" t="str">
        <x:v>48</x:v>
      </x:c>
      <x:c r="B986" t="str">
        <x:v>vaping strawberry</x:v>
      </x:c>
      <x:c r="C986" t="str">
        <x:v>48</x:v>
      </x:c>
      <x:c r="D986" t="str">
        <x:v>strawberries and cream vape</x:v>
      </x:c>
      <x:c r="E986" t="str">
        <x:v>recommended</x:v>
      </x:c>
      <x:c r="F986" t="n">
        <x:v>50</x:v>
      </x:c>
      <x:c r="G986" t="n">
        <x:v>0</x:v>
      </x:c>
      <x:c r="H986" t="str">
        <x:v>informational</x:v>
      </x:c>
    </x:row>
    <x:row r="987">
      <x:c r="A987" t="str">
        <x:v>48</x:v>
      </x:c>
      <x:c r="B987" t="str">
        <x:v>vaping strawberry</x:v>
      </x:c>
      <x:c r="C987" t="str">
        <x:v>48</x:v>
      </x:c>
      <x:c r="D987" t="str">
        <x:v>strawberry vape pen</x:v>
      </x:c>
      <x:c r="E987" t="str">
        <x:v>recommended</x:v>
      </x:c>
      <x:c r="F987" t="n">
        <x:v>40</x:v>
      </x:c>
      <x:c r="G987" t="n">
        <x:v>6</x:v>
      </x:c>
      <x:c r="H987" t="str">
        <x:v>commercial</x:v>
      </x:c>
    </x:row>
    <x:row r="988">
      <x:c r="A988" t="str">
        <x:v>48</x:v>
      </x:c>
      <x:c r="B988" t="str">
        <x:v>vaping facts</x:v>
      </x:c>
      <x:c r="C988" t="str">
        <x:v>48</x:v>
      </x:c>
      <x:c r="D988" t="str">
        <x:v>vaping facts</x:v>
      </x:c>
      <x:c r="E988" t="str">
        <x:v>recommended</x:v>
      </x:c>
      <x:c r="F988" t="n">
        <x:v>2400</x:v>
      </x:c>
      <x:c r="G988" t="n">
        <x:v>78</x:v>
      </x:c>
      <x:c r="H988" t="str">
        <x:v>informational</x:v>
      </x:c>
    </x:row>
    <x:row r="989">
      <x:c r="A989" t="str">
        <x:v>48</x:v>
      </x:c>
      <x:c r="B989" t="str">
        <x:v>vaping facts</x:v>
      </x:c>
      <x:c r="C989" t="str">
        <x:v>48</x:v>
      </x:c>
      <x:c r="D989" t="str">
        <x:v>vaping or smoking</x:v>
      </x:c>
      <x:c r="E989" t="str">
        <x:v>recommended</x:v>
      </x:c>
      <x:c r="F989" t="n">
        <x:v>880</x:v>
      </x:c>
      <x:c r="G989" t="n">
        <x:v>79</x:v>
      </x:c>
      <x:c r="H989" t="str">
        <x:v>informational</x:v>
      </x:c>
    </x:row>
    <x:row r="990">
      <x:c r="A990" t="str">
        <x:v>48</x:v>
      </x:c>
      <x:c r="B990" t="str">
        <x:v>vaping facts</x:v>
      </x:c>
      <x:c r="C990" t="str">
        <x:v>48</x:v>
      </x:c>
      <x:c r="D990" t="str">
        <x:v>new to vaping</x:v>
      </x:c>
      <x:c r="E990" t="str">
        <x:v>recommended</x:v>
      </x:c>
      <x:c r="F990" t="n">
        <x:v>50</x:v>
      </x:c>
      <x:c r="G990" t="n">
        <x:v>18</x:v>
      </x:c>
      <x:c r="H990" t="str">
        <x:v>informational</x:v>
      </x:c>
    </x:row>
    <x:row r="991">
      <x:c r="A991" t="str">
        <x:v>48</x:v>
      </x:c>
      <x:c r="B991" t="str">
        <x:v>vaping facts</x:v>
      </x:c>
      <x:c r="C991" t="str">
        <x:v>48</x:v>
      </x:c>
      <x:c r="D991" t="str">
        <x:v>3 facts about vaping</x:v>
      </x:c>
      <x:c r="E991" t="str">
        <x:v>recommended</x:v>
      </x:c>
      <x:c r="F991" t="n">
        <x:v>210</x:v>
      </x:c>
      <x:c r="G991" t="n">
        <x:v>52</x:v>
      </x:c>
      <x:c r="H991" t="str">
        <x:v>informational</x:v>
      </x:c>
    </x:row>
    <x:row r="992">
      <x:c r="A992" t="str">
        <x:v>48</x:v>
      </x:c>
      <x:c r="B992" t="str">
        <x:v>vaping facts</x:v>
      </x:c>
      <x:c r="C992" t="str">
        <x:v>48</x:v>
      </x:c>
      <x:c r="D992" t="str">
        <x:v>vaping news today</x:v>
      </x:c>
      <x:c r="E992" t="str">
        <x:v>recommended</x:v>
      </x:c>
      <x:c r="F992" t="n">
        <x:v>110</x:v>
      </x:c>
      <x:c r="G992" t="n">
        <x:v>40</x:v>
      </x:c>
      <x:c r="H992" t="str">
        <x:v>informational</x:v>
      </x:c>
    </x:row>
    <x:row r="993">
      <x:c r="A993" t="str">
        <x:v>48</x:v>
      </x:c>
      <x:c r="B993" t="str">
        <x:v>vaping facts</x:v>
      </x:c>
      <x:c r="C993" t="str">
        <x:v>48</x:v>
      </x:c>
      <x:c r="D993" t="str">
        <x:v>start vaping</x:v>
      </x:c>
      <x:c r="E993" t="str">
        <x:v>recommended</x:v>
      </x:c>
      <x:c r="F993" t="n">
        <x:v>70</x:v>
      </x:c>
      <x:c r="G993" t="n">
        <x:v>46</x:v>
      </x:c>
      <x:c r="H993" t="str">
        <x:v>informational</x:v>
      </x:c>
    </x:row>
    <x:row r="994">
      <x:c r="A994" t="str">
        <x:v>48</x:v>
      </x:c>
      <x:c r="B994" t="str">
        <x:v>kuz 25k lemon lime flavor</x:v>
      </x:c>
      <x:c r="C994" t="str">
        <x:v>48</x:v>
      </x:c>
      <x:c r="D994" t="str">
        <x:v>kuz 25k triple mango flavor</x:v>
      </x:c>
      <x:c r="E994" t="str">
        <x:v>recommended</x:v>
      </x:c>
      <x:c r="F994" t="n">
        <x:v>0</x:v>
      </x:c>
      <x:c r="G994" t="n">
        <x:v>0</x:v>
      </x:c>
      <x:c r="H994" t="str">
        <x:v>48</x:v>
      </x:c>
    </x:row>
    <x:row r="995">
      <x:c r="A995" t="str">
        <x:v>48</x:v>
      </x:c>
      <x:c r="B995" t="str">
        <x:v>kuz 25k lemon lime flavor</x:v>
      </x:c>
      <x:c r="C995" t="str">
        <x:v>48</x:v>
      </x:c>
      <x:c r="D995" t="str">
        <x:v>kuz 25k strawberry watermelon pods</x:v>
      </x:c>
      <x:c r="E995" t="str">
        <x:v>recommended</x:v>
      </x:c>
      <x:c r="F995" t="n">
        <x:v>0</x:v>
      </x:c>
      <x:c r="G995" t="n">
        <x:v>0</x:v>
      </x:c>
      <x:c r="H995" t="str">
        <x:v>48</x:v>
      </x:c>
    </x:row>
    <x:row r="996">
      <x:c r="A996" t="str">
        <x:v>48</x:v>
      </x:c>
      <x:c r="B996" t="str">
        <x:v>kuz 25k lemon lime flavor</x:v>
      </x:c>
      <x:c r="C996" t="str">
        <x:v>48</x:v>
      </x:c>
      <x:c r="D996" t="str">
        <x:v>kuz 25k lemon lime flavor</x:v>
      </x:c>
      <x:c r="E996" t="str">
        <x:v>recommended</x:v>
      </x:c>
      <x:c r="F996" t="n">
        <x:v>0</x:v>
      </x:c>
      <x:c r="G996" t="n">
        <x:v>0</x:v>
      </x:c>
      <x:c r="H996" t="str">
        <x:v>48</x:v>
      </x:c>
    </x:row>
    <x:row r="997">
      <x:c r="A997" t="str">
        <x:v>48</x:v>
      </x:c>
      <x:c r="B997" t="str">
        <x:v>kuz 25k lemon lime flavor</x:v>
      </x:c>
      <x:c r="C997" t="str">
        <x:v>48</x:v>
      </x:c>
      <x:c r="D997" t="str">
        <x:v>lime vape</x:v>
      </x:c>
      <x:c r="E997" t="str">
        <x:v>recommended</x:v>
      </x:c>
      <x:c r="F997" t="n">
        <x:v>50</x:v>
      </x:c>
      <x:c r="G997" t="n">
        <x:v>1</x:v>
      </x:c>
      <x:c r="H997" t="str">
        <x:v>informational</x:v>
      </x:c>
    </x:row>
    <x:row r="998">
      <x:c r="A998" t="str">
        <x:v>48</x:v>
      </x:c>
      <x:c r="B998" t="str">
        <x:v>vape mods for sale</x:v>
      </x:c>
      <x:c r="C998" t="str">
        <x:v>48</x:v>
      </x:c>
      <x:c r="D998" t="str">
        <x:v>vape mods for sale</x:v>
      </x:c>
      <x:c r="E998" t="str">
        <x:v>recommended</x:v>
      </x:c>
      <x:c r="F998" t="n">
        <x:v>1300</x:v>
      </x:c>
      <x:c r="G998" t="n">
        <x:v>47</x:v>
      </x:c>
      <x:c r="H998" t="str">
        <x:v>transactional</x:v>
      </x:c>
    </x:row>
    <x:row r="999">
      <x:c r="A999" t="str">
        <x:v>48</x:v>
      </x:c>
      <x:c r="B999" t="str">
        <x:v>vape mods for sale</x:v>
      </x:c>
      <x:c r="C999" t="str">
        <x:v>48</x:v>
      </x:c>
      <x:c r="D999" t="str">
        <x:v>types of vapes brands</x:v>
      </x:c>
      <x:c r="E999" t="str">
        <x:v>recommended</x:v>
      </x:c>
      <x:c r="F999" t="n">
        <x:v>390</x:v>
      </x:c>
      <x:c r="G999" t="n">
        <x:v>23</x:v>
      </x:c>
      <x:c r="H999" t="str">
        <x:v>commercial</x:v>
      </x:c>
    </x:row>
    <x:row r="1000">
      <x:c r="A1000" t="str">
        <x:v>48</x:v>
      </x:c>
      <x:c r="B1000" t="str">
        <x:v>vape mods for sale</x:v>
      </x:c>
      <x:c r="C1000" t="str">
        <x:v>48</x:v>
      </x:c>
      <x:c r="D1000" t="str">
        <x:v>best for ecigs</x:v>
      </x:c>
      <x:c r="E1000" t="str">
        <x:v>recommended</x:v>
      </x:c>
      <x:c r="F1000" t="n">
        <x:v>1000</x:v>
      </x:c>
      <x:c r="G1000" t="n">
        <x:v>54</x:v>
      </x:c>
      <x:c r="H1000" t="str">
        <x:v>commercial</x:v>
      </x:c>
    </x:row>
    <x:row r="1001">
      <x:c r="A1001" t="str">
        <x:v>48</x:v>
      </x:c>
      <x:c r="B1001" t="str">
        <x:v>vape mods for sale</x:v>
      </x:c>
      <x:c r="C1001" t="str">
        <x:v>48</x:v>
      </x:c>
      <x:c r="D1001" t="str">
        <x:v>smoke vape</x:v>
      </x:c>
      <x:c r="E1001" t="str">
        <x:v>recommended</x:v>
      </x:c>
      <x:c r="F1001" t="n">
        <x:v>4400</x:v>
      </x:c>
      <x:c r="G1001" t="n">
        <x:v>82</x:v>
      </x:c>
      <x:c r="H1001" t="str">
        <x:v>commercial</x:v>
      </x:c>
    </x:row>
    <x:row r="1002">
      <x:c r="A1002" t="str">
        <x:v>48</x:v>
      </x:c>
      <x:c r="B1002" t="str">
        <x:v>vape mods for sale</x:v>
      </x:c>
      <x:c r="C1002" t="str">
        <x:v>48</x:v>
      </x:c>
      <x:c r="D1002" t="str">
        <x:v>which vapes last the longest</x:v>
      </x:c>
      <x:c r="E1002" t="str">
        <x:v>recommended</x:v>
      </x:c>
      <x:c r="F1002" t="n">
        <x:v>70</x:v>
      </x:c>
      <x:c r="G1002" t="n">
        <x:v>6</x:v>
      </x:c>
      <x:c r="H1002" t="str">
        <x:v>informational, commercial</x:v>
      </x:c>
    </x:row>
    <x:row r="1003">
      <x:c r="A1003" t="str">
        <x:v>48</x:v>
      </x:c>
      <x:c r="B1003" t="str">
        <x:v>vape mods for sale</x:v>
      </x:c>
      <x:c r="C1003" t="str">
        <x:v>48</x:v>
      </x:c>
      <x:c r="D1003" t="str">
        <x:v>refillable vape brands</x:v>
      </x:c>
      <x:c r="E1003" t="str">
        <x:v>recommended</x:v>
      </x:c>
      <x:c r="F1003" t="n">
        <x:v>90</x:v>
      </x:c>
      <x:c r="G1003" t="n">
        <x:v>13</x:v>
      </x:c>
      <x:c r="H1003" t="str">
        <x:v>informational</x:v>
      </x:c>
    </x:row>
    <x:row r="1004">
      <x:c r="A1004" t="str">
        <x:v>48</x:v>
      </x:c>
      <x:c r="B1004" t="str">
        <x:v>vape mods for sale</x:v>
      </x:c>
      <x:c r="C1004" t="str">
        <x:v>48</x:v>
      </x:c>
      <x:c r="D1004" t="str">
        <x:v>top 5 vape brands</x:v>
      </x:c>
      <x:c r="E1004" t="str">
        <x:v>recommended</x:v>
      </x:c>
      <x:c r="F1004" t="n">
        <x:v>70</x:v>
      </x:c>
      <x:c r="G1004" t="n">
        <x:v>15</x:v>
      </x:c>
      <x:c r="H1004" t="str">
        <x:v>commercial</x:v>
      </x:c>
    </x:row>
    <x:row r="1005">
      <x:c r="A1005" t="str">
        <x:v>48</x:v>
      </x:c>
      <x:c r="B1005" t="str">
        <x:v>vape mods for sale</x:v>
      </x:c>
      <x:c r="C1005" t="str">
        <x:v>48</x:v>
      </x:c>
      <x:c r="D1005" t="str">
        <x:v>disposable vapes that are not sweet</x:v>
      </x:c>
      <x:c r="E1005" t="str">
        <x:v>recommended</x:v>
      </x:c>
      <x:c r="F1005" t="n">
        <x:v>40</x:v>
      </x:c>
      <x:c r="G1005" t="n">
        <x:v>0</x:v>
      </x:c>
      <x:c r="H1005" t="str">
        <x:v>informational</x:v>
      </x:c>
    </x:row>
    <x:row r="1006">
      <x:c r="A1006" t="str">
        <x:v>48</x:v>
      </x:c>
      <x:c r="B1006" t="str">
        <x:v>vape mods for sale</x:v>
      </x:c>
      <x:c r="C1006" t="str">
        <x:v>48</x:v>
      </x:c>
      <x:c r="D1006" t="str">
        <x:v>best reusable vape</x:v>
      </x:c>
      <x:c r="E1006" t="str">
        <x:v>recommended</x:v>
      </x:c>
      <x:c r="F1006" t="n">
        <x:v>90</x:v>
      </x:c>
      <x:c r="G1006" t="n">
        <x:v>34</x:v>
      </x:c>
      <x:c r="H1006" t="str">
        <x:v>commercial</x:v>
      </x:c>
    </x:row>
    <x:row r="1007">
      <x:c r="A1007" t="str">
        <x:v>48</x:v>
      </x:c>
      <x:c r="B1007" t="str">
        <x:v>vape mods for sale</x:v>
      </x:c>
      <x:c r="C1007" t="str">
        <x:v>48</x:v>
      </x:c>
      <x:c r="D1007" t="str">
        <x:v>best and worst vape brands</x:v>
      </x:c>
      <x:c r="E1007" t="str">
        <x:v>recommended</x:v>
      </x:c>
      <x:c r="F1007" t="n">
        <x:v>50</x:v>
      </x:c>
      <x:c r="G1007" t="n">
        <x:v>20</x:v>
      </x:c>
      <x:c r="H1007" t="str">
        <x:v>commercial</x:v>
      </x:c>
    </x:row>
    <x:row r="1008">
      <x:c r="A1008" t="str">
        <x:v>48</x:v>
      </x:c>
      <x:c r="B1008" t="str">
        <x:v>vape mods for sale</x:v>
      </x:c>
      <x:c r="C1008" t="str">
        <x:v>48</x:v>
      </x:c>
      <x:c r="D1008" t="str">
        <x:v>best pod for chain vaping</x:v>
      </x:c>
      <x:c r="E1008" t="str">
        <x:v>recommended</x:v>
      </x:c>
      <x:c r="F1008" t="n">
        <x:v>40</x:v>
      </x:c>
      <x:c r="G1008" t="n">
        <x:v>19</x:v>
      </x:c>
      <x:c r="H1008" t="str">
        <x:v>commercial</x:v>
      </x:c>
    </x:row>
    <x:row r="1009">
      <x:c r="A1009" t="str">
        <x:v>48</x:v>
      </x:c>
      <x:c r="B1009" t="str">
        <x:v>vape mods for sale</x:v>
      </x:c>
      <x:c r="C1009" t="str">
        <x:v>48</x:v>
      </x:c>
      <x:c r="D1009" t="str">
        <x:v>cheaper vapes</x:v>
      </x:c>
      <x:c r="E1009" t="str">
        <x:v>recommended</x:v>
      </x:c>
      <x:c r="F1009" t="n">
        <x:v>40</x:v>
      </x:c>
      <x:c r="G1009" t="n">
        <x:v>33</x:v>
      </x:c>
      <x:c r="H1009" t="str">
        <x:v>commercial</x:v>
      </x:c>
    </x:row>
    <x:row r="1010">
      <x:c r="A1010" t="str">
        <x:v>48</x:v>
      </x:c>
      <x:c r="B1010" t="str">
        <x:v>vape mods for sale</x:v>
      </x:c>
      <x:c r="C1010" t="str">
        <x:v>48</x:v>
      </x:c>
      <x:c r="D1010" t="str">
        <x:v>best pocket vapes</x:v>
      </x:c>
      <x:c r="E1010" t="str">
        <x:v>recommended</x:v>
      </x:c>
      <x:c r="F1010" t="n">
        <x:v>50</x:v>
      </x:c>
      <x:c r="G1010" t="n">
        <x:v>33</x:v>
      </x:c>
      <x:c r="H1010" t="str">
        <x:v>commercial</x:v>
      </x:c>
    </x:row>
    <x:row r="1011">
      <x:c r="A1011" t="str">
        <x:v>48</x:v>
      </x:c>
      <x:c r="B1011" t="str">
        <x:v>vape mods for sale</x:v>
      </x:c>
      <x:c r="C1011" t="str">
        <x:v>48</x:v>
      </x:c>
      <x:c r="D1011" t="str">
        <x:v>comprar vape online</x:v>
      </x:c>
      <x:c r="E1011" t="str">
        <x:v>recommended</x:v>
      </x:c>
      <x:c r="F1011" t="n">
        <x:v>70</x:v>
      </x:c>
      <x:c r="G1011" t="n">
        <x:v>72</x:v>
      </x:c>
      <x:c r="H1011" t="str">
        <x:v>commercial</x:v>
      </x:c>
    </x:row>
    <x:row r="1012">
      <x:c r="A1012" t="str">
        <x:v>48</x:v>
      </x:c>
      <x:c r="B1012" t="str">
        <x:v>vape mods for sale</x:v>
      </x:c>
      <x:c r="C1012" t="str">
        <x:v>48</x:v>
      </x:c>
      <x:c r="D1012" t="str">
        <x:v>vape machine for sale</x:v>
      </x:c>
      <x:c r="E1012" t="str">
        <x:v>recommended</x:v>
      </x:c>
      <x:c r="F1012" t="n">
        <x:v>50</x:v>
      </x:c>
      <x:c r="G1012" t="n">
        <x:v>45</x:v>
      </x:c>
      <x:c r="H1012" t="str">
        <x:v>transactional</x:v>
      </x:c>
    </x:row>
    <x:row r="1013">
      <x:c r="A1013" t="str">
        <x:v>48</x:v>
      </x:c>
      <x:c r="B1013" t="str">
        <x:v>vape mods for sale</x:v>
      </x:c>
      <x:c r="C1013" t="str">
        <x:v>48</x:v>
      </x:c>
      <x:c r="D1013" t="str">
        <x:v>cheap vape deals</x:v>
      </x:c>
      <x:c r="E1013" t="str">
        <x:v>recommended</x:v>
      </x:c>
      <x:c r="F1013" t="n">
        <x:v>480</x:v>
      </x:c>
      <x:c r="G1013" t="n">
        <x:v>44</x:v>
      </x:c>
      <x:c r="H1013" t="str">
        <x:v>transactional</x:v>
      </x:c>
    </x:row>
    <x:row r="1014">
      <x:c r="A1014" t="str">
        <x:v>48</x:v>
      </x:c>
      <x:c r="B1014" t="str">
        <x:v>vape mods for sale</x:v>
      </x:c>
      <x:c r="C1014" t="str">
        <x:v>48</x:v>
      </x:c>
      <x:c r="D1014" t="str">
        <x:v>vape juice</x:v>
      </x:c>
      <x:c r="E1014" t="str">
        <x:v>recommended</x:v>
      </x:c>
      <x:c r="F1014" t="n">
        <x:v>22200</x:v>
      </x:c>
      <x:c r="G1014" t="n">
        <x:v>67</x:v>
      </x:c>
      <x:c r="H1014" t="str">
        <x:v>commercial</x:v>
      </x:c>
    </x:row>
    <x:row r="1015">
      <x:c r="A1015" t="str">
        <x:v>48</x:v>
      </x:c>
      <x:c r="B1015" t="str">
        <x:v>what are the 4 types of vapes</x:v>
      </x:c>
      <x:c r="C1015" t="str">
        <x:v>48</x:v>
      </x:c>
      <x:c r="D1015" t="str">
        <x:v>what are the 4 types of vapes</x:v>
      </x:c>
      <x:c r="E1015" t="str">
        <x:v>recommended</x:v>
      </x:c>
      <x:c r="F1015" t="n">
        <x:v>90</x:v>
      </x:c>
      <x:c r="G1015" t="n">
        <x:v>9</x:v>
      </x:c>
      <x:c r="H1015" t="str">
        <x:v>informational</x:v>
      </x:c>
    </x:row>
    <x:row r="1016">
      <x:c r="A1016" t="str">
        <x:v>48</x:v>
      </x:c>
      <x:c r="B1016" t="str">
        <x:v>what are the 4 types of vapes</x:v>
      </x:c>
      <x:c r="C1016" t="str">
        <x:v>48</x:v>
      </x:c>
      <x:c r="D1016" t="str">
        <x:v>types of vape pens</x:v>
      </x:c>
      <x:c r="E1016" t="str">
        <x:v>recommended</x:v>
      </x:c>
      <x:c r="F1016" t="n">
        <x:v>260</x:v>
      </x:c>
      <x:c r="G1016" t="n">
        <x:v>30</x:v>
      </x:c>
      <x:c r="H1016" t="str">
        <x:v>informational</x:v>
      </x:c>
    </x:row>
    <x:row r="1017">
      <x:c r="A1017" t="str">
        <x:v>48</x:v>
      </x:c>
      <x:c r="B1017" t="str">
        <x:v>what are the 4 types of vapes</x:v>
      </x:c>
      <x:c r="C1017" t="str">
        <x:v>48</x:v>
      </x:c>
      <x:c r="D1017" t="str">
        <x:v>what are the different types of vapes</x:v>
      </x:c>
      <x:c r="E1017" t="str">
        <x:v>recommended</x:v>
      </x:c>
      <x:c r="F1017" t="n">
        <x:v>90</x:v>
      </x:c>
      <x:c r="G1017" t="n">
        <x:v>17</x:v>
      </x:c>
      <x:c r="H1017" t="str">
        <x:v>informational</x:v>
      </x:c>
    </x:row>
    <x:row r="1018">
      <x:c r="A1018" t="str">
        <x:v>48</x:v>
      </x:c>
      <x:c r="B1018" t="str">
        <x:v>what are the 4 types of vapes</x:v>
      </x:c>
      <x:c r="C1018" t="str">
        <x:v>48</x:v>
      </x:c>
      <x:c r="D1018" t="str">
        <x:v>what vape should i get</x:v>
      </x:c>
      <x:c r="E1018" t="str">
        <x:v>recommended</x:v>
      </x:c>
      <x:c r="F1018" t="n">
        <x:v>40</x:v>
      </x:c>
      <x:c r="G1018" t="n">
        <x:v>11</x:v>
      </x:c>
      <x:c r="H1018" t="str">
        <x:v>informational</x:v>
      </x:c>
    </x:row>
    <x:row r="1019">
      <x:c r="A1019" t="str">
        <x:v>48</x:v>
      </x:c>
      <x:c r="B1019" t="str">
        <x:v>what are the 4 types of vapes</x:v>
      </x:c>
      <x:c r="C1019" t="str">
        <x:v>48</x:v>
      </x:c>
      <x:c r="D1019" t="str">
        <x:v>different vape types</x:v>
      </x:c>
      <x:c r="E1019" t="str">
        <x:v>recommended</x:v>
      </x:c>
      <x:c r="F1019" t="n">
        <x:v>40</x:v>
      </x:c>
      <x:c r="G1019" t="n">
        <x:v>16</x:v>
      </x:c>
      <x:c r="H1019" t="str">
        <x:v>informational</x:v>
      </x:c>
    </x:row>
    <x:row r="1020">
      <x:c r="A1020" t="str">
        <x:v>48</x:v>
      </x:c>
      <x:c r="B1020" t="str">
        <x:v>what are the 4 types of vapes</x:v>
      </x:c>
      <x:c r="C1020" t="str">
        <x:v>48</x:v>
      </x:c>
      <x:c r="D1020" t="str">
        <x:v>vape name</x:v>
      </x:c>
      <x:c r="E1020" t="str">
        <x:v>recommended</x:v>
      </x:c>
      <x:c r="F1020" t="n">
        <x:v>50</x:v>
      </x:c>
      <x:c r="G1020" t="n">
        <x:v>23</x:v>
      </x:c>
      <x:c r="H1020" t="str">
        <x:v>informational</x:v>
      </x:c>
    </x:row>
    <x:row r="1021">
      <x:c r="A1021" t="str">
        <x:v>48</x:v>
      </x:c>
      <x:c r="B1021" t="str">
        <x:v>what are the 4 types of vapes</x:v>
      </x:c>
      <x:c r="C1021" t="str">
        <x:v>48</x:v>
      </x:c>
      <x:c r="D1021" t="str">
        <x:v>vape type</x:v>
      </x:c>
      <x:c r="E1021" t="str">
        <x:v>recommended</x:v>
      </x:c>
      <x:c r="F1021" t="n">
        <x:v>40</x:v>
      </x:c>
      <x:c r="G1021" t="n">
        <x:v>26</x:v>
      </x:c>
      <x:c r="H1021" t="str">
        <x:v>informational</x:v>
      </x:c>
    </x:row>
    <x:row r="1022">
      <x:c r="A1022" t="str">
        <x:v>48</x:v>
      </x:c>
      <x:c r="B1022" t="str">
        <x:v>raz vape flavors</x:v>
      </x:c>
      <x:c r="C1022" t="str">
        <x:v>48</x:v>
      </x:c>
      <x:c r="D1022" t="str">
        <x:v>raz vape flavors</x:v>
      </x:c>
      <x:c r="E1022" t="str">
        <x:v>recommended</x:v>
      </x:c>
      <x:c r="F1022" t="n">
        <x:v>27100</x:v>
      </x:c>
      <x:c r="G1022" t="n">
        <x:v>19</x:v>
      </x:c>
      <x:c r="H1022" t="str">
        <x:v>commercial</x:v>
      </x:c>
    </x:row>
    <x:row r="1023">
      <x:c r="A1023" t="str">
        <x:v>48</x:v>
      </x:c>
      <x:c r="B1023" t="str">
        <x:v>raz vape flavors</x:v>
      </x:c>
      <x:c r="C1023" t="str">
        <x:v>48</x:v>
      </x:c>
      <x:c r="D1023" t="str">
        <x:v>best raz vape flavors</x:v>
      </x:c>
      <x:c r="E1023" t="str">
        <x:v>recommended</x:v>
      </x:c>
      <x:c r="F1023" t="n">
        <x:v>1000</x:v>
      </x:c>
      <x:c r="G1023" t="n">
        <x:v>4</x:v>
      </x:c>
      <x:c r="H1023" t="str">
        <x:v>commercial</x:v>
      </x:c>
    </x:row>
    <x:row r="1024">
      <x:c r="A1024" t="str">
        <x:v>48</x:v>
      </x:c>
      <x:c r="B1024" t="str">
        <x:v>raz vape flavors</x:v>
      </x:c>
      <x:c r="C1024" t="str">
        <x:v>48</x:v>
      </x:c>
      <x:c r="D1024" t="str">
        <x:v>raz vape blue razz ice</x:v>
      </x:c>
      <x:c r="E1024" t="str">
        <x:v>recommended</x:v>
      </x:c>
      <x:c r="F1024" t="n">
        <x:v>70</x:v>
      </x:c>
      <x:c r="G1024" t="n">
        <x:v>0</x:v>
      </x:c>
      <x:c r="H1024" t="str">
        <x:v>informational</x:v>
      </x:c>
    </x:row>
    <x:row r="1025">
      <x:c r="A1025" t="str">
        <x:v>48</x:v>
      </x:c>
      <x:c r="B1025" t="str">
        <x:v>raz vape flavors</x:v>
      </x:c>
      <x:c r="C1025" t="str">
        <x:v>48</x:v>
      </x:c>
      <x:c r="D1025" t="str">
        <x:v>best flavor raz vape</x:v>
      </x:c>
      <x:c r="E1025" t="str">
        <x:v>recommended</x:v>
      </x:c>
      <x:c r="F1025" t="n">
        <x:v>50</x:v>
      </x:c>
      <x:c r="G1025" t="n">
        <x:v>0</x:v>
      </x:c>
      <x:c r="H1025" t="str">
        <x:v>commercial</x:v>
      </x:c>
    </x:row>
    <x:row r="1026">
      <x:c r="A1026" t="str">
        <x:v>48</x:v>
      </x:c>
      <x:c r="B1026" t="str">
        <x:v>raz vape flavors</x:v>
      </x:c>
      <x:c r="C1026" t="str">
        <x:v>48</x:v>
      </x:c>
      <x:c r="D1026" t="str">
        <x:v>what is the best raz vape flavor</x:v>
      </x:c>
      <x:c r="E1026" t="str">
        <x:v>recommended</x:v>
      </x:c>
      <x:c r="F1026" t="n">
        <x:v>40</x:v>
      </x:c>
      <x:c r="G1026" t="n">
        <x:v>0</x:v>
      </x:c>
      <x:c r="H1026" t="str">
        <x:v>commercial</x:v>
      </x:c>
    </x:row>
    <x:row r="1027">
      <x:c r="A1027" t="str">
        <x:v>48</x:v>
      </x:c>
      <x:c r="B1027" t="str">
        <x:v>cartridge vape pen</x:v>
      </x:c>
      <x:c r="C1027" t="str">
        <x:v>48</x:v>
      </x:c>
      <x:c r="D1027" t="str">
        <x:v>cartridge vape pen</x:v>
      </x:c>
      <x:c r="E1027" t="str">
        <x:v>recommended</x:v>
      </x:c>
      <x:c r="F1027" t="n">
        <x:v>210</x:v>
      </x:c>
      <x:c r="G1027" t="n">
        <x:v>46</x:v>
      </x:c>
      <x:c r="H1027" t="str">
        <x:v>commercial</x:v>
      </x:c>
    </x:row>
    <x:row r="1028">
      <x:c r="A1028" t="str">
        <x:v>48</x:v>
      </x:c>
      <x:c r="B1028" t="str">
        <x:v>cartridge vape pen</x:v>
      </x:c>
      <x:c r="C1028" t="str">
        <x:v>48</x:v>
      </x:c>
      <x:c r="D1028" t="str">
        <x:v>thca vapes</x:v>
      </x:c>
      <x:c r="E1028" t="str">
        <x:v>recommended</x:v>
      </x:c>
      <x:c r="F1028" t="n">
        <x:v>5400</x:v>
      </x:c>
      <x:c r="G1028" t="n">
        <x:v>28</x:v>
      </x:c>
      <x:c r="H1028" t="str">
        <x:v>informational</x:v>
      </x:c>
    </x:row>
    <x:row r="1029">
      <x:c r="A1029" t="str">
        <x:v>48</x:v>
      </x:c>
      <x:c r="B1029" t="str">
        <x:v>cartridge vape pen</x:v>
      </x:c>
      <x:c r="C1029" t="str">
        <x:v>48</x:v>
      </x:c>
      <x:c r="D1029" t="str">
        <x:v>weed vape cartridges</x:v>
      </x:c>
      <x:c r="E1029" t="str">
        <x:v>recommended</x:v>
      </x:c>
      <x:c r="F1029" t="n">
        <x:v>40</x:v>
      </x:c>
      <x:c r="G1029" t="n">
        <x:v>53</x:v>
      </x:c>
      <x:c r="H1029" t="str">
        <x:v>informational</x:v>
      </x:c>
    </x:row>
    <x:row r="1030">
      <x:c r="A1030" t="str">
        <x:v>48</x:v>
      </x:c>
      <x:c r="B1030" t="str">
        <x:v>cartridge vape pen</x:v>
      </x:c>
      <x:c r="C1030" t="str">
        <x:v>48</x:v>
      </x:c>
      <x:c r="D1030" t="str">
        <x:v>cbd vape</x:v>
      </x:c>
      <x:c r="E1030" t="str">
        <x:v>recommended</x:v>
      </x:c>
      <x:c r="F1030" t="n">
        <x:v>9900</x:v>
      </x:c>
      <x:c r="G1030" t="n">
        <x:v>44</x:v>
      </x:c>
      <x:c r="H1030" t="str">
        <x:v>informational</x:v>
      </x:c>
    </x:row>
    <x:row r="1031">
      <x:c r="A1031" t="str">
        <x:v>48</x:v>
      </x:c>
      <x:c r="B1031" t="str">
        <x:v>cartridge vape pen</x:v>
      </x:c>
      <x:c r="C1031" t="str">
        <x:v>48</x:v>
      </x:c>
      <x:c r="D1031" t="str">
        <x:v>cbd vape pen</x:v>
      </x:c>
      <x:c r="E1031" t="str">
        <x:v>recommended</x:v>
      </x:c>
      <x:c r="F1031" t="n">
        <x:v>12100</x:v>
      </x:c>
      <x:c r="G1031" t="n">
        <x:v>56</x:v>
      </x:c>
      <x:c r="H1031" t="str">
        <x:v>informational</x:v>
      </x:c>
    </x:row>
    <x:row r="1032">
      <x:c r="A1032" t="str">
        <x:v>48</x:v>
      </x:c>
      <x:c r="B1032" t="str">
        <x:v>strawberry b pop vape</x:v>
      </x:c>
      <x:c r="C1032" t="str">
        <x:v>48</x:v>
      </x:c>
      <x:c r="D1032" t="str">
        <x:v>strawberry b pop vape</x:v>
      </x:c>
      <x:c r="E1032" t="str">
        <x:v>recommended</x:v>
      </x:c>
      <x:c r="F1032" t="n">
        <x:v>40</x:v>
      </x:c>
      <x:c r="G1032" t="n">
        <x:v>2</x:v>
      </x:c>
      <x:c r="H1032" t="str">
        <x:v>informational</x:v>
      </x:c>
    </x:row>
    <x:row r="1033">
      <x:c r="A1033" t="str">
        <x:v>48</x:v>
      </x:c>
      <x:c r="B1033" t="str">
        <x:v>strawberry b pop vape</x:v>
      </x:c>
      <x:c r="C1033" t="str">
        <x:v>48</x:v>
      </x:c>
      <x:c r="D1033" t="str">
        <x:v>strawberry blow pop vape</x:v>
      </x:c>
      <x:c r="E1033" t="str">
        <x:v>recommended</x:v>
      </x:c>
      <x:c r="F1033" t="n">
        <x:v>50</x:v>
      </x:c>
      <x:c r="G1033" t="n">
        <x:v>1</x:v>
      </x:c>
      <x:c r="H1033" t="str">
        <x:v>informational</x:v>
      </x:c>
    </x:row>
    <x:row r="1034">
      <x:c r="A1034" t="str">
        <x:v>48</x:v>
      </x:c>
      <x:c r="B1034" t="str">
        <x:v>exdivo interstellar reviews</x:v>
      </x:c>
      <x:c r="C1034" t="str">
        <x:v>48</x:v>
      </x:c>
      <x:c r="D1034" t="str">
        <x:v>exdivo interstellar reviews</x:v>
      </x:c>
      <x:c r="E1034" t="str">
        <x:v>recommended</x:v>
      </x:c>
      <x:c r="F1034" t="n">
        <x:v>0</x:v>
      </x:c>
      <x:c r="G1034" t="n">
        <x:v>0</x:v>
      </x:c>
      <x:c r="H1034" t="str">
        <x:v>48</x:v>
      </x:c>
    </x:row>
    <x:row r="1035">
      <x:c r="A1035" t="str">
        <x:v>48</x:v>
      </x:c>
      <x:c r="B1035" t="str">
        <x:v>exdivo interstellar reviews</x:v>
      </x:c>
      <x:c r="C1035" t="str">
        <x:v>48</x:v>
      </x:c>
      <x:c r="D1035" t="str">
        <x:v>interstellar interstellar</x:v>
      </x:c>
      <x:c r="E1035" t="str">
        <x:v>recommended</x:v>
      </x:c>
      <x:c r="F1035" t="n">
        <x:v>880</x:v>
      </x:c>
      <x:c r="G1035" t="n">
        <x:v>77</x:v>
      </x:c>
      <x:c r="H1035" t="str">
        <x:v>informational, transactional</x:v>
      </x:c>
    </x:row>
    <x:row r="1036">
      <x:c r="A1036" t="str">
        <x:v>48</x:v>
      </x:c>
      <x:c r="B1036" t="str">
        <x:v>best vape pens</x:v>
      </x:c>
      <x:c r="C1036" t="str">
        <x:v>48</x:v>
      </x:c>
      <x:c r="D1036" t="str">
        <x:v>best vape pens</x:v>
      </x:c>
      <x:c r="E1036" t="str">
        <x:v>recommended</x:v>
      </x:c>
      <x:c r="F1036" t="n">
        <x:v>1000</x:v>
      </x:c>
      <x:c r="G1036" t="n">
        <x:v>51</x:v>
      </x:c>
      <x:c r="H1036" t="str">
        <x:v>commercial</x:v>
      </x:c>
    </x:row>
    <x:row r="1037">
      <x:c r="A1037" t="str">
        <x:v>48</x:v>
      </x:c>
      <x:c r="B1037" t="str">
        <x:v>best vape pens</x:v>
      </x:c>
      <x:c r="C1037" t="str">
        <x:v>48</x:v>
      </x:c>
      <x:c r="D1037" t="str">
        <x:v>inside of a push vape</x:v>
      </x:c>
      <x:c r="E1037" t="str">
        <x:v>recommended</x:v>
      </x:c>
      <x:c r="F1037" t="n">
        <x:v>1600</x:v>
      </x:c>
      <x:c r="G1037" t="n">
        <x:v>7</x:v>
      </x:c>
      <x:c r="H1037" t="str">
        <x:v>informational, transactional</x:v>
      </x:c>
    </x:row>
    <x:row r="1038">
      <x:c r="A1038" t="str">
        <x:v>48</x:v>
      </x:c>
      <x:c r="B1038" t="str">
        <x:v>best vape pens</x:v>
      </x:c>
      <x:c r="C1038" t="str">
        <x:v>48</x:v>
      </x:c>
      <x:c r="D1038" t="str">
        <x:v>vape colors</x:v>
      </x:c>
      <x:c r="E1038" t="str">
        <x:v>recommended</x:v>
      </x:c>
      <x:c r="F1038" t="n">
        <x:v>70</x:v>
      </x:c>
      <x:c r="G1038" t="n">
        <x:v>24</x:v>
      </x:c>
      <x:c r="H1038" t="str">
        <x:v>informational</x:v>
      </x:c>
    </x:row>
    <x:row r="1039">
      <x:c r="A1039" t="str">
        <x:v>48</x:v>
      </x:c>
      <x:c r="B1039" t="str">
        <x:v>best vape pens</x:v>
      </x:c>
      <x:c r="C1039" t="str">
        <x:v>48</x:v>
      </x:c>
      <x:c r="D1039" t="str">
        <x:v>vape battery 510</x:v>
      </x:c>
      <x:c r="E1039" t="str">
        <x:v>recommended</x:v>
      </x:c>
      <x:c r="F1039" t="n">
        <x:v>3600</x:v>
      </x:c>
      <x:c r="G1039" t="n">
        <x:v>27</x:v>
      </x:c>
      <x:c r="H1039" t="str">
        <x:v>commercial</x:v>
      </x:c>
    </x:row>
    <x:row r="1040">
      <x:c r="A1040" t="str">
        <x:v>48</x:v>
      </x:c>
      <x:c r="B1040" t="str">
        <x:v>best vape pens</x:v>
      </x:c>
      <x:c r="C1040" t="str">
        <x:v>48</x:v>
      </x:c>
      <x:c r="D1040" t="str">
        <x:v>vape cartridge battery</x:v>
      </x:c>
      <x:c r="E1040" t="str">
        <x:v>recommended</x:v>
      </x:c>
      <x:c r="F1040" t="n">
        <x:v>2900</x:v>
      </x:c>
      <x:c r="G1040" t="n">
        <x:v>32</x:v>
      </x:c>
      <x:c r="H1040" t="str">
        <x:v>commercial</x:v>
      </x:c>
    </x:row>
    <x:row r="1041">
      <x:c r="A1041" t="str">
        <x:v>48</x:v>
      </x:c>
      <x:c r="B1041" t="str">
        <x:v>best vape pens</x:v>
      </x:c>
      <x:c r="C1041" t="str">
        <x:v>48</x:v>
      </x:c>
      <x:c r="D1041" t="str">
        <x:v>510 thread vape</x:v>
      </x:c>
      <x:c r="E1041" t="str">
        <x:v>recommended</x:v>
      </x:c>
      <x:c r="F1041" t="n">
        <x:v>1300</x:v>
      </x:c>
      <x:c r="G1041" t="n">
        <x:v>28</x:v>
      </x:c>
      <x:c r="H1041" t="str">
        <x:v>commercial</x:v>
      </x:c>
    </x:row>
    <x:row r="1042">
      <x:c r="A1042" t="str">
        <x:v>48</x:v>
      </x:c>
      <x:c r="B1042" t="str">
        <x:v>best vape pens</x:v>
      </x:c>
      <x:c r="C1042" t="str">
        <x:v>48</x:v>
      </x:c>
      <x:c r="D1042" t="str">
        <x:v>vape pen battery 510</x:v>
      </x:c>
      <x:c r="E1042" t="str">
        <x:v>recommended</x:v>
      </x:c>
      <x:c r="F1042" t="n">
        <x:v>2400</x:v>
      </x:c>
      <x:c r="G1042" t="n">
        <x:v>36</x:v>
      </x:c>
      <x:c r="H1042" t="str">
        <x:v>commercial</x:v>
      </x:c>
    </x:row>
    <x:row r="1043">
      <x:c r="A1043" t="str">
        <x:v>48</x:v>
      </x:c>
      <x:c r="B1043" t="str">
        <x:v>best vape pens</x:v>
      </x:c>
      <x:c r="C1043" t="str">
        <x:v>48</x:v>
      </x:c>
      <x:c r="D1043" t="str">
        <x:v>vape essentials</x:v>
      </x:c>
      <x:c r="E1043" t="str">
        <x:v>recommended</x:v>
      </x:c>
      <x:c r="F1043" t="n">
        <x:v>50</x:v>
      </x:c>
      <x:c r="G1043" t="n">
        <x:v>48</x:v>
      </x:c>
      <x:c r="H1043" t="str">
        <x:v>commercial</x:v>
      </x:c>
    </x:row>
    <x:row r="1044">
      <x:c r="A1044" t="str">
        <x:v>48</x:v>
      </x:c>
      <x:c r="B1044" t="str">
        <x:v>best vape pens</x:v>
      </x:c>
      <x:c r="C1044" t="str">
        <x:v>48</x:v>
      </x:c>
      <x:c r="D1044" t="str">
        <x:v>pot vape pen</x:v>
      </x:c>
      <x:c r="E1044" t="str">
        <x:v>recommended</x:v>
      </x:c>
      <x:c r="F1044" t="n">
        <x:v>2900</x:v>
      </x:c>
      <x:c r="G1044" t="n">
        <x:v>59</x:v>
      </x:c>
      <x:c r="H1044" t="str">
        <x:v>informational</x:v>
      </x:c>
    </x:row>
    <x:row r="1045">
      <x:c r="A1045" t="str">
        <x:v>48</x:v>
      </x:c>
      <x:c r="B1045" t="str">
        <x:v>best vape pens</x:v>
      </x:c>
      <x:c r="C1045" t="str">
        <x:v>48</x:v>
      </x:c>
      <x:c r="D1045" t="str">
        <x:v>vape pens</x:v>
      </x:c>
      <x:c r="E1045" t="str">
        <x:v>recommended</x:v>
      </x:c>
      <x:c r="F1045" t="n">
        <x:v>9900</x:v>
      </x:c>
      <x:c r="G1045" t="n">
        <x:v>79</x:v>
      </x:c>
      <x:c r="H1045" t="str">
        <x:v>informational</x:v>
      </x:c>
    </x:row>
    <x:row r="1046">
      <x:c r="A1046" t="str">
        <x:v>48</x:v>
      </x:c>
      <x:c r="B1046" t="str">
        <x:v>peach flavored vapes</x:v>
      </x:c>
      <x:c r="C1046" t="str">
        <x:v>48</x:v>
      </x:c>
      <x:c r="D1046" t="str">
        <x:v>peach flavored vapes</x:v>
      </x:c>
      <x:c r="E1046" t="str">
        <x:v>recommended</x:v>
      </x:c>
      <x:c r="F1046" t="n">
        <x:v>40</x:v>
      </x:c>
      <x:c r="G1046" t="n">
        <x:v>0</x:v>
      </x:c>
      <x:c r="H1046" t="str">
        <x:v>informational</x:v>
      </x:c>
    </x:row>
    <x:row r="1047">
      <x:c r="A1047" t="str">
        <x:v>48</x:v>
      </x:c>
      <x:c r="B1047" t="str">
        <x:v>peach flavored vapes</x:v>
      </x:c>
      <x:c r="C1047" t="str">
        <x:v>48</x:v>
      </x:c>
      <x:c r="D1047" t="str">
        <x:v>vape peach</x:v>
      </x:c>
      <x:c r="E1047" t="str">
        <x:v>recommended</x:v>
      </x:c>
      <x:c r="F1047" t="n">
        <x:v>50</x:v>
      </x:c>
      <x:c r="G1047" t="n">
        <x:v>5</x:v>
      </x:c>
      <x:c r="H1047" t="str">
        <x:v>informational</x:v>
      </x:c>
    </x:row>
    <x:row r="1048">
      <x:c r="A1048" t="str">
        <x:v>48</x:v>
      </x:c>
      <x:c r="B1048" t="str">
        <x:v>peach flavored vapes</x:v>
      </x:c>
      <x:c r="C1048" t="str">
        <x:v>48</x:v>
      </x:c>
      <x:c r="D1048" t="str">
        <x:v>peachy ice</x:v>
      </x:c>
      <x:c r="E1048" t="str">
        <x:v>recommended</x:v>
      </x:c>
      <x:c r="F1048" t="n">
        <x:v>170</x:v>
      </x:c>
      <x:c r="G1048" t="n">
        <x:v>5</x:v>
      </x:c>
      <x:c r="H1048" t="str">
        <x:v>informational</x:v>
      </x:c>
    </x:row>
    <x:row r="1049">
      <x:c r="A1049" t="str">
        <x:v>48</x:v>
      </x:c>
      <x:c r="B1049" t="str">
        <x:v>peach flavored vapes</x:v>
      </x:c>
      <x:c r="C1049" t="str">
        <x:v>48</x:v>
      </x:c>
      <x:c r="D1049" t="str">
        <x:v>sour apple ice</x:v>
      </x:c>
      <x:c r="E1049" t="str">
        <x:v>recommended</x:v>
      </x:c>
      <x:c r="F1049" t="n">
        <x:v>1000</x:v>
      </x:c>
      <x:c r="G1049" t="n">
        <x:v>7</x:v>
      </x:c>
      <x:c r="H1049" t="str">
        <x:v>informational, commercial</x:v>
      </x:c>
    </x:row>
    <x:row r="1050">
      <x:c r="A1050" t="str">
        <x:v>48</x:v>
      </x:c>
      <x:c r="B1050" t="str">
        <x:v>refillable pod</x:v>
      </x:c>
      <x:c r="C1050" t="str">
        <x:v>48</x:v>
      </x:c>
      <x:c r="D1050" t="str">
        <x:v>refillable pod</x:v>
      </x:c>
      <x:c r="E1050" t="str">
        <x:v>recommended</x:v>
      </x:c>
      <x:c r="F1050" t="n">
        <x:v>50</x:v>
      </x:c>
      <x:c r="G1050" t="n">
        <x:v>22</x:v>
      </x:c>
      <x:c r="H1050" t="str">
        <x:v>commercial</x:v>
      </x:c>
    </x:row>
    <x:row r="1051">
      <x:c r="A1051" t="str">
        <x:v>48</x:v>
      </x:c>
      <x:c r="B1051" t="str">
        <x:v>refillable pod</x:v>
      </x:c>
      <x:c r="C1051" t="str">
        <x:v>48</x:v>
      </x:c>
      <x:c r="D1051" t="str">
        <x:v>how much is a refillable vape</x:v>
      </x:c>
      <x:c r="E1051" t="str">
        <x:v>recommended</x:v>
      </x:c>
      <x:c r="F1051" t="n">
        <x:v>50</x:v>
      </x:c>
      <x:c r="G1051" t="n">
        <x:v>23</x:v>
      </x:c>
      <x:c r="H1051" t="str">
        <x:v>informational</x:v>
      </x:c>
    </x:row>
    <x:row r="1052">
      <x:c r="A1052" t="str">
        <x:v>48</x:v>
      </x:c>
      <x:c r="B1052" t="str">
        <x:v>refillable pod</x:v>
      </x:c>
      <x:c r="C1052" t="str">
        <x:v>48</x:v>
      </x:c>
      <x:c r="D1052" t="str">
        <x:v>smoking pods</x:v>
      </x:c>
      <x:c r="E1052" t="str">
        <x:v>recommended</x:v>
      </x:c>
      <x:c r="F1052" t="n">
        <x:v>90</x:v>
      </x:c>
      <x:c r="G1052" t="n">
        <x:v>61</x:v>
      </x:c>
      <x:c r="H1052" t="str">
        <x:v>informational</x:v>
      </x:c>
    </x:row>
    <x:row r="1053">
      <x:c r="A1053" t="str">
        <x:v>48</x:v>
      </x:c>
      <x:c r="B1053" t="str">
        <x:v>strawberry raz vape</x:v>
      </x:c>
      <x:c r="C1053" t="str">
        <x:v>48</x:v>
      </x:c>
      <x:c r="D1053" t="str">
        <x:v>strawberry raz vape</x:v>
      </x:c>
      <x:c r="E1053" t="str">
        <x:v>recommended</x:v>
      </x:c>
      <x:c r="F1053" t="n">
        <x:v>140</x:v>
      </x:c>
      <x:c r="G1053" t="n">
        <x:v>0</x:v>
      </x:c>
      <x:c r="H1053" t="str">
        <x:v>informational</x:v>
      </x:c>
    </x:row>
    <x:row r="1054">
      <x:c r="A1054" t="str">
        <x:v>48</x:v>
      </x:c>
      <x:c r="B1054" t="str">
        <x:v>strawberry raz vape</x:v>
      </x:c>
      <x:c r="C1054" t="str">
        <x:v>48</x:v>
      </x:c>
      <x:c r="D1054" t="str">
        <x:v>watermelon raz vape</x:v>
      </x:c>
      <x:c r="E1054" t="str">
        <x:v>recommended</x:v>
      </x:c>
      <x:c r="F1054" t="n">
        <x:v>90</x:v>
      </x:c>
      <x:c r="G1054" t="n">
        <x:v>4</x:v>
      </x:c>
      <x:c r="H1054" t="str">
        <x:v>informational</x:v>
      </x:c>
    </x:row>
    <x:row r="1055">
      <x:c r="A1055" t="str">
        <x:v>48</x:v>
      </x:c>
      <x:c r="B1055" t="str">
        <x:v>vape phone</x:v>
      </x:c>
      <x:c r="C1055" t="str">
        <x:v>48</x:v>
      </x:c>
      <x:c r="D1055" t="str">
        <x:v>vape phone</x:v>
      </x:c>
      <x:c r="E1055" t="str">
        <x:v>recommended</x:v>
      </x:c>
      <x:c r="F1055" t="n">
        <x:v>3600</x:v>
      </x:c>
      <x:c r="G1055" t="n">
        <x:v>17</x:v>
      </x:c>
      <x:c r="H1055" t="str">
        <x:v>informational, commercial</x:v>
      </x:c>
    </x:row>
    <x:row r="1056">
      <x:c r="A1056" t="str">
        <x:v>48</x:v>
      </x:c>
      <x:c r="B1056" t="str">
        <x:v>vape phone</x:v>
      </x:c>
      <x:c r="C1056" t="str">
        <x:v>48</x:v>
      </x:c>
      <x:c r="D1056" t="str">
        <x:v>vape with screen</x:v>
      </x:c>
      <x:c r="E1056" t="str">
        <x:v>recommended</x:v>
      </x:c>
      <x:c r="F1056" t="n">
        <x:v>3600</x:v>
      </x:c>
      <x:c r="G1056" t="n">
        <x:v>17</x:v>
      </x:c>
      <x:c r="H1056" t="str">
        <x:v>informational</x:v>
      </x:c>
    </x:row>
    <x:row r="1057">
      <x:c r="A1057" t="str">
        <x:v>48</x:v>
      </x:c>
      <x:c r="B1057" t="str">
        <x:v>puff vape</x:v>
      </x:c>
      <x:c r="C1057" t="str">
        <x:v>48</x:v>
      </x:c>
      <x:c r="D1057" t="str">
        <x:v>what vape should i buy</x:v>
      </x:c>
      <x:c r="E1057" t="str">
        <x:v>recommended</x:v>
      </x:c>
      <x:c r="F1057" t="n">
        <x:v>110</x:v>
      </x:c>
      <x:c r="G1057" t="n">
        <x:v>12</x:v>
      </x:c>
      <x:c r="H1057" t="str">
        <x:v>informational</x:v>
      </x:c>
    </x:row>
    <x:row r="1058">
      <x:c r="A1058" t="str">
        <x:v>48</x:v>
      </x:c>
      <x:c r="B1058" t="str">
        <x:v>puff vape</x:v>
      </x:c>
      <x:c r="C1058" t="str">
        <x:v>48</x:v>
      </x:c>
      <x:c r="D1058" t="str">
        <x:v>which vapes are the safest</x:v>
      </x:c>
      <x:c r="E1058" t="str">
        <x:v>recommended</x:v>
      </x:c>
      <x:c r="F1058" t="n">
        <x:v>70</x:v>
      </x:c>
      <x:c r="G1058" t="n">
        <x:v>9</x:v>
      </x:c>
      <x:c r="H1058" t="str">
        <x:v>informational</x:v>
      </x:c>
    </x:row>
    <x:row r="1059">
      <x:c r="A1059" t="str">
        <x:v>48</x:v>
      </x:c>
      <x:c r="B1059" t="str">
        <x:v>puff vape</x:v>
      </x:c>
      <x:c r="C1059" t="str">
        <x:v>48</x:v>
      </x:c>
      <x:c r="D1059" t="str">
        <x:v>what is vaping</x:v>
      </x:c>
      <x:c r="E1059" t="str">
        <x:v>recommended</x:v>
      </x:c>
      <x:c r="F1059" t="n">
        <x:v>9900</x:v>
      </x:c>
      <x:c r="G1059" t="n">
        <x:v>76</x:v>
      </x:c>
      <x:c r="H1059" t="str">
        <x:v>informational</x:v>
      </x:c>
    </x:row>
    <x:row r="1060">
      <x:c r="A1060" t="str">
        <x:v>48</x:v>
      </x:c>
      <x:c r="B1060" t="str">
        <x:v>puff vape</x:v>
      </x:c>
      <x:c r="C1060" t="str">
        <x:v>48</x:v>
      </x:c>
      <x:c r="D1060" t="str">
        <x:v>what are the safest vapes</x:v>
      </x:c>
      <x:c r="E1060" t="str">
        <x:v>recommended</x:v>
      </x:c>
      <x:c r="F1060" t="n">
        <x:v>70</x:v>
      </x:c>
      <x:c r="G1060" t="n">
        <x:v>14</x:v>
      </x:c>
      <x:c r="H1060" t="str">
        <x:v>informational</x:v>
      </x:c>
    </x:row>
    <x:row r="1061">
      <x:c r="A1061" t="str">
        <x:v>48</x:v>
      </x:c>
      <x:c r="B1061" t="str">
        <x:v>puff vape</x:v>
      </x:c>
      <x:c r="C1061" t="str">
        <x:v>48</x:v>
      </x:c>
      <x:c r="D1061" t="str">
        <x:v>how many vape flavors are there</x:v>
      </x:c>
      <x:c r="E1061" t="str">
        <x:v>recommended</x:v>
      </x:c>
      <x:c r="F1061" t="n">
        <x:v>110</x:v>
      </x:c>
      <x:c r="G1061" t="n">
        <x:v>38</x:v>
      </x:c>
      <x:c r="H1061" t="str">
        <x:v>informational</x:v>
      </x:c>
    </x:row>
    <x:row r="1062">
      <x:c r="A1062" t="str">
        <x:v>48</x:v>
      </x:c>
      <x:c r="B1062" t="str">
        <x:v>puff vape</x:v>
      </x:c>
      <x:c r="C1062" t="str">
        <x:v>48</x:v>
      </x:c>
      <x:c r="D1062" t="str">
        <x:v>what vapes are safe</x:v>
      </x:c>
      <x:c r="E1062" t="str">
        <x:v>recommended</x:v>
      </x:c>
      <x:c r="F1062" t="n">
        <x:v>50</x:v>
      </x:c>
      <x:c r="G1062" t="n">
        <x:v>23</x:v>
      </x:c>
      <x:c r="H1062" t="str">
        <x:v>informational</x:v>
      </x:c>
    </x:row>
    <x:row r="1063">
      <x:c r="A1063" t="str">
        <x:v>48</x:v>
      </x:c>
      <x:c r="B1063" t="str">
        <x:v>puff vape</x:v>
      </x:c>
      <x:c r="C1063" t="str">
        <x:v>48</x:v>
      </x:c>
      <x:c r="D1063" t="str">
        <x:v>what is vape smoke</x:v>
      </x:c>
      <x:c r="E1063" t="str">
        <x:v>recommended</x:v>
      </x:c>
      <x:c r="F1063" t="n">
        <x:v>90</x:v>
      </x:c>
      <x:c r="G1063" t="n">
        <x:v>84</x:v>
      </x:c>
      <x:c r="H1063" t="str">
        <x:v>informational</x:v>
      </x:c>
    </x:row>
    <x:row r="1064">
      <x:c r="A1064" t="str">
        <x:v>48</x:v>
      </x:c>
      <x:c r="B1064" t="str">
        <x:v>puff vape</x:v>
      </x:c>
      <x:c r="C1064" t="str">
        <x:v>48</x:v>
      </x:c>
      <x:c r="D1064" t="str">
        <x:v>what do people vape</x:v>
      </x:c>
      <x:c r="E1064" t="str">
        <x:v>recommended</x:v>
      </x:c>
      <x:c r="F1064" t="n">
        <x:v>40</x:v>
      </x:c>
      <x:c r="G1064" t="n">
        <x:v>83</x:v>
      </x:c>
      <x:c r="H1064" t="str">
        <x:v>informational</x:v>
      </x:c>
    </x:row>
    <x:row r="1065">
      <x:c r="A1065" t="str">
        <x:v>48</x:v>
      </x:c>
      <x:c r="B1065" t="str">
        <x:v>puff vape</x:v>
      </x:c>
      <x:c r="C1065" t="str">
        <x:v>48</x:v>
      </x:c>
      <x:c r="D1065" t="str">
        <x:v>how to smoke vape</x:v>
      </x:c>
      <x:c r="E1065" t="str">
        <x:v>recommended</x:v>
      </x:c>
      <x:c r="F1065" t="n">
        <x:v>210</x:v>
      </x:c>
      <x:c r="G1065" t="n">
        <x:v>20</x:v>
      </x:c>
      <x:c r="H1065" t="str">
        <x:v>informational</x:v>
      </x:c>
    </x:row>
    <x:row r="1066">
      <x:c r="A1066" t="str">
        <x:v>48</x:v>
      </x:c>
      <x:c r="B1066" t="str">
        <x:v>puff vape</x:v>
      </x:c>
      <x:c r="C1066" t="str">
        <x:v>48</x:v>
      </x:c>
      <x:c r="D1066" t="str">
        <x:v>are vapes tobacco products</x:v>
      </x:c>
      <x:c r="E1066" t="str">
        <x:v>recommended</x:v>
      </x:c>
      <x:c r="F1066" t="n">
        <x:v>390</x:v>
      </x:c>
      <x:c r="G1066" t="n">
        <x:v>55</x:v>
      </x:c>
      <x:c r="H1066" t="str">
        <x:v>informational</x:v>
      </x:c>
    </x:row>
    <x:row r="1067">
      <x:c r="A1067" t="str">
        <x:v>48</x:v>
      </x:c>
      <x:c r="B1067" t="str">
        <x:v>puff vape</x:v>
      </x:c>
      <x:c r="C1067" t="str">
        <x:v>48</x:v>
      </x:c>
      <x:c r="D1067" t="str">
        <x:v>puff vape</x:v>
      </x:c>
      <x:c r="E1067" t="str">
        <x:v>recommended</x:v>
      </x:c>
      <x:c r="F1067" t="n">
        <x:v>1600</x:v>
      </x:c>
      <x:c r="G1067" t="n">
        <x:v>29</x:v>
      </x:c>
      <x:c r="H1067" t="str">
        <x:v>commercial</x:v>
      </x:c>
    </x:row>
    <x:row r="1068">
      <x:c r="A1068" t="str">
        <x:v>48</x:v>
      </x:c>
      <x:c r="B1068" t="str">
        <x:v>puff vape</x:v>
      </x:c>
      <x:c r="C1068" t="str">
        <x:v>48</x:v>
      </x:c>
      <x:c r="D1068" t="str">
        <x:v>electronic cigarette brands</x:v>
      </x:c>
      <x:c r="E1068" t="str">
        <x:v>recommended</x:v>
      </x:c>
      <x:c r="F1068" t="n">
        <x:v>1000</x:v>
      </x:c>
      <x:c r="G1068" t="n">
        <x:v>33</x:v>
      </x:c>
      <x:c r="H1068" t="str">
        <x:v>commercial</x:v>
      </x:c>
    </x:row>
    <x:row r="1069">
      <x:c r="A1069" t="str">
        <x:v>48</x:v>
      </x:c>
      <x:c r="B1069" t="str">
        <x:v>puff vape</x:v>
      </x:c>
      <x:c r="C1069" t="str">
        <x:v>48</x:v>
      </x:c>
      <x:c r="D1069" t="str">
        <x:v>vapor cigarette brands</x:v>
      </x:c>
      <x:c r="E1069" t="str">
        <x:v>recommended</x:v>
      </x:c>
      <x:c r="F1069" t="n">
        <x:v>720</x:v>
      </x:c>
      <x:c r="G1069" t="n">
        <x:v>33</x:v>
      </x:c>
      <x:c r="H1069" t="str">
        <x:v>informational, commercial</x:v>
      </x:c>
    </x:row>
    <x:row r="1070">
      <x:c r="A1070" t="str">
        <x:v>48</x:v>
      </x:c>
      <x:c r="B1070" t="str">
        <x:v>puff vape</x:v>
      </x:c>
      <x:c r="C1070" t="str">
        <x:v>48</x:v>
      </x:c>
      <x:c r="D1070" t="str">
        <x:v>different types of e cigs</x:v>
      </x:c>
      <x:c r="E1070" t="str">
        <x:v>recommended</x:v>
      </x:c>
      <x:c r="F1070" t="n">
        <x:v>1000</x:v>
      </x:c>
      <x:c r="G1070" t="n">
        <x:v>37</x:v>
      </x:c>
      <x:c r="H1070" t="str">
        <x:v>informational</x:v>
      </x:c>
    </x:row>
    <x:row r="1071">
      <x:c r="A1071" t="str">
        <x:v>48</x:v>
      </x:c>
      <x:c r="B1071" t="str">
        <x:v>puff vape</x:v>
      </x:c>
      <x:c r="C1071" t="str">
        <x:v>48</x:v>
      </x:c>
      <x:c r="D1071" t="str">
        <x:v>vape pictures</x:v>
      </x:c>
      <x:c r="E1071" t="str">
        <x:v>recommended</x:v>
      </x:c>
      <x:c r="F1071" t="n">
        <x:v>480</x:v>
      </x:c>
      <x:c r="G1071" t="n">
        <x:v>25</x:v>
      </x:c>
      <x:c r="H1071" t="str">
        <x:v>informational</x:v>
      </x:c>
    </x:row>
    <x:row r="1072">
      <x:c r="A1072" t="str">
        <x:v>48</x:v>
      </x:c>
      <x:c r="B1072" t="str">
        <x:v>puff vape</x:v>
      </x:c>
      <x:c r="C1072" t="str">
        <x:v>48</x:v>
      </x:c>
      <x:c r="D1072" t="str">
        <x:v>best foger vape flavors</x:v>
      </x:c>
      <x:c r="E1072" t="str">
        <x:v>recommended</x:v>
      </x:c>
      <x:c r="F1072" t="n">
        <x:v>590</x:v>
      </x:c>
      <x:c r="G1072" t="n">
        <x:v>2</x:v>
      </x:c>
      <x:c r="H1072" t="str">
        <x:v>commercial</x:v>
      </x:c>
    </x:row>
    <x:row r="1073">
      <x:c r="A1073" t="str">
        <x:v>48</x:v>
      </x:c>
      <x:c r="B1073" t="str">
        <x:v>puff vape</x:v>
      </x:c>
      <x:c r="C1073" t="str">
        <x:v>48</x:v>
      </x:c>
      <x:c r="D1073" t="str">
        <x:v>pictures of a vape</x:v>
      </x:c>
      <x:c r="E1073" t="str">
        <x:v>recommended</x:v>
      </x:c>
      <x:c r="F1073" t="n">
        <x:v>390</x:v>
      </x:c>
      <x:c r="G1073" t="n">
        <x:v>33</x:v>
      </x:c>
      <x:c r="H1073" t="str">
        <x:v>informational</x:v>
      </x:c>
    </x:row>
    <x:row r="1074">
      <x:c r="A1074" t="str">
        <x:v>48</x:v>
      </x:c>
      <x:c r="B1074" t="str">
        <x:v>puff vape</x:v>
      </x:c>
      <x:c r="C1074" t="str">
        <x:v>48</x:v>
      </x:c>
      <x:c r="D1074" t="str">
        <x:v>best mint vape</x:v>
      </x:c>
      <x:c r="E1074" t="str">
        <x:v>recommended</x:v>
      </x:c>
      <x:c r="F1074" t="n">
        <x:v>210</x:v>
      </x:c>
      <x:c r="G1074" t="n">
        <x:v>4</x:v>
      </x:c>
      <x:c r="H1074" t="str">
        <x:v>commercial</x:v>
      </x:c>
    </x:row>
    <x:row r="1075">
      <x:c r="A1075" t="str">
        <x:v>48</x:v>
      </x:c>
      <x:c r="B1075" t="str">
        <x:v>puff vape</x:v>
      </x:c>
      <x:c r="C1075" t="str">
        <x:v>48</x:v>
      </x:c>
      <x:c r="D1075" t="str">
        <x:v>2 nicotine disposable vape</x:v>
      </x:c>
      <x:c r="E1075" t="str">
        <x:v>recommended</x:v>
      </x:c>
      <x:c r="F1075" t="n">
        <x:v>170</x:v>
      </x:c>
      <x:c r="G1075" t="n">
        <x:v>16</x:v>
      </x:c>
      <x:c r="H1075" t="str">
        <x:v>informational, commercial</x:v>
      </x:c>
    </x:row>
    <x:row r="1076">
      <x:c r="A1076" t="str">
        <x:v>48</x:v>
      </x:c>
      <x:c r="B1076" t="str">
        <x:v>puff vape</x:v>
      </x:c>
      <x:c r="C1076" t="str">
        <x:v>48</x:v>
      </x:c>
      <x:c r="D1076" t="str">
        <x:v>low nic disposable vape</x:v>
      </x:c>
      <x:c r="E1076" t="str">
        <x:v>recommended</x:v>
      </x:c>
      <x:c r="F1076" t="n">
        <x:v>90</x:v>
      </x:c>
      <x:c r="G1076" t="n">
        <x:v>0</x:v>
      </x:c>
      <x:c r="H1076" t="str">
        <x:v>commercial</x:v>
      </x:c>
    </x:row>
    <x:row r="1077">
      <x:c r="A1077" t="str">
        <x:v>48</x:v>
      </x:c>
      <x:c r="B1077" t="str">
        <x:v>puff vape</x:v>
      </x:c>
      <x:c r="C1077" t="str">
        <x:v>48</x:v>
      </x:c>
      <x:c r="D1077" t="str">
        <x:v>disposable vapes online free shipping</x:v>
      </x:c>
      <x:c r="E1077" t="str">
        <x:v>recommended</x:v>
      </x:c>
      <x:c r="F1077" t="n">
        <x:v>720</x:v>
      </x:c>
      <x:c r="G1077" t="n">
        <x:v>47</x:v>
      </x:c>
      <x:c r="H1077" t="str">
        <x:v>commercial</x:v>
      </x:c>
    </x:row>
    <x:row r="1078">
      <x:c r="A1078" t="str">
        <x:v>48</x:v>
      </x:c>
      <x:c r="B1078" t="str">
        <x:v>puff vape</x:v>
      </x:c>
      <x:c r="C1078" t="str">
        <x:v>48</x:v>
      </x:c>
      <x:c r="D1078" t="str">
        <x:v>best e cigarette</x:v>
      </x:c>
      <x:c r="E1078" t="str">
        <x:v>recommended</x:v>
      </x:c>
      <x:c r="F1078" t="n">
        <x:v>390</x:v>
      </x:c>
      <x:c r="G1078" t="n">
        <x:v>36</x:v>
      </x:c>
      <x:c r="H1078" t="str">
        <x:v>commercial</x:v>
      </x:c>
    </x:row>
    <x:row r="1079">
      <x:c r="A1079" t="str">
        <x:v>48</x:v>
      </x:c>
      <x:c r="B1079" t="str">
        <x:v>puff vape</x:v>
      </x:c>
      <x:c r="C1079" t="str">
        <x:v>48</x:v>
      </x:c>
      <x:c r="D1079" t="str">
        <x:v>best vapor cigarette</x:v>
      </x:c>
      <x:c r="E1079" t="str">
        <x:v>recommended</x:v>
      </x:c>
      <x:c r="F1079" t="n">
        <x:v>210</x:v>
      </x:c>
      <x:c r="G1079" t="n">
        <x:v>23</x:v>
      </x:c>
      <x:c r="H1079" t="str">
        <x:v>commercial</x:v>
      </x:c>
    </x:row>
    <x:row r="1080">
      <x:c r="A1080" t="str">
        <x:v>48</x:v>
      </x:c>
      <x:c r="B1080" t="str">
        <x:v>puff vape</x:v>
      </x:c>
      <x:c r="C1080" t="str">
        <x:v>48</x:v>
      </x:c>
      <x:c r="D1080" t="str">
        <x:v>different brands of vapes</x:v>
      </x:c>
      <x:c r="E1080" t="str">
        <x:v>recommended</x:v>
      </x:c>
      <x:c r="F1080" t="n">
        <x:v>170</x:v>
      </x:c>
      <x:c r="G1080" t="n">
        <x:v>21</x:v>
      </x:c>
      <x:c r="H1080" t="str">
        <x:v>commercial</x:v>
      </x:c>
    </x:row>
    <x:row r="1081">
      <x:c r="A1081" t="str">
        <x:v>48</x:v>
      </x:c>
      <x:c r="B1081" t="str">
        <x:v>puff vape</x:v>
      </x:c>
      <x:c r="C1081" t="str">
        <x:v>48</x:v>
      </x:c>
      <x:c r="D1081" t="str">
        <x:v>k vape disposable</x:v>
      </x:c>
      <x:c r="E1081" t="str">
        <x:v>recommended</x:v>
      </x:c>
      <x:c r="F1081" t="n">
        <x:v>210</x:v>
      </x:c>
      <x:c r="G1081" t="n">
        <x:v>2</x:v>
      </x:c>
      <x:c r="H1081" t="str">
        <x:v>informational</x:v>
      </x:c>
    </x:row>
    <x:row r="1082">
      <x:c r="A1082" t="str">
        <x:v>48</x:v>
      </x:c>
      <x:c r="B1082" t="str">
        <x:v>puff vape</x:v>
      </x:c>
      <x:c r="C1082" t="str">
        <x:v>48</x:v>
      </x:c>
      <x:c r="D1082" t="str">
        <x:v>best disposable vape made in usa</x:v>
      </x:c>
      <x:c r="E1082" t="str">
        <x:v>recommended</x:v>
      </x:c>
      <x:c r="F1082" t="n">
        <x:v>70</x:v>
      </x:c>
      <x:c r="G1082" t="n">
        <x:v>0</x:v>
      </x:c>
      <x:c r="H1082" t="str">
        <x:v>commercial</x:v>
      </x:c>
    </x:row>
    <x:row r="1083">
      <x:c r="A1083" t="str">
        <x:v>48</x:v>
      </x:c>
      <x:c r="B1083" t="str">
        <x:v>puff vape</x:v>
      </x:c>
      <x:c r="C1083" t="str">
        <x:v>48</x:v>
      </x:c>
      <x:c r="D1083" t="str">
        <x:v>blue razz vapes</x:v>
      </x:c>
      <x:c r="E1083" t="str">
        <x:v>recommended</x:v>
      </x:c>
      <x:c r="F1083" t="n">
        <x:v>210</x:v>
      </x:c>
      <x:c r="G1083" t="n">
        <x:v>2</x:v>
      </x:c>
      <x:c r="H1083" t="str">
        <x:v>informational, commercial</x:v>
      </x:c>
    </x:row>
    <x:row r="1084">
      <x:c r="A1084" t="str">
        <x:v>48</x:v>
      </x:c>
      <x:c r="B1084" t="str">
        <x:v>puff vape</x:v>
      </x:c>
      <x:c r="C1084" t="str">
        <x:v>48</x:v>
      </x:c>
      <x:c r="D1084" t="str">
        <x:v>brands of electronic cigarettes</x:v>
      </x:c>
      <x:c r="E1084" t="str">
        <x:v>recommended</x:v>
      </x:c>
      <x:c r="F1084" t="n">
        <x:v>210</x:v>
      </x:c>
      <x:c r="G1084" t="n">
        <x:v>33</x:v>
      </x:c>
      <x:c r="H1084" t="str">
        <x:v>informational</x:v>
      </x:c>
    </x:row>
    <x:row r="1085">
      <x:c r="A1085" t="str">
        <x:v>48</x:v>
      </x:c>
      <x:c r="B1085" t="str">
        <x:v>puff vape</x:v>
      </x:c>
      <x:c r="C1085" t="str">
        <x:v>48</x:v>
      </x:c>
      <x:c r="D1085" t="str">
        <x:v>9000 puff vape</x:v>
      </x:c>
      <x:c r="E1085" t="str">
        <x:v>recommended</x:v>
      </x:c>
      <x:c r="F1085" t="n">
        <x:v>50</x:v>
      </x:c>
      <x:c r="G1085" t="n">
        <x:v>0</x:v>
      </x:c>
      <x:c r="H1085" t="str">
        <x:v>informational</x:v>
      </x:c>
    </x:row>
    <x:row r="1086">
      <x:c r="A1086" t="str">
        <x:v>48</x:v>
      </x:c>
      <x:c r="B1086" t="str">
        <x:v>puff vape</x:v>
      </x:c>
      <x:c r="C1086" t="str">
        <x:v>48</x:v>
      </x:c>
      <x:c r="D1086" t="str">
        <x:v>cute vapes</x:v>
      </x:c>
      <x:c r="E1086" t="str">
        <x:v>recommended</x:v>
      </x:c>
      <x:c r="F1086" t="n">
        <x:v>260</x:v>
      </x:c>
      <x:c r="G1086" t="n">
        <x:v>15</x:v>
      </x:c>
      <x:c r="H1086" t="str">
        <x:v>informational</x:v>
      </x:c>
    </x:row>
    <x:row r="1087">
      <x:c r="A1087" t="str">
        <x:v>48</x:v>
      </x:c>
      <x:c r="B1087" t="str">
        <x:v>american made disposable vapes</x:v>
      </x:c>
      <x:c r="C1087" t="str">
        <x:v>48</x:v>
      </x:c>
      <x:c r="D1087" t="str">
        <x:v>american made disposable vapes</x:v>
      </x:c>
      <x:c r="E1087" t="str">
        <x:v>recommended</x:v>
      </x:c>
      <x:c r="F1087" t="n">
        <x:v>390</x:v>
      </x:c>
      <x:c r="G1087" t="n">
        <x:v>0</x:v>
      </x:c>
      <x:c r="H1087" t="str">
        <x:v>informational</x:v>
      </x:c>
    </x:row>
    <x:row r="1088">
      <x:c r="A1088" t="str">
        <x:v>48</x:v>
      </x:c>
      <x:c r="B1088" t="str">
        <x:v>american made disposable vapes</x:v>
      </x:c>
      <x:c r="C1088" t="str">
        <x:v>48</x:v>
      </x:c>
      <x:c r="D1088" t="str">
        <x:v>3 nicotine disposable vape</x:v>
      </x:c>
      <x:c r="E1088" t="str">
        <x:v>recommended</x:v>
      </x:c>
      <x:c r="F1088" t="n">
        <x:v>320</x:v>
      </x:c>
      <x:c r="G1088" t="n">
        <x:v>2</x:v>
      </x:c>
      <x:c r="H1088" t="str">
        <x:v>informational, commercial</x:v>
      </x:c>
    </x:row>
    <x:row r="1089">
      <x:c r="A1089" t="str">
        <x:v>48</x:v>
      </x:c>
      <x:c r="B1089" t="str">
        <x:v>american made disposable vapes</x:v>
      </x:c>
      <x:c r="C1089" t="str">
        <x:v>48</x:v>
      </x:c>
      <x:c r="D1089" t="str">
        <x:v>disposable vapes made in usa</x:v>
      </x:c>
      <x:c r="E1089" t="str">
        <x:v>recommended</x:v>
      </x:c>
      <x:c r="F1089" t="n">
        <x:v>590</x:v>
      </x:c>
      <x:c r="G1089" t="n">
        <x:v>18</x:v>
      </x:c>
      <x:c r="H1089" t="str">
        <x:v>informational</x:v>
      </x:c>
    </x:row>
    <x:row r="1090">
      <x:c r="A1090" t="str">
        <x:v>48</x:v>
      </x:c>
      <x:c r="B1090" t="str">
        <x:v>american made disposable vapes</x:v>
      </x:c>
      <x:c r="C1090" t="str">
        <x:v>48</x:v>
      </x:c>
      <x:c r="D1090" t="str">
        <x:v>puff bar vapes</x:v>
      </x:c>
      <x:c r="E1090" t="str">
        <x:v>recommended</x:v>
      </x:c>
      <x:c r="F1090" t="n">
        <x:v>590</x:v>
      </x:c>
      <x:c r="G1090" t="n">
        <x:v>21</x:v>
      </x:c>
      <x:c r="H1090" t="str">
        <x:v>informational</x:v>
      </x:c>
    </x:row>
    <x:row r="1091">
      <x:c r="A1091" t="str">
        <x:v>48</x:v>
      </x:c>
      <x:c r="B1091" t="str">
        <x:v>american made disposable vapes</x:v>
      </x:c>
      <x:c r="C1091" t="str">
        <x:v>48</x:v>
      </x:c>
      <x:c r="D1091" t="str">
        <x:v>blue raz vape</x:v>
      </x:c>
      <x:c r="E1091" t="str">
        <x:v>recommended</x:v>
      </x:c>
      <x:c r="F1091" t="n">
        <x:v>720</x:v>
      </x:c>
      <x:c r="G1091" t="n">
        <x:v>5</x:v>
      </x:c>
      <x:c r="H1091" t="str">
        <x:v>informational</x:v>
      </x:c>
    </x:row>
    <x:row r="1092">
      <x:c r="A1092" t="str">
        <x:v>48</x:v>
      </x:c>
      <x:c r="B1092" t="str">
        <x:v>american made disposable vapes</x:v>
      </x:c>
      <x:c r="C1092" t="str">
        <x:v>48</x:v>
      </x:c>
      <x:c r="D1092" t="str">
        <x:v>cheapest vapes</x:v>
      </x:c>
      <x:c r="E1092" t="str">
        <x:v>recommended</x:v>
      </x:c>
      <x:c r="F1092" t="n">
        <x:v>880</x:v>
      </x:c>
      <x:c r="G1092" t="n">
        <x:v>48</x:v>
      </x:c>
      <x:c r="H1092" t="str">
        <x:v>commercial</x:v>
      </x:c>
    </x:row>
    <x:row r="1093">
      <x:c r="A1093" t="str">
        <x:v>48</x:v>
      </x:c>
      <x:c r="B1093" t="str">
        <x:v>american made disposable vapes</x:v>
      </x:c>
      <x:c r="C1093" t="str">
        <x:v>48</x:v>
      </x:c>
      <x:c r="D1093" t="str">
        <x:v>dessert flavored disposable vapes</x:v>
      </x:c>
      <x:c r="E1093" t="str">
        <x:v>recommended</x:v>
      </x:c>
      <x:c r="F1093" t="n">
        <x:v>210</x:v>
      </x:c>
      <x:c r="G1093" t="n">
        <x:v>1</x:v>
      </x:c>
      <x:c r="H1093" t="str">
        <x:v>informational</x:v>
      </x:c>
    </x:row>
    <x:row r="1094">
      <x:c r="A1094" t="str">
        <x:v>48</x:v>
      </x:c>
      <x:c r="B1094" t="str">
        <x:v>american made disposable vapes</x:v>
      </x:c>
      <x:c r="C1094" t="str">
        <x:v>48</x:v>
      </x:c>
      <x:c r="D1094" t="str">
        <x:v>dispo vape</x:v>
      </x:c>
      <x:c r="E1094" t="str">
        <x:v>recommended</x:v>
      </x:c>
      <x:c r="F1094" t="n">
        <x:v>590</x:v>
      </x:c>
      <x:c r="G1094" t="n">
        <x:v>52</x:v>
      </x:c>
      <x:c r="H1094" t="str">
        <x:v>informational</x:v>
      </x:c>
    </x:row>
    <x:row r="1095">
      <x:c r="A1095" t="str">
        <x:v>48</x:v>
      </x:c>
      <x:c r="B1095" t="str">
        <x:v>american made disposable vapes</x:v>
      </x:c>
      <x:c r="C1095" t="str">
        <x:v>48</x:v>
      </x:c>
      <x:c r="D1095" t="str">
        <x:v>vapes fruity</x:v>
      </x:c>
      <x:c r="E1095" t="str">
        <x:v>recommended</x:v>
      </x:c>
      <x:c r="F1095" t="n">
        <x:v>140</x:v>
      </x:c>
      <x:c r="G1095" t="n">
        <x:v>2</x:v>
      </x:c>
      <x:c r="H1095" t="str">
        <x:v>informational</x:v>
      </x:c>
    </x:row>
    <x:row r="1096">
      <x:c r="A1096" t="str">
        <x:v>48</x:v>
      </x:c>
      <x:c r="B1096" t="str">
        <x:v>american made disposable vapes</x:v>
      </x:c>
      <x:c r="C1096" t="str">
        <x:v>48</x:v>
      </x:c>
      <x:c r="D1096" t="str">
        <x:v>cartridges vapes</x:v>
      </x:c>
      <x:c r="E1096" t="str">
        <x:v>recommended</x:v>
      </x:c>
      <x:c r="F1096" t="n">
        <x:v>2900</x:v>
      </x:c>
      <x:c r="G1096" t="n">
        <x:v>53</x:v>
      </x:c>
      <x:c r="H1096" t="str">
        <x:v>informational</x:v>
      </x:c>
    </x:row>
    <x:row r="1097">
      <x:c r="A1097" t="str">
        <x:v>48</x:v>
      </x:c>
      <x:c r="B1097" t="str">
        <x:v>american made disposable vapes</x:v>
      </x:c>
      <x:c r="C1097" t="str">
        <x:v>48</x:v>
      </x:c>
      <x:c r="D1097" t="str">
        <x:v>menthol flavored vapes</x:v>
      </x:c>
      <x:c r="E1097" t="str">
        <x:v>recommended</x:v>
      </x:c>
      <x:c r="F1097" t="n">
        <x:v>110</x:v>
      </x:c>
      <x:c r="G1097" t="n">
        <x:v>2</x:v>
      </x:c>
      <x:c r="H1097" t="str">
        <x:v>informational, commercial</x:v>
      </x:c>
    </x:row>
    <x:row r="1098">
      <x:c r="A1098" t="str">
        <x:v>48</x:v>
      </x:c>
      <x:c r="B1098" t="str">
        <x:v>american made disposable vapes</x:v>
      </x:c>
      <x:c r="C1098" t="str">
        <x:v>48</x:v>
      </x:c>
      <x:c r="D1098" t="str">
        <x:v>vape hardware</x:v>
      </x:c>
      <x:c r="E1098" t="str">
        <x:v>recommended</x:v>
      </x:c>
      <x:c r="F1098" t="n">
        <x:v>1900</x:v>
      </x:c>
      <x:c r="G1098" t="n">
        <x:v>52</x:v>
      </x:c>
      <x:c r="H1098" t="str">
        <x:v>commercial</x:v>
      </x:c>
    </x:row>
    <x:row r="1099">
      <x:c r="A1099" t="str">
        <x:v>48</x:v>
      </x:c>
      <x:c r="B1099" t="str">
        <x:v>american made disposable vapes</x:v>
      </x:c>
      <x:c r="C1099" t="str">
        <x:v>48</x:v>
      </x:c>
      <x:c r="D1099" t="str">
        <x:v>vape fogger flavors</x:v>
      </x:c>
      <x:c r="E1099" t="str">
        <x:v>recommended</x:v>
      </x:c>
      <x:c r="F1099" t="n">
        <x:v>90</x:v>
      </x:c>
      <x:c r="G1099" t="n">
        <x:v>1</x:v>
      </x:c>
      <x:c r="H1099" t="str">
        <x:v>informational, commercial</x:v>
      </x:c>
    </x:row>
    <x:row r="1100">
      <x:c r="A1100" t="str">
        <x:v>48</x:v>
      </x:c>
      <x:c r="B1100" t="str">
        <x:v>american made disposable vapes</x:v>
      </x:c>
      <x:c r="C1100" t="str">
        <x:v>48</x:v>
      </x:c>
      <x:c r="D1100" t="str">
        <x:v>vape menthol</x:v>
      </x:c>
      <x:c r="E1100" t="str">
        <x:v>recommended</x:v>
      </x:c>
      <x:c r="F1100" t="n">
        <x:v>110</x:v>
      </x:c>
      <x:c r="G1100" t="n">
        <x:v>5</x:v>
      </x:c>
      <x:c r="H1100" t="str">
        <x:v>informational</x:v>
      </x:c>
    </x:row>
    <x:row r="1101">
      <x:c r="A1101" t="str">
        <x:v>48</x:v>
      </x:c>
      <x:c r="B1101" t="str">
        <x:v>american made disposable vapes</x:v>
      </x:c>
      <x:c r="C1101" t="str">
        <x:v>48</x:v>
      </x:c>
      <x:c r="D1101" t="str">
        <x:v>detachable vapes</x:v>
      </x:c>
      <x:c r="E1101" t="str">
        <x:v>recommended</x:v>
      </x:c>
      <x:c r="F1101" t="n">
        <x:v>110</x:v>
      </x:c>
      <x:c r="G1101" t="n">
        <x:v>22</x:v>
      </x:c>
      <x:c r="H1101" t="str">
        <x:v>informational, commercial</x:v>
      </x:c>
    </x:row>
    <x:row r="1102">
      <x:c r="A1102" t="str">
        <x:v>48</x:v>
      </x:c>
      <x:c r="B1102" t="str">
        <x:v>american made disposable vapes</x:v>
      </x:c>
      <x:c r="C1102" t="str">
        <x:v>48</x:v>
      </x:c>
      <x:c r="D1102" t="str">
        <x:v>cartridges for vapes</x:v>
      </x:c>
      <x:c r="E1102" t="str">
        <x:v>recommended</x:v>
      </x:c>
      <x:c r="F1102" t="n">
        <x:v>1600</x:v>
      </x:c>
      <x:c r="G1102" t="n">
        <x:v>49</x:v>
      </x:c>
      <x:c r="H1102" t="str">
        <x:v>informational</x:v>
      </x:c>
    </x:row>
    <x:row r="1103">
      <x:c r="A1103" t="str">
        <x:v>48</x:v>
      </x:c>
      <x:c r="B1103" t="str">
        <x:v>american made disposable vapes</x:v>
      </x:c>
      <x:c r="C1103" t="str">
        <x:v>48</x:v>
      </x:c>
      <x:c r="D1103" t="str">
        <x:v>blue raz ice vape</x:v>
      </x:c>
      <x:c r="E1103" t="str">
        <x:v>recommended</x:v>
      </x:c>
      <x:c r="F1103" t="n">
        <x:v>110</x:v>
      </x:c>
      <x:c r="G1103" t="n">
        <x:v>0</x:v>
      </x:c>
      <x:c r="H1103" t="str">
        <x:v>informational, commercial</x:v>
      </x:c>
    </x:row>
    <x:row r="1104">
      <x:c r="A1104" t="str">
        <x:v>48</x:v>
      </x:c>
      <x:c r="B1104" t="str">
        <x:v>american made disposable vapes</x:v>
      </x:c>
      <x:c r="C1104" t="str">
        <x:v>48</x:v>
      </x:c>
      <x:c r="D1104" t="str">
        <x:v>lower nicotine disposable vapes</x:v>
      </x:c>
      <x:c r="E1104" t="str">
        <x:v>recommended</x:v>
      </x:c>
      <x:c r="F1104" t="n">
        <x:v>40</x:v>
      </x:c>
      <x:c r="G1104" t="n">
        <x:v>1</x:v>
      </x:c>
      <x:c r="H1104" t="str">
        <x:v>commercial</x:v>
      </x:c>
    </x:row>
    <x:row r="1105">
      <x:c r="A1105" t="str">
        <x:v>48</x:v>
      </x:c>
      <x:c r="B1105" t="str">
        <x:v>american made disposable vapes</x:v>
      </x:c>
      <x:c r="C1105" t="str">
        <x:v>48</x:v>
      </x:c>
      <x:c r="D1105" t="str">
        <x:v>blue raz raz vape</x:v>
      </x:c>
      <x:c r="E1105" t="str">
        <x:v>recommended</x:v>
      </x:c>
      <x:c r="F1105" t="n">
        <x:v>70</x:v>
      </x:c>
      <x:c r="G1105" t="n">
        <x:v>0</x:v>
      </x:c>
      <x:c r="H1105" t="str">
        <x:v>informational</x:v>
      </x:c>
    </x:row>
    <x:row r="1106">
      <x:c r="A1106" t="str">
        <x:v>48</x:v>
      </x:c>
      <x:c r="B1106" t="str">
        <x:v>american made disposable vapes</x:v>
      </x:c>
      <x:c r="C1106" t="str">
        <x:v>48</x:v>
      </x:c>
      <x:c r="D1106" t="str">
        <x:v>smallest disposable vape</x:v>
      </x:c>
      <x:c r="E1106" t="str">
        <x:v>recommended</x:v>
      </x:c>
      <x:c r="F1106" t="n">
        <x:v>50</x:v>
      </x:c>
      <x:c r="G1106" t="n">
        <x:v>21</x:v>
      </x:c>
      <x:c r="H1106" t="str">
        <x:v>informational</x:v>
      </x:c>
    </x:row>
    <x:row r="1107">
      <x:c r="A1107" t="str">
        <x:v>48</x:v>
      </x:c>
      <x:c r="B1107" t="str">
        <x:v>american made disposable vapes</x:v>
      </x:c>
      <x:c r="C1107" t="str">
        <x:v>48</x:v>
      </x:c>
      <x:c r="D1107" t="str">
        <x:v>cheap disposable vapes under 5</x:v>
      </x:c>
      <x:c r="E1107" t="str">
        <x:v>recommended</x:v>
      </x:c>
      <x:c r="F1107" t="n">
        <x:v>40</x:v>
      </x:c>
      <x:c r="G1107" t="n">
        <x:v>3</x:v>
      </x:c>
      <x:c r="H1107" t="str">
        <x:v>commercial</x:v>
      </x:c>
    </x:row>
    <x:row r="1108">
      <x:c r="A1108" t="str">
        <x:v>48</x:v>
      </x:c>
      <x:c r="B1108" t="str">
        <x:v>american made disposable vapes</x:v>
      </x:c>
      <x:c r="C1108" t="str">
        <x:v>48</x:v>
      </x:c>
      <x:c r="D1108" t="str">
        <x:v>fogger kits vape</x:v>
      </x:c>
      <x:c r="E1108" t="str">
        <x:v>recommended</x:v>
      </x:c>
      <x:c r="F1108" t="n">
        <x:v>50</x:v>
      </x:c>
      <x:c r="G1108" t="n">
        <x:v>8</x:v>
      </x:c>
      <x:c r="H1108" t="str">
        <x:v>commercial</x:v>
      </x:c>
    </x:row>
    <x:row r="1109">
      <x:c r="A1109" t="str">
        <x:v>48</x:v>
      </x:c>
      <x:c r="B1109" t="str">
        <x:v>american made disposable vapes</x:v>
      </x:c>
      <x:c r="C1109" t="str">
        <x:v>48</x:v>
      </x:c>
      <x:c r="D1109" t="str">
        <x:v>iced vape juice</x:v>
      </x:c>
      <x:c r="E1109" t="str">
        <x:v>recommended</x:v>
      </x:c>
      <x:c r="F1109" t="n">
        <x:v>40</x:v>
      </x:c>
      <x:c r="G1109" t="n">
        <x:v>1</x:v>
      </x:c>
      <x:c r="H1109" t="str">
        <x:v>commercial</x:v>
      </x:c>
    </x:row>
    <x:row r="1110">
      <x:c r="A1110" t="str">
        <x:v>48</x:v>
      </x:c>
      <x:c r="B1110" t="str">
        <x:v>american made disposable vapes</x:v>
      </x:c>
      <x:c r="C1110" t="str">
        <x:v>48</x:v>
      </x:c>
      <x:c r="D1110" t="str">
        <x:v>vapes with magnetic battery</x:v>
      </x:c>
      <x:c r="E1110" t="str">
        <x:v>recommended</x:v>
      </x:c>
      <x:c r="F1110" t="n">
        <x:v>70</x:v>
      </x:c>
      <x:c r="G1110" t="n">
        <x:v>18</x:v>
      </x:c>
      <x:c r="H1110" t="str">
        <x:v>informational</x:v>
      </x:c>
    </x:row>
    <x:row r="1111">
      <x:c r="A1111" t="str">
        <x:v>48</x:v>
      </x:c>
      <x:c r="B1111" t="str">
        <x:v>american made disposable vapes</x:v>
      </x:c>
      <x:c r="C1111" t="str">
        <x:v>48</x:v>
      </x:c>
      <x:c r="D1111" t="str">
        <x:v>raz refillable vape</x:v>
      </x:c>
      <x:c r="E1111" t="str">
        <x:v>recommended</x:v>
      </x:c>
      <x:c r="F1111" t="n">
        <x:v>70</x:v>
      </x:c>
      <x:c r="G1111" t="n">
        <x:v>19</x:v>
      </x:c>
      <x:c r="H1111" t="str">
        <x:v>informational</x:v>
      </x:c>
    </x:row>
    <x:row r="1112">
      <x:c r="A1112" t="str">
        <x:v>48</x:v>
      </x:c>
      <x:c r="B1112" t="str">
        <x:v>american made disposable vapes</x:v>
      </x:c>
      <x:c r="C1112" t="str">
        <x:v>48</x:v>
      </x:c>
      <x:c r="D1112" t="str">
        <x:v>vapers electrónicos</x:v>
      </x:c>
      <x:c r="E1112" t="str">
        <x:v>recommended</x:v>
      </x:c>
      <x:c r="F1112" t="n">
        <x:v>260</x:v>
      </x:c>
      <x:c r="G1112" t="n">
        <x:v>56</x:v>
      </x:c>
      <x:c r="H1112" t="str">
        <x:v>informational</x:v>
      </x:c>
    </x:row>
    <x:row r="1113">
      <x:c r="A1113" t="str">
        <x:v>48</x:v>
      </x:c>
      <x:c r="B1113" t="str">
        <x:v>american made disposable vapes</x:v>
      </x:c>
      <x:c r="C1113" t="str">
        <x:v>48</x:v>
      </x:c>
      <x:c r="D1113" t="str">
        <x:v>vape flavora</x:v>
      </x:c>
      <x:c r="E1113" t="str">
        <x:v>recommended</x:v>
      </x:c>
      <x:c r="F1113" t="n">
        <x:v>50</x:v>
      </x:c>
      <x:c r="G1113" t="n">
        <x:v>50</x:v>
      </x:c>
      <x:c r="H1113" t="str">
        <x:v>informational</x:v>
      </x:c>
    </x:row>
    <x:row r="1114">
      <x:c r="A1114" t="str">
        <x:v>48</x:v>
      </x:c>
      <x:c r="B1114" t="str">
        <x:v>american made disposable vapes</x:v>
      </x:c>
      <x:c r="C1114" t="str">
        <x:v>48</x:v>
      </x:c>
      <x:c r="D1114" t="str">
        <x:v>miami mint vape near me</x:v>
      </x:c>
      <x:c r="E1114" t="str">
        <x:v>recommended</x:v>
      </x:c>
      <x:c r="F1114" t="n">
        <x:v>70</x:v>
      </x:c>
      <x:c r="G1114" t="n">
        <x:v>42</x:v>
      </x:c>
      <x:c r="H1114" t="str">
        <x:v>transactional</x:v>
      </x:c>
    </x:row>
    <x:row r="1115">
      <x:c r="A1115" t="str">
        <x:v>48</x:v>
      </x:c>
      <x:c r="B1115" t="str">
        <x:v>american made disposable vapes</x:v>
      </x:c>
      <x:c r="C1115" t="str">
        <x:v>48</x:v>
      </x:c>
      <x:c r="D1115" t="str">
        <x:v>large vape</x:v>
      </x:c>
      <x:c r="E1115" t="str">
        <x:v>recommended</x:v>
      </x:c>
      <x:c r="F1115" t="n">
        <x:v>90</x:v>
      </x:c>
      <x:c r="G1115" t="n">
        <x:v>55</x:v>
      </x:c>
      <x:c r="H1115" t="str">
        <x:v>informational</x:v>
      </x:c>
    </x:row>
    <x:row r="1116">
      <x:c r="A1116" t="str">
        <x:v>48</x:v>
      </x:c>
      <x:c r="B1116" t="str">
        <x:v>american made disposable vapes</x:v>
      </x:c>
      <x:c r="C1116" t="str">
        <x:v>48</x:v>
      </x:c>
      <x:c r="D1116" t="str">
        <x:v>vapes for carts</x:v>
      </x:c>
      <x:c r="E1116" t="str">
        <x:v>recommended</x:v>
      </x:c>
      <x:c r="F1116" t="n">
        <x:v>50</x:v>
      </x:c>
      <x:c r="G1116" t="n">
        <x:v>49</x:v>
      </x:c>
      <x:c r="H1116" t="str">
        <x:v>commercial</x:v>
      </x:c>
    </x:row>
    <x:row r="1117">
      <x:c r="A1117" t="str">
        <x:v>48</x:v>
      </x:c>
      <x:c r="B1117" t="str">
        <x:v>cigarette look alike vape</x:v>
      </x:c>
      <x:c r="C1117" t="str">
        <x:v>48</x:v>
      </x:c>
      <x:c r="D1117" t="str">
        <x:v>cigarette look alike vape</x:v>
      </x:c>
      <x:c r="E1117" t="str">
        <x:v>recommended</x:v>
      </x:c>
      <x:c r="F1117" t="n">
        <x:v>170</x:v>
      </x:c>
      <x:c r="G1117" t="n">
        <x:v>22</x:v>
      </x:c>
      <x:c r="H1117" t="str">
        <x:v>informational</x:v>
      </x:c>
    </x:row>
    <x:row r="1118">
      <x:c r="A1118" t="str">
        <x:v>48</x:v>
      </x:c>
      <x:c r="B1118" t="str">
        <x:v>cigarette look alike vape</x:v>
      </x:c>
      <x:c r="C1118" t="str">
        <x:v>48</x:v>
      </x:c>
      <x:c r="D1118" t="str">
        <x:v>what do vapes look like</x:v>
      </x:c>
      <x:c r="E1118" t="str">
        <x:v>recommended</x:v>
      </x:c>
      <x:c r="F1118" t="n">
        <x:v>210</x:v>
      </x:c>
      <x:c r="G1118" t="n">
        <x:v>29</x:v>
      </x:c>
      <x:c r="H1118" t="str">
        <x:v>informational</x:v>
      </x:c>
    </x:row>
    <x:row r="1119">
      <x:c r="A1119" t="str">
        <x:v>48</x:v>
      </x:c>
      <x:c r="B1119" t="str">
        <x:v>white gummy flavor</x:v>
      </x:c>
      <x:c r="C1119" t="str">
        <x:v>48</x:v>
      </x:c>
      <x:c r="D1119" t="str">
        <x:v>white gummy flavor</x:v>
      </x:c>
      <x:c r="E1119" t="str">
        <x:v>recommended</x:v>
      </x:c>
      <x:c r="F1119" t="n">
        <x:v>140</x:v>
      </x:c>
      <x:c r="G1119" t="n">
        <x:v>6</x:v>
      </x:c>
      <x:c r="H1119" t="str">
        <x:v>commercial</x:v>
      </x:c>
    </x:row>
    <x:row r="1120">
      <x:c r="A1120" t="str">
        <x:v>48</x:v>
      </x:c>
      <x:c r="B1120" t="str">
        <x:v>white gummy flavor</x:v>
      </x:c>
      <x:c r="C1120" t="str">
        <x:v>48</x:v>
      </x:c>
      <x:c r="D1120" t="str">
        <x:v>what flavor is white gummy</x:v>
      </x:c>
      <x:c r="E1120" t="str">
        <x:v>recommended</x:v>
      </x:c>
      <x:c r="F1120" t="n">
        <x:v>50</x:v>
      </x:c>
      <x:c r="G1120" t="n">
        <x:v>4</x:v>
      </x:c>
      <x:c r="H1120" t="str">
        <x:v>informational</x:v>
      </x:c>
    </x:row>
    <x:row r="1121">
      <x:c r="A1121" t="str">
        <x:v>48</x:v>
      </x:c>
      <x:c r="B1121" t="str">
        <x:v>dessert vape flavors</x:v>
      </x:c>
      <x:c r="C1121" t="str">
        <x:v>48</x:v>
      </x:c>
      <x:c r="D1121" t="str">
        <x:v>dessert vape flavors</x:v>
      </x:c>
      <x:c r="E1121" t="str">
        <x:v>recommended</x:v>
      </x:c>
      <x:c r="F1121" t="n">
        <x:v>40</x:v>
      </x:c>
      <x:c r="G1121" t="n">
        <x:v>9</x:v>
      </x:c>
      <x:c r="H1121" t="str">
        <x:v>informational</x:v>
      </x:c>
    </x:row>
    <x:row r="1122">
      <x:c r="A1122" t="str">
        <x:v>48</x:v>
      </x:c>
      <x:c r="B1122" t="str">
        <x:v>dessert vape flavors</x:v>
      </x:c>
      <x:c r="C1122" t="str">
        <x:v>48</x:v>
      </x:c>
      <x:c r="D1122" t="str">
        <x:v>dessert vape flavor review</x:v>
      </x:c>
      <x:c r="E1122" t="str">
        <x:v>recommended</x:v>
      </x:c>
      <x:c r="F1122" t="n">
        <x:v>0</x:v>
      </x:c>
      <x:c r="G1122" t="n">
        <x:v>0</x:v>
      </x:c>
      <x:c r="H1122" t="str">
        <x:v>48</x:v>
      </x:c>
    </x:row>
    <x:row r="1123">
      <x:c r="A1123" t="str">
        <x:v>48</x:v>
      </x:c>
      <x:c r="B1123" t="str">
        <x:v>logic vape</x:v>
      </x:c>
      <x:c r="C1123" t="str">
        <x:v>48</x:v>
      </x:c>
      <x:c r="D1123" t="str">
        <x:v>logic vape</x:v>
      </x:c>
      <x:c r="E1123" t="str">
        <x:v>recommended</x:v>
      </x:c>
      <x:c r="F1123" t="n">
        <x:v>1600</x:v>
      </x:c>
      <x:c r="G1123" t="n">
        <x:v>16</x:v>
      </x:c>
      <x:c r="H1123" t="str">
        <x:v>informational, transactional</x:v>
      </x:c>
    </x:row>
    <x:row r="1124">
      <x:c r="A1124" t="str">
        <x:v>48</x:v>
      </x:c>
      <x:c r="B1124" t="str">
        <x:v>logic vape</x:v>
      </x:c>
      <x:c r="C1124" t="str">
        <x:v>48</x:v>
      </x:c>
      <x:c r="D1124" t="str">
        <x:v>logic vapes</x:v>
      </x:c>
      <x:c r="E1124" t="str">
        <x:v>recommended</x:v>
      </x:c>
      <x:c r="F1124" t="n">
        <x:v>1600</x:v>
      </x:c>
      <x:c r="G1124" t="n">
        <x:v>17</x:v>
      </x:c>
      <x:c r="H1124" t="str">
        <x:v>informational</x:v>
      </x:c>
    </x:row>
    <x:row r="1125">
      <x:c r="A1125" t="str">
        <x:v>48</x:v>
      </x:c>
      <x:c r="B1125" t="str">
        <x:v>elfbar vape</x:v>
      </x:c>
      <x:c r="C1125" t="str">
        <x:v>48</x:v>
      </x:c>
      <x:c r="D1125" t="str">
        <x:v>elfbar vape</x:v>
      </x:c>
      <x:c r="E1125" t="str">
        <x:v>recommended</x:v>
      </x:c>
      <x:c r="F1125" t="n">
        <x:v>2400</x:v>
      </x:c>
      <x:c r="G1125" t="n">
        <x:v>27</x:v>
      </x:c>
      <x:c r="H1125" t="str">
        <x:v>navigational</x:v>
      </x:c>
    </x:row>
    <x:row r="1126">
      <x:c r="A1126" t="str">
        <x:v>48</x:v>
      </x:c>
      <x:c r="B1126" t="str">
        <x:v>elfbar vape</x:v>
      </x:c>
      <x:c r="C1126" t="str">
        <x:v>48</x:v>
      </x:c>
      <x:c r="D1126" t="str">
        <x:v>elfbar disposable vape brand website</x:v>
      </x:c>
      <x:c r="E1126" t="str">
        <x:v>recommended</x:v>
      </x:c>
      <x:c r="F1126" t="n">
        <x:v>1900</x:v>
      </x:c>
      <x:c r="G1126" t="n">
        <x:v>32</x:v>
      </x:c>
      <x:c r="H1126" t="str">
        <x:v>navigational, transactional</x:v>
      </x:c>
    </x:row>
    <x:row r="1127">
      <x:c r="A1127" t="str">
        <x:v>48</x:v>
      </x:c>
      <x:c r="B1127" t="str">
        <x:v>exdivo flora 40k</x:v>
      </x:c>
      <x:c r="C1127" t="str">
        <x:v>48</x:v>
      </x:c>
      <x:c r="D1127" t="str">
        <x:v>exdivo flora collection</x:v>
      </x:c>
      <x:c r="E1127" t="str">
        <x:v>recommended</x:v>
      </x:c>
      <x:c r="F1127" t="n">
        <x:v>0</x:v>
      </x:c>
      <x:c r="G1127" t="n">
        <x:v>0</x:v>
      </x:c>
      <x:c r="H1127" t="str">
        <x:v>48</x:v>
      </x:c>
    </x:row>
    <x:row r="1128">
      <x:c r="A1128" t="str">
        <x:v>48</x:v>
      </x:c>
      <x:c r="B1128" t="str">
        <x:v>exdivo flora 40k</x:v>
      </x:c>
      <x:c r="C1128" t="str">
        <x:v>48</x:v>
      </x:c>
      <x:c r="D1128" t="str">
        <x:v>flora 40k juicy peach ice</x:v>
      </x:c>
      <x:c r="E1128" t="str">
        <x:v>recommended</x:v>
      </x:c>
      <x:c r="F1128" t="n">
        <x:v>0</x:v>
      </x:c>
      <x:c r="G1128" t="n">
        <x:v>0</x:v>
      </x:c>
      <x:c r="H1128" t="str">
        <x:v>48</x:v>
      </x:c>
    </x:row>
    <x:row r="1129">
      <x:c r="A1129" t="str">
        <x:v>48</x:v>
      </x:c>
      <x:c r="B1129" t="str">
        <x:v>exdivo flora 40k</x:v>
      </x:c>
      <x:c r="C1129" t="str">
        <x:v>48</x:v>
      </x:c>
      <x:c r="D1129" t="str">
        <x:v>exdivo flora 40k</x:v>
      </x:c>
      <x:c r="E1129" t="str">
        <x:v>recommended</x:v>
      </x:c>
      <x:c r="F1129" t="n">
        <x:v>0</x:v>
      </x:c>
      <x:c r="G1129" t="n">
        <x:v>0</x:v>
      </x:c>
      <x:c r="H1129" t="str">
        <x:v>48</x:v>
      </x:c>
    </x:row>
    <x:row r="1130">
      <x:c r="A1130" t="str">
        <x:v>48</x:v>
      </x:c>
      <x:c r="B1130" t="str">
        <x:v>lighted makeup mirror</x:v>
      </x:c>
      <x:c r="C1130" t="str">
        <x:v>48</x:v>
      </x:c>
      <x:c r="D1130" t="str">
        <x:v>lighted makeup mirror</x:v>
      </x:c>
      <x:c r="E1130" t="str">
        <x:v>recommended</x:v>
      </x:c>
      <x:c r="F1130" t="n">
        <x:v>6600</x:v>
      </x:c>
      <x:c r="G1130" t="n">
        <x:v>28</x:v>
      </x:c>
      <x:c r="H1130" t="str">
        <x:v>commercial</x:v>
      </x:c>
    </x:row>
    <x:row r="1131">
      <x:c r="A1131" t="str">
        <x:v>48</x:v>
      </x:c>
      <x:c r="B1131" t="str">
        <x:v>lighted makeup mirror</x:v>
      </x:c>
      <x:c r="C1131" t="str">
        <x:v>48</x:v>
      </x:c>
      <x:c r="D1131" t="str">
        <x:v>lighted vanity mirror nearby</x:v>
      </x:c>
      <x:c r="E1131" t="str">
        <x:v>recommended</x:v>
      </x:c>
      <x:c r="F1131" t="n">
        <x:v>30</x:v>
      </x:c>
      <x:c r="G1131" t="n">
        <x:v>31</x:v>
      </x:c>
      <x:c r="H1131" t="str">
        <x:v>transactional</x:v>
      </x:c>
    </x:row>
    <x:row r="1132">
      <x:c r="A1132" t="str">
        <x:v>48</x:v>
      </x:c>
      <x:c r="B1132" t="str">
        <x:v>cheap vapes</x:v>
      </x:c>
      <x:c r="C1132" t="str">
        <x:v>48</x:v>
      </x:c>
      <x:c r="D1132" t="str">
        <x:v>where to buy vapes online</x:v>
      </x:c>
      <x:c r="E1132" t="str">
        <x:v>recommended</x:v>
      </x:c>
      <x:c r="F1132" t="n">
        <x:v>880</x:v>
      </x:c>
      <x:c r="G1132" t="n">
        <x:v>78</x:v>
      </x:c>
      <x:c r="H1132" t="str">
        <x:v>informational</x:v>
      </x:c>
    </x:row>
    <x:row r="1133">
      <x:c r="A1133" t="str">
        <x:v>48</x:v>
      </x:c>
      <x:c r="B1133" t="str">
        <x:v>cheap vapes</x:v>
      </x:c>
      <x:c r="C1133" t="str">
        <x:v>48</x:v>
      </x:c>
      <x:c r="D1133" t="str">
        <x:v>how much are disposable vapes</x:v>
      </x:c>
      <x:c r="E1133" t="str">
        <x:v>recommended</x:v>
      </x:c>
      <x:c r="F1133" t="n">
        <x:v>140</x:v>
      </x:c>
      <x:c r="G1133" t="n">
        <x:v>35</x:v>
      </x:c>
      <x:c r="H1133" t="str">
        <x:v>informational</x:v>
      </x:c>
    </x:row>
    <x:row r="1134">
      <x:c r="A1134" t="str">
        <x:v>48</x:v>
      </x:c>
      <x:c r="B1134" t="str">
        <x:v>cheap vapes</x:v>
      </x:c>
      <x:c r="C1134" t="str">
        <x:v>48</x:v>
      </x:c>
      <x:c r="D1134" t="str">
        <x:v>where to buy a vape</x:v>
      </x:c>
      <x:c r="E1134" t="str">
        <x:v>recommended</x:v>
      </x:c>
      <x:c r="F1134" t="n">
        <x:v>320</x:v>
      </x:c>
      <x:c r="G1134" t="n">
        <x:v>80</x:v>
      </x:c>
      <x:c r="H1134" t="str">
        <x:v>transactional</x:v>
      </x:c>
    </x:row>
    <x:row r="1135">
      <x:c r="A1135" t="str">
        <x:v>48</x:v>
      </x:c>
      <x:c r="B1135" t="str">
        <x:v>cheap vapes</x:v>
      </x:c>
      <x:c r="C1135" t="str">
        <x:v>48</x:v>
      </x:c>
      <x:c r="D1135" t="str">
        <x:v>how to buy vapes</x:v>
      </x:c>
      <x:c r="E1135" t="str">
        <x:v>recommended</x:v>
      </x:c>
      <x:c r="F1135" t="n">
        <x:v>70</x:v>
      </x:c>
      <x:c r="G1135" t="n">
        <x:v>38</x:v>
      </x:c>
      <x:c r="H1135" t="str">
        <x:v>informational</x:v>
      </x:c>
    </x:row>
    <x:row r="1136">
      <x:c r="A1136" t="str">
        <x:v>48</x:v>
      </x:c>
      <x:c r="B1136" t="str">
        <x:v>cheap vapes</x:v>
      </x:c>
      <x:c r="C1136" t="str">
        <x:v>48</x:v>
      </x:c>
      <x:c r="D1136" t="str">
        <x:v>where can i get a vape</x:v>
      </x:c>
      <x:c r="E1136" t="str">
        <x:v>recommended</x:v>
      </x:c>
      <x:c r="F1136" t="n">
        <x:v>170</x:v>
      </x:c>
      <x:c r="G1136" t="n">
        <x:v>70</x:v>
      </x:c>
      <x:c r="H1136" t="str">
        <x:v>transactional</x:v>
      </x:c>
    </x:row>
    <x:row r="1137">
      <x:c r="A1137" t="str">
        <x:v>48</x:v>
      </x:c>
      <x:c r="B1137" t="str">
        <x:v>cheap vapes</x:v>
      </x:c>
      <x:c r="C1137" t="str">
        <x:v>48</x:v>
      </x:c>
      <x:c r="D1137" t="str">
        <x:v>where can i buy vape online</x:v>
      </x:c>
      <x:c r="E1137" t="str">
        <x:v>recommended</x:v>
      </x:c>
      <x:c r="F1137" t="n">
        <x:v>260</x:v>
      </x:c>
      <x:c r="G1137" t="n">
        <x:v>79</x:v>
      </x:c>
      <x:c r="H1137" t="str">
        <x:v>informational, transactional</x:v>
      </x:c>
    </x:row>
    <x:row r="1138">
      <x:c r="A1138" t="str">
        <x:v>48</x:v>
      </x:c>
      <x:c r="B1138" t="str">
        <x:v>cheap vapes</x:v>
      </x:c>
      <x:c r="C1138" t="str">
        <x:v>48</x:v>
      </x:c>
      <x:c r="D1138" t="str">
        <x:v>where can i buy a vape near me</x:v>
      </x:c>
      <x:c r="E1138" t="str">
        <x:v>recommended</x:v>
      </x:c>
      <x:c r="F1138" t="n">
        <x:v>480</x:v>
      </x:c>
      <x:c r="G1138" t="n">
        <x:v>64</x:v>
      </x:c>
      <x:c r="H1138" t="str">
        <x:v>transactional</x:v>
      </x:c>
    </x:row>
    <x:row r="1139">
      <x:c r="A1139" t="str">
        <x:v>48</x:v>
      </x:c>
      <x:c r="B1139" t="str">
        <x:v>cheap vapes</x:v>
      </x:c>
      <x:c r="C1139" t="str">
        <x:v>48</x:v>
      </x:c>
      <x:c r="D1139" t="str">
        <x:v>can you buy a vape online</x:v>
      </x:c>
      <x:c r="E1139" t="str">
        <x:v>recommended</x:v>
      </x:c>
      <x:c r="F1139" t="n">
        <x:v>210</x:v>
      </x:c>
      <x:c r="G1139" t="n">
        <x:v>76</x:v>
      </x:c>
      <x:c r="H1139" t="str">
        <x:v>informational</x:v>
      </x:c>
    </x:row>
    <x:row r="1140">
      <x:c r="A1140" t="str">
        <x:v>48</x:v>
      </x:c>
      <x:c r="B1140" t="str">
        <x:v>cheap vapes</x:v>
      </x:c>
      <x:c r="C1140" t="str">
        <x:v>48</x:v>
      </x:c>
      <x:c r="D1140" t="str">
        <x:v>where can you buy vapes</x:v>
      </x:c>
      <x:c r="E1140" t="str">
        <x:v>recommended</x:v>
      </x:c>
      <x:c r="F1140" t="n">
        <x:v>210</x:v>
      </x:c>
      <x:c r="G1140" t="n">
        <x:v>77</x:v>
      </x:c>
      <x:c r="H1140" t="str">
        <x:v>transactional</x:v>
      </x:c>
    </x:row>
    <x:row r="1141">
      <x:c r="A1141" t="str">
        <x:v>48</x:v>
      </x:c>
      <x:c r="B1141" t="str">
        <x:v>cheap vapes</x:v>
      </x:c>
      <x:c r="C1141" t="str">
        <x:v>48</x:v>
      </x:c>
      <x:c r="D1141" t="str">
        <x:v>can i order a vape online</x:v>
      </x:c>
      <x:c r="E1141" t="str">
        <x:v>recommended</x:v>
      </x:c>
      <x:c r="F1141" t="n">
        <x:v>170</x:v>
      </x:c>
      <x:c r="G1141" t="n">
        <x:v>73</x:v>
      </x:c>
      <x:c r="H1141" t="str">
        <x:v>informational</x:v>
      </x:c>
    </x:row>
    <x:row r="1142">
      <x:c r="A1142" t="str">
        <x:v>48</x:v>
      </x:c>
      <x:c r="B1142" t="str">
        <x:v>cheap vapes</x:v>
      </x:c>
      <x:c r="C1142" t="str">
        <x:v>48</x:v>
      </x:c>
      <x:c r="D1142" t="str">
        <x:v>can i order a vape</x:v>
      </x:c>
      <x:c r="E1142" t="str">
        <x:v>recommended</x:v>
      </x:c>
      <x:c r="F1142" t="n">
        <x:v>50</x:v>
      </x:c>
      <x:c r="G1142" t="n">
        <x:v>45</x:v>
      </x:c>
      <x:c r="H1142" t="str">
        <x:v>informational</x:v>
      </x:c>
    </x:row>
    <x:row r="1143">
      <x:c r="A1143" t="str">
        <x:v>48</x:v>
      </x:c>
      <x:c r="B1143" t="str">
        <x:v>cheap vapes</x:v>
      </x:c>
      <x:c r="C1143" t="str">
        <x:v>48</x:v>
      </x:c>
      <x:c r="D1143" t="str">
        <x:v>where to buy disposable vapes online</x:v>
      </x:c>
      <x:c r="E1143" t="str">
        <x:v>recommended</x:v>
      </x:c>
      <x:c r="F1143" t="n">
        <x:v>70</x:v>
      </x:c>
      <x:c r="G1143" t="n">
        <x:v>57</x:v>
      </x:c>
      <x:c r="H1143" t="str">
        <x:v>informational, transactional</x:v>
      </x:c>
    </x:row>
    <x:row r="1144">
      <x:c r="A1144" t="str">
        <x:v>48</x:v>
      </x:c>
      <x:c r="B1144" t="str">
        <x:v>cheap vapes</x:v>
      </x:c>
      <x:c r="C1144" t="str">
        <x:v>48</x:v>
      </x:c>
      <x:c r="D1144" t="str">
        <x:v>where to buy ecigs</x:v>
      </x:c>
      <x:c r="E1144" t="str">
        <x:v>recommended</x:v>
      </x:c>
      <x:c r="F1144" t="n">
        <x:v>140</x:v>
      </x:c>
      <x:c r="G1144" t="n">
        <x:v>77</x:v>
      </x:c>
      <x:c r="H1144" t="str">
        <x:v>transactional</x:v>
      </x:c>
    </x:row>
    <x:row r="1145">
      <x:c r="A1145" t="str">
        <x:v>48</x:v>
      </x:c>
      <x:c r="B1145" t="str">
        <x:v>cheap vapes</x:v>
      </x:c>
      <x:c r="C1145" t="str">
        <x:v>48</x:v>
      </x:c>
      <x:c r="D1145" t="str">
        <x:v>where to buy flavored vapes</x:v>
      </x:c>
      <x:c r="E1145" t="str">
        <x:v>recommended</x:v>
      </x:c>
      <x:c r="F1145" t="n">
        <x:v>70</x:v>
      </x:c>
      <x:c r="G1145" t="n">
        <x:v>40</x:v>
      </x:c>
      <x:c r="H1145" t="str">
        <x:v>transactional</x:v>
      </x:c>
    </x:row>
    <x:row r="1146">
      <x:c r="A1146" t="str">
        <x:v>48</x:v>
      </x:c>
      <x:c r="B1146" t="str">
        <x:v>cheap vapes</x:v>
      </x:c>
      <x:c r="C1146" t="str">
        <x:v>48</x:v>
      </x:c>
      <x:c r="D1146" t="str">
        <x:v>where to buy cheap vapes</x:v>
      </x:c>
      <x:c r="E1146" t="str">
        <x:v>recommended</x:v>
      </x:c>
      <x:c r="F1146" t="n">
        <x:v>40</x:v>
      </x:c>
      <x:c r="G1146" t="n">
        <x:v>50</x:v>
      </x:c>
      <x:c r="H1146" t="str">
        <x:v>transactional</x:v>
      </x:c>
    </x:row>
    <x:row r="1147">
      <x:c r="A1147" t="str">
        <x:v>48</x:v>
      </x:c>
      <x:c r="B1147" t="str">
        <x:v>cheap vapes</x:v>
      </x:c>
      <x:c r="C1147" t="str">
        <x:v>48</x:v>
      </x:c>
      <x:c r="D1147" t="str">
        <x:v>cheap vapes</x:v>
      </x:c>
      <x:c r="E1147" t="str">
        <x:v>recommended</x:v>
      </x:c>
      <x:c r="F1147" t="n">
        <x:v>6600</x:v>
      </x:c>
      <x:c r="G1147" t="n">
        <x:v>41</x:v>
      </x:c>
      <x:c r="H1147" t="str">
        <x:v>commercial</x:v>
      </x:c>
    </x:row>
    <x:row r="1148">
      <x:c r="A1148" t="str">
        <x:v>48</x:v>
      </x:c>
      <x:c r="B1148" t="str">
        <x:v>cheap vapes</x:v>
      </x:c>
      <x:c r="C1148" t="str">
        <x:v>48</x:v>
      </x:c>
      <x:c r="D1148" t="str">
        <x:v>best online vape store</x:v>
      </x:c>
      <x:c r="E1148" t="str">
        <x:v>recommended</x:v>
      </x:c>
      <x:c r="F1148" t="n">
        <x:v>6600</x:v>
      </x:c>
      <x:c r="G1148" t="n">
        <x:v>81</x:v>
      </x:c>
      <x:c r="H1148" t="str">
        <x:v>commercial</x:v>
      </x:c>
    </x:row>
    <x:row r="1149">
      <x:c r="A1149" t="str">
        <x:v>48</x:v>
      </x:c>
      <x:c r="B1149" t="str">
        <x:v>cheap vapes</x:v>
      </x:c>
      <x:c r="C1149" t="str">
        <x:v>48</x:v>
      </x:c>
      <x:c r="D1149" t="str">
        <x:v>buy vapes online</x:v>
      </x:c>
      <x:c r="E1149" t="str">
        <x:v>recommended</x:v>
      </x:c>
      <x:c r="F1149" t="n">
        <x:v>5400</x:v>
      </x:c>
      <x:c r="G1149" t="n">
        <x:v>81</x:v>
      </x:c>
      <x:c r="H1149" t="str">
        <x:v>transactional</x:v>
      </x:c>
    </x:row>
    <x:row r="1150">
      <x:c r="A1150" t="str">
        <x:v>48</x:v>
      </x:c>
      <x:c r="B1150" t="str">
        <x:v>cheap vapes</x:v>
      </x:c>
      <x:c r="C1150" t="str">
        <x:v>48</x:v>
      </x:c>
      <x:c r="D1150" t="str">
        <x:v>cheap vapes online</x:v>
      </x:c>
      <x:c r="E1150" t="str">
        <x:v>recommended</x:v>
      </x:c>
      <x:c r="F1150" t="n">
        <x:v>1600</x:v>
      </x:c>
      <x:c r="G1150" t="n">
        <x:v>54</x:v>
      </x:c>
      <x:c r="H1150" t="str">
        <x:v>commercial</x:v>
      </x:c>
    </x:row>
    <x:row r="1151">
      <x:c r="A1151" t="str">
        <x:v>48</x:v>
      </x:c>
      <x:c r="B1151" t="str">
        <x:v>cheap vapes</x:v>
      </x:c>
      <x:c r="C1151" t="str">
        <x:v>48</x:v>
      </x:c>
      <x:c r="D1151" t="str">
        <x:v>vape store online</x:v>
      </x:c>
      <x:c r="E1151" t="str">
        <x:v>recommended</x:v>
      </x:c>
      <x:c r="F1151" t="n">
        <x:v>4400</x:v>
      </x:c>
      <x:c r="G1151" t="n">
        <x:v>84</x:v>
      </x:c>
      <x:c r="H1151" t="str">
        <x:v>informational</x:v>
      </x:c>
    </x:row>
    <x:row r="1152">
      <x:c r="A1152" t="str">
        <x:v>48</x:v>
      </x:c>
      <x:c r="B1152" t="str">
        <x:v>cheap vapes</x:v>
      </x:c>
      <x:c r="C1152" t="str">
        <x:v>48</x:v>
      </x:c>
      <x:c r="D1152" t="str">
        <x:v>mods vape</x:v>
      </x:c>
      <x:c r="E1152" t="str">
        <x:v>recommended</x:v>
      </x:c>
      <x:c r="F1152" t="n">
        <x:v>480</x:v>
      </x:c>
      <x:c r="G1152" t="n">
        <x:v>34</x:v>
      </x:c>
      <x:c r="H1152" t="str">
        <x:v>commercial</x:v>
      </x:c>
    </x:row>
    <x:row r="1153">
      <x:c r="A1153" t="str">
        <x:v>48</x:v>
      </x:c>
      <x:c r="B1153" t="str">
        <x:v>cheap vapes</x:v>
      </x:c>
      <x:c r="C1153" t="str">
        <x:v>48</x:v>
      </x:c>
      <x:c r="D1153" t="str">
        <x:v>online vape stores</x:v>
      </x:c>
      <x:c r="E1153" t="str">
        <x:v>recommended</x:v>
      </x:c>
      <x:c r="F1153" t="n">
        <x:v>1600</x:v>
      </x:c>
      <x:c r="G1153" t="n">
        <x:v>79</x:v>
      </x:c>
      <x:c r="H1153" t="str">
        <x:v>informational, commercial</x:v>
      </x:c>
    </x:row>
    <x:row r="1154">
      <x:c r="A1154" t="str">
        <x:v>48</x:v>
      </x:c>
      <x:c r="B1154" t="str">
        <x:v>cheap vapes</x:v>
      </x:c>
      <x:c r="C1154" t="str">
        <x:v>48</x:v>
      </x:c>
      <x:c r="D1154" t="str">
        <x:v>thc vapes cartridges</x:v>
      </x:c>
      <x:c r="E1154" t="str">
        <x:v>recommended</x:v>
      </x:c>
      <x:c r="F1154" t="n">
        <x:v>3600</x:v>
      </x:c>
      <x:c r="G1154" t="n">
        <x:v>58</x:v>
      </x:c>
      <x:c r="H1154" t="str">
        <x:v>informational</x:v>
      </x:c>
    </x:row>
    <x:row r="1155">
      <x:c r="A1155" t="str">
        <x:v>48</x:v>
      </x:c>
      <x:c r="B1155" t="str">
        <x:v>cheap vapes</x:v>
      </x:c>
      <x:c r="C1155" t="str">
        <x:v>48</x:v>
      </x:c>
      <x:c r="D1155" t="str">
        <x:v>online vape</x:v>
      </x:c>
      <x:c r="E1155" t="str">
        <x:v>recommended</x:v>
      </x:c>
      <x:c r="F1155" t="n">
        <x:v>1300</x:v>
      </x:c>
      <x:c r="G1155" t="n">
        <x:v>80</x:v>
      </x:c>
      <x:c r="H1155" t="str">
        <x:v>commercial</x:v>
      </x:c>
    </x:row>
    <x:row r="1156">
      <x:c r="A1156" t="str">
        <x:v>48</x:v>
      </x:c>
      <x:c r="B1156" t="str">
        <x:v>cheap vapes</x:v>
      </x:c>
      <x:c r="C1156" t="str">
        <x:v>48</x:v>
      </x:c>
      <x:c r="D1156" t="str">
        <x:v>vape with battery pack</x:v>
      </x:c>
      <x:c r="E1156" t="str">
        <x:v>recommended</x:v>
      </x:c>
      <x:c r="F1156" t="n">
        <x:v>170</x:v>
      </x:c>
      <x:c r="G1156" t="n">
        <x:v>20</x:v>
      </x:c>
      <x:c r="H1156" t="str">
        <x:v>informational, transactional</x:v>
      </x:c>
    </x:row>
    <x:row r="1157">
      <x:c r="A1157" t="str">
        <x:v>48</x:v>
      </x:c>
      <x:c r="B1157" t="str">
        <x:v>cheap vapes</x:v>
      </x:c>
      <x:c r="C1157" t="str">
        <x:v>48</x:v>
      </x:c>
      <x:c r="D1157" t="str">
        <x:v>small vape disposable</x:v>
      </x:c>
      <x:c r="E1157" t="str">
        <x:v>recommended</x:v>
      </x:c>
      <x:c r="F1157" t="n">
        <x:v>170</x:v>
      </x:c>
      <x:c r="G1157" t="n">
        <x:v>25</x:v>
      </x:c>
      <x:c r="H1157" t="str">
        <x:v>informational</x:v>
      </x:c>
    </x:row>
    <x:row r="1158">
      <x:c r="A1158" t="str">
        <x:v>48</x:v>
      </x:c>
      <x:c r="B1158" t="str">
        <x:v>cheap vapes</x:v>
      </x:c>
      <x:c r="C1158" t="str">
        <x:v>48</x:v>
      </x:c>
      <x:c r="D1158" t="str">
        <x:v>vape sale</x:v>
      </x:c>
      <x:c r="E1158" t="str">
        <x:v>recommended</x:v>
      </x:c>
      <x:c r="F1158" t="n">
        <x:v>720</x:v>
      </x:c>
      <x:c r="G1158" t="n">
        <x:v>72</x:v>
      </x:c>
      <x:c r="H1158" t="str">
        <x:v>transactional</x:v>
      </x:c>
    </x:row>
    <x:row r="1159">
      <x:c r="A1159" t="str">
        <x:v>48</x:v>
      </x:c>
      <x:c r="B1159" t="str">
        <x:v>cheap vapes</x:v>
      </x:c>
      <x:c r="C1159" t="str">
        <x:v>48</x:v>
      </x:c>
      <x:c r="D1159" t="str">
        <x:v>vape websites</x:v>
      </x:c>
      <x:c r="E1159" t="str">
        <x:v>recommended</x:v>
      </x:c>
      <x:c r="F1159" t="n">
        <x:v>3600</x:v>
      </x:c>
      <x:c r="G1159" t="n">
        <x:v>83</x:v>
      </x:c>
      <x:c r="H1159" t="str">
        <x:v>commercial</x:v>
      </x:c>
    </x:row>
    <x:row r="1160">
      <x:c r="A1160" t="str">
        <x:v>48</x:v>
      </x:c>
      <x:c r="B1160" t="str">
        <x:v>cheap vapes</x:v>
      </x:c>
      <x:c r="C1160" t="str">
        <x:v>48</x:v>
      </x:c>
      <x:c r="D1160" t="str">
        <x:v>fasta vape review</x:v>
      </x:c>
      <x:c r="E1160" t="str">
        <x:v>recommended</x:v>
      </x:c>
      <x:c r="F1160" t="n">
        <x:v>90</x:v>
      </x:c>
      <x:c r="G1160" t="n">
        <x:v>5</x:v>
      </x:c>
      <x:c r="H1160" t="str">
        <x:v>informational, commercial</x:v>
      </x:c>
    </x:row>
    <x:row r="1161">
      <x:c r="A1161" t="str">
        <x:v>48</x:v>
      </x:c>
      <x:c r="B1161" t="str">
        <x:v>cheap vapes</x:v>
      </x:c>
      <x:c r="C1161" t="str">
        <x:v>48</x:v>
      </x:c>
      <x:c r="D1161" t="str">
        <x:v>mint vape pen</x:v>
      </x:c>
      <x:c r="E1161" t="str">
        <x:v>recommended</x:v>
      </x:c>
      <x:c r="F1161" t="n">
        <x:v>70</x:v>
      </x:c>
      <x:c r="G1161" t="n">
        <x:v>3</x:v>
      </x:c>
      <x:c r="H1161" t="str">
        <x:v>informational</x:v>
      </x:c>
    </x:row>
    <x:row r="1162">
      <x:c r="A1162" t="str">
        <x:v>48</x:v>
      </x:c>
      <x:c r="B1162" t="str">
        <x:v>foger vape kit</x:v>
      </x:c>
      <x:c r="C1162" t="str">
        <x:v>48</x:v>
      </x:c>
      <x:c r="D1162" t="str">
        <x:v>foger vape kit</x:v>
      </x:c>
      <x:c r="E1162" t="str">
        <x:v>recommended</x:v>
      </x:c>
      <x:c r="F1162" t="n">
        <x:v>140</x:v>
      </x:c>
      <x:c r="G1162" t="n">
        <x:v>14</x:v>
      </x:c>
      <x:c r="H1162" t="str">
        <x:v>informational</x:v>
      </x:c>
    </x:row>
    <x:row r="1163">
      <x:c r="A1163" t="str">
        <x:v>48</x:v>
      </x:c>
      <x:c r="B1163" t="str">
        <x:v>foger vape kit</x:v>
      </x:c>
      <x:c r="C1163" t="str">
        <x:v>48</x:v>
      </x:c>
      <x:c r="D1163" t="str">
        <x:v>strawberry ice foger</x:v>
      </x:c>
      <x:c r="E1163" t="str">
        <x:v>recommended</x:v>
      </x:c>
      <x:c r="F1163" t="n">
        <x:v>70</x:v>
      </x:c>
      <x:c r="G1163" t="n">
        <x:v>1</x:v>
      </x:c>
      <x:c r="H1163" t="str">
        <x:v>informational</x:v>
      </x:c>
    </x:row>
    <x:row r="1164">
      <x:c r="A1164" t="str">
        <x:v>48</x:v>
      </x:c>
      <x:c r="B1164" t="str">
        <x:v>foger vape kit</x:v>
      </x:c>
      <x:c r="C1164" t="str">
        <x:v>48</x:v>
      </x:c>
      <x:c r="D1164" t="str">
        <x:v>how do you use a vape</x:v>
      </x:c>
      <x:c r="E1164" t="str">
        <x:v>recommended</x:v>
      </x:c>
      <x:c r="F1164" t="n">
        <x:v>170</x:v>
      </x:c>
      <x:c r="G1164" t="n">
        <x:v>15</x:v>
      </x:c>
      <x:c r="H1164" t="str">
        <x:v>informational</x:v>
      </x:c>
    </x:row>
    <x:row r="1165">
      <x:c r="A1165" t="str">
        <x:v>48</x:v>
      </x:c>
      <x:c r="B1165" t="str">
        <x:v>vg vape</x:v>
      </x:c>
      <x:c r="C1165" t="str">
        <x:v>48</x:v>
      </x:c>
      <x:c r="D1165" t="str">
        <x:v>vg vape</x:v>
      </x:c>
      <x:c r="E1165" t="str">
        <x:v>recommended</x:v>
      </x:c>
      <x:c r="F1165" t="n">
        <x:v>110</x:v>
      </x:c>
      <x:c r="G1165" t="n">
        <x:v>16</x:v>
      </x:c>
      <x:c r="H1165" t="str">
        <x:v>informational, commercial</x:v>
      </x:c>
    </x:row>
    <x:row r="1166">
      <x:c r="A1166" t="str">
        <x:v>48</x:v>
      </x:c>
      <x:c r="B1166" t="str">
        <x:v>vg vape</x:v>
      </x:c>
      <x:c r="C1166" t="str">
        <x:v>48</x:v>
      </x:c>
      <x:c r="D1166" t="str">
        <x:v>exdivo 35k kit</x:v>
      </x:c>
      <x:c r="E1166" t="str">
        <x:v>recommended</x:v>
      </x:c>
      <x:c r="F1166" t="n">
        <x:v>0</x:v>
      </x:c>
      <x:c r="G1166" t="n">
        <x:v>0</x:v>
      </x:c>
      <x:c r="H1166" t="str">
        <x:v>48</x:v>
      </x:c>
    </x:row>
    <x:row r="1167">
      <x:c r="A1167" t="str">
        <x:v>48</x:v>
      </x:c>
      <x:c r="B1167" t="str">
        <x:v>kangvape</x:v>
      </x:c>
      <x:c r="C1167" t="str">
        <x:v>48</x:v>
      </x:c>
      <x:c r="D1167" t="str">
        <x:v>kangvape</x:v>
      </x:c>
      <x:c r="E1167" t="str">
        <x:v>recommended</x:v>
      </x:c>
      <x:c r="F1167" t="n">
        <x:v>4400</x:v>
      </x:c>
      <x:c r="G1167" t="n">
        <x:v>9</x:v>
      </x:c>
      <x:c r="H1167" t="str">
        <x:v>informational, commercial</x:v>
      </x:c>
    </x:row>
    <x:row r="1168">
      <x:c r="A1168" t="str">
        <x:v>48</x:v>
      </x:c>
      <x:c r="B1168" t="str">
        <x:v>kangvape</x:v>
      </x:c>
      <x:c r="C1168" t="str">
        <x:v>48</x:v>
      </x:c>
      <x:c r="D1168" t="str">
        <x:v>kang vape</x:v>
      </x:c>
      <x:c r="E1168" t="str">
        <x:v>recommended</x:v>
      </x:c>
      <x:c r="F1168" t="n">
        <x:v>2900</x:v>
      </x:c>
      <x:c r="G1168" t="n">
        <x:v>8</x:v>
      </x:c>
      <x:c r="H1168" t="str">
        <x:v>informational, commercial</x:v>
      </x:c>
    </x:row>
    <x:row r="1169">
      <x:c r="A1169" t="str">
        <x:v>48</x:v>
      </x:c>
      <x:c r="B1169" t="str">
        <x:v>exdivo interstellar 35k</x:v>
      </x:c>
      <x:c r="C1169" t="str">
        <x:v>48</x:v>
      </x:c>
      <x:c r="D1169" t="str">
        <x:v>interstellar 35k cool mint</x:v>
      </x:c>
      <x:c r="E1169" t="str">
        <x:v>recommended</x:v>
      </x:c>
      <x:c r="F1169" t="n">
        <x:v>0</x:v>
      </x:c>
      <x:c r="G1169" t="n">
        <x:v>0</x:v>
      </x:c>
      <x:c r="H1169" t="str">
        <x:v>48</x:v>
      </x:c>
    </x:row>
    <x:row r="1170">
      <x:c r="A1170" t="str">
        <x:v>48</x:v>
      </x:c>
      <x:c r="B1170" t="str">
        <x:v>exdivo interstellar 35k</x:v>
      </x:c>
      <x:c r="C1170" t="str">
        <x:v>48</x:v>
      </x:c>
      <x:c r="D1170" t="str">
        <x:v>exdivo interstellar 35k disposable</x:v>
      </x:c>
      <x:c r="E1170" t="str">
        <x:v>recommended</x:v>
      </x:c>
      <x:c r="F1170" t="n">
        <x:v>0</x:v>
      </x:c>
      <x:c r="G1170" t="n">
        <x:v>0</x:v>
      </x:c>
      <x:c r="H1170" t="str">
        <x:v>48</x:v>
      </x:c>
    </x:row>
    <x:row r="1171">
      <x:c r="A1171" t="str">
        <x:v>48</x:v>
      </x:c>
      <x:c r="B1171" t="str">
        <x:v>exdivo interstellar 35k</x:v>
      </x:c>
      <x:c r="C1171" t="str">
        <x:v>48</x:v>
      </x:c>
      <x:c r="D1171" t="str">
        <x:v>exdivo interstellar flavor options</x:v>
      </x:c>
      <x:c r="E1171" t="str">
        <x:v>recommended</x:v>
      </x:c>
      <x:c r="F1171" t="n">
        <x:v>0</x:v>
      </x:c>
      <x:c r="G1171" t="n">
        <x:v>0</x:v>
      </x:c>
      <x:c r="H1171" t="str">
        <x:v>48</x:v>
      </x:c>
    </x:row>
    <x:row r="1172">
      <x:c r="A1172" t="str">
        <x:v>48</x:v>
      </x:c>
      <x:c r="B1172" t="str">
        <x:v>exdivo interstellar 35k</x:v>
      </x:c>
      <x:c r="C1172" t="str">
        <x:v>48</x:v>
      </x:c>
      <x:c r="D1172" t="str">
        <x:v>exdivo interstellar 35k</x:v>
      </x:c>
      <x:c r="E1172" t="str">
        <x:v>recommended</x:v>
      </x:c>
      <x:c r="F1172" t="n">
        <x:v>0</x:v>
      </x:c>
      <x:c r="G1172" t="n">
        <x:v>0</x:v>
      </x:c>
      <x:c r="H1172" t="str">
        <x:v>48</x:v>
      </x:c>
    </x:row>
    <x:row r="1173">
      <x:c r="A1173" t="str">
        <x:v>48</x:v>
      </x:c>
      <x:c r="B1173" t="str">
        <x:v>exdivo interstellar 35k</x:v>
      </x:c>
      <x:c r="C1173" t="str">
        <x:v>48</x:v>
      </x:c>
      <x:c r="D1173" t="str">
        <x:v>interstellar 35k disposable</x:v>
      </x:c>
      <x:c r="E1173" t="str">
        <x:v>recommended</x:v>
      </x:c>
      <x:c r="F1173" t="n">
        <x:v>0</x:v>
      </x:c>
      <x:c r="G1173" t="n">
        <x:v>0</x:v>
      </x:c>
      <x:c r="H1173" t="str">
        <x:v>48</x:v>
      </x:c>
    </x:row>
    <x:row r="1174">
      <x:c r="A1174" t="str">
        <x:v>48</x:v>
      </x:c>
      <x:c r="B1174" t="str">
        <x:v>how to correctly vape</x:v>
      </x:c>
      <x:c r="C1174" t="str">
        <x:v>48</x:v>
      </x:c>
      <x:c r="D1174" t="str">
        <x:v>how to correctly vape</x:v>
      </x:c>
      <x:c r="E1174" t="str">
        <x:v>recommended</x:v>
      </x:c>
      <x:c r="F1174" t="n">
        <x:v>320</x:v>
      </x:c>
      <x:c r="G1174" t="n">
        <x:v>11</x:v>
      </x:c>
      <x:c r="H1174" t="str">
        <x:v>informational</x:v>
      </x:c>
    </x:row>
    <x:row r="1175">
      <x:c r="A1175" t="str">
        <x:v>48</x:v>
      </x:c>
      <x:c r="B1175" t="str">
        <x:v>how to correctly vape</x:v>
      </x:c>
      <x:c r="C1175" t="str">
        <x:v>48</x:v>
      </x:c>
      <x:c r="D1175" t="str">
        <x:v>how to vape properly</x:v>
      </x:c>
      <x:c r="E1175" t="str">
        <x:v>recommended</x:v>
      </x:c>
      <x:c r="F1175" t="n">
        <x:v>2900</x:v>
      </x:c>
      <x:c r="G1175" t="n">
        <x:v>10</x:v>
      </x:c>
      <x:c r="H1175" t="str">
        <x:v>informational</x:v>
      </x:c>
    </x:row>
    <x:row r="1176">
      <x:c r="A1176" t="str">
        <x:v>48</x:v>
      </x:c>
      <x:c r="B1176" t="str">
        <x:v>how to correctly vape</x:v>
      </x:c>
      <x:c r="C1176" t="str">
        <x:v>48</x:v>
      </x:c>
      <x:c r="D1176" t="str">
        <x:v>how to inhale a vape</x:v>
      </x:c>
      <x:c r="E1176" t="str">
        <x:v>recommended</x:v>
      </x:c>
      <x:c r="F1176" t="n">
        <x:v>2400</x:v>
      </x:c>
      <x:c r="G1176" t="n">
        <x:v>19</x:v>
      </x:c>
      <x:c r="H1176" t="str">
        <x:v>informational</x:v>
      </x:c>
    </x:row>
    <x:row r="1177">
      <x:c r="A1177" t="str">
        <x:v>48</x:v>
      </x:c>
      <x:c r="B1177" t="str">
        <x:v>phone case vape</x:v>
      </x:c>
      <x:c r="C1177" t="str">
        <x:v>48</x:v>
      </x:c>
      <x:c r="D1177" t="str">
        <x:v>phone case vape</x:v>
      </x:c>
      <x:c r="E1177" t="str">
        <x:v>recommended</x:v>
      </x:c>
      <x:c r="F1177" t="n">
        <x:v>3600</x:v>
      </x:c>
      <x:c r="G1177" t="n">
        <x:v>5</x:v>
      </x:c>
      <x:c r="H1177" t="str">
        <x:v>commercial</x:v>
      </x:c>
    </x:row>
    <x:row r="1178">
      <x:c r="A1178" t="str">
        <x:v>48</x:v>
      </x:c>
      <x:c r="B1178" t="str">
        <x:v>phone case vape</x:v>
      </x:c>
      <x:c r="C1178" t="str">
        <x:v>48</x:v>
      </x:c>
      <x:c r="D1178" t="str">
        <x:v>phone case with vape</x:v>
      </x:c>
      <x:c r="E1178" t="str">
        <x:v>recommended</x:v>
      </x:c>
      <x:c r="F1178" t="n">
        <x:v>2400</x:v>
      </x:c>
      <x:c r="G1178" t="n">
        <x:v>9</x:v>
      </x:c>
      <x:c r="H1178" t="str">
        <x:v>informational, commercial</x:v>
      </x:c>
    </x:row>
    <x:row r="1179">
      <x:c r="A1179" t="str">
        <x:v>48</x:v>
      </x:c>
      <x:c r="B1179" t="str">
        <x:v>vaping types</x:v>
      </x:c>
      <x:c r="C1179" t="str">
        <x:v>48</x:v>
      </x:c>
      <x:c r="D1179" t="str">
        <x:v>how to hit a vape</x:v>
      </x:c>
      <x:c r="E1179" t="str">
        <x:v>recommended</x:v>
      </x:c>
      <x:c r="F1179" t="n">
        <x:v>1900</x:v>
      </x:c>
      <x:c r="G1179" t="n">
        <x:v>3</x:v>
      </x:c>
      <x:c r="H1179" t="str">
        <x:v>informational</x:v>
      </x:c>
    </x:row>
    <x:row r="1180">
      <x:c r="A1180" t="str">
        <x:v>48</x:v>
      </x:c>
      <x:c r="B1180" t="str">
        <x:v>vaping types</x:v>
      </x:c>
      <x:c r="C1180" t="str">
        <x:v>48</x:v>
      </x:c>
      <x:c r="D1180" t="str">
        <x:v>what kind of vapes are there</x:v>
      </x:c>
      <x:c r="E1180" t="str">
        <x:v>recommended</x:v>
      </x:c>
      <x:c r="F1180" t="n">
        <x:v>110</x:v>
      </x:c>
      <x:c r="G1180" t="n">
        <x:v>23</x:v>
      </x:c>
      <x:c r="H1180" t="str">
        <x:v>informational</x:v>
      </x:c>
    </x:row>
    <x:row r="1181">
      <x:c r="A1181" t="str">
        <x:v>48</x:v>
      </x:c>
      <x:c r="B1181" t="str">
        <x:v>vaping types</x:v>
      </x:c>
      <x:c r="C1181" t="str">
        <x:v>48</x:v>
      </x:c>
      <x:c r="D1181" t="str">
        <x:v>what do vapes do</x:v>
      </x:c>
      <x:c r="E1181" t="str">
        <x:v>recommended</x:v>
      </x:c>
      <x:c r="F1181" t="n">
        <x:v>210</x:v>
      </x:c>
      <x:c r="G1181" t="n">
        <x:v>74</x:v>
      </x:c>
      <x:c r="H1181" t="str">
        <x:v>informational</x:v>
      </x:c>
    </x:row>
    <x:row r="1182">
      <x:c r="A1182" t="str">
        <x:v>48</x:v>
      </x:c>
      <x:c r="B1182" t="str">
        <x:v>vaping types</x:v>
      </x:c>
      <x:c r="C1182" t="str">
        <x:v>48</x:v>
      </x:c>
      <x:c r="D1182" t="str">
        <x:v>what do vapes contain</x:v>
      </x:c>
      <x:c r="E1182" t="str">
        <x:v>recommended</x:v>
      </x:c>
      <x:c r="F1182" t="n">
        <x:v>210</x:v>
      </x:c>
      <x:c r="G1182" t="n">
        <x:v>81</x:v>
      </x:c>
      <x:c r="H1182" t="str">
        <x:v>informational</x:v>
      </x:c>
    </x:row>
    <x:row r="1183">
      <x:c r="A1183" t="str">
        <x:v>48</x:v>
      </x:c>
      <x:c r="B1183" t="str">
        <x:v>vaping types</x:v>
      </x:c>
      <x:c r="C1183" t="str">
        <x:v>48</x:v>
      </x:c>
      <x:c r="D1183" t="str">
        <x:v>what happens when you vape for the first time</x:v>
      </x:c>
      <x:c r="E1183" t="str">
        <x:v>recommended</x:v>
      </x:c>
      <x:c r="F1183" t="n">
        <x:v>140</x:v>
      </x:c>
      <x:c r="G1183" t="n">
        <x:v>57</x:v>
      </x:c>
      <x:c r="H1183" t="str">
        <x:v>informational</x:v>
      </x:c>
    </x:row>
    <x:row r="1184">
      <x:c r="A1184" t="str">
        <x:v>48</x:v>
      </x:c>
      <x:c r="B1184" t="str">
        <x:v>vaping types</x:v>
      </x:c>
      <x:c r="C1184" t="str">
        <x:v>48</x:v>
      </x:c>
      <x:c r="D1184" t="str">
        <x:v>how does vape work</x:v>
      </x:c>
      <x:c r="E1184" t="str">
        <x:v>recommended</x:v>
      </x:c>
      <x:c r="F1184" t="n">
        <x:v>170</x:v>
      </x:c>
      <x:c r="G1184" t="n">
        <x:v>72</x:v>
      </x:c>
      <x:c r="H1184" t="str">
        <x:v>informational</x:v>
      </x:c>
    </x:row>
    <x:row r="1185">
      <x:c r="A1185" t="str">
        <x:v>48</x:v>
      </x:c>
      <x:c r="B1185" t="str">
        <x:v>vaping types</x:v>
      </x:c>
      <x:c r="C1185" t="str">
        <x:v>48</x:v>
      </x:c>
      <x:c r="D1185" t="str">
        <x:v>what is an e cig</x:v>
      </x:c>
      <x:c r="E1185" t="str">
        <x:v>recommended</x:v>
      </x:c>
      <x:c r="F1185" t="n">
        <x:v>30</x:v>
      </x:c>
      <x:c r="G1185" t="n">
        <x:v>86</x:v>
      </x:c>
      <x:c r="H1185" t="str">
        <x:v>informational</x:v>
      </x:c>
    </x:row>
    <x:row r="1186">
      <x:c r="A1186" t="str">
        <x:v>48</x:v>
      </x:c>
      <x:c r="B1186" t="str">
        <x:v>vaping types</x:v>
      </x:c>
      <x:c r="C1186" t="str">
        <x:v>48</x:v>
      </x:c>
      <x:c r="D1186" t="str">
        <x:v>what is vaping and how does it work</x:v>
      </x:c>
      <x:c r="E1186" t="str">
        <x:v>recommended</x:v>
      </x:c>
      <x:c r="F1186" t="n">
        <x:v>880</x:v>
      </x:c>
      <x:c r="G1186" t="n">
        <x:v>77</x:v>
      </x:c>
      <x:c r="H1186" t="str">
        <x:v>informational</x:v>
      </x:c>
    </x:row>
    <x:row r="1187">
      <x:c r="A1187" t="str">
        <x:v>48</x:v>
      </x:c>
      <x:c r="B1187" t="str">
        <x:v>vaping types</x:v>
      </x:c>
      <x:c r="C1187" t="str">
        <x:v>48</x:v>
      </x:c>
      <x:c r="D1187" t="str">
        <x:v>vaping types</x:v>
      </x:c>
      <x:c r="E1187" t="str">
        <x:v>recommended</x:v>
      </x:c>
      <x:c r="F1187" t="n">
        <x:v>880</x:v>
      </x:c>
      <x:c r="G1187" t="n">
        <x:v>22</x:v>
      </x:c>
      <x:c r="H1187" t="str">
        <x:v>informational</x:v>
      </x:c>
    </x:row>
    <x:row r="1188">
      <x:c r="A1188" t="str">
        <x:v>48</x:v>
      </x:c>
      <x:c r="B1188" t="str">
        <x:v>vaping types</x:v>
      </x:c>
      <x:c r="C1188" t="str">
        <x:v>48</x:v>
      </x:c>
      <x:c r="D1188" t="str">
        <x:v>ecig review</x:v>
      </x:c>
      <x:c r="E1188" t="str">
        <x:v>recommended</x:v>
      </x:c>
      <x:c r="F1188" t="n">
        <x:v>2900</x:v>
      </x:c>
      <x:c r="G1188" t="n">
        <x:v>26</x:v>
      </x:c>
      <x:c r="H1188" t="str">
        <x:v>informational, commercial</x:v>
      </x:c>
    </x:row>
    <x:row r="1189">
      <x:c r="A1189" t="str">
        <x:v>48</x:v>
      </x:c>
      <x:c r="B1189" t="str">
        <x:v>vaping types</x:v>
      </x:c>
      <x:c r="C1189" t="str">
        <x:v>48</x:v>
      </x:c>
      <x:c r="D1189" t="str">
        <x:v>types of vaping</x:v>
      </x:c>
      <x:c r="E1189" t="str">
        <x:v>recommended</x:v>
      </x:c>
      <x:c r="F1189" t="n">
        <x:v>480</x:v>
      </x:c>
      <x:c r="G1189" t="n">
        <x:v>26</x:v>
      </x:c>
      <x:c r="H1189" t="str">
        <x:v>informational</x:v>
      </x:c>
    </x:row>
    <x:row r="1190">
      <x:c r="A1190" t="str">
        <x:v>48</x:v>
      </x:c>
      <x:c r="B1190" t="str">
        <x:v>vaping types</x:v>
      </x:c>
      <x:c r="C1190" t="str">
        <x:v>48</x:v>
      </x:c>
      <x:c r="D1190" t="str">
        <x:v>vapes that look like cigarettes</x:v>
      </x:c>
      <x:c r="E1190" t="str">
        <x:v>recommended</x:v>
      </x:c>
      <x:c r="F1190" t="n">
        <x:v>260</x:v>
      </x:c>
      <x:c r="G1190" t="n">
        <x:v>14</x:v>
      </x:c>
      <x:c r="H1190" t="str">
        <x:v>informational</x:v>
      </x:c>
    </x:row>
    <x:row r="1191">
      <x:c r="A1191" t="str">
        <x:v>48</x:v>
      </x:c>
      <x:c r="B1191" t="str">
        <x:v>vaping types</x:v>
      </x:c>
      <x:c r="C1191" t="str">
        <x:v>48</x:v>
      </x:c>
      <x:c r="D1191" t="str">
        <x:v>lowest nicotine disposable vape</x:v>
      </x:c>
      <x:c r="E1191" t="str">
        <x:v>recommended</x:v>
      </x:c>
      <x:c r="F1191" t="n">
        <x:v>70</x:v>
      </x:c>
      <x:c r="G1191" t="n">
        <x:v>3</x:v>
      </x:c>
      <x:c r="H1191" t="str">
        <x:v>informational, transactional</x:v>
      </x:c>
    </x:row>
    <x:row r="1192">
      <x:c r="A1192" t="str">
        <x:v>48</x:v>
      </x:c>
      <x:c r="B1192" t="str">
        <x:v>vaping types</x:v>
      </x:c>
      <x:c r="C1192" t="str">
        <x:v>48</x:v>
      </x:c>
      <x:c r="D1192" t="str">
        <x:v>person vaping</x:v>
      </x:c>
      <x:c r="E1192" t="str">
        <x:v>recommended</x:v>
      </x:c>
      <x:c r="F1192" t="n">
        <x:v>390</x:v>
      </x:c>
      <x:c r="G1192" t="n">
        <x:v>34</x:v>
      </x:c>
      <x:c r="H1192" t="str">
        <x:v>informational</x:v>
      </x:c>
    </x:row>
    <x:row r="1193">
      <x:c r="A1193" t="str">
        <x:v>48</x:v>
      </x:c>
      <x:c r="B1193" t="str">
        <x:v>vaping types</x:v>
      </x:c>
      <x:c r="C1193" t="str">
        <x:v>48</x:v>
      </x:c>
      <x:c r="D1193" t="str">
        <x:v>vape is what</x:v>
      </x:c>
      <x:c r="E1193" t="str">
        <x:v>recommended</x:v>
      </x:c>
      <x:c r="F1193" t="n">
        <x:v>2900</x:v>
      </x:c>
      <x:c r="G1193" t="n">
        <x:v>88</x:v>
      </x:c>
      <x:c r="H1193" t="str">
        <x:v>informational</x:v>
      </x:c>
    </x:row>
    <x:row r="1194">
      <x:c r="A1194" t="str">
        <x:v>48</x:v>
      </x:c>
      <x:c r="B1194" t="str">
        <x:v>vaping types</x:v>
      </x:c>
      <x:c r="C1194" t="str">
        <x:v>48</x:v>
      </x:c>
      <x:c r="D1194" t="str">
        <x:v>10 facts about vaping</x:v>
      </x:c>
      <x:c r="E1194" t="str">
        <x:v>recommended</x:v>
      </x:c>
      <x:c r="F1194" t="n">
        <x:v>1000</x:v>
      </x:c>
      <x:c r="G1194" t="n">
        <x:v>75</x:v>
      </x:c>
      <x:c r="H1194" t="str">
        <x:v>informational</x:v>
      </x:c>
    </x:row>
    <x:row r="1195">
      <x:c r="A1195" t="str">
        <x:v>48</x:v>
      </x:c>
      <x:c r="B1195" t="str">
        <x:v>vaping types</x:v>
      </x:c>
      <x:c r="C1195" t="str">
        <x:v>48</x:v>
      </x:c>
      <x:c r="D1195" t="str">
        <x:v>vape definition</x:v>
      </x:c>
      <x:c r="E1195" t="str">
        <x:v>recommended</x:v>
      </x:c>
      <x:c r="F1195" t="n">
        <x:v>1000</x:v>
      </x:c>
      <x:c r="G1195" t="n">
        <x:v>81</x:v>
      </x:c>
      <x:c r="H1195" t="str">
        <x:v>informational</x:v>
      </x:c>
    </x:row>
    <x:row r="1196">
      <x:c r="A1196" t="str">
        <x:v>48</x:v>
      </x:c>
      <x:c r="B1196" t="str">
        <x:v>vaping types</x:v>
      </x:c>
      <x:c r="C1196" t="str">
        <x:v>48</x:v>
      </x:c>
      <x:c r="D1196" t="str">
        <x:v>vapor cigarette</x:v>
      </x:c>
      <x:c r="E1196" t="str">
        <x:v>recommended</x:v>
      </x:c>
      <x:c r="F1196" t="n">
        <x:v>210</x:v>
      </x:c>
      <x:c r="G1196" t="n">
        <x:v>85</x:v>
      </x:c>
      <x:c r="H1196" t="str">
        <x:v>informational</x:v>
      </x:c>
    </x:row>
    <x:row r="1197">
      <x:c r="A1197" t="str">
        <x:v>48</x:v>
      </x:c>
      <x:c r="B1197" t="str">
        <x:v>vaping types</x:v>
      </x:c>
      <x:c r="C1197" t="str">
        <x:v>48</x:v>
      </x:c>
      <x:c r="D1197" t="str">
        <x:v>vaping meaning</x:v>
      </x:c>
      <x:c r="E1197" t="str">
        <x:v>recommended</x:v>
      </x:c>
      <x:c r="F1197" t="n">
        <x:v>1900</x:v>
      </x:c>
      <x:c r="G1197" t="n">
        <x:v>82</x:v>
      </x:c>
      <x:c r="H1197" t="str">
        <x:v>informational</x:v>
      </x:c>
    </x:row>
    <x:row r="1198">
      <x:c r="A1198" t="str">
        <x:v>48</x:v>
      </x:c>
      <x:c r="B1198" t="str">
        <x:v>vaping types</x:v>
      </x:c>
      <x:c r="C1198" t="str">
        <x:v>48</x:v>
      </x:c>
      <x:c r="D1198" t="str">
        <x:v>vape risks</x:v>
      </x:c>
      <x:c r="E1198" t="str">
        <x:v>recommended</x:v>
      </x:c>
      <x:c r="F1198" t="n">
        <x:v>480</x:v>
      </x:c>
      <x:c r="G1198" t="n">
        <x:v>83</x:v>
      </x:c>
      <x:c r="H1198" t="str">
        <x:v>informational</x:v>
      </x:c>
    </x:row>
    <x:row r="1199">
      <x:c r="A1199" t="str">
        <x:v>48</x:v>
      </x:c>
      <x:c r="B1199" t="str">
        <x:v>vaping types</x:v>
      </x:c>
      <x:c r="C1199" t="str">
        <x:v>48</x:v>
      </x:c>
      <x:c r="D1199" t="str">
        <x:v>vaping in the use</x:v>
      </x:c>
      <x:c r="E1199" t="str">
        <x:v>recommended</x:v>
      </x:c>
      <x:c r="F1199" t="n">
        <x:v>140</x:v>
      </x:c>
      <x:c r="G1199" t="n">
        <x:v>66</x:v>
      </x:c>
      <x:c r="H1199" t="str">
        <x:v>informational</x:v>
      </x:c>
    </x:row>
    <x:row r="1200">
      <x:c r="A1200" t="str">
        <x:v>48</x:v>
      </x:c>
      <x:c r="B1200" t="str">
        <x:v>vaping types</x:v>
      </x:c>
      <x:c r="C1200" t="str">
        <x:v>48</x:v>
      </x:c>
      <x:c r="D1200" t="str">
        <x:v>vaping for the first time</x:v>
      </x:c>
      <x:c r="E1200" t="str">
        <x:v>recommended</x:v>
      </x:c>
      <x:c r="F1200" t="n">
        <x:v>90</x:v>
      </x:c>
      <x:c r="G1200" t="n">
        <x:v>10</x:v>
      </x:c>
      <x:c r="H1200" t="str">
        <x:v>informational</x:v>
      </x:c>
    </x:row>
    <x:row r="1201">
      <x:c r="A1201" t="str">
        <x:v>48</x:v>
      </x:c>
      <x:c r="B1201" t="str">
        <x:v>vaping types</x:v>
      </x:c>
      <x:c r="C1201" t="str">
        <x:v>48</x:v>
      </x:c>
      <x:c r="D1201" t="str">
        <x:v>define vape</x:v>
      </x:c>
      <x:c r="E1201" t="str">
        <x:v>recommended</x:v>
      </x:c>
      <x:c r="F1201" t="n">
        <x:v>90</x:v>
      </x:c>
      <x:c r="G1201" t="n">
        <x:v>79</x:v>
      </x:c>
      <x:c r="H1201" t="str">
        <x:v>informational</x:v>
      </x:c>
    </x:row>
    <x:row r="1202">
      <x:c r="A1202" t="str">
        <x:v>48</x:v>
      </x:c>
      <x:c r="B1202" t="str">
        <x:v>vaping types</x:v>
      </x:c>
      <x:c r="C1202" t="str">
        <x:v>48</x:v>
      </x:c>
      <x:c r="D1202" t="str">
        <x:v>breeze vape</x:v>
      </x:c>
      <x:c r="E1202" t="str">
        <x:v>recommended</x:v>
      </x:c>
      <x:c r="F1202" t="n">
        <x:v>22200</x:v>
      </x:c>
      <x:c r="G1202" t="n">
        <x:v>27</x:v>
      </x:c>
      <x:c r="H1202" t="str">
        <x:v>informational</x:v>
      </x:c>
    </x:row>
    <x:row r="1203">
      <x:c r="A1203" t="str">
        <x:v>48</x:v>
      </x:c>
      <x:c r="B1203" t="str">
        <x:v>vaping types</x:v>
      </x:c>
      <x:c r="C1203" t="str">
        <x:v>48</x:v>
      </x:c>
      <x:c r="D1203" t="str">
        <x:v>how to vape</x:v>
      </x:c>
      <x:c r="E1203" t="str">
        <x:v>recommended</x:v>
      </x:c>
      <x:c r="F1203" t="n">
        <x:v>4400</x:v>
      </x:c>
      <x:c r="G1203" t="n">
        <x:v>22</x:v>
      </x:c>
      <x:c r="H1203" t="str">
        <x:v>informational</x:v>
      </x:c>
    </x:row>
    <x:row r="1204">
      <x:c r="A1204" t="str">
        <x:v>48</x:v>
      </x:c>
      <x:c r="B1204" t="str">
        <x:v>vaping types</x:v>
      </x:c>
      <x:c r="C1204" t="str">
        <x:v>48</x:v>
      </x:c>
      <x:c r="D1204" t="str">
        <x:v>vape alternative</x:v>
      </x:c>
      <x:c r="E1204" t="str">
        <x:v>recommended</x:v>
      </x:c>
      <x:c r="F1204" t="n">
        <x:v>2400</x:v>
      </x:c>
      <x:c r="G1204" t="n">
        <x:v>18</x:v>
      </x:c>
      <x:c r="H1204" t="str">
        <x:v>informational</x:v>
      </x:c>
    </x:row>
    <x:row r="1205">
      <x:c r="A1205" t="str">
        <x:v>48</x:v>
      </x:c>
      <x:c r="B1205" t="str">
        <x:v>vaping types</x:v>
      </x:c>
      <x:c r="C1205" t="str">
        <x:v>48</x:v>
      </x:c>
      <x:c r="D1205" t="str">
        <x:v>vuse vapes</x:v>
      </x:c>
      <x:c r="E1205" t="str">
        <x:v>recommended</x:v>
      </x:c>
      <x:c r="F1205" t="n">
        <x:v>2400</x:v>
      </x:c>
      <x:c r="G1205" t="n">
        <x:v>29</x:v>
      </x:c>
      <x:c r="H1205" t="str">
        <x:v>informational, transactional</x:v>
      </x:c>
    </x:row>
    <x:row r="1206">
      <x:c r="A1206" t="str">
        <x:v>48</x:v>
      </x:c>
      <x:c r="B1206" t="str">
        <x:v>vaping types</x:v>
      </x:c>
      <x:c r="C1206" t="str">
        <x:v>48</x:v>
      </x:c>
      <x:c r="D1206" t="str">
        <x:v>electronic cigarette</x:v>
      </x:c>
      <x:c r="E1206" t="str">
        <x:v>recommended</x:v>
      </x:c>
      <x:c r="F1206" t="n">
        <x:v>14800</x:v>
      </x:c>
      <x:c r="G1206" t="n">
        <x:v>51</x:v>
      </x:c>
      <x:c r="H1206" t="str">
        <x:v>informational</x:v>
      </x:c>
    </x:row>
    <x:row r="1207">
      <x:c r="A1207" t="str">
        <x:v>48</x:v>
      </x:c>
      <x:c r="B1207" t="str">
        <x:v>vaping types</x:v>
      </x:c>
      <x:c r="C1207" t="str">
        <x:v>48</x:v>
      </x:c>
      <x:c r="D1207" t="str">
        <x:v>benefits of vaping</x:v>
      </x:c>
      <x:c r="E1207" t="str">
        <x:v>recommended</x:v>
      </x:c>
      <x:c r="F1207" t="n">
        <x:v>1600</x:v>
      </x:c>
      <x:c r="G1207" t="n">
        <x:v>49</x:v>
      </x:c>
      <x:c r="H1207" t="str">
        <x:v>informational</x:v>
      </x:c>
    </x:row>
    <x:row r="1208">
      <x:c r="A1208" t="str">
        <x:v>48</x:v>
      </x:c>
      <x:c r="B1208" t="str">
        <x:v>vaping types</x:v>
      </x:c>
      <x:c r="C1208" t="str">
        <x:v>48</x:v>
      </x:c>
      <x:c r="D1208" t="str">
        <x:v>vapes and tobacco</x:v>
      </x:c>
      <x:c r="E1208" t="str">
        <x:v>recommended</x:v>
      </x:c>
      <x:c r="F1208" t="n">
        <x:v>320</x:v>
      </x:c>
      <x:c r="G1208" t="n">
        <x:v>77</x:v>
      </x:c>
      <x:c r="H1208" t="str">
        <x:v>commercial</x:v>
      </x:c>
    </x:row>
    <x:row r="1209">
      <x:c r="A1209" t="str">
        <x:v>48</x:v>
      </x:c>
      <x:c r="B1209" t="str">
        <x:v>vape liquid</x:v>
      </x:c>
      <x:c r="C1209" t="str">
        <x:v>48</x:v>
      </x:c>
      <x:c r="D1209" t="str">
        <x:v>vape liquid</x:v>
      </x:c>
      <x:c r="E1209" t="str">
        <x:v>recommended</x:v>
      </x:c>
      <x:c r="F1209" t="n">
        <x:v>2900</x:v>
      </x:c>
      <x:c r="G1209" t="n">
        <x:v>58</x:v>
      </x:c>
      <x:c r="H1209" t="str">
        <x:v>commercial</x:v>
      </x:c>
    </x:row>
    <x:row r="1210">
      <x:c r="A1210" t="str">
        <x:v>48</x:v>
      </x:c>
      <x:c r="B1210" t="str">
        <x:v>vape liquid</x:v>
      </x:c>
      <x:c r="C1210" t="str">
        <x:v>48</x:v>
      </x:c>
      <x:c r="D1210" t="str">
        <x:v>vape cartridges</x:v>
      </x:c>
      <x:c r="E1210" t="str">
        <x:v>recommended</x:v>
      </x:c>
      <x:c r="F1210" t="n">
        <x:v>2400</x:v>
      </x:c>
      <x:c r="G1210" t="n">
        <x:v>52</x:v>
      </x:c>
      <x:c r="H1210" t="str">
        <x:v>informational</x:v>
      </x:c>
    </x:row>
    <x:row r="1211">
      <x:c r="A1211" t="str">
        <x:v>48</x:v>
      </x:c>
      <x:c r="B1211" t="str">
        <x:v>vape liquid</x:v>
      </x:c>
      <x:c r="C1211" t="str">
        <x:v>48</x:v>
      </x:c>
      <x:c r="D1211" t="str">
        <x:v>vape juice for sale</x:v>
      </x:c>
      <x:c r="E1211" t="str">
        <x:v>recommended</x:v>
      </x:c>
      <x:c r="F1211" t="n">
        <x:v>590</x:v>
      </x:c>
      <x:c r="G1211" t="n">
        <x:v>58</x:v>
      </x:c>
      <x:c r="H1211" t="str">
        <x:v>commercial</x:v>
      </x:c>
    </x:row>
    <x:row r="1212">
      <x:c r="A1212" t="str">
        <x:v>48</x:v>
      </x:c>
      <x:c r="B1212" t="str">
        <x:v>vape liquid</x:v>
      </x:c>
      <x:c r="C1212" t="str">
        <x:v>48</x:v>
      </x:c>
      <x:c r="D1212" t="str">
        <x:v>good vape juices</x:v>
      </x:c>
      <x:c r="E1212" t="str">
        <x:v>recommended</x:v>
      </x:c>
      <x:c r="F1212" t="n">
        <x:v>170</x:v>
      </x:c>
      <x:c r="G1212" t="n">
        <x:v>25</x:v>
      </x:c>
      <x:c r="H1212" t="str">
        <x:v>commercial</x:v>
      </x:c>
    </x:row>
    <x:row r="1213">
      <x:c r="A1213" t="str">
        <x:v>48</x:v>
      </x:c>
      <x:c r="B1213" t="str">
        <x:v>vape liquid</x:v>
      </x:c>
      <x:c r="C1213" t="str">
        <x:v>48</x:v>
      </x:c>
      <x:c r="D1213" t="str">
        <x:v>vaping liquid</x:v>
      </x:c>
      <x:c r="E1213" t="str">
        <x:v>recommended</x:v>
      </x:c>
      <x:c r="F1213" t="n">
        <x:v>170</x:v>
      </x:c>
      <x:c r="G1213" t="n">
        <x:v>59</x:v>
      </x:c>
      <x:c r="H1213" t="str">
        <x:v>commercial</x:v>
      </x:c>
    </x:row>
    <x:row r="1214">
      <x:c r="A1214" t="str">
        <x:v>48</x:v>
      </x:c>
      <x:c r="B1214" t="str">
        <x:v>vape liquid</x:v>
      </x:c>
      <x:c r="C1214" t="str">
        <x:v>48</x:v>
      </x:c>
      <x:c r="D1214" t="str">
        <x:v>vape juice flavors list</x:v>
      </x:c>
      <x:c r="E1214" t="str">
        <x:v>recommended</x:v>
      </x:c>
      <x:c r="F1214" t="n">
        <x:v>50</x:v>
      </x:c>
      <x:c r="G1214" t="n">
        <x:v>18</x:v>
      </x:c>
      <x:c r="H1214" t="str">
        <x:v>informational</x:v>
      </x:c>
    </x:row>
    <x:row r="1215">
      <x:c r="A1215" t="str">
        <x:v>48</x:v>
      </x:c>
      <x:c r="B1215" t="str">
        <x:v>vape liquid</x:v>
      </x:c>
      <x:c r="C1215" t="str">
        <x:v>48</x:v>
      </x:c>
      <x:c r="D1215" t="str">
        <x:v>e cigarette cartridges</x:v>
      </x:c>
      <x:c r="E1215" t="str">
        <x:v>recommended</x:v>
      </x:c>
      <x:c r="F1215" t="n">
        <x:v>50</x:v>
      </x:c>
      <x:c r="G1215" t="n">
        <x:v>29</x:v>
      </x:c>
      <x:c r="H1215" t="str">
        <x:v>informational</x:v>
      </x:c>
    </x:row>
    <x:row r="1216">
      <x:c r="A1216" t="str">
        <x:v>48</x:v>
      </x:c>
      <x:c r="B1216" t="str">
        <x:v>vape liquid</x:v>
      </x:c>
      <x:c r="C1216" t="str">
        <x:v>48</x:v>
      </x:c>
      <x:c r="D1216" t="str">
        <x:v>refillable vape juice</x:v>
      </x:c>
      <x:c r="E1216" t="str">
        <x:v>recommended</x:v>
      </x:c>
      <x:c r="F1216" t="n">
        <x:v>40</x:v>
      </x:c>
      <x:c r="G1216" t="n">
        <x:v>53</x:v>
      </x:c>
      <x:c r="H1216" t="str">
        <x:v>commercial</x:v>
      </x:c>
    </x:row>
    <x:row r="1217">
      <x:c r="A1217" t="str">
        <x:v>48</x:v>
      </x:c>
      <x:c r="B1217" t="str">
        <x:v>vape liquid</x:v>
      </x:c>
      <x:c r="C1217" t="str">
        <x:v>48</x:v>
      </x:c>
      <x:c r="D1217" t="str">
        <x:v>vape oils</x:v>
      </x:c>
      <x:c r="E1217" t="str">
        <x:v>recommended</x:v>
      </x:c>
      <x:c r="F1217" t="n">
        <x:v>50</x:v>
      </x:c>
      <x:c r="G1217" t="n">
        <x:v>51</x:v>
      </x:c>
      <x:c r="H1217" t="str">
        <x:v>commercial</x:v>
      </x:c>
    </x:row>
    <x:row r="1218">
      <x:c r="A1218" t="str">
        <x:v>48</x:v>
      </x:c>
      <x:c r="B1218" t="str">
        <x:v>vapes with less nicotine</x:v>
      </x:c>
      <x:c r="C1218" t="str">
        <x:v>48</x:v>
      </x:c>
      <x:c r="D1218" t="str">
        <x:v>vapes with less nicotine</x:v>
      </x:c>
      <x:c r="E1218" t="str">
        <x:v>recommended</x:v>
      </x:c>
      <x:c r="F1218" t="n">
        <x:v>90</x:v>
      </x:c>
      <x:c r="G1218" t="n">
        <x:v>0</x:v>
      </x:c>
      <x:c r="H1218" t="str">
        <x:v>informational</x:v>
      </x:c>
    </x:row>
    <x:row r="1219">
      <x:c r="A1219" t="str">
        <x:v>48</x:v>
      </x:c>
      <x:c r="B1219" t="str">
        <x:v>vapes with less nicotine</x:v>
      </x:c>
      <x:c r="C1219" t="str">
        <x:v>48</x:v>
      </x:c>
      <x:c r="D1219" t="str">
        <x:v>low mg disposable vape</x:v>
      </x:c>
      <x:c r="E1219" t="str">
        <x:v>recommended</x:v>
      </x:c>
      <x:c r="F1219" t="n">
        <x:v>40</x:v>
      </x:c>
      <x:c r="G1219" t="n">
        <x:v>3</x:v>
      </x:c>
      <x:c r="H1219" t="str">
        <x:v>commercial</x:v>
      </x:c>
    </x:row>
    <x:row r="1220">
      <x:c r="A1220" t="str">
        <x:v>48</x:v>
      </x:c>
      <x:c r="B1220" t="str">
        <x:v>vapes with less nicotine</x:v>
      </x:c>
      <x:c r="C1220" t="str">
        <x:v>48</x:v>
      </x:c>
      <x:c r="D1220" t="str">
        <x:v>low nicotine vape</x:v>
      </x:c>
      <x:c r="E1220" t="str">
        <x:v>recommended</x:v>
      </x:c>
      <x:c r="F1220" t="n">
        <x:v>1900</x:v>
      </x:c>
      <x:c r="G1220" t="n">
        <x:v>6</x:v>
      </x:c>
      <x:c r="H1220" t="str">
        <x:v>informational</x:v>
      </x:c>
    </x:row>
    <x:row r="1221">
      <x:c r="A1221" t="str">
        <x:v>48</x:v>
      </x:c>
      <x:c r="B1221" t="str">
        <x:v>purchase cigarettes age</x:v>
      </x:c>
      <x:c r="C1221" t="str">
        <x:v>48</x:v>
      </x:c>
      <x:c r="D1221" t="str">
        <x:v>purchase cigarettes age</x:v>
      </x:c>
      <x:c r="E1221" t="str">
        <x:v>recommended</x:v>
      </x:c>
      <x:c r="F1221" t="n">
        <x:v>390</x:v>
      </x:c>
      <x:c r="G1221" t="n">
        <x:v>49</x:v>
      </x:c>
      <x:c r="H1221" t="str">
        <x:v>transactional</x:v>
      </x:c>
    </x:row>
    <x:row r="1222">
      <x:c r="A1222" t="str">
        <x:v>48</x:v>
      </x:c>
      <x:c r="B1222" t="str">
        <x:v>purchase cigarettes age</x:v>
      </x:c>
      <x:c r="C1222" t="str">
        <x:v>48</x:v>
      </x:c>
      <x:c r="D1222" t="str">
        <x:v>how old to buy a vape in nc</x:v>
      </x:c>
      <x:c r="E1222" t="str">
        <x:v>recommended</x:v>
      </x:c>
      <x:c r="F1222" t="n">
        <x:v>50</x:v>
      </x:c>
      <x:c r="G1222" t="n">
        <x:v>14</x:v>
      </x:c>
      <x:c r="H1222" t="str">
        <x:v>informational</x:v>
      </x:c>
    </x:row>
    <x:row r="1223">
      <x:c r="A1223" t="str">
        <x:v>48</x:v>
      </x:c>
      <x:c r="B1223" t="str">
        <x:v>purchase cigarettes age</x:v>
      </x:c>
      <x:c r="C1223" t="str">
        <x:v>48</x:v>
      </x:c>
      <x:c r="D1223" t="str">
        <x:v>legal age to buy cigs</x:v>
      </x:c>
      <x:c r="E1223" t="str">
        <x:v>recommended</x:v>
      </x:c>
      <x:c r="F1223" t="n">
        <x:v>170</x:v>
      </x:c>
      <x:c r="G1223" t="n">
        <x:v>48</x:v>
      </x:c>
      <x:c r="H1223" t="str">
        <x:v>transactional</x:v>
      </x:c>
    </x:row>
    <x:row r="1224">
      <x:c r="A1224" t="str">
        <x:v>48</x:v>
      </x:c>
      <x:c r="B1224" t="str">
        <x:v>purchase cigarettes age</x:v>
      </x:c>
      <x:c r="C1224" t="str">
        <x:v>48</x:v>
      </x:c>
      <x:c r="D1224" t="str">
        <x:v>buy cigarettes age</x:v>
      </x:c>
      <x:c r="E1224" t="str">
        <x:v>recommended</x:v>
      </x:c>
      <x:c r="F1224" t="n">
        <x:v>90</x:v>
      </x:c>
      <x:c r="G1224" t="n">
        <x:v>39</x:v>
      </x:c>
      <x:c r="H1224" t="str">
        <x:v>commercial</x:v>
      </x:c>
    </x:row>
    <x:row r="1225">
      <x:c r="A1225" t="str">
        <x:v>48</x:v>
      </x:c>
      <x:c r="B1225" t="str">
        <x:v>purchase cigarettes age</x:v>
      </x:c>
      <x:c r="C1225" t="str">
        <x:v>48</x:v>
      </x:c>
      <x:c r="D1225" t="str">
        <x:v>cigarettes age to buy</x:v>
      </x:c>
      <x:c r="E1225" t="str">
        <x:v>recommended</x:v>
      </x:c>
      <x:c r="F1225" t="n">
        <x:v>70</x:v>
      </x:c>
      <x:c r="G1225" t="n">
        <x:v>42</x:v>
      </x:c>
      <x:c r="H1225" t="str">
        <x:v>informational, transactional</x:v>
      </x:c>
    </x:row>
    <x:row r="1226">
      <x:c r="A1226" t="str">
        <x:v>48</x:v>
      </x:c>
      <x:c r="B1226" t="str">
        <x:v>purchase cigarettes age</x:v>
      </x:c>
      <x:c r="C1226" t="str">
        <x:v>48</x:v>
      </x:c>
      <x:c r="D1226" t="str">
        <x:v>is it illegal to vape under the age of 18</x:v>
      </x:c>
      <x:c r="E1226" t="str">
        <x:v>recommended</x:v>
      </x:c>
      <x:c r="F1226" t="n">
        <x:v>140</x:v>
      </x:c>
      <x:c r="G1226" t="n">
        <x:v>23</x:v>
      </x:c>
      <x:c r="H1226" t="str">
        <x:v>informational</x:v>
      </x:c>
    </x:row>
    <x:row r="1227">
      <x:c r="A1227" t="str">
        <x:v>48</x:v>
      </x:c>
      <x:c r="B1227" t="str">
        <x:v>purchase cigarettes age</x:v>
      </x:c>
      <x:c r="C1227" t="str">
        <x:v>48</x:v>
      </x:c>
      <x:c r="D1227" t="str">
        <x:v>whats the legal age to vape</x:v>
      </x:c>
      <x:c r="E1227" t="str">
        <x:v>recommended</x:v>
      </x:c>
      <x:c r="F1227" t="n">
        <x:v>90</x:v>
      </x:c>
      <x:c r="G1227" t="n">
        <x:v>31</x:v>
      </x:c>
      <x:c r="H1227" t="str">
        <x:v>informational</x:v>
      </x:c>
    </x:row>
    <x:row r="1228">
      <x:c r="A1228" t="str">
        <x:v>48</x:v>
      </x:c>
      <x:c r="B1228" t="str">
        <x:v>purchase cigarettes age</x:v>
      </x:c>
      <x:c r="C1228" t="str">
        <x:v>48</x:v>
      </x:c>
      <x:c r="D1228" t="str">
        <x:v>how old can you buy cigarettes</x:v>
      </x:c>
      <x:c r="E1228" t="str">
        <x:v>recommended</x:v>
      </x:c>
      <x:c r="F1228" t="n">
        <x:v>90</x:v>
      </x:c>
      <x:c r="G1228" t="n">
        <x:v>32</x:v>
      </x:c>
      <x:c r="H1228" t="str">
        <x:v>informational</x:v>
      </x:c>
    </x:row>
    <x:row r="1229">
      <x:c r="A1229" t="str">
        <x:v>48</x:v>
      </x:c>
      <x:c r="B1229" t="str">
        <x:v>purchase cigarettes age</x:v>
      </x:c>
      <x:c r="C1229" t="str">
        <x:v>48</x:v>
      </x:c>
      <x:c r="D1229" t="str">
        <x:v>legal age for vaping</x:v>
      </x:c>
      <x:c r="E1229" t="str">
        <x:v>recommended</x:v>
      </x:c>
      <x:c r="F1229" t="n">
        <x:v>320</x:v>
      </x:c>
      <x:c r="G1229" t="n">
        <x:v>37</x:v>
      </x:c>
      <x:c r="H1229" t="str">
        <x:v>informational, commercial</x:v>
      </x:c>
    </x:row>
    <x:row r="1230">
      <x:c r="A1230" t="str">
        <x:v>48</x:v>
      </x:c>
      <x:c r="B1230" t="str">
        <x:v>purchase cigarettes age</x:v>
      </x:c>
      <x:c r="C1230" t="str">
        <x:v>48</x:v>
      </x:c>
      <x:c r="D1230" t="str">
        <x:v>how old do you have to be to buy cigs</x:v>
      </x:c>
      <x:c r="E1230" t="str">
        <x:v>recommended</x:v>
      </x:c>
      <x:c r="F1230" t="n">
        <x:v>590</x:v>
      </x:c>
      <x:c r="G1230" t="n">
        <x:v>38</x:v>
      </x:c>
      <x:c r="H1230" t="str">
        <x:v>informational</x:v>
      </x:c>
    </x:row>
    <x:row r="1231">
      <x:c r="A1231" t="str">
        <x:v>48</x:v>
      </x:c>
      <x:c r="B1231" t="str">
        <x:v>purchase cigarettes age</x:v>
      </x:c>
      <x:c r="C1231" t="str">
        <x:v>48</x:v>
      </x:c>
      <x:c r="D1231" t="str">
        <x:v>age to buy nicotine</x:v>
      </x:c>
      <x:c r="E1231" t="str">
        <x:v>recommended</x:v>
      </x:c>
      <x:c r="F1231" t="n">
        <x:v>40</x:v>
      </x:c>
      <x:c r="G1231" t="n">
        <x:v>39</x:v>
      </x:c>
      <x:c r="H1231" t="str">
        <x:v>transactional</x:v>
      </x:c>
    </x:row>
    <x:row r="1232">
      <x:c r="A1232" t="str">
        <x:v>48</x:v>
      </x:c>
      <x:c r="B1232" t="str">
        <x:v>purchase cigarettes age</x:v>
      </x:c>
      <x:c r="C1232" t="str">
        <x:v>48</x:v>
      </x:c>
      <x:c r="D1232" t="str">
        <x:v>buying cigarettes age</x:v>
      </x:c>
      <x:c r="E1232" t="str">
        <x:v>recommended</x:v>
      </x:c>
      <x:c r="F1232" t="n">
        <x:v>90</x:v>
      </x:c>
      <x:c r="G1232" t="n">
        <x:v>42</x:v>
      </x:c>
      <x:c r="H1232" t="str">
        <x:v>transactional</x:v>
      </x:c>
    </x:row>
    <x:row r="1233">
      <x:c r="A1233" t="str">
        <x:v>48</x:v>
      </x:c>
      <x:c r="B1233" t="str">
        <x:v>purchase cigarettes age</x:v>
      </x:c>
      <x:c r="C1233" t="str">
        <x:v>48</x:v>
      </x:c>
      <x:c r="D1233" t="str">
        <x:v>how old buy cigarettes</x:v>
      </x:c>
      <x:c r="E1233" t="str">
        <x:v>recommended</x:v>
      </x:c>
      <x:c r="F1233" t="n">
        <x:v>1000</x:v>
      </x:c>
      <x:c r="G1233" t="n">
        <x:v>42</x:v>
      </x:c>
      <x:c r="H1233" t="str">
        <x:v>informational</x:v>
      </x:c>
    </x:row>
    <x:row r="1234">
      <x:c r="A1234" t="str">
        <x:v>48</x:v>
      </x:c>
      <x:c r="B1234" t="str">
        <x:v>purchase cigarettes age</x:v>
      </x:c>
      <x:c r="C1234" t="str">
        <x:v>48</x:v>
      </x:c>
      <x:c r="D1234" t="str">
        <x:v>age limit to buy cigarettes</x:v>
      </x:c>
      <x:c r="E1234" t="str">
        <x:v>recommended</x:v>
      </x:c>
      <x:c r="F1234" t="n">
        <x:v>70</x:v>
      </x:c>
      <x:c r="G1234" t="n">
        <x:v>44</x:v>
      </x:c>
      <x:c r="H1234" t="str">
        <x:v>transactional</x:v>
      </x:c>
    </x:row>
    <x:row r="1235">
      <x:c r="A1235" t="str">
        <x:v>48</x:v>
      </x:c>
      <x:c r="B1235" t="str">
        <x:v>purchase cigarettes age</x:v>
      </x:c>
      <x:c r="C1235" t="str">
        <x:v>48</x:v>
      </x:c>
      <x:c r="D1235" t="str">
        <x:v>what age can you buy cigs</x:v>
      </x:c>
      <x:c r="E1235" t="str">
        <x:v>recommended</x:v>
      </x:c>
      <x:c r="F1235" t="n">
        <x:v>70</x:v>
      </x:c>
      <x:c r="G1235" t="n">
        <x:v>44</x:v>
      </x:c>
      <x:c r="H1235" t="str">
        <x:v>informational</x:v>
      </x:c>
    </x:row>
    <x:row r="1236">
      <x:c r="A1236" t="str">
        <x:v>48</x:v>
      </x:c>
      <x:c r="B1236" t="str">
        <x:v>purchase cigarettes age</x:v>
      </x:c>
      <x:c r="C1236" t="str">
        <x:v>48</x:v>
      </x:c>
      <x:c r="D1236" t="str">
        <x:v>how old do have to be to buy cigarettes</x:v>
      </x:c>
      <x:c r="E1236" t="str">
        <x:v>recommended</x:v>
      </x:c>
      <x:c r="F1236" t="n">
        <x:v>210</x:v>
      </x:c>
      <x:c r="G1236" t="n">
        <x:v>44</x:v>
      </x:c>
      <x:c r="H1236" t="str">
        <x:v>informational</x:v>
      </x:c>
    </x:row>
    <x:row r="1237">
      <x:c r="A1237" t="str">
        <x:v>48</x:v>
      </x:c>
      <x:c r="B1237" t="str">
        <x:v>purchase cigarettes age</x:v>
      </x:c>
      <x:c r="C1237" t="str">
        <x:v>48</x:v>
      </x:c>
      <x:c r="D1237" t="str">
        <x:v>age for buying cigarettes</x:v>
      </x:c>
      <x:c r="E1237" t="str">
        <x:v>recommended</x:v>
      </x:c>
      <x:c r="F1237" t="n">
        <x:v>210</x:v>
      </x:c>
      <x:c r="G1237" t="n">
        <x:v>45</x:v>
      </x:c>
      <x:c r="H1237" t="str">
        <x:v>transactional</x:v>
      </x:c>
    </x:row>
    <x:row r="1238">
      <x:c r="A1238" t="str">
        <x:v>48</x:v>
      </x:c>
      <x:c r="B1238" t="str">
        <x:v>purchase cigarettes age</x:v>
      </x:c>
      <x:c r="C1238" t="str">
        <x:v>48</x:v>
      </x:c>
      <x:c r="D1238" t="str">
        <x:v>how old to buy cigs</x:v>
      </x:c>
      <x:c r="E1238" t="str">
        <x:v>recommended</x:v>
      </x:c>
      <x:c r="F1238" t="n">
        <x:v>480</x:v>
      </x:c>
      <x:c r="G1238" t="n">
        <x:v>46</x:v>
      </x:c>
      <x:c r="H1238" t="str">
        <x:v>informational</x:v>
      </x:c>
    </x:row>
    <x:row r="1239">
      <x:c r="A1239" t="str">
        <x:v>48</x:v>
      </x:c>
      <x:c r="B1239" t="str">
        <x:v>purchase cigarettes age</x:v>
      </x:c>
      <x:c r="C1239" t="str">
        <x:v>48</x:v>
      </x:c>
      <x:c r="D1239" t="str">
        <x:v>what is the age for buying cigarettes</x:v>
      </x:c>
      <x:c r="E1239" t="str">
        <x:v>recommended</x:v>
      </x:c>
      <x:c r="F1239" t="n">
        <x:v>170</x:v>
      </x:c>
      <x:c r="G1239" t="n">
        <x:v>46</x:v>
      </x:c>
      <x:c r="H1239" t="str">
        <x:v>informational, transactional</x:v>
      </x:c>
    </x:row>
    <x:row r="1240">
      <x:c r="A1240" t="str">
        <x:v>48</x:v>
      </x:c>
      <x:c r="B1240" t="str">
        <x:v>purchase cigarettes age</x:v>
      </x:c>
      <x:c r="C1240" t="str">
        <x:v>48</x:v>
      </x:c>
      <x:c r="D1240" t="str">
        <x:v>age of buying cigarettes</x:v>
      </x:c>
      <x:c r="E1240" t="str">
        <x:v>recommended</x:v>
      </x:c>
      <x:c r="F1240" t="n">
        <x:v>320</x:v>
      </x:c>
      <x:c r="G1240" t="n">
        <x:v>46</x:v>
      </x:c>
      <x:c r="H1240" t="str">
        <x:v>informational</x:v>
      </x:c>
    </x:row>
    <x:row r="1241">
      <x:c r="A1241" t="str">
        <x:v>48</x:v>
      </x:c>
      <x:c r="B1241" t="str">
        <x:v>purchase cigarettes age</x:v>
      </x:c>
      <x:c r="C1241" t="str">
        <x:v>48</x:v>
      </x:c>
      <x:c r="D1241" t="str">
        <x:v>how old are you to buy cigarettes</x:v>
      </x:c>
      <x:c r="E1241" t="str">
        <x:v>recommended</x:v>
      </x:c>
      <x:c r="F1241" t="n">
        <x:v>40</x:v>
      </x:c>
      <x:c r="G1241" t="n">
        <x:v>48</x:v>
      </x:c>
      <x:c r="H1241" t="str">
        <x:v>informational</x:v>
      </x:c>
    </x:row>
    <x:row r="1242">
      <x:c r="A1242" t="str">
        <x:v>48</x:v>
      </x:c>
      <x:c r="B1242" t="str">
        <x:v>purchase cigarettes age</x:v>
      </x:c>
      <x:c r="C1242" t="str">
        <x:v>48</x:v>
      </x:c>
      <x:c r="D1242" t="str">
        <x:v>how old do u have to be to buy nicotine</x:v>
      </x:c>
      <x:c r="E1242" t="str">
        <x:v>recommended</x:v>
      </x:c>
      <x:c r="F1242" t="n">
        <x:v>40</x:v>
      </x:c>
      <x:c r="G1242" t="n">
        <x:v>48</x:v>
      </x:c>
      <x:c r="H1242" t="str">
        <x:v>informational</x:v>
      </x:c>
    </x:row>
    <x:row r="1243">
      <x:c r="A1243" t="str">
        <x:v>48</x:v>
      </x:c>
      <x:c r="B1243" t="str">
        <x:v>purchase cigarettes age</x:v>
      </x:c>
      <x:c r="C1243" t="str">
        <x:v>48</x:v>
      </x:c>
      <x:c r="D1243" t="str">
        <x:v>cigarettes age limit</x:v>
      </x:c>
      <x:c r="E1243" t="str">
        <x:v>recommended</x:v>
      </x:c>
      <x:c r="F1243" t="n">
        <x:v>110</x:v>
      </x:c>
      <x:c r="G1243" t="n">
        <x:v>48</x:v>
      </x:c>
      <x:c r="H1243" t="str">
        <x:v>informational</x:v>
      </x:c>
    </x:row>
    <x:row r="1244">
      <x:c r="A1244" t="str">
        <x:v>48</x:v>
      </x:c>
      <x:c r="B1244" t="str">
        <x:v>purchase cigarettes age</x:v>
      </x:c>
      <x:c r="C1244" t="str">
        <x:v>48</x:v>
      </x:c>
      <x:c r="D1244" t="str">
        <x:v>how old do you have to be to buy smokes</x:v>
      </x:c>
      <x:c r="E1244" t="str">
        <x:v>recommended</x:v>
      </x:c>
      <x:c r="F1244" t="n">
        <x:v>1300</x:v>
      </x:c>
      <x:c r="G1244" t="n">
        <x:v>48</x:v>
      </x:c>
      <x:c r="H1244" t="str">
        <x:v>informational</x:v>
      </x:c>
    </x:row>
    <x:row r="1245">
      <x:c r="A1245" t="str">
        <x:v>48</x:v>
      </x:c>
      <x:c r="B1245" t="str">
        <x:v>purchase cigarettes age</x:v>
      </x:c>
      <x:c r="C1245" t="str">
        <x:v>48</x:v>
      </x:c>
      <x:c r="D1245" t="str">
        <x:v>cigarette age limit</x:v>
      </x:c>
      <x:c r="E1245" t="str">
        <x:v>recommended</x:v>
      </x:c>
      <x:c r="F1245" t="n">
        <x:v>170</x:v>
      </x:c>
      <x:c r="G1245" t="n">
        <x:v>50</x:v>
      </x:c>
      <x:c r="H1245" t="str">
        <x:v>informational, commercial</x:v>
      </x:c>
    </x:row>
    <x:row r="1246">
      <x:c r="A1246" t="str">
        <x:v>48</x:v>
      </x:c>
      <x:c r="B1246" t="str">
        <x:v>purchase cigarettes age</x:v>
      </x:c>
      <x:c r="C1246" t="str">
        <x:v>48</x:v>
      </x:c>
      <x:c r="D1246" t="str">
        <x:v>tobacco purchase age</x:v>
      </x:c>
      <x:c r="E1246" t="str">
        <x:v>recommended</x:v>
      </x:c>
      <x:c r="F1246" t="n">
        <x:v>210</x:v>
      </x:c>
      <x:c r="G1246" t="n">
        <x:v>50</x:v>
      </x:c>
      <x:c r="H1246" t="str">
        <x:v>informational, transactional</x:v>
      </x:c>
    </x:row>
    <x:row r="1247">
      <x:c r="A1247" t="str">
        <x:v>48</x:v>
      </x:c>
      <x:c r="B1247" t="str">
        <x:v>purchase cigarettes age</x:v>
      </x:c>
      <x:c r="C1247" t="str">
        <x:v>48</x:v>
      </x:c>
      <x:c r="D1247" t="str">
        <x:v>e cigarette legal age</x:v>
      </x:c>
      <x:c r="E1247" t="str">
        <x:v>recommended</x:v>
      </x:c>
      <x:c r="F1247" t="n">
        <x:v>590</x:v>
      </x:c>
      <x:c r="G1247" t="n">
        <x:v>53</x:v>
      </x:c>
      <x:c r="H1247" t="str">
        <x:v>informational, commercial</x:v>
      </x:c>
    </x:row>
    <x:row r="1248">
      <x:c r="A1248" t="str">
        <x:v>48</x:v>
      </x:c>
      <x:c r="B1248" t="str">
        <x:v>purchase cigarettes age</x:v>
      </x:c>
      <x:c r="C1248" t="str">
        <x:v>48</x:v>
      </x:c>
      <x:c r="D1248" t="str">
        <x:v>how old to buy cigarettes</x:v>
      </x:c>
      <x:c r="E1248" t="str">
        <x:v>recommended</x:v>
      </x:c>
      <x:c r="F1248" t="n">
        <x:v>2400</x:v>
      </x:c>
      <x:c r="G1248" t="n">
        <x:v>54</x:v>
      </x:c>
      <x:c r="H1248" t="str">
        <x:v>informational</x:v>
      </x:c>
    </x:row>
    <x:row r="1249">
      <x:c r="A1249" t="str">
        <x:v>48</x:v>
      </x:c>
      <x:c r="B1249" t="str">
        <x:v>best portable vape</x:v>
      </x:c>
      <x:c r="C1249" t="str">
        <x:v>48</x:v>
      </x:c>
      <x:c r="D1249" t="str">
        <x:v>best portable vape</x:v>
      </x:c>
      <x:c r="E1249" t="str">
        <x:v>recommended</x:v>
      </x:c>
      <x:c r="F1249" t="n">
        <x:v>90</x:v>
      </x:c>
      <x:c r="G1249" t="n">
        <x:v>21</x:v>
      </x:c>
      <x:c r="H1249" t="str">
        <x:v>commercial</x:v>
      </x:c>
    </x:row>
    <x:row r="1250">
      <x:c r="A1250" t="str">
        <x:v>48</x:v>
      </x:c>
      <x:c r="B1250" t="str">
        <x:v>best portable vape</x:v>
      </x:c>
      <x:c r="C1250" t="str">
        <x:v>48</x:v>
      </x:c>
      <x:c r="D1250" t="str">
        <x:v>best vaping pen</x:v>
      </x:c>
      <x:c r="E1250" t="str">
        <x:v>recommended</x:v>
      </x:c>
      <x:c r="F1250" t="n">
        <x:v>40</x:v>
      </x:c>
      <x:c r="G1250" t="n">
        <x:v>22</x:v>
      </x:c>
      <x:c r="H1250" t="str">
        <x:v>commercial</x:v>
      </x:c>
    </x:row>
    <x:row r="1251">
      <x:c r="A1251" t="str">
        <x:v>48</x:v>
      </x:c>
      <x:c r="B1251" t="str">
        <x:v>best portable vape</x:v>
      </x:c>
      <x:c r="C1251" t="str">
        <x:v>48</x:v>
      </x:c>
      <x:c r="D1251" t="str">
        <x:v>ecigarette reviews</x:v>
      </x:c>
      <x:c r="E1251" t="str">
        <x:v>recommended</x:v>
      </x:c>
      <x:c r="F1251" t="n">
        <x:v>2900</x:v>
      </x:c>
      <x:c r="G1251" t="n">
        <x:v>25</x:v>
      </x:c>
      <x:c r="H1251" t="str">
        <x:v>commercial</x:v>
      </x:c>
    </x:row>
    <x:row r="1252">
      <x:c r="A1252" t="str">
        <x:v>48</x:v>
      </x:c>
      <x:c r="B1252" t="str">
        <x:v>best portable vape</x:v>
      </x:c>
      <x:c r="C1252" t="str">
        <x:v>48</x:v>
      </x:c>
      <x:c r="D1252" t="str">
        <x:v>portable flower vape</x:v>
      </x:c>
      <x:c r="E1252" t="str">
        <x:v>recommended</x:v>
      </x:c>
      <x:c r="F1252" t="n">
        <x:v>50</x:v>
      </x:c>
      <x:c r="G1252" t="n">
        <x:v>52</x:v>
      </x:c>
      <x:c r="H1252" t="str">
        <x:v>commercial</x:v>
      </x:c>
    </x:row>
    <x:row r="1253">
      <x:c r="A1253" t="str">
        <x:v>48</x:v>
      </x:c>
      <x:c r="B1253" t="str">
        <x:v>best portable vape</x:v>
      </x:c>
      <x:c r="C1253" t="str">
        <x:v>48</x:v>
      </x:c>
      <x:c r="D1253" t="str">
        <x:v>vaping herbs</x:v>
      </x:c>
      <x:c r="E1253" t="str">
        <x:v>recommended</x:v>
      </x:c>
      <x:c r="F1253" t="n">
        <x:v>1900</x:v>
      </x:c>
      <x:c r="G1253" t="n">
        <x:v>30</x:v>
      </x:c>
      <x:c r="H1253" t="str">
        <x:v>informational</x:v>
      </x:c>
    </x:row>
    <x:row r="1254">
      <x:c r="A1254" t="str">
        <x:v>48</x:v>
      </x:c>
      <x:c r="B1254" t="str">
        <x:v>best portable vape</x:v>
      </x:c>
      <x:c r="C1254" t="str">
        <x:v>48</x:v>
      </x:c>
      <x:c r="D1254" t="str">
        <x:v>best vaporizer</x:v>
      </x:c>
      <x:c r="E1254" t="str">
        <x:v>recommended</x:v>
      </x:c>
      <x:c r="F1254" t="n">
        <x:v>1900</x:v>
      </x:c>
      <x:c r="G1254" t="n">
        <x:v>34</x:v>
      </x:c>
      <x:c r="H1254" t="str">
        <x:v>commercial</x:v>
      </x:c>
    </x:row>
    <x:row r="1255">
      <x:c r="A1255" t="str">
        <x:v>48</x:v>
      </x:c>
      <x:c r="B1255" t="str">
        <x:v>best portable vape</x:v>
      </x:c>
      <x:c r="C1255" t="str">
        <x:v>48</x:v>
      </x:c>
      <x:c r="D1255" t="str">
        <x:v>vapes for pot</x:v>
      </x:c>
      <x:c r="E1255" t="str">
        <x:v>recommended</x:v>
      </x:c>
      <x:c r="F1255" t="n">
        <x:v>2900</x:v>
      </x:c>
      <x:c r="G1255" t="n">
        <x:v>53</x:v>
      </x:c>
      <x:c r="H1255" t="str">
        <x:v>commercial</x:v>
      </x:c>
    </x:row>
    <x:row r="1256">
      <x:c r="A1256" t="str">
        <x:v>48</x:v>
      </x:c>
      <x:c r="B1256" t="str">
        <x:v>best portable vape</x:v>
      </x:c>
      <x:c r="C1256" t="str">
        <x:v>48</x:v>
      </x:c>
      <x:c r="D1256" t="str">
        <x:v>vape for bud</x:v>
      </x:c>
      <x:c r="E1256" t="str">
        <x:v>recommended</x:v>
      </x:c>
      <x:c r="F1256" t="n">
        <x:v>2900</x:v>
      </x:c>
      <x:c r="G1256" t="n">
        <x:v>57</x:v>
      </x:c>
      <x:c r="H1256" t="str">
        <x:v>commercial</x:v>
      </x:c>
    </x:row>
    <x:row r="1257">
      <x:c r="A1257" t="str">
        <x:v>48</x:v>
      </x:c>
      <x:c r="B1257" t="str">
        <x:v>best portable vape</x:v>
      </x:c>
      <x:c r="C1257" t="str">
        <x:v>48</x:v>
      </x:c>
      <x:c r="D1257" t="str">
        <x:v>flower vaporizer</x:v>
      </x:c>
      <x:c r="E1257" t="str">
        <x:v>recommended</x:v>
      </x:c>
      <x:c r="F1257" t="n">
        <x:v>2900</x:v>
      </x:c>
      <x:c r="G1257" t="n">
        <x:v>60</x:v>
      </x:c>
      <x:c r="H1257" t="str">
        <x:v>commercial</x:v>
      </x:c>
    </x:row>
    <x:row r="1258">
      <x:c r="A1258" t="str">
        <x:v>48</x:v>
      </x:c>
      <x:c r="B1258" t="str">
        <x:v>ice vape juice</x:v>
      </x:c>
      <x:c r="C1258" t="str">
        <x:v>48</x:v>
      </x:c>
      <x:c r="D1258" t="str">
        <x:v>ice vape juice</x:v>
      </x:c>
      <x:c r="E1258" t="str">
        <x:v>recommended</x:v>
      </x:c>
      <x:c r="F1258" t="n">
        <x:v>90</x:v>
      </x:c>
      <x:c r="G1258" t="n">
        <x:v>1</x:v>
      </x:c>
      <x:c r="H1258" t="str">
        <x:v>commercial</x:v>
      </x:c>
    </x:row>
    <x:row r="1259">
      <x:c r="A1259" t="str">
        <x:v>48</x:v>
      </x:c>
      <x:c r="B1259" t="str">
        <x:v>ice vape juice</x:v>
      </x:c>
      <x:c r="C1259" t="str">
        <x:v>48</x:v>
      </x:c>
      <x:c r="D1259" t="str">
        <x:v>sweet mint vape juice</x:v>
      </x:c>
      <x:c r="E1259" t="str">
        <x:v>recommended</x:v>
      </x:c>
      <x:c r="F1259" t="n">
        <x:v>40</x:v>
      </x:c>
      <x:c r="G1259" t="n">
        <x:v>3</x:v>
      </x:c>
      <x:c r="H1259" t="str">
        <x:v>informational</x:v>
      </x:c>
    </x:row>
    <x:row r="1260">
      <x:c r="A1260" t="str">
        <x:v>48</x:v>
      </x:c>
      <x:c r="B1260" t="str">
        <x:v>ice vape juice</x:v>
      </x:c>
      <x:c r="C1260" t="str">
        <x:v>48</x:v>
      </x:c>
      <x:c r="D1260" t="str">
        <x:v>menthol flavored vape juice</x:v>
      </x:c>
      <x:c r="E1260" t="str">
        <x:v>recommended</x:v>
      </x:c>
      <x:c r="F1260" t="n">
        <x:v>40</x:v>
      </x:c>
      <x:c r="G1260" t="n">
        <x:v>16</x:v>
      </x:c>
      <x:c r="H1260" t="str">
        <x:v>commercial</x:v>
      </x:c>
    </x:row>
    <x:row r="1261">
      <x:c r="A1261" t="str">
        <x:v>48</x:v>
      </x:c>
      <x:c r="B1261" t="str">
        <x:v>ice vape juice</x:v>
      </x:c>
      <x:c r="C1261" t="str">
        <x:v>48</x:v>
      </x:c>
      <x:c r="D1261" t="str">
        <x:v>best citrus vape flavor</x:v>
      </x:c>
      <x:c r="E1261" t="str">
        <x:v>recommended</x:v>
      </x:c>
      <x:c r="F1261" t="n">
        <x:v>0</x:v>
      </x:c>
      <x:c r="G1261" t="n">
        <x:v>0</x:v>
      </x:c>
      <x:c r="H1261" t="str">
        <x:v>48</x:v>
      </x:c>
    </x:row>
    <x:row r="1262">
      <x:c r="A1262" t="str">
        <x:v>48</x:v>
      </x:c>
      <x:c r="B1262" t="str">
        <x:v>vape mod starter kit</x:v>
      </x:c>
      <x:c r="C1262" t="str">
        <x:v>48</x:v>
      </x:c>
      <x:c r="D1262" t="str">
        <x:v>vape mod starter kit</x:v>
      </x:c>
      <x:c r="E1262" t="str">
        <x:v>recommended</x:v>
      </x:c>
      <x:c r="F1262" t="n">
        <x:v>140</x:v>
      </x:c>
      <x:c r="G1262" t="n">
        <x:v>25</x:v>
      </x:c>
      <x:c r="H1262" t="str">
        <x:v>commercial</x:v>
      </x:c>
    </x:row>
    <x:row r="1263">
      <x:c r="A1263" t="str">
        <x:v>48</x:v>
      </x:c>
      <x:c r="B1263" t="str">
        <x:v>vape mod starter kit</x:v>
      </x:c>
      <x:c r="C1263" t="str">
        <x:v>48</x:v>
      </x:c>
      <x:c r="D1263" t="str">
        <x:v>best vape mod kits</x:v>
      </x:c>
      <x:c r="E1263" t="str">
        <x:v>recommended</x:v>
      </x:c>
      <x:c r="F1263" t="n">
        <x:v>50</x:v>
      </x:c>
      <x:c r="G1263" t="n">
        <x:v>6</x:v>
      </x:c>
      <x:c r="H1263" t="str">
        <x:v>commercial</x:v>
      </x:c>
    </x:row>
    <x:row r="1264">
      <x:c r="A1264" t="str">
        <x:v>48</x:v>
      </x:c>
      <x:c r="B1264" t="str">
        <x:v>vape mod starter kit</x:v>
      </x:c>
      <x:c r="C1264" t="str">
        <x:v>48</x:v>
      </x:c>
      <x:c r="D1264" t="str">
        <x:v>refillable vape mods</x:v>
      </x:c>
      <x:c r="E1264" t="str">
        <x:v>recommended</x:v>
      </x:c>
      <x:c r="F1264" t="n">
        <x:v>40</x:v>
      </x:c>
      <x:c r="G1264" t="n">
        <x:v>39</x:v>
      </x:c>
      <x:c r="H1264" t="str">
        <x:v>informational</x:v>
      </x:c>
    </x:row>
    <x:row r="1265">
      <x:c r="A1265" t="str">
        <x:v>48</x:v>
      </x:c>
      <x:c r="B1265" t="str">
        <x:v>how old to buy vape in texas</x:v>
      </x:c>
      <x:c r="C1265" t="str">
        <x:v>48</x:v>
      </x:c>
      <x:c r="D1265" t="str">
        <x:v>how old to buy vape in texas</x:v>
      </x:c>
      <x:c r="E1265" t="str">
        <x:v>recommended</x:v>
      </x:c>
      <x:c r="F1265" t="n">
        <x:v>40</x:v>
      </x:c>
      <x:c r="G1265" t="n">
        <x:v>27</x:v>
      </x:c>
      <x:c r="H1265" t="str">
        <x:v>informational</x:v>
      </x:c>
    </x:row>
    <x:row r="1266">
      <x:c r="A1266" t="str">
        <x:v>48</x:v>
      </x:c>
      <x:c r="B1266" t="str">
        <x:v>how old to buy vape in texas</x:v>
      </x:c>
      <x:c r="C1266" t="str">
        <x:v>48</x:v>
      </x:c>
      <x:c r="D1266" t="str">
        <x:v>legal age to buy vape in arizona</x:v>
      </x:c>
      <x:c r="E1266" t="str">
        <x:v>recommended</x:v>
      </x:c>
      <x:c r="F1266" t="n">
        <x:v>50</x:v>
      </x:c>
      <x:c r="G1266" t="n">
        <x:v>12</x:v>
      </x:c>
      <x:c r="H1266" t="str">
        <x:v>informational</x:v>
      </x:c>
    </x:row>
    <x:row r="1267">
      <x:c r="A1267" t="str">
        <x:v>48</x:v>
      </x:c>
      <x:c r="B1267" t="str">
        <x:v>how old to buy vape in texas</x:v>
      </x:c>
      <x:c r="C1267" t="str">
        <x:v>48</x:v>
      </x:c>
      <x:c r="D1267" t="str">
        <x:v>how old do you have to be to buy cig</x:v>
      </x:c>
      <x:c r="E1267" t="str">
        <x:v>recommended</x:v>
      </x:c>
      <x:c r="F1267" t="n">
        <x:v>320</x:v>
      </x:c>
      <x:c r="G1267" t="n">
        <x:v>46</x:v>
      </x:c>
      <x:c r="H1267" t="str">
        <x:v>informational</x:v>
      </x:c>
    </x:row>
  </x:sheetData>
  <x:pageMargins left="0.7" right="0.7" top="0.75" bottom="0.75" header="0.3" footer="0.3"/>
  <x:tableParts count="1">
    <x:tablePart xmlns:r="http://schemas.openxmlformats.org/officeDocument/2006/relationships" r:id="Rc2dba8f968a740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6" hidden="0" customWidth="1"/>
    <x:col min="5" max="5" width="12" hidden="0" customWidth="1"/>
    <x:col min="6" max="6" width="16" hidden="0" customWidth="1"/>
    <x:col min="7" max="7" width="22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6" hidden="0" customWidth="1"/>
    <x:col min="14" max="14" width="58" hidden="0" customWidth="1"/>
    <x:col min="15" max="15" width="34" hidden="0" customWidth="1"/>
    <x:col min="16" max="16" width="16" hidden="0" customWidth="1"/>
    <x:col min="17" max="17" width="22" hidden="0" customWidth="1"/>
    <x:col min="18" max="18" width="56" hidden="0" customWidth="1"/>
    <x:col min="19" max="19" width="60" hidden="0" customWidth="1"/>
    <x:col min="20" max="20" width="12" hidden="0" customWidth="1"/>
    <x:col min="21" max="21" width="12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6" hidden="0" customWidth="1"/>
    <x:col min="28" max="28" width="34" hidden="0" customWidth="1"/>
    <x:col min="29" max="29" width="48" hidden="0" customWidth="1"/>
    <x:col min="30" max="30" width="60" hidden="0" customWidth="1"/>
  </x:cols>
  <x:sheetData>
    <x:row r="1">
      <x:c r="A1" s="31" t="str">
        <x:v>原始行号</x:v>
      </x:c>
      <x:c r="B1" s="32" t="str">
        <x:v>url</x:v>
      </x:c>
      <x:c r="C1" s="32" t="str">
        <x:v>关键词</x:v>
      </x:c>
      <x:c r="D1" s="32" t="str">
        <x:v>keyword type</x:v>
      </x:c>
      <x:c r="E1" s="32" t="str">
        <x:v>volume</x:v>
      </x:c>
      <x:c r="F1" s="32" t="str">
        <x:v>keyword difficulty</x:v>
      </x:c>
      <x:c r="G1" s="32" t="str">
        <x:v>Semrush intent</x:v>
      </x:c>
      <x:c r="H1" s="32" t="str">
        <x:v>主题簇</x:v>
      </x:c>
      <x:c r="I1" s="32" t="str">
        <x:v>关键词角色</x:v>
      </x:c>
      <x:c r="J1" s="32" t="str">
        <x:v>推荐站点</x:v>
      </x:c>
      <x:c r="K1" s="32" t="str">
        <x:v>人工确认站点</x:v>
      </x:c>
      <x:c r="L1" s="32" t="str">
        <x:v>最终站点</x:v>
      </x:c>
      <x:c r="M1" s="32" t="str">
        <x:v>推荐页面/文章类型</x:v>
      </x:c>
      <x:c r="N1" s="32" t="str">
        <x:v>博客标题方向/页面角度</x:v>
      </x:c>
      <x:c r="O1" s="32" t="str">
        <x:v>主站承接页/内链目标</x:v>
      </x:c>
      <x:c r="P1" s="32" t="str">
        <x:v>是否可导流主站</x:v>
      </x:c>
      <x:c r="Q1" s="32" t="str">
        <x:v>推荐锚文本类型</x:v>
      </x:c>
      <x:c r="R1" s="32" t="str">
        <x:v>合规/竞争风险</x:v>
      </x:c>
      <x:c r="S1" s="32" t="str">
        <x:v>意图校验备注</x:v>
      </x:c>
      <x:c r="T1" s="32" t="str">
        <x:v>需求分(0-20)</x:v>
      </x:c>
      <x:c r="U1" s="32" t="str">
        <x:v>难度分(0-15)</x:v>
      </x:c>
      <x:c r="V1" s="32" t="str">
        <x:v>商业价值分(0-20)</x:v>
      </x:c>
      <x:c r="W1" s="32" t="str">
        <x:v>内容可写分(0-15)</x:v>
      </x:c>
      <x:c r="X1" s="32" t="str">
        <x:v>站点匹配分(0-15)</x:v>
      </x:c>
      <x:c r="Y1" s="32" t="str">
        <x:v>风险扣分(0-20)</x:v>
      </x:c>
      <x:c r="Z1" s="32" t="str">
        <x:v>总分(公式)</x:v>
      </x:c>
      <x:c r="AA1" s="32" t="str">
        <x:v>优先级(公式)</x:v>
      </x:c>
      <x:c r="AB1" s="32" t="str">
        <x:v>下一步动作(公式)</x:v>
      </x:c>
      <x:c r="AC1" s="32" t="str">
        <x:v>原始title</x:v>
      </x:c>
      <x:c r="AD1" s="33" t="str">
        <x:v>原始description</x:v>
      </x:c>
    </x:row>
    <x:row r="2">
      <x:c r="A2" s="40" t="n">
        <x:v>2</x:v>
      </x:c>
      <x:c r="B2" s="18" t="str">
        <x:v>https://exdivo.com/</x:v>
      </x:c>
      <x:c r="C2" s="18" t="str">
        <x:v>what are disposable vapes</x:v>
      </x:c>
      <x:c r="D2" s="18" t="str">
        <x:v>recommended</x:v>
      </x:c>
      <x:c r="E2" s="41" t="n">
        <x:v>320</x:v>
      </x:c>
      <x:c r="F2" s="41" t="n">
        <x:v>27</x:v>
      </x:c>
      <x:c r="G2" s="18" t="str">
        <x:v>informational</x:v>
      </x:c>
      <x:c r="H2" s="18" t="str">
        <x:v>Disposable Vape</x:v>
      </x:c>
      <x:c r="I2" s="18" t="str">
        <x:v>知识/教程词</x:v>
      </x:c>
      <x:c r="J2" s="18" t="str">
        <x:v>博客A-知识教程</x:v>
      </x:c>
      <x:c r="K2" s="18" t="str"/>
      <x:c r="L2" s="18" t="str">
        <x:f>IF(K2="",J2,K2)</x:f>
        <x:v>博客A-知识教程</x:v>
      </x:c>
      <x:c r="M2" s="18" t="str">
        <x:v>百科/How-to/FAQ文章</x:v>
      </x:c>
      <x:c r="N2" s="18" t="str">
        <x:v>Guide angle: explain what are disposable vapes, answer common questions, and avoid sales-first writing</x:v>
      </x:c>
      <x:c r="O2" s="18" t="str">
        <x:v>/collections/disposable-vapes</x:v>
      </x:c>
      <x:c r="P2" s="18" t="str">
        <x:v>谨慎</x:v>
      </x:c>
      <x:c r="Q2" s="18" t="str">
        <x:v>自然句/品牌词</x:v>
      </x:c>
      <x:c r="R2" s="18" t="str">
        <x:v>低中风险：先满足信息意图，导流要克制</x:v>
      </x:c>
      <x:c r="S2" s="18" t="str">
        <x:v>如果文章能自然回答下一步购买问题，再放 1 个主站内链；否则只做知识闭环。</x:v>
      </x:c>
      <x:c r="T2" s="42" t="n">
        <x:v>7</x:v>
      </x:c>
      <x:c r="U2" s="42" t="n">
        <x:v>12</x:v>
      </x:c>
      <x:c r="V2" s="42" t="n">
        <x:v>9</x:v>
      </x:c>
      <x:c r="W2" s="42" t="n">
        <x:v>14</x:v>
      </x:c>
      <x:c r="X2" s="42" t="n">
        <x:v>12</x:v>
      </x:c>
      <x:c r="Y2" s="42" t="n">
        <x:v>5</x:v>
      </x:c>
      <x:c r="Z2" s="42" t="n">
        <x:f>MAX(0,MIN(100,ROUND(((T2+U2+V2+W2+X2)-Y2)/85*100,0)))</x:f>
        <x:v>58</x:v>
      </x:c>
      <x:c r="AA2" s="18" t="str">
        <x:f>IF(L2="暂不做","P3 暂缓",IF(Z2&gt;=75,"P0 本周做",IF(Z2&gt;=60,"P1 近期做",IF(Z2&gt;=45,"P2 备选","P3 暂缓"))))</x:f>
        <x:v>P2 备选</x:v>
      </x:c>
      <x:c r="AB2" s="18" t="str">
        <x:f>IF(Y2&gt;=15,"先做合规/相关性复核，不建议直接商业导流",IF(L2="主站","建/优化主站商业页",IF(L2="博客A-知识教程","写知识教程/FAQ文章",IF(L2="博客B-场景人群","写场景需求/选购指南文章",IF(L2="博客C-对比评测","写对比评测/榜单文章","暂不做或人工复核")))))</x:f>
        <x:v>写知识教程/FAQ文章</x:v>
      </x:c>
      <x:c r="AC2" s="18" t="str">
        <x:v>Exdivo Official – High Quality Disposable Vape, Pod Kits &amp; E-Cigarettes</x:v>
      </x:c>
      <x:c r="AD2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3">
      <x:c r="A3" s="40" t="n">
        <x:v>3</x:v>
      </x:c>
      <x:c r="B3" s="18" t="str">
        <x:v>https://exdivo.com/</x:v>
      </x:c>
      <x:c r="C3" s="18" t="str">
        <x:v>disposable vapes</x:v>
      </x:c>
      <x:c r="D3" s="18" t="str">
        <x:v>recommended</x:v>
      </x:c>
      <x:c r="E3" s="41" t="n">
        <x:v>22200</x:v>
      </x:c>
      <x:c r="F3" s="41" t="n">
        <x:v>47</x:v>
      </x:c>
      <x:c r="G3" s="18" t="str">
        <x:v>informational</x:v>
      </x:c>
      <x:c r="H3" s="18" t="str">
        <x:v>Disposable Vape</x:v>
      </x:c>
      <x:c r="I3" s="18" t="str">
        <x:v>品类承接词</x:v>
      </x:c>
      <x:c r="J3" s="18" t="str">
        <x:v>主站</x:v>
      </x:c>
      <x:c r="K3" s="18" t="str"/>
      <x:c r="L3" s="18" t="str">
        <x:f>IF(K3="",J3,K3)</x:f>
        <x:v>主站</x:v>
      </x:c>
      <x:c r="M3" s="18" t="str">
        <x:v>品类页/集合页 + FAQ内容块</x:v>
      </x:c>
      <x:c r="N3" s="18" t="str">
        <x:v>主站品类页：用产品集合 + 选购说明承接</x:v>
      </x:c>
      <x:c r="O3" s="18" t="str">
        <x:v>/collections/disposable-vapes</x:v>
      </x:c>
      <x:c r="P3" s="18" t="str">
        <x:v>不适用</x:v>
      </x:c>
      <x:c r="Q3" s="18" t="str">
        <x:v>主站页面自身承接</x:v>
      </x:c>
      <x:c r="R3" s="18" t="str">
        <x:v>核心品类词：主站优先，博客只做长尾解释，不直接抢同一词</x:v>
      </x:c>
      <x:c r="S3" s="18" t="str">
        <x:v>如果 Google 首页产品页和指南混合，主站页要加 FAQ、选购指南、对比模块。</x:v>
      </x:c>
      <x:c r="T3" s="42" t="n">
        <x:v>20</x:v>
      </x:c>
      <x:c r="U3" s="42" t="n">
        <x:v>6</x:v>
      </x:c>
      <x:c r="V3" s="42" t="n">
        <x:v>16</x:v>
      </x:c>
      <x:c r="W3" s="42" t="n">
        <x:v>8</x:v>
      </x:c>
      <x:c r="X3" s="42" t="n">
        <x:v>15</x:v>
      </x:c>
      <x:c r="Y3" s="42" t="n">
        <x:v>4</x:v>
      </x:c>
      <x:c r="Z3" s="42" t="n">
        <x:f>MAX(0,MIN(100,ROUND(((T3+U3+V3+W3+X3)-Y3)/85*100,0)))</x:f>
        <x:v>72</x:v>
      </x:c>
      <x:c r="AA3" s="18" t="str">
        <x:f>IF(L3="暂不做","P3 暂缓",IF(Z3&gt;=75,"P0 本周做",IF(Z3&gt;=60,"P1 近期做",IF(Z3&gt;=45,"P2 备选","P3 暂缓"))))</x:f>
        <x:v>P1 近期做</x:v>
      </x:c>
      <x:c r="AB3" s="18" t="str">
        <x:f>IF(Y3&gt;=15,"先做合规/相关性复核，不建议直接商业导流",IF(L3="主站","建/优化主站商业页",IF(L3="博客A-知识教程","写知识教程/FAQ文章",IF(L3="博客B-场景人群","写场景需求/选购指南文章",IF(L3="博客C-对比评测","写对比评测/榜单文章","暂不做或人工复核")))))</x:f>
        <x:v>建/优化主站商业页</x:v>
      </x:c>
      <x:c r="AC3" s="18" t="str">
        <x:v>Exdivo Official – High Quality Disposable Vape, Pod Kits &amp; E-Cigarettes</x:v>
      </x:c>
      <x:c r="AD3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4">
      <x:c r="A4" s="40" t="n">
        <x:v>4</x:v>
      </x:c>
      <x:c r="B4" s="18" t="str">
        <x:v>https://exdivo.com/</x:v>
      </x:c>
      <x:c r="C4" s="18" t="str">
        <x:v>vapes flavored</x:v>
      </x:c>
      <x:c r="D4" s="18" t="str">
        <x:v>recommended</x:v>
      </x:c>
      <x:c r="E4" s="41" t="n">
        <x:v>3600</x:v>
      </x:c>
      <x:c r="F4" s="41" t="n">
        <x:v>30</x:v>
      </x:c>
      <x:c r="G4" s="18" t="str">
        <x:v>informational, commercial</x:v>
      </x:c>
      <x:c r="H4" s="18" t="str">
        <x:v>Flavor / 口味</x:v>
      </x:c>
      <x:c r="I4" s="18" t="str">
        <x:v>品类承接词</x:v>
      </x:c>
      <x:c r="J4" s="18" t="str">
        <x:v>主站</x:v>
      </x:c>
      <x:c r="K4" s="18" t="str"/>
      <x:c r="L4" s="18" t="str">
        <x:f>IF(K4="",J4,K4)</x:f>
        <x:v>主站</x:v>
      </x:c>
      <x:c r="M4" s="18" t="str">
        <x:v>品类页/集合页 + FAQ内容块</x:v>
      </x:c>
      <x:c r="N4" s="18" t="str">
        <x:v>主站品类页：用产品集合 + 选购说明承接</x:v>
      </x:c>
      <x:c r="O4" s="18" t="str">
        <x:v>/collections/flavored-disposable-vapes</x:v>
      </x:c>
      <x:c r="P4" s="18" t="str">
        <x:v>不适用</x:v>
      </x:c>
      <x:c r="Q4" s="18" t="str">
        <x:v>主站页面自身承接</x:v>
      </x:c>
      <x:c r="R4" s="18" t="str">
        <x:v>核心品类词：主站优先，博客只做长尾解释，不直接抢同一词</x:v>
      </x:c>
      <x:c r="S4" s="18" t="str">
        <x:v>如果 Google 首页产品页和指南混合，主站页要加 FAQ、选购指南、对比模块。</x:v>
      </x:c>
      <x:c r="T4" s="42" t="n">
        <x:v>13</x:v>
      </x:c>
      <x:c r="U4" s="42" t="n">
        <x:v>12</x:v>
      </x:c>
      <x:c r="V4" s="42" t="n">
        <x:v>18</x:v>
      </x:c>
      <x:c r="W4" s="42" t="n">
        <x:v>8</x:v>
      </x:c>
      <x:c r="X4" s="42" t="n">
        <x:v>15</x:v>
      </x:c>
      <x:c r="Y4" s="42" t="n">
        <x:v>4</x:v>
      </x:c>
      <x:c r="Z4" s="42" t="n">
        <x:f>MAX(0,MIN(100,ROUND(((T4+U4+V4+W4+X4)-Y4)/85*100,0)))</x:f>
        <x:v>73</x:v>
      </x:c>
      <x:c r="AA4" s="18" t="str">
        <x:f>IF(L4="暂不做","P3 暂缓",IF(Z4&gt;=75,"P0 本周做",IF(Z4&gt;=60,"P1 近期做",IF(Z4&gt;=45,"P2 备选","P3 暂缓"))))</x:f>
        <x:v>P1 近期做</x:v>
      </x:c>
      <x:c r="AB4" s="18" t="str">
        <x:f>IF(Y4&gt;=15,"先做合规/相关性复核，不建议直接商业导流",IF(L4="主站","建/优化主站商业页",IF(L4="博客A-知识教程","写知识教程/FAQ文章",IF(L4="博客B-场景人群","写场景需求/选购指南文章",IF(L4="博客C-对比评测","写对比评测/榜单文章","暂不做或人工复核")))))</x:f>
        <x:v>建/优化主站商业页</x:v>
      </x:c>
      <x:c r="AC4" s="18" t="str">
        <x:v>Exdivo Official – High Quality Disposable Vape, Pod Kits &amp; E-Cigarettes</x:v>
      </x:c>
      <x:c r="AD4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5">
      <x:c r="A5" s="40" t="n">
        <x:v>5</x:v>
      </x:c>
      <x:c r="B5" s="18" t="str">
        <x:v>https://exdivo.com/</x:v>
      </x:c>
      <x:c r="C5" s="18" t="str">
        <x:v>disposable vaping</x:v>
      </x:c>
      <x:c r="D5" s="18" t="str">
        <x:v>recommended</x:v>
      </x:c>
      <x:c r="E5" s="41" t="n">
        <x:v>8100</x:v>
      </x:c>
      <x:c r="F5" s="41" t="n">
        <x:v>49</x:v>
      </x:c>
      <x:c r="G5" s="18" t="str">
        <x:v>informational</x:v>
      </x:c>
      <x:c r="H5" s="18" t="str">
        <x:v>Disposable Vape</x:v>
      </x:c>
      <x:c r="I5" s="18" t="str">
        <x:v>品类承接词</x:v>
      </x:c>
      <x:c r="J5" s="18" t="str">
        <x:v>主站</x:v>
      </x:c>
      <x:c r="K5" s="18" t="str"/>
      <x:c r="L5" s="18" t="str">
        <x:f>IF(K5="",J5,K5)</x:f>
        <x:v>主站</x:v>
      </x:c>
      <x:c r="M5" s="18" t="str">
        <x:v>品类页/集合页 + FAQ内容块</x:v>
      </x:c>
      <x:c r="N5" s="18" t="str">
        <x:v>主站品类页：用产品集合 + 选购说明承接</x:v>
      </x:c>
      <x:c r="O5" s="18" t="str">
        <x:v>/collections/disposable-vapes</x:v>
      </x:c>
      <x:c r="P5" s="18" t="str">
        <x:v>不适用</x:v>
      </x:c>
      <x:c r="Q5" s="18" t="str">
        <x:v>主站页面自身承接</x:v>
      </x:c>
      <x:c r="R5" s="18" t="str">
        <x:v>核心品类词：主站优先，博客只做长尾解释，不直接抢同一词</x:v>
      </x:c>
      <x:c r="S5" s="18" t="str">
        <x:v>如果 Google 首页产品页和指南混合，主站页要加 FAQ、选购指南、对比模块。</x:v>
      </x:c>
      <x:c r="T5" s="42" t="n">
        <x:v>16</x:v>
      </x:c>
      <x:c r="U5" s="42" t="n">
        <x:v>6</x:v>
      </x:c>
      <x:c r="V5" s="42" t="n">
        <x:v>16</x:v>
      </x:c>
      <x:c r="W5" s="42" t="n">
        <x:v>8</x:v>
      </x:c>
      <x:c r="X5" s="42" t="n">
        <x:v>15</x:v>
      </x:c>
      <x:c r="Y5" s="42" t="n">
        <x:v>4</x:v>
      </x:c>
      <x:c r="Z5" s="42" t="n">
        <x:f>MAX(0,MIN(100,ROUND(((T5+U5+V5+W5+X5)-Y5)/85*100,0)))</x:f>
        <x:v>67</x:v>
      </x:c>
      <x:c r="AA5" s="18" t="str">
        <x:f>IF(L5="暂不做","P3 暂缓",IF(Z5&gt;=75,"P0 本周做",IF(Z5&gt;=60,"P1 近期做",IF(Z5&gt;=45,"P2 备选","P3 暂缓"))))</x:f>
        <x:v>P1 近期做</x:v>
      </x:c>
      <x:c r="AB5" s="18" t="str">
        <x:f>IF(Y5&gt;=15,"先做合规/相关性复核，不建议直接商业导流",IF(L5="主站","建/优化主站商业页",IF(L5="博客A-知识教程","写知识教程/FAQ文章",IF(L5="博客B-场景人群","写场景需求/选购指南文章",IF(L5="博客C-对比评测","写对比评测/榜单文章","暂不做或人工复核")))))</x:f>
        <x:v>建/优化主站商业页</x:v>
      </x:c>
      <x:c r="AC5" s="18" t="str">
        <x:v>Exdivo Official – High Quality Disposable Vape, Pod Kits &amp; E-Cigarettes</x:v>
      </x:c>
      <x:c r="AD5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6">
      <x:c r="A6" s="40" t="n">
        <x:v>6</x:v>
      </x:c>
      <x:c r="B6" s="18" t="str">
        <x:v>https://exdivo.com/</x:v>
      </x:c>
      <x:c r="C6" s="18" t="str">
        <x:v>refillable vapes</x:v>
      </x:c>
      <x:c r="D6" s="18" t="str">
        <x:v>recommended</x:v>
      </x:c>
      <x:c r="E6" s="41" t="n">
        <x:v>4400</x:v>
      </x:c>
      <x:c r="F6" s="41" t="n">
        <x:v>40</x:v>
      </x:c>
      <x:c r="G6" s="18" t="str">
        <x:v>informational</x:v>
      </x:c>
      <x:c r="H6" s="18" t="str">
        <x:v>Reusable / Rechargeable</x:v>
      </x:c>
      <x:c r="I6" s="18" t="str">
        <x:v>场景/需求词</x:v>
      </x:c>
      <x:c r="J6" s="18" t="str">
        <x:v>博客B-场景人群</x:v>
      </x:c>
      <x:c r="K6" s="18" t="str"/>
      <x:c r="L6" s="18" t="str">
        <x:f>IF(K6="",J6,K6)</x:f>
        <x:v>博客B-场景人群</x:v>
      </x:c>
      <x:c r="M6" s="18" t="str">
        <x:v>场景解决方案/选购指南文章</x:v>
      </x:c>
      <x:c r="N6" s="18" t="str">
        <x:v>Scenario angle: how to choose refillable vapes based on use case, flavor, nicotine, and budget</x:v>
      </x:c>
      <x:c r="O6" s="18" t="str">
        <x:v>/collections/rechargeable-vapes</x:v>
      </x:c>
      <x:c r="P6" s="18" t="str">
        <x:v>是</x:v>
      </x:c>
      <x:c r="Q6" s="18" t="str">
        <x:v>自然句/品类词</x:v>
      </x:c>
      <x:c r="R6" s="18" t="str">
        <x:v>低中风险：适合软性导流，但不要夸大效果或触碰健康疗效</x:v>
      </x:c>
      <x:c r="S6" s="18" t="str">
        <x:v>围绕使用场景、口味、尼古丁需求、便携性等写，不和主站品类页抢词。</x:v>
      </x:c>
      <x:c r="T6" s="42" t="n">
        <x:v>13</x:v>
      </x:c>
      <x:c r="U6" s="42" t="n">
        <x:v>9</x:v>
      </x:c>
      <x:c r="V6" s="42" t="n">
        <x:v>13</x:v>
      </x:c>
      <x:c r="W6" s="42" t="n">
        <x:v>14</x:v>
      </x:c>
      <x:c r="X6" s="42" t="n">
        <x:v>13</x:v>
      </x:c>
      <x:c r="Y6" s="42" t="n">
        <x:v>5</x:v>
      </x:c>
      <x:c r="Z6" s="42" t="n">
        <x:f>MAX(0,MIN(100,ROUND(((T6+U6+V6+W6+X6)-Y6)/85*100,0)))</x:f>
        <x:v>67</x:v>
      </x:c>
      <x:c r="AA6" s="18" t="str">
        <x:f>IF(L6="暂不做","P3 暂缓",IF(Z6&gt;=75,"P0 本周做",IF(Z6&gt;=60,"P1 近期做",IF(Z6&gt;=45,"P2 备选","P3 暂缓"))))</x:f>
        <x:v>P1 近期做</x:v>
      </x:c>
      <x:c r="AB6" s="18" t="str">
        <x:f>IF(Y6&gt;=15,"先做合规/相关性复核，不建议直接商业导流",IF(L6="主站","建/优化主站商业页",IF(L6="博客A-知识教程","写知识教程/FAQ文章",IF(L6="博客B-场景人群","写场景需求/选购指南文章",IF(L6="博客C-对比评测","写对比评测/榜单文章","暂不做或人工复核")))))</x:f>
        <x:v>写场景需求/选购指南文章</x:v>
      </x:c>
      <x:c r="AC6" s="18" t="str">
        <x:v>Exdivo Official – High Quality Disposable Vape, Pod Kits &amp; E-Cigarettes</x:v>
      </x:c>
      <x:c r="AD6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7">
      <x:c r="A7" s="40" t="n">
        <x:v>7</x:v>
      </x:c>
      <x:c r="B7" s="18" t="str">
        <x:v>https://exdivo.com/</x:v>
      </x:c>
      <x:c r="C7" s="18" t="str">
        <x:v>nicotine vapes</x:v>
      </x:c>
      <x:c r="D7" s="18" t="str">
        <x:v>recommended</x:v>
      </x:c>
      <x:c r="E7" s="41" t="n">
        <x:v>4400</x:v>
      </x:c>
      <x:c r="F7" s="41" t="n">
        <x:v>53</x:v>
      </x:c>
      <x:c r="G7" s="18" t="str">
        <x:v>informational</x:v>
      </x:c>
      <x:c r="H7" s="18" t="str">
        <x:v>Nicotine / 尼古丁</x:v>
      </x:c>
      <x:c r="I7" s="18" t="str">
        <x:v>品类承接词</x:v>
      </x:c>
      <x:c r="J7" s="18" t="str">
        <x:v>主站</x:v>
      </x:c>
      <x:c r="K7" s="18" t="str"/>
      <x:c r="L7" s="18" t="str">
        <x:f>IF(K7="",J7,K7)</x:f>
        <x:v>主站</x:v>
      </x:c>
      <x:c r="M7" s="18" t="str">
        <x:v>品类页/集合页 + FAQ内容块</x:v>
      </x:c>
      <x:c r="N7" s="18" t="str">
        <x:v>主站品类页：用产品集合 + 选购说明承接</x:v>
      </x:c>
      <x:c r="O7" s="18" t="str">
        <x:v>/collections/disposable-vapes</x:v>
      </x:c>
      <x:c r="P7" s="18" t="str">
        <x:v>不适用</x:v>
      </x:c>
      <x:c r="Q7" s="18" t="str">
        <x:v>主站页面自身承接</x:v>
      </x:c>
      <x:c r="R7" s="18" t="str">
        <x:v>核心品类词：主站优先，博客只做长尾解释，不直接抢同一词</x:v>
      </x:c>
      <x:c r="S7" s="18" t="str">
        <x:v>如果 Google 首页产品页和指南混合，主站页要加 FAQ、选购指南、对比模块。</x:v>
      </x:c>
      <x:c r="T7" s="42" t="n">
        <x:v>13</x:v>
      </x:c>
      <x:c r="U7" s="42" t="n">
        <x:v>6</x:v>
      </x:c>
      <x:c r="V7" s="42" t="n">
        <x:v>16</x:v>
      </x:c>
      <x:c r="W7" s="42" t="n">
        <x:v>8</x:v>
      </x:c>
      <x:c r="X7" s="42" t="n">
        <x:v>15</x:v>
      </x:c>
      <x:c r="Y7" s="42" t="n">
        <x:v>4</x:v>
      </x:c>
      <x:c r="Z7" s="42" t="n">
        <x:f>MAX(0,MIN(100,ROUND(((T7+U7+V7+W7+X7)-Y7)/85*100,0)))</x:f>
        <x:v>64</x:v>
      </x:c>
      <x:c r="AA7" s="18" t="str">
        <x:f>IF(L7="暂不做","P3 暂缓",IF(Z7&gt;=75,"P0 本周做",IF(Z7&gt;=60,"P1 近期做",IF(Z7&gt;=45,"P2 备选","P3 暂缓"))))</x:f>
        <x:v>P1 近期做</x:v>
      </x:c>
      <x:c r="AB7" s="18" t="str">
        <x:f>IF(Y7&gt;=15,"先做合规/相关性复核，不建议直接商业导流",IF(L7="主站","建/优化主站商业页",IF(L7="博客A-知识教程","写知识教程/FAQ文章",IF(L7="博客B-场景人群","写场景需求/选购指南文章",IF(L7="博客C-对比评测","写对比评测/榜单文章","暂不做或人工复核")))))</x:f>
        <x:v>建/优化主站商业页</x:v>
      </x:c>
      <x:c r="AC7" s="18" t="str">
        <x:v>Exdivo Official – High Quality Disposable Vape, Pod Kits &amp; E-Cigarettes</x:v>
      </x:c>
      <x:c r="AD7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8">
      <x:c r="A8" s="40" t="n">
        <x:v>8</x:v>
      </x:c>
      <x:c r="B8" s="18" t="str">
        <x:v>https://exdivo.com/</x:v>
      </x:c>
      <x:c r="C8" s="18" t="str">
        <x:v>vapes brands</x:v>
      </x:c>
      <x:c r="D8" s="18" t="str">
        <x:v>recommended</x:v>
      </x:c>
      <x:c r="E8" s="41" t="n">
        <x:v>2400</x:v>
      </x:c>
      <x:c r="F8" s="41" t="n">
        <x:v>38</x:v>
      </x:c>
      <x:c r="G8" s="18" t="str">
        <x:v>informational, commercial</x:v>
      </x:c>
      <x:c r="H8" s="18" t="str">
        <x:v>对比评测</x:v>
      </x:c>
      <x:c r="I8" s="18" t="str">
        <x:v>商业调查词</x:v>
      </x:c>
      <x:c r="J8" s="18" t="str">
        <x:v>博客C-对比评测</x:v>
      </x:c>
      <x:c r="K8" s="18" t="str"/>
      <x:c r="L8" s="18" t="str">
        <x:f>IF(K8="",J8,K8)</x:f>
        <x:v>博客C-对比评测</x:v>
      </x:c>
      <x:c r="M8" s="18" t="str">
        <x:v>Best/Top/Review/VS/替代方案文章</x:v>
      </x:c>
      <x:c r="N8" s="18" t="str">
        <x:v>Best angle: vapes brands - comparison, pros/cons, and which option fits different buyers</x:v>
      </x:c>
      <x:c r="O8" s="18" t="str">
        <x:v>/collections/disposable-vapes</x:v>
      </x:c>
      <x:c r="P8" s="18" t="str">
        <x:v>是</x:v>
      </x:c>
      <x:c r="Q8" s="18" t="str">
        <x:v>自然句/品类词/品牌词</x:v>
      </x:c>
      <x:c r="R8" s="18" t="str">
        <x:v>中风险：榜单和评测必须真实、中立，避免夸大</x:v>
      </x:c>
      <x:c r="S8" s="18" t="str">
        <x:v>这类词不直接给主站，先用博客C教育和比较，再导流到最相关集合页。</x:v>
      </x:c>
      <x:c r="T8" s="42" t="n">
        <x:v>13</x:v>
      </x:c>
      <x:c r="U8" s="42" t="n">
        <x:v>9</x:v>
      </x:c>
      <x:c r="V8" s="42" t="n">
        <x:v>16</x:v>
      </x:c>
      <x:c r="W8" s="42" t="n">
        <x:v>15</x:v>
      </x:c>
      <x:c r="X8" s="42" t="n">
        <x:v>13</x:v>
      </x:c>
      <x:c r="Y8" s="42" t="n">
        <x:v>6</x:v>
      </x:c>
      <x:c r="Z8" s="42" t="n">
        <x:f>MAX(0,MIN(100,ROUND(((T8+U8+V8+W8+X8)-Y8)/85*100,0)))</x:f>
        <x:v>71</x:v>
      </x:c>
      <x:c r="AA8" s="18" t="str">
        <x:f>IF(L8="暂不做","P3 暂缓",IF(Z8&gt;=75,"P0 本周做",IF(Z8&gt;=60,"P1 近期做",IF(Z8&gt;=45,"P2 备选","P3 暂缓"))))</x:f>
        <x:v>P1 近期做</x:v>
      </x:c>
      <x:c r="AB8" s="18" t="str">
        <x:f>IF(Y8&gt;=15,"先做合规/相关性复核，不建议直接商业导流",IF(L8="主站","建/优化主站商业页",IF(L8="博客A-知识教程","写知识教程/FAQ文章",IF(L8="博客B-场景人群","写场景需求/选购指南文章",IF(L8="博客C-对比评测","写对比评测/榜单文章","暂不做或人工复核")))))</x:f>
        <x:v>写对比评测/榜单文章</x:v>
      </x:c>
      <x:c r="AC8" s="18" t="str">
        <x:v>Exdivo Official – High Quality Disposable Vape, Pod Kits &amp; E-Cigarettes</x:v>
      </x:c>
      <x:c r="AD8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9">
      <x:c r="A9" s="40" t="n">
        <x:v>9</x:v>
      </x:c>
      <x:c r="B9" s="18" t="str">
        <x:v>https://exdivo.com/</x:v>
      </x:c>
      <x:c r="C9" s="18" t="str">
        <x:v>disposable vapor cigarettes</x:v>
      </x:c>
      <x:c r="D9" s="18" t="str">
        <x:v>recommended</x:v>
      </x:c>
      <x:c r="E9" s="41" t="n">
        <x:v>1900</x:v>
      </x:c>
      <x:c r="F9" s="41" t="n">
        <x:v>39</x:v>
      </x:c>
      <x:c r="G9" s="18" t="str">
        <x:v>informational</x:v>
      </x:c>
      <x:c r="H9" s="18" t="str">
        <x:v>Disposable Vape</x:v>
      </x:c>
      <x:c r="I9" s="18" t="str">
        <x:v>品类承接词</x:v>
      </x:c>
      <x:c r="J9" s="18" t="str">
        <x:v>主站</x:v>
      </x:c>
      <x:c r="K9" s="18" t="str"/>
      <x:c r="L9" s="18" t="str">
        <x:f>IF(K9="",J9,K9)</x:f>
        <x:v>主站</x:v>
      </x:c>
      <x:c r="M9" s="18" t="str">
        <x:v>品类页/集合页 + FAQ内容块</x:v>
      </x:c>
      <x:c r="N9" s="18" t="str">
        <x:v>主站品类页：用产品集合 + 选购说明承接</x:v>
      </x:c>
      <x:c r="O9" s="18" t="str">
        <x:v>/collections/e-cigarettes</x:v>
      </x:c>
      <x:c r="P9" s="18" t="str">
        <x:v>不适用</x:v>
      </x:c>
      <x:c r="Q9" s="18" t="str">
        <x:v>主站页面自身承接</x:v>
      </x:c>
      <x:c r="R9" s="18" t="str">
        <x:v>核心品类词：主站优先，博客只做长尾解释，不直接抢同一词</x:v>
      </x:c>
      <x:c r="S9" s="18" t="str">
        <x:v>如果 Google 首页产品页和指南混合，主站页要加 FAQ、选购指南、对比模块。</x:v>
      </x:c>
      <x:c r="T9" s="42" t="n">
        <x:v>13</x:v>
      </x:c>
      <x:c r="U9" s="42" t="n">
        <x:v>9</x:v>
      </x:c>
      <x:c r="V9" s="42" t="n">
        <x:v>16</x:v>
      </x:c>
      <x:c r="W9" s="42" t="n">
        <x:v>8</x:v>
      </x:c>
      <x:c r="X9" s="42" t="n">
        <x:v>15</x:v>
      </x:c>
      <x:c r="Y9" s="42" t="n">
        <x:v>4</x:v>
      </x:c>
      <x:c r="Z9" s="42" t="n">
        <x:f>MAX(0,MIN(100,ROUND(((T9+U9+V9+W9+X9)-Y9)/85*100,0)))</x:f>
        <x:v>67</x:v>
      </x:c>
      <x:c r="AA9" s="18" t="str">
        <x:f>IF(L9="暂不做","P3 暂缓",IF(Z9&gt;=75,"P0 本周做",IF(Z9&gt;=60,"P1 近期做",IF(Z9&gt;=45,"P2 备选","P3 暂缓"))))</x:f>
        <x:v>P1 近期做</x:v>
      </x:c>
      <x:c r="AB9" s="18" t="str">
        <x:f>IF(Y9&gt;=15,"先做合规/相关性复核，不建议直接商业导流",IF(L9="主站","建/优化主站商业页",IF(L9="博客A-知识教程","写知识教程/FAQ文章",IF(L9="博客B-场景人群","写场景需求/选购指南文章",IF(L9="博客C-对比评测","写对比评测/榜单文章","暂不做或人工复核")))))</x:f>
        <x:v>建/优化主站商业页</x:v>
      </x:c>
      <x:c r="AC9" s="18" t="str">
        <x:v>Exdivo Official – High Quality Disposable Vape, Pod Kits &amp; E-Cigarettes</x:v>
      </x:c>
      <x:c r="AD9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0">
      <x:c r="A10" s="40" t="n">
        <x:v>10</x:v>
      </x:c>
      <x:c r="B10" s="18" t="str">
        <x:v>https://exdivo.com/</x:v>
      </x:c>
      <x:c r="C10" s="18" t="str">
        <x:v>buy disposable vapes online</x:v>
      </x:c>
      <x:c r="D10" s="18" t="str">
        <x:v>recommended</x:v>
      </x:c>
      <x:c r="E10" s="41" t="n">
        <x:v>1900</x:v>
      </x:c>
      <x:c r="F10" s="41" t="n">
        <x:v>47</x:v>
      </x:c>
      <x:c r="G10" s="18" t="str">
        <x:v>transactional</x:v>
      </x:c>
      <x:c r="H10" s="18" t="str">
        <x:v>Disposable Vape</x:v>
      </x:c>
      <x:c r="I10" s="18" t="str">
        <x:v>交易词</x:v>
      </x:c>
      <x:c r="J10" s="18" t="str">
        <x:v>主站</x:v>
      </x:c>
      <x:c r="K10" s="18" t="str"/>
      <x:c r="L10" s="18" t="str">
        <x:f>IF(K10="",J10,K10)</x:f>
        <x:v>主站</x:v>
      </x:c>
      <x:c r="M10" s="18" t="str">
        <x:v>产品集合页/分类页/购买页</x:v>
      </x:c>
      <x:c r="N10" s="18" t="str">
        <x:v>主站商业页：标题围绕购买意图 + 品类 + 关键卖点</x:v>
      </x:c>
      <x:c r="O10" s="18" t="str">
        <x:v>/collections/disposable-vapes</x:v>
      </x:c>
      <x:c r="P10" s="18" t="str">
        <x:v>不适用</x:v>
      </x:c>
      <x:c r="Q10" s="18" t="str">
        <x:v>主站页面自身承接</x:v>
      </x:c>
      <x:c r="R10" s="18" t="str">
        <x:v>商业词：优先给主站，避免博客抢主站排名</x:v>
      </x:c>
      <x:c r="S10" s="18" t="str">
        <x:v>SERP 如为商品列表/品牌站/电商集合页，就建主站页面；若 SERP 全是教程，再拆支持文章。</x:v>
      </x:c>
      <x:c r="T10" s="42" t="n">
        <x:v>13</x:v>
      </x:c>
      <x:c r="U10" s="42" t="n">
        <x:v>6</x:v>
      </x:c>
      <x:c r="V10" s="42" t="n">
        <x:v>20</x:v>
      </x:c>
      <x:c r="W10" s="42" t="n">
        <x:v>7</x:v>
      </x:c>
      <x:c r="X10" s="42" t="n">
        <x:v>15</x:v>
      </x:c>
      <x:c r="Y10" s="42" t="n">
        <x:v>4</x:v>
      </x:c>
      <x:c r="Z10" s="42" t="n">
        <x:f>MAX(0,MIN(100,ROUND(((T10+U10+V10+W10+X10)-Y10)/85*100,0)))</x:f>
        <x:v>67</x:v>
      </x:c>
      <x:c r="AA10" s="18" t="str">
        <x:f>IF(L10="暂不做","P3 暂缓",IF(Z10&gt;=75,"P0 本周做",IF(Z10&gt;=60,"P1 近期做",IF(Z10&gt;=45,"P2 备选","P3 暂缓"))))</x:f>
        <x:v>P1 近期做</x:v>
      </x:c>
      <x:c r="AB10" s="18" t="str">
        <x:f>IF(Y10&gt;=15,"先做合规/相关性复核，不建议直接商业导流",IF(L10="主站","建/优化主站商业页",IF(L10="博客A-知识教程","写知识教程/FAQ文章",IF(L10="博客B-场景人群","写场景需求/选购指南文章",IF(L10="博客C-对比评测","写对比评测/榜单文章","暂不做或人工复核")))))</x:f>
        <x:v>建/优化主站商业页</x:v>
      </x:c>
      <x:c r="AC10" s="18" t="str">
        <x:v>Exdivo Official – High Quality Disposable Vape, Pod Kits &amp; E-Cigarettes</x:v>
      </x:c>
      <x:c r="AD10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1">
      <x:c r="A11" s="40" t="n">
        <x:v>11</x:v>
      </x:c>
      <x:c r="B11" s="18" t="str">
        <x:v>https://exdivo.com/</x:v>
      </x:c>
      <x:c r="C11" s="18" t="str">
        <x:v>different vapes</x:v>
      </x:c>
      <x:c r="D11" s="18" t="str">
        <x:v>recommended</x:v>
      </x:c>
      <x:c r="E11" s="41" t="n">
        <x:v>880</x:v>
      </x:c>
      <x:c r="F11" s="41" t="n">
        <x:v>28</x:v>
      </x:c>
      <x:c r="G11" s="18" t="str">
        <x:v>informational</x:v>
      </x:c>
      <x:c r="H11" s="18" t="str">
        <x:v>知识教程</x:v>
      </x:c>
      <x:c r="I11" s="18" t="str">
        <x:v>品类承接词</x:v>
      </x:c>
      <x:c r="J11" s="18" t="str">
        <x:v>主站</x:v>
      </x:c>
      <x:c r="K11" s="18" t="str"/>
      <x:c r="L11" s="18" t="str">
        <x:f>IF(K11="",J11,K11)</x:f>
        <x:v>主站</x:v>
      </x:c>
      <x:c r="M11" s="18" t="str">
        <x:v>品类页/集合页 + FAQ内容块</x:v>
      </x:c>
      <x:c r="N11" s="18" t="str">
        <x:v>主站品类页：用产品集合 + 选购说明承接</x:v>
      </x:c>
      <x:c r="O11" s="18" t="str">
        <x:v>/collections/disposable-vapes</x:v>
      </x:c>
      <x:c r="P11" s="18" t="str">
        <x:v>不适用</x:v>
      </x:c>
      <x:c r="Q11" s="18" t="str">
        <x:v>主站页面自身承接</x:v>
      </x:c>
      <x:c r="R11" s="18" t="str">
        <x:v>核心品类词：主站优先，博客只做长尾解释，不直接抢同一词</x:v>
      </x:c>
      <x:c r="S11" s="18" t="str">
        <x:v>如果 Google 首页产品页和指南混合，主站页要加 FAQ、选购指南、对比模块。</x:v>
      </x:c>
      <x:c r="T11" s="42" t="n">
        <x:v>10</x:v>
      </x:c>
      <x:c r="U11" s="42" t="n">
        <x:v>12</x:v>
      </x:c>
      <x:c r="V11" s="42" t="n">
        <x:v>16</x:v>
      </x:c>
      <x:c r="W11" s="42" t="n">
        <x:v>8</x:v>
      </x:c>
      <x:c r="X11" s="42" t="n">
        <x:v>15</x:v>
      </x:c>
      <x:c r="Y11" s="42" t="n">
        <x:v>4</x:v>
      </x:c>
      <x:c r="Z11" s="42" t="n">
        <x:f>MAX(0,MIN(100,ROUND(((T11+U11+V11+W11+X11)-Y11)/85*100,0)))</x:f>
        <x:v>67</x:v>
      </x:c>
      <x:c r="AA11" s="18" t="str">
        <x:f>IF(L11="暂不做","P3 暂缓",IF(Z11&gt;=75,"P0 本周做",IF(Z11&gt;=60,"P1 近期做",IF(Z11&gt;=45,"P2 备选","P3 暂缓"))))</x:f>
        <x:v>P1 近期做</x:v>
      </x:c>
      <x:c r="AB11" s="18" t="str">
        <x:f>IF(Y11&gt;=15,"先做合规/相关性复核，不建议直接商业导流",IF(L11="主站","建/优化主站商业页",IF(L11="博客A-知识教程","写知识教程/FAQ文章",IF(L11="博客B-场景人群","写场景需求/选购指南文章",IF(L11="博客C-对比评测","写对比评测/榜单文章","暂不做或人工复核")))))</x:f>
        <x:v>建/优化主站商业页</x:v>
      </x:c>
      <x:c r="AC11" s="18" t="str">
        <x:v>Exdivo Official – High Quality Disposable Vape, Pod Kits &amp; E-Cigarettes</x:v>
      </x:c>
      <x:c r="AD11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2">
      <x:c r="A12" s="40" t="n">
        <x:v>12</x:v>
      </x:c>
      <x:c r="B12" s="18" t="str">
        <x:v>https://exdivo.com/</x:v>
      </x:c>
      <x:c r="C12" s="18" t="str">
        <x:v>reusable vapes</x:v>
      </x:c>
      <x:c r="D12" s="18" t="str">
        <x:v>recommended</x:v>
      </x:c>
      <x:c r="E12" s="41" t="n">
        <x:v>1000</x:v>
      </x:c>
      <x:c r="F12" s="41" t="n">
        <x:v>37</x:v>
      </x:c>
      <x:c r="G12" s="18" t="str">
        <x:v>commercial</x:v>
      </x:c>
      <x:c r="H12" s="18" t="str">
        <x:v>Reusable / Rechargeable</x:v>
      </x:c>
      <x:c r="I12" s="18" t="str">
        <x:v>品类承接词</x:v>
      </x:c>
      <x:c r="J12" s="18" t="str">
        <x:v>主站</x:v>
      </x:c>
      <x:c r="K12" s="18" t="str"/>
      <x:c r="L12" s="18" t="str">
        <x:f>IF(K12="",J12,K12)</x:f>
        <x:v>主站</x:v>
      </x:c>
      <x:c r="M12" s="18" t="str">
        <x:v>品类页/集合页 + FAQ内容块</x:v>
      </x:c>
      <x:c r="N12" s="18" t="str">
        <x:v>主站品类页：用产品集合 + 选购说明承接</x:v>
      </x:c>
      <x:c r="O12" s="18" t="str">
        <x:v>/collections/rechargeable-vapes</x:v>
      </x:c>
      <x:c r="P12" s="18" t="str">
        <x:v>不适用</x:v>
      </x:c>
      <x:c r="Q12" s="18" t="str">
        <x:v>主站页面自身承接</x:v>
      </x:c>
      <x:c r="R12" s="18" t="str">
        <x:v>核心品类词：主站优先，博客只做长尾解释，不直接抢同一词</x:v>
      </x:c>
      <x:c r="S12" s="18" t="str">
        <x:v>如果 Google 首页产品页和指南混合，主站页要加 FAQ、选购指南、对比模块。</x:v>
      </x:c>
      <x:c r="T12" s="42" t="n">
        <x:v>13</x:v>
      </x:c>
      <x:c r="U12" s="42" t="n">
        <x:v>9</x:v>
      </x:c>
      <x:c r="V12" s="42" t="n">
        <x:v>18</x:v>
      </x:c>
      <x:c r="W12" s="42" t="n">
        <x:v>8</x:v>
      </x:c>
      <x:c r="X12" s="42" t="n">
        <x:v>15</x:v>
      </x:c>
      <x:c r="Y12" s="42" t="n">
        <x:v>4</x:v>
      </x:c>
      <x:c r="Z12" s="42" t="n">
        <x:f>MAX(0,MIN(100,ROUND(((T12+U12+V12+W12+X12)-Y12)/85*100,0)))</x:f>
        <x:v>69</x:v>
      </x:c>
      <x:c r="AA12" s="18" t="str">
        <x:f>IF(L12="暂不做","P3 暂缓",IF(Z12&gt;=75,"P0 本周做",IF(Z12&gt;=60,"P1 近期做",IF(Z12&gt;=45,"P2 备选","P3 暂缓"))))</x:f>
        <x:v>P1 近期做</x:v>
      </x:c>
      <x:c r="AB12" s="18" t="str">
        <x:f>IF(Y12&gt;=15,"先做合规/相关性复核，不建议直接商业导流",IF(L12="主站","建/优化主站商业页",IF(L12="博客A-知识教程","写知识教程/FAQ文章",IF(L12="博客B-场景人群","写场景需求/选购指南文章",IF(L12="博客C-对比评测","写对比评测/榜单文章","暂不做或人工复核")))))</x:f>
        <x:v>建/优化主站商业页</x:v>
      </x:c>
      <x:c r="AC12" s="18" t="str">
        <x:v>Exdivo Official – High Quality Disposable Vape, Pod Kits &amp; E-Cigarettes</x:v>
      </x:c>
      <x:c r="AD12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3">
      <x:c r="A13" s="40" t="n">
        <x:v>13</x:v>
      </x:c>
      <x:c r="B13" s="18" t="str">
        <x:v>https://exdivo.com/</x:v>
      </x:c>
      <x:c r="C13" s="18" t="str">
        <x:v>vapes for sale</x:v>
      </x:c>
      <x:c r="D13" s="18" t="str">
        <x:v>recommended</x:v>
      </x:c>
      <x:c r="E13" s="41" t="n">
        <x:v>3600</x:v>
      </x:c>
      <x:c r="F13" s="41" t="n">
        <x:v>75</x:v>
      </x:c>
      <x:c r="G13" s="18" t="str">
        <x:v>transactional</x:v>
      </x:c>
      <x:c r="H13" s="18" t="str">
        <x:v>购买交易</x:v>
      </x:c>
      <x:c r="I13" s="18" t="str">
        <x:v>交易词</x:v>
      </x:c>
      <x:c r="J13" s="18" t="str">
        <x:v>主站</x:v>
      </x:c>
      <x:c r="K13" s="18" t="str"/>
      <x:c r="L13" s="18" t="str">
        <x:f>IF(K13="",J13,K13)</x:f>
        <x:v>主站</x:v>
      </x:c>
      <x:c r="M13" s="18" t="str">
        <x:v>产品集合页/分类页/购买页</x:v>
      </x:c>
      <x:c r="N13" s="18" t="str">
        <x:v>主站商业页：标题围绕购买意图 + 品类 + 关键卖点</x:v>
      </x:c>
      <x:c r="O13" s="18" t="str">
        <x:v>/collections/disposable-vapes</x:v>
      </x:c>
      <x:c r="P13" s="18" t="str">
        <x:v>不适用</x:v>
      </x:c>
      <x:c r="Q13" s="18" t="str">
        <x:v>主站页面自身承接</x:v>
      </x:c>
      <x:c r="R13" s="18" t="str">
        <x:v>商业词：优先给主站，避免博客抢主站排名</x:v>
      </x:c>
      <x:c r="S13" s="18" t="str">
        <x:v>SERP 如为商品列表/品牌站/电商集合页，就建主站页面；若 SERP 全是教程，再拆支持文章。</x:v>
      </x:c>
      <x:c r="T13" s="42" t="n">
        <x:v>13</x:v>
      </x:c>
      <x:c r="U13" s="42" t="n">
        <x:v>3</x:v>
      </x:c>
      <x:c r="V13" s="42" t="n">
        <x:v>20</x:v>
      </x:c>
      <x:c r="W13" s="42" t="n">
        <x:v>7</x:v>
      </x:c>
      <x:c r="X13" s="42" t="n">
        <x:v>15</x:v>
      </x:c>
      <x:c r="Y13" s="42" t="n">
        <x:v>4</x:v>
      </x:c>
      <x:c r="Z13" s="42" t="n">
        <x:f>MAX(0,MIN(100,ROUND(((T13+U13+V13+W13+X13)-Y13)/85*100,0)))</x:f>
        <x:v>64</x:v>
      </x:c>
      <x:c r="AA13" s="18" t="str">
        <x:f>IF(L13="暂不做","P3 暂缓",IF(Z13&gt;=75,"P0 本周做",IF(Z13&gt;=60,"P1 近期做",IF(Z13&gt;=45,"P2 备选","P3 暂缓"))))</x:f>
        <x:v>P1 近期做</x:v>
      </x:c>
      <x:c r="AB13" s="18" t="str">
        <x:f>IF(Y13&gt;=15,"先做合规/相关性复核，不建议直接商业导流",IF(L13="主站","建/优化主站商业页",IF(L13="博客A-知识教程","写知识教程/FAQ文章",IF(L13="博客B-场景人群","写场景需求/选购指南文章",IF(L13="博客C-对比评测","写对比评测/榜单文章","暂不做或人工复核")))))</x:f>
        <x:v>建/优化主站商业页</x:v>
      </x:c>
      <x:c r="AC13" s="18" t="str">
        <x:v>Exdivo Official – High Quality Disposable Vape, Pod Kits &amp; E-Cigarettes</x:v>
      </x:c>
      <x:c r="AD13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4">
      <x:c r="A14" s="40" t="n">
        <x:v>14</x:v>
      </x:c>
      <x:c r="B14" s="18" t="str">
        <x:v>https://exdivo.com/</x:v>
      </x:c>
      <x:c r="C14" s="18" t="str">
        <x:v>long lasting vapes</x:v>
      </x:c>
      <x:c r="D14" s="18" t="str">
        <x:v>recommended</x:v>
      </x:c>
      <x:c r="E14" s="41" t="n">
        <x:v>260</x:v>
      </x:c>
      <x:c r="F14" s="41" t="n">
        <x:v>13</x:v>
      </x:c>
      <x:c r="G14" s="18" t="str">
        <x:v>informational</x:v>
      </x:c>
      <x:c r="H14" s="18" t="str">
        <x:v>知识教程</x:v>
      </x:c>
      <x:c r="I14" s="18" t="str">
        <x:v>场景/需求词</x:v>
      </x:c>
      <x:c r="J14" s="18" t="str">
        <x:v>博客B-场景人群</x:v>
      </x:c>
      <x:c r="K14" s="18" t="str"/>
      <x:c r="L14" s="18" t="str">
        <x:f>IF(K14="",J14,K14)</x:f>
        <x:v>博客B-场景人群</x:v>
      </x:c>
      <x:c r="M14" s="18" t="str">
        <x:v>场景解决方案/选购指南文章</x:v>
      </x:c>
      <x:c r="N14" s="18" t="str">
        <x:v>Scenario angle: how to choose long lasting vapes based on use case, flavor, nicotine, and budget</x:v>
      </x:c>
      <x:c r="O14" s="18" t="str">
        <x:v>/collections/disposable-vapes</x:v>
      </x:c>
      <x:c r="P14" s="18" t="str">
        <x:v>是</x:v>
      </x:c>
      <x:c r="Q14" s="18" t="str">
        <x:v>自然句/品类词</x:v>
      </x:c>
      <x:c r="R14" s="18" t="str">
        <x:v>低中风险：适合软性导流，但不要夸大效果或触碰健康疗效</x:v>
      </x:c>
      <x:c r="S14" s="18" t="str">
        <x:v>围绕使用场景、口味、尼古丁需求、便携性等写，不和主站品类页抢词。</x:v>
      </x:c>
      <x:c r="T14" s="42" t="n">
        <x:v>7</x:v>
      </x:c>
      <x:c r="U14" s="42" t="n">
        <x:v>15</x:v>
      </x:c>
      <x:c r="V14" s="42" t="n">
        <x:v>13</x:v>
      </x:c>
      <x:c r="W14" s="42" t="n">
        <x:v>14</x:v>
      </x:c>
      <x:c r="X14" s="42" t="n">
        <x:v>13</x:v>
      </x:c>
      <x:c r="Y14" s="42" t="n">
        <x:v>5</x:v>
      </x:c>
      <x:c r="Z14" s="42" t="n">
        <x:f>MAX(0,MIN(100,ROUND(((T14+U14+V14+W14+X14)-Y14)/85*100,0)))</x:f>
        <x:v>67</x:v>
      </x:c>
      <x:c r="AA14" s="18" t="str">
        <x:f>IF(L14="暂不做","P3 暂缓",IF(Z14&gt;=75,"P0 本周做",IF(Z14&gt;=60,"P1 近期做",IF(Z14&gt;=45,"P2 备选","P3 暂缓"))))</x:f>
        <x:v>P1 近期做</x:v>
      </x:c>
      <x:c r="AB14" s="18" t="str">
        <x:f>IF(Y14&gt;=15,"先做合规/相关性复核，不建议直接商业导流",IF(L14="主站","建/优化主站商业页",IF(L14="博客A-知识教程","写知识教程/FAQ文章",IF(L14="博客B-场景人群","写场景需求/选购指南文章",IF(L14="博客C-对比评测","写对比评测/榜单文章","暂不做或人工复核")))))</x:f>
        <x:v>写场景需求/选购指南文章</x:v>
      </x:c>
      <x:c r="AC14" s="18" t="str">
        <x:v>Exdivo Official – High Quality Disposable Vape, Pod Kits &amp; E-Cigarettes</x:v>
      </x:c>
      <x:c r="AD14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5">
      <x:c r="A15" s="40" t="n">
        <x:v>15</x:v>
      </x:c>
      <x:c r="B15" s="18" t="str">
        <x:v>https://exdivo.com/</x:v>
      </x:c>
      <x:c r="C15" s="18" t="str">
        <x:v>different kinds of vapes</x:v>
      </x:c>
      <x:c r="D15" s="18" t="str">
        <x:v>recommended</x:v>
      </x:c>
      <x:c r="E15" s="41" t="n">
        <x:v>480</x:v>
      </x:c>
      <x:c r="F15" s="41" t="n">
        <x:v>25</x:v>
      </x:c>
      <x:c r="G15" s="18" t="str">
        <x:v>informational</x:v>
      </x:c>
      <x:c r="H15" s="18" t="str">
        <x:v>知识教程</x:v>
      </x:c>
      <x:c r="I15" s="18" t="str">
        <x:v>知识/教程词</x:v>
      </x:c>
      <x:c r="J15" s="18" t="str">
        <x:v>博客A-知识教程</x:v>
      </x:c>
      <x:c r="K15" s="18" t="str"/>
      <x:c r="L15" s="18" t="str">
        <x:f>IF(K15="",J15,K15)</x:f>
        <x:v>博客A-知识教程</x:v>
      </x:c>
      <x:c r="M15" s="18" t="str">
        <x:v>百科/How-to/FAQ文章</x:v>
      </x:c>
      <x:c r="N15" s="18" t="str">
        <x:v>Guide angle: explain different kinds of vapes, answer common questions, and avoid sales-first writing</x:v>
      </x:c>
      <x:c r="O15" s="18" t="str">
        <x:v>/collections/disposable-vapes</x:v>
      </x:c>
      <x:c r="P15" s="18" t="str">
        <x:v>谨慎</x:v>
      </x:c>
      <x:c r="Q15" s="18" t="str">
        <x:v>自然句/品牌词</x:v>
      </x:c>
      <x:c r="R15" s="18" t="str">
        <x:v>低中风险：先满足信息意图，导流要克制</x:v>
      </x:c>
      <x:c r="S15" s="18" t="str">
        <x:v>如果文章能自然回答下一步购买问题，再放 1 个主站内链；否则只做知识闭环。</x:v>
      </x:c>
      <x:c r="T15" s="42" t="n">
        <x:v>7</x:v>
      </x:c>
      <x:c r="U15" s="42" t="n">
        <x:v>12</x:v>
      </x:c>
      <x:c r="V15" s="42" t="n">
        <x:v>9</x:v>
      </x:c>
      <x:c r="W15" s="42" t="n">
        <x:v>14</x:v>
      </x:c>
      <x:c r="X15" s="42" t="n">
        <x:v>12</x:v>
      </x:c>
      <x:c r="Y15" s="42" t="n">
        <x:v>5</x:v>
      </x:c>
      <x:c r="Z15" s="42" t="n">
        <x:f>MAX(0,MIN(100,ROUND(((T15+U15+V15+W15+X15)-Y15)/85*100,0)))</x:f>
        <x:v>58</x:v>
      </x:c>
      <x:c r="AA15" s="18" t="str">
        <x:f>IF(L15="暂不做","P3 暂缓",IF(Z15&gt;=75,"P0 本周做",IF(Z15&gt;=60,"P1 近期做",IF(Z15&gt;=45,"P2 备选","P3 暂缓"))))</x:f>
        <x:v>P2 备选</x:v>
      </x:c>
      <x:c r="AB15" s="18" t="str">
        <x:f>IF(Y15&gt;=15,"先做合规/相关性复核，不建议直接商业导流",IF(L15="主站","建/优化主站商业页",IF(L15="博客A-知识教程","写知识教程/FAQ文章",IF(L15="博客B-场景人群","写场景需求/选购指南文章",IF(L15="博客C-对比评测","写对比评测/榜单文章","暂不做或人工复核")))))</x:f>
        <x:v>写知识教程/FAQ文章</x:v>
      </x:c>
      <x:c r="AC15" s="18" t="str">
        <x:v>Exdivo Official – High Quality Disposable Vape, Pod Kits &amp; E-Cigarettes</x:v>
      </x:c>
      <x:c r="AD15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6">
      <x:c r="A16" s="40" t="n">
        <x:v>16</x:v>
      </x:c>
      <x:c r="B16" s="18" t="str">
        <x:v>https://exdivo.com/</x:v>
      </x:c>
      <x:c r="C16" s="18" t="str">
        <x:v>disposable vaping devices</x:v>
      </x:c>
      <x:c r="D16" s="18" t="str">
        <x:v>recommended</x:v>
      </x:c>
      <x:c r="E16" s="41" t="n">
        <x:v>390</x:v>
      </x:c>
      <x:c r="F16" s="41" t="n">
        <x:v>41</x:v>
      </x:c>
      <x:c r="G16" s="18" t="str">
        <x:v>commercial</x:v>
      </x:c>
      <x:c r="H16" s="18" t="str">
        <x:v>Disposable Vape</x:v>
      </x:c>
      <x:c r="I16" s="18" t="str">
        <x:v>品类承接词</x:v>
      </x:c>
      <x:c r="J16" s="18" t="str">
        <x:v>主站</x:v>
      </x:c>
      <x:c r="K16" s="18" t="str"/>
      <x:c r="L16" s="18" t="str">
        <x:f>IF(K16="",J16,K16)</x:f>
        <x:v>主站</x:v>
      </x:c>
      <x:c r="M16" s="18" t="str">
        <x:v>品类页/集合页 + FAQ内容块</x:v>
      </x:c>
      <x:c r="N16" s="18" t="str">
        <x:v>主站品类页：用产品集合 + 选购说明承接</x:v>
      </x:c>
      <x:c r="O16" s="18" t="str">
        <x:v>/collections/disposable-vapes</x:v>
      </x:c>
      <x:c r="P16" s="18" t="str">
        <x:v>不适用</x:v>
      </x:c>
      <x:c r="Q16" s="18" t="str">
        <x:v>主站页面自身承接</x:v>
      </x:c>
      <x:c r="R16" s="18" t="str">
        <x:v>核心品类词：主站优先，博客只做长尾解释，不直接抢同一词</x:v>
      </x:c>
      <x:c r="S16" s="18" t="str">
        <x:v>如果 Google 首页产品页和指南混合，主站页要加 FAQ、选购指南、对比模块。</x:v>
      </x:c>
      <x:c r="T16" s="42" t="n">
        <x:v>7</x:v>
      </x:c>
      <x:c r="U16" s="42" t="n">
        <x:v>9</x:v>
      </x:c>
      <x:c r="V16" s="42" t="n">
        <x:v>18</x:v>
      </x:c>
      <x:c r="W16" s="42" t="n">
        <x:v>8</x:v>
      </x:c>
      <x:c r="X16" s="42" t="n">
        <x:v>15</x:v>
      </x:c>
      <x:c r="Y16" s="42" t="n">
        <x:v>4</x:v>
      </x:c>
      <x:c r="Z16" s="42" t="n">
        <x:f>MAX(0,MIN(100,ROUND(((T16+U16+V16+W16+X16)-Y16)/85*100,0)))</x:f>
        <x:v>62</x:v>
      </x:c>
      <x:c r="AA16" s="18" t="str">
        <x:f>IF(L16="暂不做","P3 暂缓",IF(Z16&gt;=75,"P0 本周做",IF(Z16&gt;=60,"P1 近期做",IF(Z16&gt;=45,"P2 备选","P3 暂缓"))))</x:f>
        <x:v>P1 近期做</x:v>
      </x:c>
      <x:c r="AB16" s="18" t="str">
        <x:f>IF(Y16&gt;=15,"先做合规/相关性复核，不建议直接商业导流",IF(L16="主站","建/优化主站商业页",IF(L16="博客A-知识教程","写知识教程/FAQ文章",IF(L16="博客B-场景人群","写场景需求/选购指南文章",IF(L16="博客C-对比评测","写对比评测/榜单文章","暂不做或人工复核")))))</x:f>
        <x:v>建/优化主站商业页</x:v>
      </x:c>
      <x:c r="AC16" s="18" t="str">
        <x:v>Exdivo Official – High Quality Disposable Vape, Pod Kits &amp; E-Cigarettes</x:v>
      </x:c>
      <x:c r="AD16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7">
      <x:c r="A17" s="40" t="n">
        <x:v>17</x:v>
      </x:c>
      <x:c r="B17" s="18" t="str">
        <x:v>https://exdivo.com/</x:v>
      </x:c>
      <x:c r="C17" s="18" t="str">
        <x:v>tobacco flavored disposable vapes</x:v>
      </x:c>
      <x:c r="D17" s="18" t="str">
        <x:v>recommended</x:v>
      </x:c>
      <x:c r="E17" s="41" t="n">
        <x:v>90</x:v>
      </x:c>
      <x:c r="F17" s="41" t="n">
        <x:v>1</x:v>
      </x:c>
      <x:c r="G17" s="18" t="str">
        <x:v>commercial</x:v>
      </x:c>
      <x:c r="H17" s="18" t="str">
        <x:v>Disposable Vape</x:v>
      </x:c>
      <x:c r="I17" s="18" t="str">
        <x:v>品类承接词</x:v>
      </x:c>
      <x:c r="J17" s="18" t="str">
        <x:v>主站</x:v>
      </x:c>
      <x:c r="K17" s="18" t="str"/>
      <x:c r="L17" s="18" t="str">
        <x:f>IF(K17="",J17,K17)</x:f>
        <x:v>主站</x:v>
      </x:c>
      <x:c r="M17" s="18" t="str">
        <x:v>品类页/集合页 + FAQ内容块</x:v>
      </x:c>
      <x:c r="N17" s="18" t="str">
        <x:v>主站品类页：用产品集合 + 选购说明承接</x:v>
      </x:c>
      <x:c r="O17" s="18" t="str">
        <x:v>/collections/flavored-disposable-vapes</x:v>
      </x:c>
      <x:c r="P17" s="18" t="str">
        <x:v>不适用</x:v>
      </x:c>
      <x:c r="Q17" s="18" t="str">
        <x:v>主站页面自身承接</x:v>
      </x:c>
      <x:c r="R17" s="18" t="str">
        <x:v>核心品类词：主站优先，博客只做长尾解释，不直接抢同一词</x:v>
      </x:c>
      <x:c r="S17" s="18" t="str">
        <x:v>如果 Google 首页产品页和指南混合，主站页要加 FAQ、选购指南、对比模块。</x:v>
      </x:c>
      <x:c r="T17" s="42" t="n">
        <x:v>4</x:v>
      </x:c>
      <x:c r="U17" s="42" t="n">
        <x:v>15</x:v>
      </x:c>
      <x:c r="V17" s="42" t="n">
        <x:v>18</x:v>
      </x:c>
      <x:c r="W17" s="42" t="n">
        <x:v>8</x:v>
      </x:c>
      <x:c r="X17" s="42" t="n">
        <x:v>15</x:v>
      </x:c>
      <x:c r="Y17" s="42" t="n">
        <x:v>4</x:v>
      </x:c>
      <x:c r="Z17" s="42" t="n">
        <x:f>MAX(0,MIN(100,ROUND(((T17+U17+V17+W17+X17)-Y17)/85*100,0)))</x:f>
        <x:v>66</x:v>
      </x:c>
      <x:c r="AA17" s="18" t="str">
        <x:f>IF(L17="暂不做","P3 暂缓",IF(Z17&gt;=75,"P0 本周做",IF(Z17&gt;=60,"P1 近期做",IF(Z17&gt;=45,"P2 备选","P3 暂缓"))))</x:f>
        <x:v>P1 近期做</x:v>
      </x:c>
      <x:c r="AB17" s="18" t="str">
        <x:f>IF(Y17&gt;=15,"先做合规/相关性复核，不建议直接商业导流",IF(L17="主站","建/优化主站商业页",IF(L17="博客A-知识教程","写知识教程/FAQ文章",IF(L17="博客B-场景人群","写场景需求/选购指南文章",IF(L17="博客C-对比评测","写对比评测/榜单文章","暂不做或人工复核")))))</x:f>
        <x:v>建/优化主站商业页</x:v>
      </x:c>
      <x:c r="AC17" s="18" t="str">
        <x:v>Exdivo Official – High Quality Disposable Vape, Pod Kits &amp; E-Cigarettes</x:v>
      </x:c>
      <x:c r="AD17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8">
      <x:c r="A18" s="40" t="n">
        <x:v>18</x:v>
      </x:c>
      <x:c r="B18" s="18" t="str">
        <x:v>https://exdivo.com/</x:v>
      </x:c>
      <x:c r="C18" s="18" t="str">
        <x:v>types of disposable vapes</x:v>
      </x:c>
      <x:c r="D18" s="18" t="str">
        <x:v>recommended</x:v>
      </x:c>
      <x:c r="E18" s="41" t="n">
        <x:v>260</x:v>
      </x:c>
      <x:c r="F18" s="41" t="n">
        <x:v>32</x:v>
      </x:c>
      <x:c r="G18" s="18" t="str">
        <x:v>informational</x:v>
      </x:c>
      <x:c r="H18" s="18" t="str">
        <x:v>Disposable Vape</x:v>
      </x:c>
      <x:c r="I18" s="18" t="str">
        <x:v>知识/教程词</x:v>
      </x:c>
      <x:c r="J18" s="18" t="str">
        <x:v>博客A-知识教程</x:v>
      </x:c>
      <x:c r="K18" s="18" t="str"/>
      <x:c r="L18" s="18" t="str">
        <x:f>IF(K18="",J18,K18)</x:f>
        <x:v>博客A-知识教程</x:v>
      </x:c>
      <x:c r="M18" s="18" t="str">
        <x:v>百科/How-to/FAQ文章</x:v>
      </x:c>
      <x:c r="N18" s="18" t="str">
        <x:v>Guide angle: explain types of disposable vapes, answer common questions, and avoid sales-first writing</x:v>
      </x:c>
      <x:c r="O18" s="18" t="str">
        <x:v>/collections/disposable-vapes</x:v>
      </x:c>
      <x:c r="P18" s="18" t="str">
        <x:v>谨慎</x:v>
      </x:c>
      <x:c r="Q18" s="18" t="str">
        <x:v>自然句/品牌词</x:v>
      </x:c>
      <x:c r="R18" s="18" t="str">
        <x:v>低中风险：先满足信息意图，导流要克制</x:v>
      </x:c>
      <x:c r="S18" s="18" t="str">
        <x:v>如果文章能自然回答下一步购买问题，再放 1 个主站内链；否则只做知识闭环。</x:v>
      </x:c>
      <x:c r="T18" s="42" t="n">
        <x:v>7</x:v>
      </x:c>
      <x:c r="U18" s="42" t="n">
        <x:v>9</x:v>
      </x:c>
      <x:c r="V18" s="42" t="n">
        <x:v>9</x:v>
      </x:c>
      <x:c r="W18" s="42" t="n">
        <x:v>14</x:v>
      </x:c>
      <x:c r="X18" s="42" t="n">
        <x:v>12</x:v>
      </x:c>
      <x:c r="Y18" s="42" t="n">
        <x:v>5</x:v>
      </x:c>
      <x:c r="Z18" s="42" t="n">
        <x:f>MAX(0,MIN(100,ROUND(((T18+U18+V18+W18+X18)-Y18)/85*100,0)))</x:f>
        <x:v>54</x:v>
      </x:c>
      <x:c r="AA18" s="18" t="str">
        <x:f>IF(L18="暂不做","P3 暂缓",IF(Z18&gt;=75,"P0 本周做",IF(Z18&gt;=60,"P1 近期做",IF(Z18&gt;=45,"P2 备选","P3 暂缓"))))</x:f>
        <x:v>P2 备选</x:v>
      </x:c>
      <x:c r="AB18" s="18" t="str">
        <x:f>IF(Y18&gt;=15,"先做合规/相关性复核，不建议直接商业导流",IF(L18="主站","建/优化主站商业页",IF(L18="博客A-知识教程","写知识教程/FAQ文章",IF(L18="博客B-场景人群","写场景需求/选购指南文章",IF(L18="博客C-对比评测","写对比评测/榜单文章","暂不做或人工复核")))))</x:f>
        <x:v>写知识教程/FAQ文章</x:v>
      </x:c>
      <x:c r="AC18" s="18" t="str">
        <x:v>Exdivo Official – High Quality Disposable Vape, Pod Kits &amp; E-Cigarettes</x:v>
      </x:c>
      <x:c r="AD18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19">
      <x:c r="A19" s="40" t="n">
        <x:v>19</x:v>
      </x:c>
      <x:c r="B19" s="18" t="str">
        <x:v>https://exdivo.com/</x:v>
      </x:c>
      <x:c r="C19" s="18" t="str">
        <x:v>best vapes disposable</x:v>
      </x:c>
      <x:c r="D19" s="18" t="str">
        <x:v>recommended</x:v>
      </x:c>
      <x:c r="E19" s="41" t="n">
        <x:v>260</x:v>
      </x:c>
      <x:c r="F19" s="41" t="n">
        <x:v>32</x:v>
      </x:c>
      <x:c r="G19" s="18" t="str">
        <x:v>commercial</x:v>
      </x:c>
      <x:c r="H19" s="18" t="str">
        <x:v>Disposable Vape</x:v>
      </x:c>
      <x:c r="I19" s="18" t="str">
        <x:v>商业调查词</x:v>
      </x:c>
      <x:c r="J19" s="18" t="str">
        <x:v>博客C-对比评测</x:v>
      </x:c>
      <x:c r="K19" s="18" t="str"/>
      <x:c r="L19" s="18" t="str">
        <x:f>IF(K19="",J19,K19)</x:f>
        <x:v>博客C-对比评测</x:v>
      </x:c>
      <x:c r="M19" s="18" t="str">
        <x:v>Best/Top/Review/VS/替代方案文章</x:v>
      </x:c>
      <x:c r="N19" s="18" t="str">
        <x:v>Best angle: best vapes disposable - comparison, pros/cons, and which option fits different buyers</x:v>
      </x:c>
      <x:c r="O19" s="18" t="str">
        <x:v>/collections/disposable-vapes</x:v>
      </x:c>
      <x:c r="P19" s="18" t="str">
        <x:v>是</x:v>
      </x:c>
      <x:c r="Q19" s="18" t="str">
        <x:v>自然句/品类词/品牌词</x:v>
      </x:c>
      <x:c r="R19" s="18" t="str">
        <x:v>中风险：榜单和评测必须真实、中立，避免夸大</x:v>
      </x:c>
      <x:c r="S19" s="18" t="str">
        <x:v>这类词不直接给主站，先用博客C教育和比较，再导流到最相关集合页。</x:v>
      </x:c>
      <x:c r="T19" s="42" t="n">
        <x:v>7</x:v>
      </x:c>
      <x:c r="U19" s="42" t="n">
        <x:v>9</x:v>
      </x:c>
      <x:c r="V19" s="42" t="n">
        <x:v>16</x:v>
      </x:c>
      <x:c r="W19" s="42" t="n">
        <x:v>15</x:v>
      </x:c>
      <x:c r="X19" s="42" t="n">
        <x:v>13</x:v>
      </x:c>
      <x:c r="Y19" s="42" t="n">
        <x:v>6</x:v>
      </x:c>
      <x:c r="Z19" s="42" t="n">
        <x:f>MAX(0,MIN(100,ROUND(((T19+U19+V19+W19+X19)-Y19)/85*100,0)))</x:f>
        <x:v>64</x:v>
      </x:c>
      <x:c r="AA19" s="18" t="str">
        <x:f>IF(L19="暂不做","P3 暂缓",IF(Z19&gt;=75,"P0 本周做",IF(Z19&gt;=60,"P1 近期做",IF(Z19&gt;=45,"P2 备选","P3 暂缓"))))</x:f>
        <x:v>P1 近期做</x:v>
      </x:c>
      <x:c r="AB19" s="18" t="str">
        <x:f>IF(Y19&gt;=15,"先做合规/相关性复核，不建议直接商业导流",IF(L19="主站","建/优化主站商业页",IF(L19="博客A-知识教程","写知识教程/FAQ文章",IF(L19="博客B-场景人群","写场景需求/选购指南文章",IF(L19="博客C-对比评测","写对比评测/榜单文章","暂不做或人工复核")))))</x:f>
        <x:v>写对比评测/榜单文章</x:v>
      </x:c>
      <x:c r="AC19" s="18" t="str">
        <x:v>Exdivo Official – High Quality Disposable Vape, Pod Kits &amp; E-Cigarettes</x:v>
      </x:c>
      <x:c r="AD19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0">
      <x:c r="A20" s="40" t="n">
        <x:v>20</x:v>
      </x:c>
      <x:c r="B20" s="18" t="str">
        <x:v>https://exdivo.com/</x:v>
      </x:c>
      <x:c r="C20" s="18" t="str">
        <x:v>best vaping devices</x:v>
      </x:c>
      <x:c r="D20" s="18" t="str">
        <x:v>recommended</x:v>
      </x:c>
      <x:c r="E20" s="41" t="n">
        <x:v>170</x:v>
      </x:c>
      <x:c r="F20" s="41" t="n">
        <x:v>20</x:v>
      </x:c>
      <x:c r="G20" s="18" t="str">
        <x:v>commercial</x:v>
      </x:c>
      <x:c r="H20" s="18" t="str">
        <x:v>对比评测</x:v>
      </x:c>
      <x:c r="I20" s="18" t="str">
        <x:v>商业调查词</x:v>
      </x:c>
      <x:c r="J20" s="18" t="str">
        <x:v>博客C-对比评测</x:v>
      </x:c>
      <x:c r="K20" s="18" t="str"/>
      <x:c r="L20" s="18" t="str">
        <x:f>IF(K20="",J20,K20)</x:f>
        <x:v>博客C-对比评测</x:v>
      </x:c>
      <x:c r="M20" s="18" t="str">
        <x:v>Best/Top/Review/VS/替代方案文章</x:v>
      </x:c>
      <x:c r="N20" s="18" t="str">
        <x:v>Best angle: best vaping devices - comparison, pros/cons, and which option fits different buyers</x:v>
      </x:c>
      <x:c r="O20" s="18" t="str">
        <x:v>/collections/disposable-vapes</x:v>
      </x:c>
      <x:c r="P20" s="18" t="str">
        <x:v>是</x:v>
      </x:c>
      <x:c r="Q20" s="18" t="str">
        <x:v>自然句/品类词/品牌词</x:v>
      </x:c>
      <x:c r="R20" s="18" t="str">
        <x:v>中风险：榜单和评测必须真实、中立，避免夸大</x:v>
      </x:c>
      <x:c r="S20" s="18" t="str">
        <x:v>这类词不直接给主站，先用博客C教育和比较，再导流到最相关集合页。</x:v>
      </x:c>
      <x:c r="T20" s="42" t="n">
        <x:v>7</x:v>
      </x:c>
      <x:c r="U20" s="42" t="n">
        <x:v>12</x:v>
      </x:c>
      <x:c r="V20" s="42" t="n">
        <x:v>16</x:v>
      </x:c>
      <x:c r="W20" s="42" t="n">
        <x:v>15</x:v>
      </x:c>
      <x:c r="X20" s="42" t="n">
        <x:v>13</x:v>
      </x:c>
      <x:c r="Y20" s="42" t="n">
        <x:v>6</x:v>
      </x:c>
      <x:c r="Z20" s="42" t="n">
        <x:f>MAX(0,MIN(100,ROUND(((T20+U20+V20+W20+X20)-Y20)/85*100,0)))</x:f>
        <x:v>67</x:v>
      </x:c>
      <x:c r="AA20" s="18" t="str">
        <x:f>IF(L20="暂不做","P3 暂缓",IF(Z20&gt;=75,"P0 本周做",IF(Z20&gt;=60,"P1 近期做",IF(Z20&gt;=45,"P2 备选","P3 暂缓"))))</x:f>
        <x:v>P1 近期做</x:v>
      </x:c>
      <x:c r="AB20" s="18" t="str">
        <x:f>IF(Y20&gt;=15,"先做合规/相关性复核，不建议直接商业导流",IF(L20="主站","建/优化主站商业页",IF(L20="博客A-知识教程","写知识教程/FAQ文章",IF(L20="博客B-场景人群","写场景需求/选购指南文章",IF(L20="博客C-对比评测","写对比评测/榜单文章","暂不做或人工复核")))))</x:f>
        <x:v>写对比评测/榜单文章</x:v>
      </x:c>
      <x:c r="AC20" s="18" t="str">
        <x:v>Exdivo Official – High Quality Disposable Vape, Pod Kits &amp; E-Cigarettes</x:v>
      </x:c>
      <x:c r="AD20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1">
      <x:c r="A21" s="40" t="n">
        <x:v>21</x:v>
      </x:c>
      <x:c r="B21" s="18" t="str">
        <x:v>https://exdivo.com/</x:v>
      </x:c>
      <x:c r="C21" s="18" t="str">
        <x:v>good disposable vapes</x:v>
      </x:c>
      <x:c r="D21" s="18" t="str">
        <x:v>recommended</x:v>
      </x:c>
      <x:c r="E21" s="41" t="n">
        <x:v>320</x:v>
      </x:c>
      <x:c r="F21" s="41" t="n">
        <x:v>34</x:v>
      </x:c>
      <x:c r="G21" s="18" t="str">
        <x:v>informational</x:v>
      </x:c>
      <x:c r="H21" s="18" t="str">
        <x:v>Disposable Vape</x:v>
      </x:c>
      <x:c r="I21" s="18" t="str">
        <x:v>品类承接词</x:v>
      </x:c>
      <x:c r="J21" s="18" t="str">
        <x:v>主站</x:v>
      </x:c>
      <x:c r="K21" s="18" t="str"/>
      <x:c r="L21" s="18" t="str">
        <x:f>IF(K21="",J21,K21)</x:f>
        <x:v>主站</x:v>
      </x:c>
      <x:c r="M21" s="18" t="str">
        <x:v>品类页/集合页 + FAQ内容块</x:v>
      </x:c>
      <x:c r="N21" s="18" t="str">
        <x:v>主站品类页：用产品集合 + 选购说明承接</x:v>
      </x:c>
      <x:c r="O21" s="18" t="str">
        <x:v>/collections/disposable-vapes</x:v>
      </x:c>
      <x:c r="P21" s="18" t="str">
        <x:v>不适用</x:v>
      </x:c>
      <x:c r="Q21" s="18" t="str">
        <x:v>主站页面自身承接</x:v>
      </x:c>
      <x:c r="R21" s="18" t="str">
        <x:v>核心品类词：主站优先，博客只做长尾解释，不直接抢同一词</x:v>
      </x:c>
      <x:c r="S21" s="18" t="str">
        <x:v>如果 Google 首页产品页和指南混合，主站页要加 FAQ、选购指南、对比模块。</x:v>
      </x:c>
      <x:c r="T21" s="42" t="n">
        <x:v>7</x:v>
      </x:c>
      <x:c r="U21" s="42" t="n">
        <x:v>9</x:v>
      </x:c>
      <x:c r="V21" s="42" t="n">
        <x:v>16</x:v>
      </x:c>
      <x:c r="W21" s="42" t="n">
        <x:v>8</x:v>
      </x:c>
      <x:c r="X21" s="42" t="n">
        <x:v>15</x:v>
      </x:c>
      <x:c r="Y21" s="42" t="n">
        <x:v>4</x:v>
      </x:c>
      <x:c r="Z21" s="42" t="n">
        <x:f>MAX(0,MIN(100,ROUND(((T21+U21+V21+W21+X21)-Y21)/85*100,0)))</x:f>
        <x:v>60</x:v>
      </x:c>
      <x:c r="AA21" s="18" t="str">
        <x:f>IF(L21="暂不做","P3 暂缓",IF(Z21&gt;=75,"P0 本周做",IF(Z21&gt;=60,"P1 近期做",IF(Z21&gt;=45,"P2 备选","P3 暂缓"))))</x:f>
        <x:v>P1 近期做</x:v>
      </x:c>
      <x:c r="AB21" s="18" t="str">
        <x:f>IF(Y21&gt;=15,"先做合规/相关性复核，不建议直接商业导流",IF(L21="主站","建/优化主站商业页",IF(L21="博客A-知识教程","写知识教程/FAQ文章",IF(L21="博客B-场景人群","写场景需求/选购指南文章",IF(L21="博客C-对比评测","写对比评测/榜单文章","暂不做或人工复核")))))</x:f>
        <x:v>建/优化主站商业页</x:v>
      </x:c>
      <x:c r="AC21" s="18" t="str">
        <x:v>Exdivo Official – High Quality Disposable Vape, Pod Kits &amp; E-Cigarettes</x:v>
      </x:c>
      <x:c r="AD21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2">
      <x:c r="A22" s="40" t="n">
        <x:v>22</x:v>
      </x:c>
      <x:c r="B22" s="18" t="str">
        <x:v>https://exdivo.com/</x:v>
      </x:c>
      <x:c r="C22" s="18" t="str">
        <x:v>disposable vapes for sale</x:v>
      </x:c>
      <x:c r="D22" s="18" t="str">
        <x:v>recommended</x:v>
      </x:c>
      <x:c r="E22" s="41" t="n">
        <x:v>480</x:v>
      </x:c>
      <x:c r="F22" s="41" t="n">
        <x:v>56</x:v>
      </x:c>
      <x:c r="G22" s="18" t="str">
        <x:v>transactional</x:v>
      </x:c>
      <x:c r="H22" s="18" t="str">
        <x:v>Disposable Vape</x:v>
      </x:c>
      <x:c r="I22" s="18" t="str">
        <x:v>交易词</x:v>
      </x:c>
      <x:c r="J22" s="18" t="str">
        <x:v>主站</x:v>
      </x:c>
      <x:c r="K22" s="18" t="str"/>
      <x:c r="L22" s="18" t="str">
        <x:f>IF(K22="",J22,K22)</x:f>
        <x:v>主站</x:v>
      </x:c>
      <x:c r="M22" s="18" t="str">
        <x:v>产品集合页/分类页/购买页</x:v>
      </x:c>
      <x:c r="N22" s="18" t="str">
        <x:v>主站商业页：标题围绕购买意图 + 品类 + 关键卖点</x:v>
      </x:c>
      <x:c r="O22" s="18" t="str">
        <x:v>/collections/disposable-vapes</x:v>
      </x:c>
      <x:c r="P22" s="18" t="str">
        <x:v>不适用</x:v>
      </x:c>
      <x:c r="Q22" s="18" t="str">
        <x:v>主站页面自身承接</x:v>
      </x:c>
      <x:c r="R22" s="18" t="str">
        <x:v>商业词：优先给主站，避免博客抢主站排名</x:v>
      </x:c>
      <x:c r="S22" s="18" t="str">
        <x:v>SERP 如为商品列表/品牌站/电商集合页，就建主站页面；若 SERP 全是教程，再拆支持文章。</x:v>
      </x:c>
      <x:c r="T22" s="42" t="n">
        <x:v>7</x:v>
      </x:c>
      <x:c r="U22" s="42" t="n">
        <x:v>6</x:v>
      </x:c>
      <x:c r="V22" s="42" t="n">
        <x:v>20</x:v>
      </x:c>
      <x:c r="W22" s="42" t="n">
        <x:v>7</x:v>
      </x:c>
      <x:c r="X22" s="42" t="n">
        <x:v>15</x:v>
      </x:c>
      <x:c r="Y22" s="42" t="n">
        <x:v>4</x:v>
      </x:c>
      <x:c r="Z22" s="42" t="n">
        <x:f>MAX(0,MIN(100,ROUND(((T22+U22+V22+W22+X22)-Y22)/85*100,0)))</x:f>
        <x:v>60</x:v>
      </x:c>
      <x:c r="AA22" s="18" t="str">
        <x:f>IF(L22="暂不做","P3 暂缓",IF(Z22&gt;=75,"P0 本周做",IF(Z22&gt;=60,"P1 近期做",IF(Z22&gt;=45,"P2 备选","P3 暂缓"))))</x:f>
        <x:v>P1 近期做</x:v>
      </x:c>
      <x:c r="AB22" s="18" t="str">
        <x:f>IF(Y22&gt;=15,"先做合规/相关性复核，不建议直接商业导流",IF(L22="主站","建/优化主站商业页",IF(L22="博客A-知识教程","写知识教程/FAQ文章",IF(L22="博客B-场景人群","写场景需求/选购指南文章",IF(L22="博客C-对比评测","写对比评测/榜单文章","暂不做或人工复核")))))</x:f>
        <x:v>建/优化主站商业页</x:v>
      </x:c>
      <x:c r="AC22" s="18" t="str">
        <x:v>Exdivo Official – High Quality Disposable Vape, Pod Kits &amp; E-Cigarettes</x:v>
      </x:c>
      <x:c r="AD22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3">
      <x:c r="A23" s="40" t="n">
        <x:v>23</x:v>
      </x:c>
      <x:c r="B23" s="18" t="str">
        <x:v>https://exdivo.com/</x:v>
      </x:c>
      <x:c r="C23" s="18" t="str">
        <x:v>disposable vape pods</x:v>
      </x:c>
      <x:c r="D23" s="18" t="str">
        <x:v>recommended</x:v>
      </x:c>
      <x:c r="E23" s="41" t="n">
        <x:v>210</x:v>
      </x:c>
      <x:c r="F23" s="41" t="n">
        <x:v>35</x:v>
      </x:c>
      <x:c r="G23" s="18" t="str">
        <x:v>commercial</x:v>
      </x:c>
      <x:c r="H23" s="18" t="str">
        <x:v>Pod Kit / Pod System</x:v>
      </x:c>
      <x:c r="I23" s="18" t="str">
        <x:v>品类承接词</x:v>
      </x:c>
      <x:c r="J23" s="18" t="str">
        <x:v>主站</x:v>
      </x:c>
      <x:c r="K23" s="18" t="str"/>
      <x:c r="L23" s="18" t="str">
        <x:f>IF(K23="",J23,K23)</x:f>
        <x:v>主站</x:v>
      </x:c>
      <x:c r="M23" s="18" t="str">
        <x:v>品类页/集合页 + FAQ内容块</x:v>
      </x:c>
      <x:c r="N23" s="18" t="str">
        <x:v>主站品类页：用产品集合 + 选购说明承接</x:v>
      </x:c>
      <x:c r="O23" s="18" t="str">
        <x:v>/collections/pod-kits</x:v>
      </x:c>
      <x:c r="P23" s="18" t="str">
        <x:v>不适用</x:v>
      </x:c>
      <x:c r="Q23" s="18" t="str">
        <x:v>主站页面自身承接</x:v>
      </x:c>
      <x:c r="R23" s="18" t="str">
        <x:v>核心品类词：主站优先，博客只做长尾解释，不直接抢同一词</x:v>
      </x:c>
      <x:c r="S23" s="18" t="str">
        <x:v>如果 Google 首页产品页和指南混合，主站页要加 FAQ、选购指南、对比模块。</x:v>
      </x:c>
      <x:c r="T23" s="42" t="n">
        <x:v>7</x:v>
      </x:c>
      <x:c r="U23" s="42" t="n">
        <x:v>9</x:v>
      </x:c>
      <x:c r="V23" s="42" t="n">
        <x:v>18</x:v>
      </x:c>
      <x:c r="W23" s="42" t="n">
        <x:v>8</x:v>
      </x:c>
      <x:c r="X23" s="42" t="n">
        <x:v>15</x:v>
      </x:c>
      <x:c r="Y23" s="42" t="n">
        <x:v>4</x:v>
      </x:c>
      <x:c r="Z23" s="42" t="n">
        <x:f>MAX(0,MIN(100,ROUND(((T23+U23+V23+W23+X23)-Y23)/85*100,0)))</x:f>
        <x:v>62</x:v>
      </x:c>
      <x:c r="AA23" s="18" t="str">
        <x:f>IF(L23="暂不做","P3 暂缓",IF(Z23&gt;=75,"P0 本周做",IF(Z23&gt;=60,"P1 近期做",IF(Z23&gt;=45,"P2 备选","P3 暂缓"))))</x:f>
        <x:v>P1 近期做</x:v>
      </x:c>
      <x:c r="AB23" s="18" t="str">
        <x:f>IF(Y23&gt;=15,"先做合规/相关性复核，不建议直接商业导流",IF(L23="主站","建/优化主站商业页",IF(L23="博客A-知识教程","写知识教程/FAQ文章",IF(L23="博客B-场景人群","写场景需求/选购指南文章",IF(L23="博客C-对比评测","写对比评测/榜单文章","暂不做或人工复核")))))</x:f>
        <x:v>建/优化主站商业页</x:v>
      </x:c>
      <x:c r="AC23" s="18" t="str">
        <x:v>Exdivo Official – High Quality Disposable Vape, Pod Kits &amp; E-Cigarettes</x:v>
      </x:c>
      <x:c r="AD23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4">
      <x:c r="A24" s="40" t="n">
        <x:v>24</x:v>
      </x:c>
      <x:c r="B24" s="18" t="str">
        <x:v>https://exdivo.com/</x:v>
      </x:c>
      <x:c r="C24" s="18" t="str">
        <x:v>vape disposables</x:v>
      </x:c>
      <x:c r="D24" s="18" t="str">
        <x:v>recommended</x:v>
      </x:c>
      <x:c r="E24" s="41" t="n">
        <x:v>320</x:v>
      </x:c>
      <x:c r="F24" s="41" t="n">
        <x:v>51</x:v>
      </x:c>
      <x:c r="G24" s="18" t="str">
        <x:v>commercial</x:v>
      </x:c>
      <x:c r="H24" s="18" t="str">
        <x:v>Disposable Vape</x:v>
      </x:c>
      <x:c r="I24" s="18" t="str">
        <x:v>品类承接词</x:v>
      </x:c>
      <x:c r="J24" s="18" t="str">
        <x:v>主站</x:v>
      </x:c>
      <x:c r="K24" s="18" t="str"/>
      <x:c r="L24" s="18" t="str">
        <x:f>IF(K24="",J24,K24)</x:f>
        <x:v>主站</x:v>
      </x:c>
      <x:c r="M24" s="18" t="str">
        <x:v>品类页/集合页 + FAQ内容块</x:v>
      </x:c>
      <x:c r="N24" s="18" t="str">
        <x:v>主站品类页：用产品集合 + 选购说明承接</x:v>
      </x:c>
      <x:c r="O24" s="18" t="str">
        <x:v>/collections/disposable-vapes</x:v>
      </x:c>
      <x:c r="P24" s="18" t="str">
        <x:v>不适用</x:v>
      </x:c>
      <x:c r="Q24" s="18" t="str">
        <x:v>主站页面自身承接</x:v>
      </x:c>
      <x:c r="R24" s="18" t="str">
        <x:v>核心品类词：主站优先，博客只做长尾解释，不直接抢同一词</x:v>
      </x:c>
      <x:c r="S24" s="18" t="str">
        <x:v>如果 Google 首页产品页和指南混合，主站页要加 FAQ、选购指南、对比模块。</x:v>
      </x:c>
      <x:c r="T24" s="42" t="n">
        <x:v>7</x:v>
      </x:c>
      <x:c r="U24" s="42" t="n">
        <x:v>6</x:v>
      </x:c>
      <x:c r="V24" s="42" t="n">
        <x:v>18</x:v>
      </x:c>
      <x:c r="W24" s="42" t="n">
        <x:v>8</x:v>
      </x:c>
      <x:c r="X24" s="42" t="n">
        <x:v>15</x:v>
      </x:c>
      <x:c r="Y24" s="42" t="n">
        <x:v>4</x:v>
      </x:c>
      <x:c r="Z24" s="42" t="n">
        <x:f>MAX(0,MIN(100,ROUND(((T24+U24+V24+W24+X24)-Y24)/85*100,0)))</x:f>
        <x:v>59</x:v>
      </x:c>
      <x:c r="AA24" s="18" t="str">
        <x:f>IF(L24="暂不做","P3 暂缓",IF(Z24&gt;=75,"P0 本周做",IF(Z24&gt;=60,"P1 近期做",IF(Z24&gt;=45,"P2 备选","P3 暂缓"))))</x:f>
        <x:v>P2 备选</x:v>
      </x:c>
      <x:c r="AB24" s="18" t="str">
        <x:f>IF(Y24&gt;=15,"先做合规/相关性复核，不建议直接商业导流",IF(L24="主站","建/优化主站商业页",IF(L24="博客A-知识教程","写知识教程/FAQ文章",IF(L24="博客B-场景人群","写场景需求/选购指南文章",IF(L24="博客C-对比评测","写对比评测/榜单文章","暂不做或人工复核")))))</x:f>
        <x:v>建/优化主站商业页</x:v>
      </x:c>
      <x:c r="AC24" s="18" t="str">
        <x:v>Exdivo Official – High Quality Disposable Vape, Pod Kits &amp; E-Cigarettes</x:v>
      </x:c>
      <x:c r="AD24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5">
      <x:c r="A25" s="40" t="n">
        <x:v>25</x:v>
      </x:c>
      <x:c r="B25" s="18" t="str">
        <x:v>https://exdivo.com/</x:v>
      </x:c>
      <x:c r="C25" s="18" t="str">
        <x:v>vaping cartridges</x:v>
      </x:c>
      <x:c r="D25" s="18" t="str">
        <x:v>recommended</x:v>
      </x:c>
      <x:c r="E25" s="41" t="n">
        <x:v>2400</x:v>
      </x:c>
      <x:c r="F25" s="41" t="n">
        <x:v>50</x:v>
      </x:c>
      <x:c r="G25" s="18" t="str">
        <x:v>informational</x:v>
      </x:c>
      <x:c r="H25" s="18" t="str">
        <x:v>General Vape</x:v>
      </x:c>
      <x:c r="I25" s="18" t="str">
        <x:v>品类承接词</x:v>
      </x:c>
      <x:c r="J25" s="18" t="str">
        <x:v>主站</x:v>
      </x:c>
      <x:c r="K25" s="18" t="str"/>
      <x:c r="L25" s="18" t="str">
        <x:f>IF(K25="",J25,K25)</x:f>
        <x:v>主站</x:v>
      </x:c>
      <x:c r="M25" s="18" t="str">
        <x:v>品类页/集合页 + FAQ内容块</x:v>
      </x:c>
      <x:c r="N25" s="18" t="str">
        <x:v>主站品类页：用产品集合 + 选购说明承接</x:v>
      </x:c>
      <x:c r="O25" s="18" t="str">
        <x:v>/collections/disposable-vapes</x:v>
      </x:c>
      <x:c r="P25" s="18" t="str">
        <x:v>不适用</x:v>
      </x:c>
      <x:c r="Q25" s="18" t="str">
        <x:v>主站页面自身承接</x:v>
      </x:c>
      <x:c r="R25" s="18" t="str">
        <x:v>核心品类词：主站优先，博客只做长尾解释，不直接抢同一词</x:v>
      </x:c>
      <x:c r="S25" s="18" t="str">
        <x:v>如果 Google 首页产品页和指南混合，主站页要加 FAQ、选购指南、对比模块。</x:v>
      </x:c>
      <x:c r="T25" s="42" t="n">
        <x:v>13</x:v>
      </x:c>
      <x:c r="U25" s="42" t="n">
        <x:v>6</x:v>
      </x:c>
      <x:c r="V25" s="42" t="n">
        <x:v>16</x:v>
      </x:c>
      <x:c r="W25" s="42" t="n">
        <x:v>8</x:v>
      </x:c>
      <x:c r="X25" s="42" t="n">
        <x:v>15</x:v>
      </x:c>
      <x:c r="Y25" s="42" t="n">
        <x:v>4</x:v>
      </x:c>
      <x:c r="Z25" s="42" t="n">
        <x:f>MAX(0,MIN(100,ROUND(((T25+U25+V25+W25+X25)-Y25)/85*100,0)))</x:f>
        <x:v>64</x:v>
      </x:c>
      <x:c r="AA25" s="18" t="str">
        <x:f>IF(L25="暂不做","P3 暂缓",IF(Z25&gt;=75,"P0 本周做",IF(Z25&gt;=60,"P1 近期做",IF(Z25&gt;=45,"P2 备选","P3 暂缓"))))</x:f>
        <x:v>P1 近期做</x:v>
      </x:c>
      <x:c r="AB25" s="18" t="str">
        <x:f>IF(Y25&gt;=15,"先做合规/相关性复核，不建议直接商业导流",IF(L25="主站","建/优化主站商业页",IF(L25="博客A-知识教程","写知识教程/FAQ文章",IF(L25="博客B-场景人群","写场景需求/选购指南文章",IF(L25="博客C-对比评测","写对比评测/榜单文章","暂不做或人工复核")))))</x:f>
        <x:v>建/优化主站商业页</x:v>
      </x:c>
      <x:c r="AC25" s="18" t="str">
        <x:v>Exdivo Official – High Quality Disposable Vape, Pod Kits &amp; E-Cigarettes</x:v>
      </x:c>
      <x:c r="AD25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6">
      <x:c r="A26" s="40" t="n">
        <x:v>26</x:v>
      </x:c>
      <x:c r="B26" s="18" t="str">
        <x:v>https://exdivo.com/</x:v>
      </x:c>
      <x:c r="C26" s="18" t="str">
        <x:v>small refillable vapes</x:v>
      </x:c>
      <x:c r="D26" s="18" t="str">
        <x:v>recommended</x:v>
      </x:c>
      <x:c r="E26" s="41" t="n">
        <x:v>260</x:v>
      </x:c>
      <x:c r="F26" s="41" t="n">
        <x:v>27</x:v>
      </x:c>
      <x:c r="G26" s="18" t="str">
        <x:v>commercial</x:v>
      </x:c>
      <x:c r="H26" s="18" t="str">
        <x:v>Reusable / Rechargeable</x:v>
      </x:c>
      <x:c r="I26" s="18" t="str">
        <x:v>品类承接词</x:v>
      </x:c>
      <x:c r="J26" s="18" t="str">
        <x:v>主站</x:v>
      </x:c>
      <x:c r="K26" s="18" t="str"/>
      <x:c r="L26" s="18" t="str">
        <x:f>IF(K26="",J26,K26)</x:f>
        <x:v>主站</x:v>
      </x:c>
      <x:c r="M26" s="18" t="str">
        <x:v>品类页/集合页 + FAQ内容块</x:v>
      </x:c>
      <x:c r="N26" s="18" t="str">
        <x:v>主站品类页：用产品集合 + 选购说明承接</x:v>
      </x:c>
      <x:c r="O26" s="18" t="str">
        <x:v>/collections/rechargeable-vapes</x:v>
      </x:c>
      <x:c r="P26" s="18" t="str">
        <x:v>不适用</x:v>
      </x:c>
      <x:c r="Q26" s="18" t="str">
        <x:v>主站页面自身承接</x:v>
      </x:c>
      <x:c r="R26" s="18" t="str">
        <x:v>核心品类词：主站优先，博客只做长尾解释，不直接抢同一词</x:v>
      </x:c>
      <x:c r="S26" s="18" t="str">
        <x:v>如果 Google 首页产品页和指南混合，主站页要加 FAQ、选购指南、对比模块。</x:v>
      </x:c>
      <x:c r="T26" s="42" t="n">
        <x:v>7</x:v>
      </x:c>
      <x:c r="U26" s="42" t="n">
        <x:v>12</x:v>
      </x:c>
      <x:c r="V26" s="42" t="n">
        <x:v>18</x:v>
      </x:c>
      <x:c r="W26" s="42" t="n">
        <x:v>8</x:v>
      </x:c>
      <x:c r="X26" s="42" t="n">
        <x:v>15</x:v>
      </x:c>
      <x:c r="Y26" s="42" t="n">
        <x:v>4</x:v>
      </x:c>
      <x:c r="Z26" s="42" t="n">
        <x:f>MAX(0,MIN(100,ROUND(((T26+U26+V26+W26+X26)-Y26)/85*100,0)))</x:f>
        <x:v>66</x:v>
      </x:c>
      <x:c r="AA26" s="18" t="str">
        <x:f>IF(L26="暂不做","P3 暂缓",IF(Z26&gt;=75,"P0 本周做",IF(Z26&gt;=60,"P1 近期做",IF(Z26&gt;=45,"P2 备选","P3 暂缓"))))</x:f>
        <x:v>P1 近期做</x:v>
      </x:c>
      <x:c r="AB26" s="18" t="str">
        <x:f>IF(Y26&gt;=15,"先做合规/相关性复核，不建议直接商业导流",IF(L26="主站","建/优化主站商业页",IF(L26="博客A-知识教程","写知识教程/FAQ文章",IF(L26="博客B-场景人群","写场景需求/选购指南文章",IF(L26="博客C-对比评测","写对比评测/榜单文章","暂不做或人工复核")))))</x:f>
        <x:v>建/优化主站商业页</x:v>
      </x:c>
      <x:c r="AC26" s="18" t="str">
        <x:v>Exdivo Official – High Quality Disposable Vape, Pod Kits &amp; E-Cigarettes</x:v>
      </x:c>
      <x:c r="AD26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7">
      <x:c r="A27" s="40" t="n">
        <x:v>27</x:v>
      </x:c>
      <x:c r="B27" s="18" t="str">
        <x:v>https://exdivo.com/</x:v>
      </x:c>
      <x:c r="C27" s="18" t="str">
        <x:v>buy disposable vapes</x:v>
      </x:c>
      <x:c r="D27" s="18" t="str">
        <x:v>recommended</x:v>
      </x:c>
      <x:c r="E27" s="41" t="n">
        <x:v>590</x:v>
      </x:c>
      <x:c r="F27" s="41" t="n">
        <x:v>55</x:v>
      </x:c>
      <x:c r="G27" s="18" t="str">
        <x:v>transactional</x:v>
      </x:c>
      <x:c r="H27" s="18" t="str">
        <x:v>Disposable Vape</x:v>
      </x:c>
      <x:c r="I27" s="18" t="str">
        <x:v>交易词</x:v>
      </x:c>
      <x:c r="J27" s="18" t="str">
        <x:v>主站</x:v>
      </x:c>
      <x:c r="K27" s="18" t="str"/>
      <x:c r="L27" s="18" t="str">
        <x:f>IF(K27="",J27,K27)</x:f>
        <x:v>主站</x:v>
      </x:c>
      <x:c r="M27" s="18" t="str">
        <x:v>产品集合页/分类页/购买页</x:v>
      </x:c>
      <x:c r="N27" s="18" t="str">
        <x:v>主站商业页：标题围绕购买意图 + 品类 + 关键卖点</x:v>
      </x:c>
      <x:c r="O27" s="18" t="str">
        <x:v>/collections/disposable-vapes</x:v>
      </x:c>
      <x:c r="P27" s="18" t="str">
        <x:v>不适用</x:v>
      </x:c>
      <x:c r="Q27" s="18" t="str">
        <x:v>主站页面自身承接</x:v>
      </x:c>
      <x:c r="R27" s="18" t="str">
        <x:v>商业词：优先给主站，避免博客抢主站排名</x:v>
      </x:c>
      <x:c r="S27" s="18" t="str">
        <x:v>SERP 如为商品列表/品牌站/电商集合页，就建主站页面；若 SERP 全是教程，再拆支持文章。</x:v>
      </x:c>
      <x:c r="T27" s="42" t="n">
        <x:v>10</x:v>
      </x:c>
      <x:c r="U27" s="42" t="n">
        <x:v>6</x:v>
      </x:c>
      <x:c r="V27" s="42" t="n">
        <x:v>20</x:v>
      </x:c>
      <x:c r="W27" s="42" t="n">
        <x:v>7</x:v>
      </x:c>
      <x:c r="X27" s="42" t="n">
        <x:v>15</x:v>
      </x:c>
      <x:c r="Y27" s="42" t="n">
        <x:v>4</x:v>
      </x:c>
      <x:c r="Z27" s="42" t="n">
        <x:f>MAX(0,MIN(100,ROUND(((T27+U27+V27+W27+X27)-Y27)/85*100,0)))</x:f>
        <x:v>64</x:v>
      </x:c>
      <x:c r="AA27" s="18" t="str">
        <x:f>IF(L27="暂不做","P3 暂缓",IF(Z27&gt;=75,"P0 本周做",IF(Z27&gt;=60,"P1 近期做",IF(Z27&gt;=45,"P2 备选","P3 暂缓"))))</x:f>
        <x:v>P1 近期做</x:v>
      </x:c>
      <x:c r="AB27" s="18" t="str">
        <x:f>IF(Y27&gt;=15,"先做合规/相关性复核，不建议直接商业导流",IF(L27="主站","建/优化主站商业页",IF(L27="博客A-知识教程","写知识教程/FAQ文章",IF(L27="博客B-场景人群","写场景需求/选购指南文章",IF(L27="博客C-对比评测","写对比评测/榜单文章","暂不做或人工复核")))))</x:f>
        <x:v>建/优化主站商业页</x:v>
      </x:c>
      <x:c r="AC27" s="18" t="str">
        <x:v>Exdivo Official – High Quality Disposable Vape, Pod Kits &amp; E-Cigarettes</x:v>
      </x:c>
      <x:c r="AD27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8">
      <x:c r="A28" s="40" t="n">
        <x:v>28</x:v>
      </x:c>
      <x:c r="B28" s="18" t="str">
        <x:v>https://exdivo.com/</x:v>
      </x:c>
      <x:c r="C28" s="18" t="str">
        <x:v>small disposable vapes</x:v>
      </x:c>
      <x:c r="D28" s="18" t="str">
        <x:v>recommended</x:v>
      </x:c>
      <x:c r="E28" s="41" t="n">
        <x:v>110</x:v>
      </x:c>
      <x:c r="F28" s="41" t="n">
        <x:v>19</x:v>
      </x:c>
      <x:c r="G28" s="18" t="str">
        <x:v>informational</x:v>
      </x:c>
      <x:c r="H28" s="18" t="str">
        <x:v>Disposable Vape</x:v>
      </x:c>
      <x:c r="I28" s="18" t="str">
        <x:v>品类承接词</x:v>
      </x:c>
      <x:c r="J28" s="18" t="str">
        <x:v>主站</x:v>
      </x:c>
      <x:c r="K28" s="18" t="str"/>
      <x:c r="L28" s="18" t="str">
        <x:f>IF(K28="",J28,K28)</x:f>
        <x:v>主站</x:v>
      </x:c>
      <x:c r="M28" s="18" t="str">
        <x:v>品类页/集合页 + FAQ内容块</x:v>
      </x:c>
      <x:c r="N28" s="18" t="str">
        <x:v>主站品类页：用产品集合 + 选购说明承接</x:v>
      </x:c>
      <x:c r="O28" s="18" t="str">
        <x:v>/collections/disposable-vapes</x:v>
      </x:c>
      <x:c r="P28" s="18" t="str">
        <x:v>不适用</x:v>
      </x:c>
      <x:c r="Q28" s="18" t="str">
        <x:v>主站页面自身承接</x:v>
      </x:c>
      <x:c r="R28" s="18" t="str">
        <x:v>核心品类词：主站优先，博客只做长尾解释，不直接抢同一词</x:v>
      </x:c>
      <x:c r="S28" s="18" t="str">
        <x:v>如果 Google 首页产品页和指南混合，主站页要加 FAQ、选购指南、对比模块。</x:v>
      </x:c>
      <x:c r="T28" s="42" t="n">
        <x:v>7</x:v>
      </x:c>
      <x:c r="U28" s="42" t="n">
        <x:v>12</x:v>
      </x:c>
      <x:c r="V28" s="42" t="n">
        <x:v>16</x:v>
      </x:c>
      <x:c r="W28" s="42" t="n">
        <x:v>8</x:v>
      </x:c>
      <x:c r="X28" s="42" t="n">
        <x:v>15</x:v>
      </x:c>
      <x:c r="Y28" s="42" t="n">
        <x:v>4</x:v>
      </x:c>
      <x:c r="Z28" s="42" t="n">
        <x:f>MAX(0,MIN(100,ROUND(((T28+U28+V28+W28+X28)-Y28)/85*100,0)))</x:f>
        <x:v>64</x:v>
      </x:c>
      <x:c r="AA28" s="18" t="str">
        <x:f>IF(L28="暂不做","P3 暂缓",IF(Z28&gt;=75,"P0 本周做",IF(Z28&gt;=60,"P1 近期做",IF(Z28&gt;=45,"P2 备选","P3 暂缓"))))</x:f>
        <x:v>P1 近期做</x:v>
      </x:c>
      <x:c r="AB28" s="18" t="str">
        <x:f>IF(Y28&gt;=15,"先做合规/相关性复核，不建议直接商业导流",IF(L28="主站","建/优化主站商业页",IF(L28="博客A-知识教程","写知识教程/FAQ文章",IF(L28="博客B-场景人群","写场景需求/选购指南文章",IF(L28="博客C-对比评测","写对比评测/榜单文章","暂不做或人工复核")))))</x:f>
        <x:v>建/优化主站商业页</x:v>
      </x:c>
      <x:c r="AC28" s="18" t="str">
        <x:v>Exdivo Official – High Quality Disposable Vape, Pod Kits &amp; E-Cigarettes</x:v>
      </x:c>
      <x:c r="AD28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29">
      <x:c r="A29" s="40" t="n">
        <x:v>29</x:v>
      </x:c>
      <x:c r="B29" s="18" t="str">
        <x:v>https://exdivo.com/</x:v>
      </x:c>
      <x:c r="C29" s="18" t="str">
        <x:v>vaping brands</x:v>
      </x:c>
      <x:c r="D29" s="18" t="str">
        <x:v>recommended</x:v>
      </x:c>
      <x:c r="E29" s="41" t="n">
        <x:v>140</x:v>
      </x:c>
      <x:c r="F29" s="41" t="n">
        <x:v>26</x:v>
      </x:c>
      <x:c r="G29" s="18" t="str">
        <x:v>informational, commercial</x:v>
      </x:c>
      <x:c r="H29" s="18" t="str">
        <x:v>对比评测</x:v>
      </x:c>
      <x:c r="I29" s="18" t="str">
        <x:v>商业调查词</x:v>
      </x:c>
      <x:c r="J29" s="18" t="str">
        <x:v>博客C-对比评测</x:v>
      </x:c>
      <x:c r="K29" s="18" t="str"/>
      <x:c r="L29" s="18" t="str">
        <x:f>IF(K29="",J29,K29)</x:f>
        <x:v>博客C-对比评测</x:v>
      </x:c>
      <x:c r="M29" s="18" t="str">
        <x:v>Best/Top/Review/VS/替代方案文章</x:v>
      </x:c>
      <x:c r="N29" s="18" t="str">
        <x:v>Best angle: vaping brands - comparison, pros/cons, and which option fits different buyers</x:v>
      </x:c>
      <x:c r="O29" s="18" t="str">
        <x:v>/collections/disposable-vapes</x:v>
      </x:c>
      <x:c r="P29" s="18" t="str">
        <x:v>是</x:v>
      </x:c>
      <x:c r="Q29" s="18" t="str">
        <x:v>自然句/品类词/品牌词</x:v>
      </x:c>
      <x:c r="R29" s="18" t="str">
        <x:v>中风险：榜单和评测必须真实、中立，避免夸大</x:v>
      </x:c>
      <x:c r="S29" s="18" t="str">
        <x:v>这类词不直接给主站，先用博客C教育和比较，再导流到最相关集合页。</x:v>
      </x:c>
      <x:c r="T29" s="42" t="n">
        <x:v>7</x:v>
      </x:c>
      <x:c r="U29" s="42" t="n">
        <x:v>12</x:v>
      </x:c>
      <x:c r="V29" s="42" t="n">
        <x:v>16</x:v>
      </x:c>
      <x:c r="W29" s="42" t="n">
        <x:v>15</x:v>
      </x:c>
      <x:c r="X29" s="42" t="n">
        <x:v>13</x:v>
      </x:c>
      <x:c r="Y29" s="42" t="n">
        <x:v>6</x:v>
      </x:c>
      <x:c r="Z29" s="42" t="n">
        <x:f>MAX(0,MIN(100,ROUND(((T29+U29+V29+W29+X29)-Y29)/85*100,0)))</x:f>
        <x:v>67</x:v>
      </x:c>
      <x:c r="AA29" s="18" t="str">
        <x:f>IF(L29="暂不做","P3 暂缓",IF(Z29&gt;=75,"P0 本周做",IF(Z29&gt;=60,"P1 近期做",IF(Z29&gt;=45,"P2 备选","P3 暂缓"))))</x:f>
        <x:v>P1 近期做</x:v>
      </x:c>
      <x:c r="AB29" s="18" t="str">
        <x:f>IF(Y29&gt;=15,"先做合规/相关性复核，不建议直接商业导流",IF(L29="主站","建/优化主站商业页",IF(L29="博客A-知识教程","写知识教程/FAQ文章",IF(L29="博客B-场景人群","写场景需求/选购指南文章",IF(L29="博客C-对比评测","写对比评测/榜单文章","暂不做或人工复核")))))</x:f>
        <x:v>写对比评测/榜单文章</x:v>
      </x:c>
      <x:c r="AC29" s="18" t="str">
        <x:v>Exdivo Official – High Quality Disposable Vape, Pod Kits &amp; E-Cigarettes</x:v>
      </x:c>
      <x:c r="AD29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30">
      <x:c r="A30" s="40" t="n">
        <x:v>30</x:v>
      </x:c>
      <x:c r="B30" s="18" t="str">
        <x:v>https://exdivo.com/</x:v>
      </x:c>
      <x:c r="C30" s="18" t="str">
        <x:v>rechargable vapes</x:v>
      </x:c>
      <x:c r="D30" s="18" t="str">
        <x:v>recommended</x:v>
      </x:c>
      <x:c r="E30" s="41" t="n">
        <x:v>320</x:v>
      </x:c>
      <x:c r="F30" s="41" t="n">
        <x:v>48</x:v>
      </x:c>
      <x:c r="G30" s="18" t="str">
        <x:v>informational</x:v>
      </x:c>
      <x:c r="H30" s="18" t="str">
        <x:v>General Vape</x:v>
      </x:c>
      <x:c r="I30" s="18" t="str">
        <x:v>品类承接词</x:v>
      </x:c>
      <x:c r="J30" s="18" t="str">
        <x:v>主站</x:v>
      </x:c>
      <x:c r="K30" s="18" t="str"/>
      <x:c r="L30" s="18" t="str">
        <x:f>IF(K30="",J30,K30)</x:f>
        <x:v>主站</x:v>
      </x:c>
      <x:c r="M30" s="18" t="str">
        <x:v>品类页/集合页 + FAQ内容块</x:v>
      </x:c>
      <x:c r="N30" s="18" t="str">
        <x:v>主站品类页：用产品集合 + 选购说明承接</x:v>
      </x:c>
      <x:c r="O30" s="18" t="str">
        <x:v>/collections/disposable-vapes</x:v>
      </x:c>
      <x:c r="P30" s="18" t="str">
        <x:v>不适用</x:v>
      </x:c>
      <x:c r="Q30" s="18" t="str">
        <x:v>主站页面自身承接</x:v>
      </x:c>
      <x:c r="R30" s="18" t="str">
        <x:v>核心品类词：主站优先，博客只做长尾解释，不直接抢同一词</x:v>
      </x:c>
      <x:c r="S30" s="18" t="str">
        <x:v>如果 Google 首页产品页和指南混合，主站页要加 FAQ、选购指南、对比模块。</x:v>
      </x:c>
      <x:c r="T30" s="42" t="n">
        <x:v>7</x:v>
      </x:c>
      <x:c r="U30" s="42" t="n">
        <x:v>6</x:v>
      </x:c>
      <x:c r="V30" s="42" t="n">
        <x:v>16</x:v>
      </x:c>
      <x:c r="W30" s="42" t="n">
        <x:v>8</x:v>
      </x:c>
      <x:c r="X30" s="42" t="n">
        <x:v>15</x:v>
      </x:c>
      <x:c r="Y30" s="42" t="n">
        <x:v>4</x:v>
      </x:c>
      <x:c r="Z30" s="42" t="n">
        <x:f>MAX(0,MIN(100,ROUND(((T30+U30+V30+W30+X30)-Y30)/85*100,0)))</x:f>
        <x:v>56</x:v>
      </x:c>
      <x:c r="AA30" s="18" t="str">
        <x:f>IF(L30="暂不做","P3 暂缓",IF(Z30&gt;=75,"P0 本周做",IF(Z30&gt;=60,"P1 近期做",IF(Z30&gt;=45,"P2 备选","P3 暂缓"))))</x:f>
        <x:v>P2 备选</x:v>
      </x:c>
      <x:c r="AB30" s="18" t="str">
        <x:f>IF(Y30&gt;=15,"先做合规/相关性复核，不建议直接商业导流",IF(L30="主站","建/优化主站商业页",IF(L30="博客A-知识教程","写知识教程/FAQ文章",IF(L30="博客B-场景人群","写场景需求/选购指南文章",IF(L30="博客C-对比评测","写对比评测/榜单文章","暂不做或人工复核")))))</x:f>
        <x:v>建/优化主站商业页</x:v>
      </x:c>
      <x:c r="AC30" s="18" t="str">
        <x:v>Exdivo Official – High Quality Disposable Vape, Pod Kits &amp; E-Cigarettes</x:v>
      </x:c>
      <x:c r="AD30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31">
      <x:c r="A31" s="40" t="n">
        <x:v>31</x:v>
      </x:c>
      <x:c r="B31" s="18" t="str">
        <x:v>https://exdivo.com/</x:v>
      </x:c>
      <x:c r="C31" s="18" t="str">
        <x:v>rechargeable disposable vapes</x:v>
      </x:c>
      <x:c r="D31" s="18" t="str">
        <x:v>recommended</x:v>
      </x:c>
      <x:c r="E31" s="41" t="n">
        <x:v>170</x:v>
      </x:c>
      <x:c r="F31" s="41" t="n">
        <x:v>35</x:v>
      </x:c>
      <x:c r="G31" s="18" t="str">
        <x:v>informational, commercial</x:v>
      </x:c>
      <x:c r="H31" s="18" t="str">
        <x:v>Disposable Vape</x:v>
      </x:c>
      <x:c r="I31" s="18" t="str">
        <x:v>品类承接词</x:v>
      </x:c>
      <x:c r="J31" s="18" t="str">
        <x:v>主站</x:v>
      </x:c>
      <x:c r="K31" s="18" t="str"/>
      <x:c r="L31" s="18" t="str">
        <x:f>IF(K31="",J31,K31)</x:f>
        <x:v>主站</x:v>
      </x:c>
      <x:c r="M31" s="18" t="str">
        <x:v>品类页/集合页 + FAQ内容块</x:v>
      </x:c>
      <x:c r="N31" s="18" t="str">
        <x:v>主站品类页：用产品集合 + 选购说明承接</x:v>
      </x:c>
      <x:c r="O31" s="18" t="str">
        <x:v>/collections/rechargeable-vapes</x:v>
      </x:c>
      <x:c r="P31" s="18" t="str">
        <x:v>不适用</x:v>
      </x:c>
      <x:c r="Q31" s="18" t="str">
        <x:v>主站页面自身承接</x:v>
      </x:c>
      <x:c r="R31" s="18" t="str">
        <x:v>核心品类词：主站优先，博客只做长尾解释，不直接抢同一词</x:v>
      </x:c>
      <x:c r="S31" s="18" t="str">
        <x:v>如果 Google 首页产品页和指南混合，主站页要加 FAQ、选购指南、对比模块。</x:v>
      </x:c>
      <x:c r="T31" s="42" t="n">
        <x:v>7</x:v>
      </x:c>
      <x:c r="U31" s="42" t="n">
        <x:v>9</x:v>
      </x:c>
      <x:c r="V31" s="42" t="n">
        <x:v>18</x:v>
      </x:c>
      <x:c r="W31" s="42" t="n">
        <x:v>8</x:v>
      </x:c>
      <x:c r="X31" s="42" t="n">
        <x:v>15</x:v>
      </x:c>
      <x:c r="Y31" s="42" t="n">
        <x:v>4</x:v>
      </x:c>
      <x:c r="Z31" s="42" t="n">
        <x:f>MAX(0,MIN(100,ROUND(((T31+U31+V31+W31+X31)-Y31)/85*100,0)))</x:f>
        <x:v>62</x:v>
      </x:c>
      <x:c r="AA31" s="18" t="str">
        <x:f>IF(L31="暂不做","P3 暂缓",IF(Z31&gt;=75,"P0 本周做",IF(Z31&gt;=60,"P1 近期做",IF(Z31&gt;=45,"P2 备选","P3 暂缓"))))</x:f>
        <x:v>P1 近期做</x:v>
      </x:c>
      <x:c r="AB31" s="18" t="str">
        <x:f>IF(Y31&gt;=15,"先做合规/相关性复核，不建议直接商业导流",IF(L31="主站","建/优化主站商业页",IF(L31="博客A-知识教程","写知识教程/FAQ文章",IF(L31="博客B-场景人群","写场景需求/选购指南文章",IF(L31="博客C-对比评测","写对比评测/榜单文章","暂不做或人工复核")))))</x:f>
        <x:v>建/优化主站商业页</x:v>
      </x:c>
      <x:c r="AC31" s="18" t="str">
        <x:v>Exdivo Official – High Quality Disposable Vape, Pod Kits &amp; E-Cigarettes</x:v>
      </x:c>
      <x:c r="AD31" s="19" t="str">
        <x:v>shop exdivo disposable vapes and pod systems built for performance and convenience. enjoy smooth hits, bold flavors, and long battery life in every device. our leak-resistant design and high puff count ensure a reliable vaping experience anytime, anywhe...</x:v>
      </x:c>
    </x:row>
    <x:row r="32">
      <x:c r="A32" s="40" t="n">
        <x:v>32</x:v>
      </x:c>
      <x:c r="B32" s="18" t="str">
        <x:v>https://exdivo.com/comments/exdivo-bright-mirror-35k-replaceable-vape-kit_9fb2cea3</x:v>
      </x:c>
      <x:c r="C32" s="18" t="str">
        <x:v>bright mirror 35k vape kit review</x:v>
      </x:c>
      <x:c r="D32" s="18" t="str">
        <x:v>recommended</x:v>
      </x:c>
      <x:c r="E32" s="41" t="n">
        <x:v>0</x:v>
      </x:c>
      <x:c r="F32" s="41" t="n">
        <x:v>0</x:v>
      </x:c>
      <x:c r="G32" s="18" t="str">
        <x:v>48</x:v>
      </x:c>
      <x:c r="H32" s="18" t="str">
        <x:v>对比评测</x:v>
      </x:c>
      <x:c r="I32" s="18" t="str">
        <x:v>商业调查词</x:v>
      </x:c>
      <x:c r="J32" s="18" t="str">
        <x:v>博客C-对比评测</x:v>
      </x:c>
      <x:c r="K32" s="18" t="str"/>
      <x:c r="L32" s="18" t="str">
        <x:f>IF(K32="",J32,K32)</x:f>
        <x:v>博客C-对比评测</x:v>
      </x:c>
      <x:c r="M32" s="18" t="str">
        <x:v>Best/Top/Review/VS/替代方案文章</x:v>
      </x:c>
      <x:c r="N32" s="18" t="str">
        <x:v>Best angle: bright mirror 35k vape kit review - comparison, pros/cons, and which option fits different buyers</x:v>
      </x:c>
      <x:c r="O32" s="18" t="str">
        <x:v>/collections/disposable-vapes</x:v>
      </x:c>
      <x:c r="P32" s="18" t="str">
        <x:v>是</x:v>
      </x:c>
      <x:c r="Q32" s="18" t="str">
        <x:v>自然句/品类词/品牌词</x:v>
      </x:c>
      <x:c r="R32" s="18" t="str">
        <x:v>中风险：榜单和评测必须真实、中立，避免夸大</x:v>
      </x:c>
      <x:c r="S32" s="18" t="str">
        <x:v>这类词不直接给主站，先用博客C教育和比较，再导流到最相关集合页。</x:v>
      </x:c>
      <x:c r="T32" s="42" t="n">
        <x:v>1</x:v>
      </x:c>
      <x:c r="U32" s="42" t="n">
        <x:v>15</x:v>
      </x:c>
      <x:c r="V32" s="42" t="n">
        <x:v>16</x:v>
      </x:c>
      <x:c r="W32" s="42" t="n">
        <x:v>15</x:v>
      </x:c>
      <x:c r="X32" s="42" t="n">
        <x:v>13</x:v>
      </x:c>
      <x:c r="Y32" s="42" t="n">
        <x:v>6</x:v>
      </x:c>
      <x:c r="Z32" s="42" t="n">
        <x:f>MAX(0,MIN(100,ROUND(((T32+U32+V32+W32+X32)-Y32)/85*100,0)))</x:f>
        <x:v>64</x:v>
      </x:c>
      <x:c r="AA32" s="18" t="str">
        <x:f>IF(L32="暂不做","P3 暂缓",IF(Z32&gt;=75,"P0 本周做",IF(Z32&gt;=60,"P1 近期做",IF(Z32&gt;=45,"P2 备选","P3 暂缓"))))</x:f>
        <x:v>P1 近期做</x:v>
      </x:c>
      <x:c r="AB32" s="18" t="str">
        <x:f>IF(Y32&gt;=15,"先做合规/相关性复核，不建议直接商业导流",IF(L32="主站","建/优化主站商业页",IF(L32="博客A-知识教程","写知识教程/FAQ文章",IF(L32="博客B-场景人群","写场景需求/选购指南文章",IF(L32="博客C-对比评测","写对比评测/榜单文章","暂不做或人工复核")))))</x:f>
        <x:v>写对比评测/榜单文章</x:v>
      </x:c>
      <x:c r="AC32" s="18" t="str">
        <x:v>Reviews - WHITE GUMMY - ExDivo BRIGHT MIRROR 35K Replaceable VAPE kit - ExDivo</x:v>
      </x:c>
      <x:c r="AD32" s="19" t="str">
        <x:v>48</x:v>
      </x:c>
    </x:row>
    <x:row r="33">
      <x:c r="A33" s="40" t="n">
        <x:v>33</x:v>
      </x:c>
      <x:c r="B33" s="18" t="str">
        <x:v>https://exdivo.com/comments/exdivo-bright-mirror-35k-replaceable-vape-kit_9fb2cea3</x:v>
      </x:c>
      <x:c r="C33" s="18" t="str">
        <x:v>vape kit flavor reviews</x:v>
      </x:c>
      <x:c r="D33" s="18" t="str">
        <x:v>recommended</x:v>
      </x:c>
      <x:c r="E33" s="41" t="n">
        <x:v>0</x:v>
      </x:c>
      <x:c r="F33" s="41" t="n">
        <x:v>0</x:v>
      </x:c>
      <x:c r="G33" s="18" t="str">
        <x:v>48</x:v>
      </x:c>
      <x:c r="H33" s="18" t="str">
        <x:v>Flavor / 口味</x:v>
      </x:c>
      <x:c r="I33" s="18" t="str">
        <x:v>商业调查词</x:v>
      </x:c>
      <x:c r="J33" s="18" t="str">
        <x:v>博客C-对比评测</x:v>
      </x:c>
      <x:c r="K33" s="18" t="str"/>
      <x:c r="L33" s="18" t="str">
        <x:f>IF(K33="",J33,K33)</x:f>
        <x:v>博客C-对比评测</x:v>
      </x:c>
      <x:c r="M33" s="18" t="str">
        <x:v>Best/Top/Review/VS/替代方案文章</x:v>
      </x:c>
      <x:c r="N33" s="18" t="str">
        <x:v>Best angle: vape kit flavor reviews - comparison, pros/cons, and which option fits different buyers</x:v>
      </x:c>
      <x:c r="O33" s="18" t="str">
        <x:v>/collections/flavored-disposable-vapes</x:v>
      </x:c>
      <x:c r="P33" s="18" t="str">
        <x:v>是</x:v>
      </x:c>
      <x:c r="Q33" s="18" t="str">
        <x:v>自然句/品类词/品牌词</x:v>
      </x:c>
      <x:c r="R33" s="18" t="str">
        <x:v>中风险：榜单和评测必须真实、中立，避免夸大</x:v>
      </x:c>
      <x:c r="S33" s="18" t="str">
        <x:v>这类词不直接给主站，先用博客C教育和比较，再导流到最相关集合页。</x:v>
      </x:c>
      <x:c r="T33" s="42" t="n">
        <x:v>1</x:v>
      </x:c>
      <x:c r="U33" s="42" t="n">
        <x:v>15</x:v>
      </x:c>
      <x:c r="V33" s="42" t="n">
        <x:v>16</x:v>
      </x:c>
      <x:c r="W33" s="42" t="n">
        <x:v>15</x:v>
      </x:c>
      <x:c r="X33" s="42" t="n">
        <x:v>13</x:v>
      </x:c>
      <x:c r="Y33" s="42" t="n">
        <x:v>6</x:v>
      </x:c>
      <x:c r="Z33" s="42" t="n">
        <x:f>MAX(0,MIN(100,ROUND(((T33+U33+V33+W33+X33)-Y33)/85*100,0)))</x:f>
        <x:v>64</x:v>
      </x:c>
      <x:c r="AA33" s="18" t="str">
        <x:f>IF(L33="暂不做","P3 暂缓",IF(Z33&gt;=75,"P0 本周做",IF(Z33&gt;=60,"P1 近期做",IF(Z33&gt;=45,"P2 备选","P3 暂缓"))))</x:f>
        <x:v>P1 近期做</x:v>
      </x:c>
      <x:c r="AB33" s="18" t="str">
        <x:f>IF(Y33&gt;=15,"先做合规/相关性复核，不建议直接商业导流",IF(L33="主站","建/优化主站商业页",IF(L33="博客A-知识教程","写知识教程/FAQ文章",IF(L33="博客B-场景人群","写场景需求/选购指南文章",IF(L33="博客C-对比评测","写对比评测/榜单文章","暂不做或人工复核")))))</x:f>
        <x:v>写对比评测/榜单文章</x:v>
      </x:c>
      <x:c r="AC33" s="18" t="str">
        <x:v>Reviews - WHITE GUMMY - ExDivo BRIGHT MIRROR 35K Replaceable VAPE kit - ExDivo</x:v>
      </x:c>
      <x:c r="AD33" s="19" t="str">
        <x:v>48</x:v>
      </x:c>
    </x:row>
    <x:row r="34">
      <x:c r="A34" s="40" t="n">
        <x:v>34</x:v>
      </x:c>
      <x:c r="B34" s="18" t="str">
        <x:v>https://exdivo.com/collections/meifu/products/exdivo-flora-40k-disposable-vape_bd748695?data_from=index_index&amp;spm=index_index..block_collection_list-11702354.10.</x:v>
      </x:c>
      <x:c r="C34" s="18" t="str">
        <x:v>40k puff vape</x:v>
      </x:c>
      <x:c r="D34" s="18" t="str">
        <x:v>recommended</x:v>
      </x:c>
      <x:c r="E34" s="41" t="n">
        <x:v>90</x:v>
      </x:c>
      <x:c r="F34" s="41" t="n">
        <x:v>3</x:v>
      </x:c>
      <x:c r="G34" s="18" t="str">
        <x:v>informational</x:v>
      </x:c>
      <x:c r="H34" s="18" t="str">
        <x:v>General Vape</x:v>
      </x:c>
      <x:c r="I34" s="18" t="str">
        <x:v>品类承接词</x:v>
      </x:c>
      <x:c r="J34" s="18" t="str">
        <x:v>主站</x:v>
      </x:c>
      <x:c r="K34" s="18" t="str"/>
      <x:c r="L34" s="18" t="str">
        <x:f>IF(K34="",J34,K34)</x:f>
        <x:v>主站</x:v>
      </x:c>
      <x:c r="M34" s="18" t="str">
        <x:v>品类页/集合页 + FAQ内容块</x:v>
      </x:c>
      <x:c r="N34" s="18" t="str">
        <x:v>主站品类页：用产品集合 + 选购说明承接</x:v>
      </x:c>
      <x:c r="O34" s="18" t="str">
        <x:v>/collections/disposable-vapes</x:v>
      </x:c>
      <x:c r="P34" s="18" t="str">
        <x:v>不适用</x:v>
      </x:c>
      <x:c r="Q34" s="18" t="str">
        <x:v>主站页面自身承接</x:v>
      </x:c>
      <x:c r="R34" s="18" t="str">
        <x:v>核心品类词：主站优先，博客只做长尾解释，不直接抢同一词</x:v>
      </x:c>
      <x:c r="S34" s="18" t="str">
        <x:v>如果 Google 首页产品页和指南混合，主站页要加 FAQ、选购指南、对比模块。</x:v>
      </x:c>
      <x:c r="T34" s="42" t="n">
        <x:v>4</x:v>
      </x:c>
      <x:c r="U34" s="42" t="n">
        <x:v>15</x:v>
      </x:c>
      <x:c r="V34" s="42" t="n">
        <x:v>16</x:v>
      </x:c>
      <x:c r="W34" s="42" t="n">
        <x:v>8</x:v>
      </x:c>
      <x:c r="X34" s="42" t="n">
        <x:v>15</x:v>
      </x:c>
      <x:c r="Y34" s="42" t="n">
        <x:v>4</x:v>
      </x:c>
      <x:c r="Z34" s="42" t="n">
        <x:f>MAX(0,MIN(100,ROUND(((T34+U34+V34+W34+X34)-Y34)/85*100,0)))</x:f>
        <x:v>64</x:v>
      </x:c>
      <x:c r="AA34" s="18" t="str">
        <x:f>IF(L34="暂不做","P3 暂缓",IF(Z34&gt;=75,"P0 本周做",IF(Z34&gt;=60,"P1 近期做",IF(Z34&gt;=45,"P2 备选","P3 暂缓"))))</x:f>
        <x:v>P1 近期做</x:v>
      </x:c>
      <x:c r="AB34" s="18" t="str">
        <x:f>IF(Y34&gt;=15,"先做合规/相关性复核，不建议直接商业导流",IF(L34="主站","建/优化主站商业页",IF(L34="博客A-知识教程","写知识教程/FAQ文章",IF(L34="博客B-场景人群","写场景需求/选购指南文章",IF(L34="博客C-对比评测","写对比评测/榜单文章","暂不做或人工复核")))))</x:f>
        <x:v>建/优化主站商业页</x:v>
      </x:c>
      <x:c r="AC34" s="18" t="str">
        <x:v>ExDivo FLORA 40K Disposable Vape</x:v>
      </x:c>
      <x:c r="AD34" s="19" t="str">
        <x:v>40000 puffs</x:v>
      </x:c>
    </x:row>
    <x:row r="35">
      <x:c r="A35" s="40" t="n">
        <x:v>35</x:v>
      </x:c>
      <x:c r="B35" s="18" t="str">
        <x:v>https://exdivo.com/collections/meifu/products/exdivo-flora-40k-disposable-vape_bd748695?data_from=index_index&amp;spm=index_index..block_collection_list-11702354.10.</x:v>
      </x:c>
      <x:c r="C35" s="18" t="str">
        <x:v>40k vape</x:v>
      </x:c>
      <x:c r="D35" s="18" t="str">
        <x:v>recommended</x:v>
      </x:c>
      <x:c r="E35" s="41" t="n">
        <x:v>40</x:v>
      </x:c>
      <x:c r="F35" s="41" t="n">
        <x:v>2</x:v>
      </x:c>
      <x:c r="G35" s="18" t="str">
        <x:v>commercial</x:v>
      </x:c>
      <x:c r="H35" s="18" t="str">
        <x:v>General Vape</x:v>
      </x:c>
      <x:c r="I35" s="18" t="str">
        <x:v>品类承接词</x:v>
      </x:c>
      <x:c r="J35" s="18" t="str">
        <x:v>主站</x:v>
      </x:c>
      <x:c r="K35" s="18" t="str"/>
      <x:c r="L35" s="18" t="str">
        <x:f>IF(K35="",J35,K35)</x:f>
        <x:v>主站</x:v>
      </x:c>
      <x:c r="M35" s="18" t="str">
        <x:v>品类页/集合页 + FAQ内容块</x:v>
      </x:c>
      <x:c r="N35" s="18" t="str">
        <x:v>主站品类页：用产品集合 + 选购说明承接</x:v>
      </x:c>
      <x:c r="O35" s="18" t="str">
        <x:v>/collections/disposable-vapes</x:v>
      </x:c>
      <x:c r="P35" s="18" t="str">
        <x:v>不适用</x:v>
      </x:c>
      <x:c r="Q35" s="18" t="str">
        <x:v>主站页面自身承接</x:v>
      </x:c>
      <x:c r="R35" s="18" t="str">
        <x:v>核心品类词：主站优先，博客只做长尾解释，不直接抢同一词</x:v>
      </x:c>
      <x:c r="S35" s="18" t="str">
        <x:v>如果 Google 首页产品页和指南混合，主站页要加 FAQ、选购指南、对比模块。</x:v>
      </x:c>
      <x:c r="T35" s="42" t="n">
        <x:v>4</x:v>
      </x:c>
      <x:c r="U35" s="42" t="n">
        <x:v>15</x:v>
      </x:c>
      <x:c r="V35" s="42" t="n">
        <x:v>18</x:v>
      </x:c>
      <x:c r="W35" s="42" t="n">
        <x:v>8</x:v>
      </x:c>
      <x:c r="X35" s="42" t="n">
        <x:v>15</x:v>
      </x:c>
      <x:c r="Y35" s="42" t="n">
        <x:v>4</x:v>
      </x:c>
      <x:c r="Z35" s="42" t="n">
        <x:f>MAX(0,MIN(100,ROUND(((T35+U35+V35+W35+X35)-Y35)/85*100,0)))</x:f>
        <x:v>66</x:v>
      </x:c>
      <x:c r="AA35" s="18" t="str">
        <x:f>IF(L35="暂不做","P3 暂缓",IF(Z35&gt;=75,"P0 本周做",IF(Z35&gt;=60,"P1 近期做",IF(Z35&gt;=45,"P2 备选","P3 暂缓"))))</x:f>
        <x:v>P1 近期做</x:v>
      </x:c>
      <x:c r="AB35" s="18" t="str">
        <x:f>IF(Y35&gt;=15,"先做合规/相关性复核，不建议直接商业导流",IF(L35="主站","建/优化主站商业页",IF(L35="博客A-知识教程","写知识教程/FAQ文章",IF(L35="博客B-场景人群","写场景需求/选购指南文章",IF(L35="博客C-对比评测","写对比评测/榜单文章","暂不做或人工复核")))))</x:f>
        <x:v>建/优化主站商业页</x:v>
      </x:c>
      <x:c r="AC35" s="18" t="str">
        <x:v>ExDivo FLORA 40K Disposable Vape</x:v>
      </x:c>
      <x:c r="AD35" s="19" t="str">
        <x:v>40000 puffs</x:v>
      </x:c>
    </x:row>
    <x:row r="36">
      <x:c r="A36" s="40" t="n">
        <x:v>36</x:v>
      </x:c>
      <x:c r="B36" s="18" t="str">
        <x:v>https://exdivo.com/collections/meifu/products/exdivo-flora-40k-disposable-vape_bd748695?data_from=index_index&amp;spm=index_index..block_collection_list-11702354.10.</x:v>
      </x:c>
      <x:c r="C36" s="18" t="str">
        <x:v>flora 40k vape</x:v>
      </x:c>
      <x:c r="D36" s="18" t="str">
        <x:v>recommended</x:v>
      </x:c>
      <x:c r="E36" s="41" t="n">
        <x:v>0</x:v>
      </x:c>
      <x:c r="F36" s="41" t="n">
        <x:v>0</x:v>
      </x:c>
      <x:c r="G36" s="18" t="str">
        <x:v>48</x:v>
      </x:c>
      <x:c r="H36" s="18" t="str">
        <x:v>General Vape</x:v>
      </x:c>
      <x:c r="I36" s="18" t="str">
        <x:v>品类承接词</x:v>
      </x:c>
      <x:c r="J36" s="18" t="str">
        <x:v>主站</x:v>
      </x:c>
      <x:c r="K36" s="18" t="str"/>
      <x:c r="L36" s="18" t="str">
        <x:f>IF(K36="",J36,K36)</x:f>
        <x:v>主站</x:v>
      </x:c>
      <x:c r="M36" s="18" t="str">
        <x:v>品类页/集合页 + FAQ内容块</x:v>
      </x:c>
      <x:c r="N36" s="18" t="str">
        <x:v>主站品类页：用产品集合 + 选购说明承接</x:v>
      </x:c>
      <x:c r="O36" s="18" t="str">
        <x:v>/collections/disposable-vapes</x:v>
      </x:c>
      <x:c r="P36" s="18" t="str">
        <x:v>不适用</x:v>
      </x:c>
      <x:c r="Q36" s="18" t="str">
        <x:v>主站页面自身承接</x:v>
      </x:c>
      <x:c r="R36" s="18" t="str">
        <x:v>核心品类词：主站优先，博客只做长尾解释，不直接抢同一词</x:v>
      </x:c>
      <x:c r="S36" s="18" t="str">
        <x:v>如果 Google 首页产品页和指南混合，主站页要加 FAQ、选购指南、对比模块。</x:v>
      </x:c>
      <x:c r="T36" s="42" t="n">
        <x:v>1</x:v>
      </x:c>
      <x:c r="U36" s="42" t="n">
        <x:v>15</x:v>
      </x:c>
      <x:c r="V36" s="42" t="n">
        <x:v>16</x:v>
      </x:c>
      <x:c r="W36" s="42" t="n">
        <x:v>8</x:v>
      </x:c>
      <x:c r="X36" s="42" t="n">
        <x:v>15</x:v>
      </x:c>
      <x:c r="Y36" s="42" t="n">
        <x:v>4</x:v>
      </x:c>
      <x:c r="Z36" s="42" t="n">
        <x:f>MAX(0,MIN(100,ROUND(((T36+U36+V36+W36+X36)-Y36)/85*100,0)))</x:f>
        <x:v>60</x:v>
      </x:c>
      <x:c r="AA36" s="18" t="str">
        <x:f>IF(L36="暂不做","P3 暂缓",IF(Z36&gt;=75,"P0 本周做",IF(Z36&gt;=60,"P1 近期做",IF(Z36&gt;=45,"P2 备选","P3 暂缓"))))</x:f>
        <x:v>P1 近期做</x:v>
      </x:c>
      <x:c r="AB36" s="18" t="str">
        <x:f>IF(Y36&gt;=15,"先做合规/相关性复核，不建议直接商业导流",IF(L36="主站","建/优化主站商业页",IF(L36="博客A-知识教程","写知识教程/FAQ文章",IF(L36="博客B-场景人群","写场景需求/选购指南文章",IF(L36="博客C-对比评测","写对比评测/榜单文章","暂不做或人工复核")))))</x:f>
        <x:v>建/优化主站商业页</x:v>
      </x:c>
      <x:c r="AC36" s="18" t="str">
        <x:v>ExDivo FLORA 40K Disposable Vape</x:v>
      </x:c>
      <x:c r="AD36" s="19" t="str">
        <x:v>40000 puffs</x:v>
      </x:c>
    </x:row>
    <x:row r="37">
      <x:c r="A37" s="40" t="n">
        <x:v>37</x:v>
      </x:c>
      <x:c r="B37" s="18" t="str">
        <x:v>https://exdivo.com/collections/meifu?data_from=index_index</x:v>
      </x:c>
      <x:c r="C37" s="18" t="str">
        <x:v>vape devices flora</x:v>
      </x:c>
      <x:c r="D37" s="18" t="str">
        <x:v>recommended</x:v>
      </x:c>
      <x:c r="E37" s="41" t="n">
        <x:v>0</x:v>
      </x:c>
      <x:c r="F37" s="41" t="n">
        <x:v>0</x:v>
      </x:c>
      <x:c r="G37" s="18" t="str">
        <x:v>48</x:v>
      </x:c>
      <x:c r="H37" s="18" t="str">
        <x:v>General Vape</x:v>
      </x:c>
      <x:c r="I37" s="18" t="str">
        <x:v>品类承接词</x:v>
      </x:c>
      <x:c r="J37" s="18" t="str">
        <x:v>主站</x:v>
      </x:c>
      <x:c r="K37" s="18" t="str"/>
      <x:c r="L37" s="18" t="str">
        <x:f>IF(K37="",J37,K37)</x:f>
        <x:v>主站</x:v>
      </x:c>
      <x:c r="M37" s="18" t="str">
        <x:v>品类页/集合页 + FAQ内容块</x:v>
      </x:c>
      <x:c r="N37" s="18" t="str">
        <x:v>主站品类页：用产品集合 + 选购说明承接</x:v>
      </x:c>
      <x:c r="O37" s="18" t="str">
        <x:v>/collections/disposable-vapes</x:v>
      </x:c>
      <x:c r="P37" s="18" t="str">
        <x:v>不适用</x:v>
      </x:c>
      <x:c r="Q37" s="18" t="str">
        <x:v>主站页面自身承接</x:v>
      </x:c>
      <x:c r="R37" s="18" t="str">
        <x:v>核心品类词：主站优先，博客只做长尾解释，不直接抢同一词</x:v>
      </x:c>
      <x:c r="S37" s="18" t="str">
        <x:v>如果 Google 首页产品页和指南混合，主站页要加 FAQ、选购指南、对比模块。</x:v>
      </x:c>
      <x:c r="T37" s="42" t="n">
        <x:v>1</x:v>
      </x:c>
      <x:c r="U37" s="42" t="n">
        <x:v>15</x:v>
      </x:c>
      <x:c r="V37" s="42" t="n">
        <x:v>16</x:v>
      </x:c>
      <x:c r="W37" s="42" t="n">
        <x:v>8</x:v>
      </x:c>
      <x:c r="X37" s="42" t="n">
        <x:v>15</x:v>
      </x:c>
      <x:c r="Y37" s="42" t="n">
        <x:v>4</x:v>
      </x:c>
      <x:c r="Z37" s="42" t="n">
        <x:f>MAX(0,MIN(100,ROUND(((T37+U37+V37+W37+X37)-Y37)/85*100,0)))</x:f>
        <x:v>60</x:v>
      </x:c>
      <x:c r="AA37" s="18" t="str">
        <x:f>IF(L37="暂不做","P3 暂缓",IF(Z37&gt;=75,"P0 本周做",IF(Z37&gt;=60,"P1 近期做",IF(Z37&gt;=45,"P2 备选","P3 暂缓"))))</x:f>
        <x:v>P1 近期做</x:v>
      </x:c>
      <x:c r="AB37" s="18" t="str">
        <x:f>IF(Y37&gt;=15,"先做合规/相关性复核，不建议直接商业导流",IF(L37="主站","建/优化主站商业页",IF(L37="博客A-知识教程","写知识教程/FAQ文章",IF(L37="博客B-场景人群","写场景需求/选购指南文章",IF(L37="博客C-对比评测","写对比评测/榜单文章","暂不做或人工复核")))))</x:f>
        <x:v>建/优化主站商业页</x:v>
      </x:c>
      <x:c r="AC37" s="18" t="str">
        <x:v>FLORA - ExDivo</x:v>
      </x:c>
      <x:c r="AD37" s="19" t="str">
        <x:v>flora</x:v>
      </x:c>
    </x:row>
    <x:row r="38">
      <x:c r="A38" s="40" t="n">
        <x:v>38</x:v>
      </x:c>
      <x:c r="B38" s="18" t="str">
        <x:v>https://exdivo.com/collections/meifu?data_from=index_index</x:v>
      </x:c>
      <x:c r="C38" s="18" t="str">
        <x:v>flora disposable vape</x:v>
      </x:c>
      <x:c r="D38" s="18" t="str">
        <x:v>recommended</x:v>
      </x:c>
      <x:c r="E38" s="41" t="n">
        <x:v>0</x:v>
      </x:c>
      <x:c r="F38" s="41" t="n">
        <x:v>0</x:v>
      </x:c>
      <x:c r="G38" s="18" t="str">
        <x:v>48</x:v>
      </x:c>
      <x:c r="H38" s="18" t="str">
        <x:v>Disposable Vape</x:v>
      </x:c>
      <x:c r="I38" s="18" t="str">
        <x:v>品类承接词</x:v>
      </x:c>
      <x:c r="J38" s="18" t="str">
        <x:v>主站</x:v>
      </x:c>
      <x:c r="K38" s="18" t="str"/>
      <x:c r="L38" s="18" t="str">
        <x:f>IF(K38="",J38,K38)</x:f>
        <x:v>主站</x:v>
      </x:c>
      <x:c r="M38" s="18" t="str">
        <x:v>品类页/集合页 + FAQ内容块</x:v>
      </x:c>
      <x:c r="N38" s="18" t="str">
        <x:v>主站品类页：用产品集合 + 选购说明承接</x:v>
      </x:c>
      <x:c r="O38" s="18" t="str">
        <x:v>/collections/disposable-vapes</x:v>
      </x:c>
      <x:c r="P38" s="18" t="str">
        <x:v>不适用</x:v>
      </x:c>
      <x:c r="Q38" s="18" t="str">
        <x:v>主站页面自身承接</x:v>
      </x:c>
      <x:c r="R38" s="18" t="str">
        <x:v>核心品类词：主站优先，博客只做长尾解释，不直接抢同一词</x:v>
      </x:c>
      <x:c r="S38" s="18" t="str">
        <x:v>如果 Google 首页产品页和指南混合，主站页要加 FAQ、选购指南、对比模块。</x:v>
      </x:c>
      <x:c r="T38" s="42" t="n">
        <x:v>1</x:v>
      </x:c>
      <x:c r="U38" s="42" t="n">
        <x:v>15</x:v>
      </x:c>
      <x:c r="V38" s="42" t="n">
        <x:v>16</x:v>
      </x:c>
      <x:c r="W38" s="42" t="n">
        <x:v>8</x:v>
      </x:c>
      <x:c r="X38" s="42" t="n">
        <x:v>15</x:v>
      </x:c>
      <x:c r="Y38" s="42" t="n">
        <x:v>4</x:v>
      </x:c>
      <x:c r="Z38" s="42" t="n">
        <x:f>MAX(0,MIN(100,ROUND(((T38+U38+V38+W38+X38)-Y38)/85*100,0)))</x:f>
        <x:v>60</x:v>
      </x:c>
      <x:c r="AA38" s="18" t="str">
        <x:f>IF(L38="暂不做","P3 暂缓",IF(Z38&gt;=75,"P0 本周做",IF(Z38&gt;=60,"P1 近期做",IF(Z38&gt;=45,"P2 备选","P3 暂缓"))))</x:f>
        <x:v>P1 近期做</x:v>
      </x:c>
      <x:c r="AB38" s="18" t="str">
        <x:f>IF(Y38&gt;=15,"先做合规/相关性复核，不建议直接商业导流",IF(L38="主站","建/优化主站商业页",IF(L38="博客A-知识教程","写知识教程/FAQ文章",IF(L38="博客B-场景人群","写场景需求/选购指南文章",IF(L38="博客C-对比评测","写对比评测/榜单文章","暂不做或人工复核")))))</x:f>
        <x:v>建/优化主站商业页</x:v>
      </x:c>
      <x:c r="AC38" s="18" t="str">
        <x:v>FLORA - ExDivo</x:v>
      </x:c>
      <x:c r="AD38" s="19" t="str">
        <x:v>flora</x:v>
      </x:c>
    </x:row>
    <x:row r="39">
      <x:c r="A39" s="40" t="n">
        <x:v>39</x:v>
      </x:c>
      <x:c r="B39" s="18" t="str">
        <x:v>https://exdivo.com/products/exdivo-bright-mirror-35k-replaceable-vape-kit_9d9e42e4</x:v>
      </x:c>
      <x:c r="C39" s="18" t="str">
        <x:v>35k vape kit performance</x:v>
      </x:c>
      <x:c r="D39" s="18" t="str">
        <x:v>recommended</x:v>
      </x:c>
      <x:c r="E39" s="41" t="n">
        <x:v>0</x:v>
      </x:c>
      <x:c r="F39" s="41" t="n">
        <x:v>0</x:v>
      </x:c>
      <x:c r="G39" s="18" t="str">
        <x:v>48</x:v>
      </x:c>
      <x:c r="H39" s="18" t="str">
        <x:v>General Vape</x:v>
      </x:c>
      <x:c r="I39" s="18" t="str">
        <x:v>内容词</x:v>
      </x:c>
      <x:c r="J39" s="18" t="str">
        <x:v>博客A-知识教程</x:v>
      </x:c>
      <x:c r="K39" s="18" t="str"/>
      <x:c r="L39" s="18" t="str">
        <x:f>IF(K39="",J39,K39)</x:f>
        <x:v>博客A-知识教程</x:v>
      </x:c>
      <x:c r="M39" s="18" t="str">
        <x:v>知识/教程文章</x:v>
      </x:c>
      <x:c r="N39" s="18" t="str">
        <x:v>Guide angle: explain 35k vape kit performance, answer common questions, and avoid sales-first writing</x:v>
      </x:c>
      <x:c r="O39" s="18" t="str">
        <x:v>/collections/disposable-vapes 或最接近的产品集合页</x:v>
      </x:c>
      <x:c r="P39" s="18" t="str">
        <x:v>谨慎</x:v>
      </x:c>
      <x:c r="Q39" s="18" t="str">
        <x:v>品牌词/自然句</x:v>
      </x:c>
      <x:c r="R39" s="18" t="str">
        <x:v>低风险：按常规内容质量和搜索意图校验</x:v>
      </x:c>
      <x:c r="S39" s="18" t="str">
        <x:v>先看 Google SERP：如果首页多数为产品集合页，改回主站；如果多数为教程/问答，保持博客。</x:v>
      </x:c>
      <x:c r="T39" s="42" t="n">
        <x:v>1</x:v>
      </x:c>
      <x:c r="U39" s="42" t="n">
        <x:v>15</x:v>
      </x:c>
      <x:c r="V39" s="42" t="n">
        <x:v>10</x:v>
      </x:c>
      <x:c r="W39" s="42" t="n">
        <x:v>12</x:v>
      </x:c>
      <x:c r="X39" s="42" t="n">
        <x:v>12</x:v>
      </x:c>
      <x:c r="Y39" s="42" t="n">
        <x:v>4</x:v>
      </x:c>
      <x:c r="Z39" s="42" t="n">
        <x:f>MAX(0,MIN(100,ROUND(((T39+U39+V39+W39+X39)-Y39)/85*100,0)))</x:f>
        <x:v>54</x:v>
      </x:c>
      <x:c r="AA39" s="18" t="str">
        <x:f>IF(L39="暂不做","P3 暂缓",IF(Z39&gt;=75,"P0 本周做",IF(Z39&gt;=60,"P1 近期做",IF(Z39&gt;=45,"P2 备选","P3 暂缓"))))</x:f>
        <x:v>P2 备选</x:v>
      </x:c>
      <x:c r="AB39" s="18" t="str">
        <x:f>IF(Y39&gt;=15,"先做合规/相关性复核，不建议直接商业导流",IF(L39="主站","建/优化主站商业页",IF(L39="博客A-知识教程","写知识教程/FAQ文章",IF(L39="博客B-场景人群","写场景需求/选购指南文章",IF(L39="博客C-对比评测","写对比评测/榜单文章","暂不做或人工复核")))))</x:f>
        <x:v>写知识教程/FAQ文章</x:v>
      </x:c>
      <x:c r="AC39" s="18" t="str">
        <x:v>ExDivo BRIGHT MIRROR 35K Replaceable VAPE kit</x:v>
      </x:c>
      <x:c r="AD39" s="19" t="str">
        <x:v>35000 puffs</x:v>
      </x:c>
    </x:row>
    <x:row r="40">
      <x:c r="A40" s="40" t="n">
        <x:v>40</x:v>
      </x:c>
      <x:c r="B40" s="18" t="str">
        <x:v>https://exdivo.com/collections/all?page=2</x:v>
      </x:c>
      <x:c r="C40" s="18" t="str">
        <x:v>buy vape online</x:v>
      </x:c>
      <x:c r="D40" s="18" t="str">
        <x:v>recommended</x:v>
      </x:c>
      <x:c r="E40" s="41" t="n">
        <x:v>8100</x:v>
      </x:c>
      <x:c r="F40" s="41" t="n">
        <x:v>84</x:v>
      </x:c>
      <x:c r="G40" s="18" t="str">
        <x:v>transactional</x:v>
      </x:c>
      <x:c r="H40" s="18" t="str">
        <x:v>购买交易</x:v>
      </x:c>
      <x:c r="I40" s="18" t="str">
        <x:v>交易词</x:v>
      </x:c>
      <x:c r="J40" s="18" t="str">
        <x:v>主站</x:v>
      </x:c>
      <x:c r="K40" s="18" t="str"/>
      <x:c r="L40" s="18" t="str">
        <x:f>IF(K40="",J40,K40)</x:f>
        <x:v>主站</x:v>
      </x:c>
      <x:c r="M40" s="18" t="str">
        <x:v>产品集合页/分类页/购买页</x:v>
      </x:c>
      <x:c r="N40" s="18" t="str">
        <x:v>主站商业页：标题围绕购买意图 + 品类 + 关键卖点</x:v>
      </x:c>
      <x:c r="O40" s="18" t="str">
        <x:v>/collections/disposable-vapes</x:v>
      </x:c>
      <x:c r="P40" s="18" t="str">
        <x:v>不适用</x:v>
      </x:c>
      <x:c r="Q40" s="18" t="str">
        <x:v>主站页面自身承接</x:v>
      </x:c>
      <x:c r="R40" s="18" t="str">
        <x:v>商业词：优先给主站，避免博客抢主站排名</x:v>
      </x:c>
      <x:c r="S40" s="18" t="str">
        <x:v>SERP 如为商品列表/品牌站/电商集合页，就建主站页面；若 SERP 全是教程，再拆支持文章。</x:v>
      </x:c>
      <x:c r="T40" s="42" t="n">
        <x:v>16</x:v>
      </x:c>
      <x:c r="U40" s="42" t="n">
        <x:v>1</x:v>
      </x:c>
      <x:c r="V40" s="42" t="n">
        <x:v>20</x:v>
      </x:c>
      <x:c r="W40" s="42" t="n">
        <x:v>7</x:v>
      </x:c>
      <x:c r="X40" s="42" t="n">
        <x:v>15</x:v>
      </x:c>
      <x:c r="Y40" s="42" t="n">
        <x:v>4</x:v>
      </x:c>
      <x:c r="Z40" s="42" t="n">
        <x:f>MAX(0,MIN(100,ROUND(((T40+U40+V40+W40+X40)-Y40)/85*100,0)))</x:f>
        <x:v>65</x:v>
      </x:c>
      <x:c r="AA40" s="18" t="str">
        <x:f>IF(L40="暂不做","P3 暂缓",IF(Z40&gt;=75,"P0 本周做",IF(Z40&gt;=60,"P1 近期做",IF(Z40&gt;=45,"P2 备选","P3 暂缓"))))</x:f>
        <x:v>P1 近期做</x:v>
      </x:c>
      <x:c r="AB40" s="18" t="str">
        <x:f>IF(Y40&gt;=15,"先做合规/相关性复核，不建议直接商业导流",IF(L40="主站","建/优化主站商业页",IF(L40="博客A-知识教程","写知识教程/FAQ文章",IF(L40="博客B-场景人群","写场景需求/选购指南文章",IF(L40="博客C-对比评测","写对比评测/榜单文章","暂不做或人工复核")))))</x:f>
        <x:v>建/优化主站商业页</x:v>
      </x:c>
      <x:c r="AC40" s="18" t="str">
        <x:v>All Products - ExDivo</x:v>
      </x:c>
      <x:c r="AD40" s="19" t="str">
        <x:v>all products</x:v>
      </x:c>
    </x:row>
    <x:row r="41">
      <x:c r="A41" s="40" t="n">
        <x:v>41</x:v>
      </x:c>
      <x:c r="B41" s="18" t="str">
        <x:v>https://exdivo.com/collections/all?page=2</x:v>
      </x:c>
      <x:c r="C41" s="18" t="str">
        <x:v>vape device</x:v>
      </x:c>
      <x:c r="D41" s="18" t="str">
        <x:v>recommended</x:v>
      </x:c>
      <x:c r="E41" s="41" t="n">
        <x:v>880</x:v>
      </x:c>
      <x:c r="F41" s="41" t="n">
        <x:v>50</x:v>
      </x:c>
      <x:c r="G41" s="18" t="str">
        <x:v>commercial</x:v>
      </x:c>
      <x:c r="H41" s="18" t="str">
        <x:v>General Vape</x:v>
      </x:c>
      <x:c r="I41" s="18" t="str">
        <x:v>品类承接词</x:v>
      </x:c>
      <x:c r="J41" s="18" t="str">
        <x:v>主站</x:v>
      </x:c>
      <x:c r="K41" s="18" t="str"/>
      <x:c r="L41" s="18" t="str">
        <x:f>IF(K41="",J41,K41)</x:f>
        <x:v>主站</x:v>
      </x:c>
      <x:c r="M41" s="18" t="str">
        <x:v>品类页/集合页 + FAQ内容块</x:v>
      </x:c>
      <x:c r="N41" s="18" t="str">
        <x:v>主站品类页：用产品集合 + 选购说明承接</x:v>
      </x:c>
      <x:c r="O41" s="18" t="str">
        <x:v>/collections/disposable-vapes</x:v>
      </x:c>
      <x:c r="P41" s="18" t="str">
        <x:v>不适用</x:v>
      </x:c>
      <x:c r="Q41" s="18" t="str">
        <x:v>主站页面自身承接</x:v>
      </x:c>
      <x:c r="R41" s="18" t="str">
        <x:v>核心品类词：主站优先，博客只做长尾解释，不直接抢同一词</x:v>
      </x:c>
      <x:c r="S41" s="18" t="str">
        <x:v>如果 Google 首页产品页和指南混合，主站页要加 FAQ、选购指南、对比模块。</x:v>
      </x:c>
      <x:c r="T41" s="42" t="n">
        <x:v>10</x:v>
      </x:c>
      <x:c r="U41" s="42" t="n">
        <x:v>6</x:v>
      </x:c>
      <x:c r="V41" s="42" t="n">
        <x:v>18</x:v>
      </x:c>
      <x:c r="W41" s="42" t="n">
        <x:v>8</x:v>
      </x:c>
      <x:c r="X41" s="42" t="n">
        <x:v>15</x:v>
      </x:c>
      <x:c r="Y41" s="42" t="n">
        <x:v>4</x:v>
      </x:c>
      <x:c r="Z41" s="42" t="n">
        <x:f>MAX(0,MIN(100,ROUND(((T41+U41+V41+W41+X41)-Y41)/85*100,0)))</x:f>
        <x:v>62</x:v>
      </x:c>
      <x:c r="AA41" s="18" t="str">
        <x:f>IF(L41="暂不做","P3 暂缓",IF(Z41&gt;=75,"P0 本周做",IF(Z41&gt;=60,"P1 近期做",IF(Z41&gt;=45,"P2 备选","P3 暂缓"))))</x:f>
        <x:v>P1 近期做</x:v>
      </x:c>
      <x:c r="AB41" s="18" t="str">
        <x:f>IF(Y41&gt;=15,"先做合规/相关性复核，不建议直接商业导流",IF(L41="主站","建/优化主站商业页",IF(L41="博客A-知识教程","写知识教程/FAQ文章",IF(L41="博客B-场景人群","写场景需求/选购指南文章",IF(L41="博客C-对比评测","写对比评测/榜单文章","暂不做或人工复核")))))</x:f>
        <x:v>建/优化主站商业页</x:v>
      </x:c>
      <x:c r="AC41" s="18" t="str">
        <x:v>All Products - ExDivo</x:v>
      </x:c>
      <x:c r="AD41" s="19" t="str">
        <x:v>all products</x:v>
      </x:c>
    </x:row>
    <x:row r="42">
      <x:c r="A42" s="40" t="n">
        <x:v>42</x:v>
      </x:c>
      <x:c r="B42" s="18" t="str">
        <x:v>https://exdivo.com/collections/all?page=2</x:v>
      </x:c>
      <x:c r="C42" s="18" t="str">
        <x:v>vape for sale</x:v>
      </x:c>
      <x:c r="D42" s="18" t="str">
        <x:v>recommended</x:v>
      </x:c>
      <x:c r="E42" s="41" t="n">
        <x:v>1300</x:v>
      </x:c>
      <x:c r="F42" s="41" t="n">
        <x:v>73</x:v>
      </x:c>
      <x:c r="G42" s="18" t="str">
        <x:v>transactional</x:v>
      </x:c>
      <x:c r="H42" s="18" t="str">
        <x:v>购买交易</x:v>
      </x:c>
      <x:c r="I42" s="18" t="str">
        <x:v>交易词</x:v>
      </x:c>
      <x:c r="J42" s="18" t="str">
        <x:v>主站</x:v>
      </x:c>
      <x:c r="K42" s="18" t="str"/>
      <x:c r="L42" s="18" t="str">
        <x:f>IF(K42="",J42,K42)</x:f>
        <x:v>主站</x:v>
      </x:c>
      <x:c r="M42" s="18" t="str">
        <x:v>产品集合页/分类页/购买页</x:v>
      </x:c>
      <x:c r="N42" s="18" t="str">
        <x:v>主站商业页：标题围绕购买意图 + 品类 + 关键卖点</x:v>
      </x:c>
      <x:c r="O42" s="18" t="str">
        <x:v>/collections/disposable-vapes</x:v>
      </x:c>
      <x:c r="P42" s="18" t="str">
        <x:v>不适用</x:v>
      </x:c>
      <x:c r="Q42" s="18" t="str">
        <x:v>主站页面自身承接</x:v>
      </x:c>
      <x:c r="R42" s="18" t="str">
        <x:v>商业词：优先给主站，避免博客抢主站排名</x:v>
      </x:c>
      <x:c r="S42" s="18" t="str">
        <x:v>SERP 如为商品列表/品牌站/电商集合页，就建主站页面；若 SERP 全是教程，再拆支持文章。</x:v>
      </x:c>
      <x:c r="T42" s="42" t="n">
        <x:v>13</x:v>
      </x:c>
      <x:c r="U42" s="42" t="n">
        <x:v>3</x:v>
      </x:c>
      <x:c r="V42" s="42" t="n">
        <x:v>20</x:v>
      </x:c>
      <x:c r="W42" s="42" t="n">
        <x:v>7</x:v>
      </x:c>
      <x:c r="X42" s="42" t="n">
        <x:v>15</x:v>
      </x:c>
      <x:c r="Y42" s="42" t="n">
        <x:v>4</x:v>
      </x:c>
      <x:c r="Z42" s="42" t="n">
        <x:f>MAX(0,MIN(100,ROUND(((T42+U42+V42+W42+X42)-Y42)/85*100,0)))</x:f>
        <x:v>64</x:v>
      </x:c>
      <x:c r="AA42" s="18" t="str">
        <x:f>IF(L42="暂不做","P3 暂缓",IF(Z42&gt;=75,"P0 本周做",IF(Z42&gt;=60,"P1 近期做",IF(Z42&gt;=45,"P2 备选","P3 暂缓"))))</x:f>
        <x:v>P1 近期做</x:v>
      </x:c>
      <x:c r="AB42" s="18" t="str">
        <x:f>IF(Y42&gt;=15,"先做合规/相关性复核，不建议直接商业导流",IF(L42="主站","建/优化主站商业页",IF(L42="博客A-知识教程","写知识教程/FAQ文章",IF(L42="博客B-场景人群","写场景需求/选购指南文章",IF(L42="博客C-对比评测","写对比评测/榜单文章","暂不做或人工复核")))))</x:f>
        <x:v>建/优化主站商业页</x:v>
      </x:c>
      <x:c r="AC42" s="18" t="str">
        <x:v>All Products - ExDivo</x:v>
      </x:c>
      <x:c r="AD42" s="19" t="str">
        <x:v>all products</x:v>
      </x:c>
    </x:row>
    <x:row r="43">
      <x:c r="A43" s="40" t="n">
        <x:v>43</x:v>
      </x:c>
      <x:c r="B43" s="18" t="str">
        <x:v>https://exdivo.com/collections/all?page=2</x:v>
      </x:c>
      <x:c r="C43" s="18" t="str">
        <x:v>buy vape</x:v>
      </x:c>
      <x:c r="D43" s="18" t="str">
        <x:v>recommended</x:v>
      </x:c>
      <x:c r="E43" s="41" t="n">
        <x:v>1900</x:v>
      </x:c>
      <x:c r="F43" s="41" t="n">
        <x:v>85</x:v>
      </x:c>
      <x:c r="G43" s="18" t="str">
        <x:v>transactional</x:v>
      </x:c>
      <x:c r="H43" s="18" t="str">
        <x:v>购买交易</x:v>
      </x:c>
      <x:c r="I43" s="18" t="str">
        <x:v>交易词</x:v>
      </x:c>
      <x:c r="J43" s="18" t="str">
        <x:v>主站</x:v>
      </x:c>
      <x:c r="K43" s="18" t="str"/>
      <x:c r="L43" s="18" t="str">
        <x:f>IF(K43="",J43,K43)</x:f>
        <x:v>主站</x:v>
      </x:c>
      <x:c r="M43" s="18" t="str">
        <x:v>产品集合页/分类页/购买页</x:v>
      </x:c>
      <x:c r="N43" s="18" t="str">
        <x:v>主站商业页：标题围绕购买意图 + 品类 + 关键卖点</x:v>
      </x:c>
      <x:c r="O43" s="18" t="str">
        <x:v>/collections/disposable-vapes</x:v>
      </x:c>
      <x:c r="P43" s="18" t="str">
        <x:v>不适用</x:v>
      </x:c>
      <x:c r="Q43" s="18" t="str">
        <x:v>主站页面自身承接</x:v>
      </x:c>
      <x:c r="R43" s="18" t="str">
        <x:v>商业词：优先给主站，避免博客抢主站排名</x:v>
      </x:c>
      <x:c r="S43" s="18" t="str">
        <x:v>SERP 如为商品列表/品牌站/电商集合页，就建主站页面；若 SERP 全是教程，再拆支持文章。</x:v>
      </x:c>
      <x:c r="T43" s="42" t="n">
        <x:v>13</x:v>
      </x:c>
      <x:c r="U43" s="42" t="n">
        <x:v>1</x:v>
      </x:c>
      <x:c r="V43" s="42" t="n">
        <x:v>20</x:v>
      </x:c>
      <x:c r="W43" s="42" t="n">
        <x:v>7</x:v>
      </x:c>
      <x:c r="X43" s="42" t="n">
        <x:v>15</x:v>
      </x:c>
      <x:c r="Y43" s="42" t="n">
        <x:v>4</x:v>
      </x:c>
      <x:c r="Z43" s="42" t="n">
        <x:f>MAX(0,MIN(100,ROUND(((T43+U43+V43+W43+X43)-Y43)/85*100,0)))</x:f>
        <x:v>61</x:v>
      </x:c>
      <x:c r="AA43" s="18" t="str">
        <x:f>IF(L43="暂不做","P3 暂缓",IF(Z43&gt;=75,"P0 本周做",IF(Z43&gt;=60,"P1 近期做",IF(Z43&gt;=45,"P2 备选","P3 暂缓"))))</x:f>
        <x:v>P1 近期做</x:v>
      </x:c>
      <x:c r="AB43" s="18" t="str">
        <x:f>IF(Y43&gt;=15,"先做合规/相关性复核，不建议直接商业导流",IF(L43="主站","建/优化主站商业页",IF(L43="博客A-知识教程","写知识教程/FAQ文章",IF(L43="博客B-场景人群","写场景需求/选购指南文章",IF(L43="博客C-对比评测","写对比评测/榜单文章","暂不做或人工复核")))))</x:f>
        <x:v>建/优化主站商业页</x:v>
      </x:c>
      <x:c r="AC43" s="18" t="str">
        <x:v>All Products - ExDivo</x:v>
      </x:c>
      <x:c r="AD43" s="19" t="str">
        <x:v>all products</x:v>
      </x:c>
    </x:row>
    <x:row r="44">
      <x:c r="A44" s="40" t="n">
        <x:v>44</x:v>
      </x:c>
      <x:c r="B44" s="18" t="str">
        <x:v>https://exdivo.com/collections/all?page=2</x:v>
      </x:c>
      <x:c r="C44" s="18" t="str">
        <x:v>vape kinds</x:v>
      </x:c>
      <x:c r="D44" s="18" t="str">
        <x:v>recommended</x:v>
      </x:c>
      <x:c r="E44" s="41" t="n">
        <x:v>140</x:v>
      </x:c>
      <x:c r="F44" s="41" t="n">
        <x:v>20</x:v>
      </x:c>
      <x:c r="G44" s="18" t="str">
        <x:v>informational</x:v>
      </x:c>
      <x:c r="H44" s="18" t="str">
        <x:v>General Vape</x:v>
      </x:c>
      <x:c r="I44" s="18" t="str">
        <x:v>品类承接词</x:v>
      </x:c>
      <x:c r="J44" s="18" t="str">
        <x:v>主站</x:v>
      </x:c>
      <x:c r="K44" s="18" t="str"/>
      <x:c r="L44" s="18" t="str">
        <x:f>IF(K44="",J44,K44)</x:f>
        <x:v>主站</x:v>
      </x:c>
      <x:c r="M44" s="18" t="str">
        <x:v>品类页/集合页 + FAQ内容块</x:v>
      </x:c>
      <x:c r="N44" s="18" t="str">
        <x:v>主站品类页：用产品集合 + 选购说明承接</x:v>
      </x:c>
      <x:c r="O44" s="18" t="str">
        <x:v>/collections/disposable-vapes</x:v>
      </x:c>
      <x:c r="P44" s="18" t="str">
        <x:v>不适用</x:v>
      </x:c>
      <x:c r="Q44" s="18" t="str">
        <x:v>主站页面自身承接</x:v>
      </x:c>
      <x:c r="R44" s="18" t="str">
        <x:v>核心品类词：主站优先，博客只做长尾解释，不直接抢同一词</x:v>
      </x:c>
      <x:c r="S44" s="18" t="str">
        <x:v>如果 Google 首页产品页和指南混合，主站页要加 FAQ、选购指南、对比模块。</x:v>
      </x:c>
      <x:c r="T44" s="42" t="n">
        <x:v>7</x:v>
      </x:c>
      <x:c r="U44" s="42" t="n">
        <x:v>12</x:v>
      </x:c>
      <x:c r="V44" s="42" t="n">
        <x:v>16</x:v>
      </x:c>
      <x:c r="W44" s="42" t="n">
        <x:v>8</x:v>
      </x:c>
      <x:c r="X44" s="42" t="n">
        <x:v>15</x:v>
      </x:c>
      <x:c r="Y44" s="42" t="n">
        <x:v>4</x:v>
      </x:c>
      <x:c r="Z44" s="42" t="n">
        <x:f>MAX(0,MIN(100,ROUND(((T44+U44+V44+W44+X44)-Y44)/85*100,0)))</x:f>
        <x:v>64</x:v>
      </x:c>
      <x:c r="AA44" s="18" t="str">
        <x:f>IF(L44="暂不做","P3 暂缓",IF(Z44&gt;=75,"P0 本周做",IF(Z44&gt;=60,"P1 近期做",IF(Z44&gt;=45,"P2 备选","P3 暂缓"))))</x:f>
        <x:v>P1 近期做</x:v>
      </x:c>
      <x:c r="AB44" s="18" t="str">
        <x:f>IF(Y44&gt;=15,"先做合规/相关性复核，不建议直接商业导流",IF(L44="主站","建/优化主站商业页",IF(L44="博客A-知识教程","写知识教程/FAQ文章",IF(L44="博客B-场景人群","写场景需求/选购指南文章",IF(L44="博客C-对比评测","写对比评测/榜单文章","暂不做或人工复核")))))</x:f>
        <x:v>建/优化主站商业页</x:v>
      </x:c>
      <x:c r="AC44" s="18" t="str">
        <x:v>All Products - ExDivo</x:v>
      </x:c>
      <x:c r="AD44" s="19" t="str">
        <x:v>all products</x:v>
      </x:c>
    </x:row>
    <x:row r="45">
      <x:c r="A45" s="40" t="n">
        <x:v>45</x:v>
      </x:c>
      <x:c r="B45" s="18" t="str">
        <x:v>https://exdivo.com/collections/all?page=2</x:v>
      </x:c>
      <x:c r="C45" s="18" t="str">
        <x:v>vape kits for sale</x:v>
      </x:c>
      <x:c r="D45" s="18" t="str">
        <x:v>recommended</x:v>
      </x:c>
      <x:c r="E45" s="41" t="n">
        <x:v>260</x:v>
      </x:c>
      <x:c r="F45" s="41" t="n">
        <x:v>36</x:v>
      </x:c>
      <x:c r="G45" s="18" t="str">
        <x:v>transactional</x:v>
      </x:c>
      <x:c r="H45" s="18" t="str">
        <x:v>购买交易</x:v>
      </x:c>
      <x:c r="I45" s="18" t="str">
        <x:v>交易词</x:v>
      </x:c>
      <x:c r="J45" s="18" t="str">
        <x:v>主站</x:v>
      </x:c>
      <x:c r="K45" s="18" t="str"/>
      <x:c r="L45" s="18" t="str">
        <x:f>IF(K45="",J45,K45)</x:f>
        <x:v>主站</x:v>
      </x:c>
      <x:c r="M45" s="18" t="str">
        <x:v>产品集合页/分类页/购买页</x:v>
      </x:c>
      <x:c r="N45" s="18" t="str">
        <x:v>主站商业页：标题围绕购买意图 + 品类 + 关键卖点</x:v>
      </x:c>
      <x:c r="O45" s="18" t="str">
        <x:v>/collections/disposable-vapes</x:v>
      </x:c>
      <x:c r="P45" s="18" t="str">
        <x:v>不适用</x:v>
      </x:c>
      <x:c r="Q45" s="18" t="str">
        <x:v>主站页面自身承接</x:v>
      </x:c>
      <x:c r="R45" s="18" t="str">
        <x:v>商业词：优先给主站，避免博客抢主站排名</x:v>
      </x:c>
      <x:c r="S45" s="18" t="str">
        <x:v>SERP 如为商品列表/品牌站/电商集合页，就建主站页面；若 SERP 全是教程，再拆支持文章。</x:v>
      </x:c>
      <x:c r="T45" s="42" t="n">
        <x:v>7</x:v>
      </x:c>
      <x:c r="U45" s="42" t="n">
        <x:v>9</x:v>
      </x:c>
      <x:c r="V45" s="42" t="n">
        <x:v>20</x:v>
      </x:c>
      <x:c r="W45" s="42" t="n">
        <x:v>7</x:v>
      </x:c>
      <x:c r="X45" s="42" t="n">
        <x:v>15</x:v>
      </x:c>
      <x:c r="Y45" s="42" t="n">
        <x:v>4</x:v>
      </x:c>
      <x:c r="Z45" s="42" t="n">
        <x:f>MAX(0,MIN(100,ROUND(((T45+U45+V45+W45+X45)-Y45)/85*100,0)))</x:f>
        <x:v>64</x:v>
      </x:c>
      <x:c r="AA45" s="18" t="str">
        <x:f>IF(L45="暂不做","P3 暂缓",IF(Z45&gt;=75,"P0 本周做",IF(Z45&gt;=60,"P1 近期做",IF(Z45&gt;=45,"P2 备选","P3 暂缓"))))</x:f>
        <x:v>P1 近期做</x:v>
      </x:c>
      <x:c r="AB45" s="18" t="str">
        <x:f>IF(Y45&gt;=15,"先做合规/相关性复核，不建议直接商业导流",IF(L45="主站","建/优化主站商业页",IF(L45="博客A-知识教程","写知识教程/FAQ文章",IF(L45="博客B-场景人群","写场景需求/选购指南文章",IF(L45="博客C-对比评测","写对比评测/榜单文章","暂不做或人工复核")))))</x:f>
        <x:v>建/优化主站商业页</x:v>
      </x:c>
      <x:c r="AC45" s="18" t="str">
        <x:v>All Products - ExDivo</x:v>
      </x:c>
      <x:c r="AD45" s="19" t="str">
        <x:v>all products</x:v>
      </x:c>
    </x:row>
    <x:row r="46">
      <x:c r="A46" s="40" t="n">
        <x:v>46</x:v>
      </x:c>
      <x:c r="B46" s="18" t="str">
        <x:v>https://exdivo.com/collections/all?page=2</x:v>
      </x:c>
      <x:c r="C46" s="18" t="str">
        <x:v>all types of vapes</x:v>
      </x:c>
      <x:c r="D46" s="18" t="str">
        <x:v>recommended</x:v>
      </x:c>
      <x:c r="E46" s="41" t="n">
        <x:v>140</x:v>
      </x:c>
      <x:c r="F46" s="41" t="n">
        <x:v>24</x:v>
      </x:c>
      <x:c r="G46" s="18" t="str">
        <x:v>informational</x:v>
      </x:c>
      <x:c r="H46" s="18" t="str">
        <x:v>知识教程</x:v>
      </x:c>
      <x:c r="I46" s="18" t="str">
        <x:v>知识/教程词</x:v>
      </x:c>
      <x:c r="J46" s="18" t="str">
        <x:v>博客A-知识教程</x:v>
      </x:c>
      <x:c r="K46" s="18" t="str"/>
      <x:c r="L46" s="18" t="str">
        <x:f>IF(K46="",J46,K46)</x:f>
        <x:v>博客A-知识教程</x:v>
      </x:c>
      <x:c r="M46" s="18" t="str">
        <x:v>百科/How-to/FAQ文章</x:v>
      </x:c>
      <x:c r="N46" s="18" t="str">
        <x:v>Guide angle: explain all types of vapes, answer common questions, and avoid sales-first writing</x:v>
      </x:c>
      <x:c r="O46" s="18" t="str">
        <x:v>/collections/disposable-vapes</x:v>
      </x:c>
      <x:c r="P46" s="18" t="str">
        <x:v>谨慎</x:v>
      </x:c>
      <x:c r="Q46" s="18" t="str">
        <x:v>自然句/品牌词</x:v>
      </x:c>
      <x:c r="R46" s="18" t="str">
        <x:v>低中风险：先满足信息意图，导流要克制</x:v>
      </x:c>
      <x:c r="S46" s="18" t="str">
        <x:v>如果文章能自然回答下一步购买问题，再放 1 个主站内链；否则只做知识闭环。</x:v>
      </x:c>
      <x:c r="T46" s="42" t="n">
        <x:v>7</x:v>
      </x:c>
      <x:c r="U46" s="42" t="n">
        <x:v>12</x:v>
      </x:c>
      <x:c r="V46" s="42" t="n">
        <x:v>9</x:v>
      </x:c>
      <x:c r="W46" s="42" t="n">
        <x:v>14</x:v>
      </x:c>
      <x:c r="X46" s="42" t="n">
        <x:v>12</x:v>
      </x:c>
      <x:c r="Y46" s="42" t="n">
        <x:v>5</x:v>
      </x:c>
      <x:c r="Z46" s="42" t="n">
        <x:f>MAX(0,MIN(100,ROUND(((T46+U46+V46+W46+X46)-Y46)/85*100,0)))</x:f>
        <x:v>58</x:v>
      </x:c>
      <x:c r="AA46" s="18" t="str">
        <x:f>IF(L46="暂不做","P3 暂缓",IF(Z46&gt;=75,"P0 本周做",IF(Z46&gt;=60,"P1 近期做",IF(Z46&gt;=45,"P2 备选","P3 暂缓"))))</x:f>
        <x:v>P2 备选</x:v>
      </x:c>
      <x:c r="AB46" s="18" t="str">
        <x:f>IF(Y46&gt;=15,"先做合规/相关性复核，不建议直接商业导流",IF(L46="主站","建/优化主站商业页",IF(L46="博客A-知识教程","写知识教程/FAQ文章",IF(L46="博客B-场景人群","写场景需求/选购指南文章",IF(L46="博客C-对比评测","写对比评测/榜单文章","暂不做或人工复核")))))</x:f>
        <x:v>写知识教程/FAQ文章</x:v>
      </x:c>
      <x:c r="AC46" s="18" t="str">
        <x:v>All Products - ExDivo</x:v>
      </x:c>
      <x:c r="AD46" s="19" t="str">
        <x:v>all products</x:v>
      </x:c>
    </x:row>
    <x:row r="47">
      <x:c r="A47" s="40" t="n">
        <x:v>47</x:v>
      </x:c>
      <x:c r="B47" s="18" t="str">
        <x:v>https://exdivo.com/collections/all?page=2</x:v>
      </x:c>
      <x:c r="C47" s="18" t="str">
        <x:v>brands of vape</x:v>
      </x:c>
      <x:c r="D47" s="18" t="str">
        <x:v>recommended</x:v>
      </x:c>
      <x:c r="E47" s="41" t="n">
        <x:v>70</x:v>
      </x:c>
      <x:c r="F47" s="41" t="n">
        <x:v>15</x:v>
      </x:c>
      <x:c r="G47" s="18" t="str">
        <x:v>informational</x:v>
      </x:c>
      <x:c r="H47" s="18" t="str">
        <x:v>对比评测</x:v>
      </x:c>
      <x:c r="I47" s="18" t="str">
        <x:v>商业调查词</x:v>
      </x:c>
      <x:c r="J47" s="18" t="str">
        <x:v>博客C-对比评测</x:v>
      </x:c>
      <x:c r="K47" s="18" t="str"/>
      <x:c r="L47" s="18" t="str">
        <x:f>IF(K47="",J47,K47)</x:f>
        <x:v>博客C-对比评测</x:v>
      </x:c>
      <x:c r="M47" s="18" t="str">
        <x:v>Best/Top/Review/VS/替代方案文章</x:v>
      </x:c>
      <x:c r="N47" s="18" t="str">
        <x:v>Best angle: brands of vape - comparison, pros/cons, and which option fits different buyers</x:v>
      </x:c>
      <x:c r="O47" s="18" t="str">
        <x:v>/collections/disposable-vapes</x:v>
      </x:c>
      <x:c r="P47" s="18" t="str">
        <x:v>是</x:v>
      </x:c>
      <x:c r="Q47" s="18" t="str">
        <x:v>自然句/品类词/品牌词</x:v>
      </x:c>
      <x:c r="R47" s="18" t="str">
        <x:v>中风险：榜单和评测必须真实、中立，避免夸大</x:v>
      </x:c>
      <x:c r="S47" s="18" t="str">
        <x:v>这类词不直接给主站，先用博客C教育和比较，再导流到最相关集合页。</x:v>
      </x:c>
      <x:c r="T47" s="42" t="n">
        <x:v>4</x:v>
      </x:c>
      <x:c r="U47" s="42" t="n">
        <x:v>15</x:v>
      </x:c>
      <x:c r="V47" s="42" t="n">
        <x:v>16</x:v>
      </x:c>
      <x:c r="W47" s="42" t="n">
        <x:v>15</x:v>
      </x:c>
      <x:c r="X47" s="42" t="n">
        <x:v>13</x:v>
      </x:c>
      <x:c r="Y47" s="42" t="n">
        <x:v>6</x:v>
      </x:c>
      <x:c r="Z47" s="42" t="n">
        <x:f>MAX(0,MIN(100,ROUND(((T47+U47+V47+W47+X47)-Y47)/85*100,0)))</x:f>
        <x:v>67</x:v>
      </x:c>
      <x:c r="AA47" s="18" t="str">
        <x:f>IF(L47="暂不做","P3 暂缓",IF(Z47&gt;=75,"P0 本周做",IF(Z47&gt;=60,"P1 近期做",IF(Z47&gt;=45,"P2 备选","P3 暂缓"))))</x:f>
        <x:v>P1 近期做</x:v>
      </x:c>
      <x:c r="AB47" s="18" t="str">
        <x:f>IF(Y47&gt;=15,"先做合规/相关性复核，不建议直接商业导流",IF(L47="主站","建/优化主站商业页",IF(L47="博客A-知识教程","写知识教程/FAQ文章",IF(L47="博客B-场景人群","写场景需求/选购指南文章",IF(L47="博客C-对比评测","写对比评测/榜单文章","暂不做或人工复核")))))</x:f>
        <x:v>写对比评测/榜单文章</x:v>
      </x:c>
      <x:c r="AC47" s="18" t="str">
        <x:v>All Products - ExDivo</x:v>
      </x:c>
      <x:c r="AD47" s="19" t="str">
        <x:v>all products</x:v>
      </x:c>
    </x:row>
    <x:row r="48">
      <x:c r="A48" s="40" t="n">
        <x:v>48</x:v>
      </x:c>
      <x:c r="B48" s="18" t="str">
        <x:v>https://exdivo.com/collections/all?page=2</x:v>
      </x:c>
      <x:c r="C48" s="18" t="str">
        <x:v>buy disposable vape online</x:v>
      </x:c>
      <x:c r="D48" s="18" t="str">
        <x:v>recommended</x:v>
      </x:c>
      <x:c r="E48" s="41" t="n">
        <x:v>140</x:v>
      </x:c>
      <x:c r="F48" s="41" t="n">
        <x:v>58</x:v>
      </x:c>
      <x:c r="G48" s="18" t="str">
        <x:v>transactional</x:v>
      </x:c>
      <x:c r="H48" s="18" t="str">
        <x:v>Disposable Vape</x:v>
      </x:c>
      <x:c r="I48" s="18" t="str">
        <x:v>交易词</x:v>
      </x:c>
      <x:c r="J48" s="18" t="str">
        <x:v>主站</x:v>
      </x:c>
      <x:c r="K48" s="18" t="str"/>
      <x:c r="L48" s="18" t="str">
        <x:f>IF(K48="",J48,K48)</x:f>
        <x:v>主站</x:v>
      </x:c>
      <x:c r="M48" s="18" t="str">
        <x:v>产品集合页/分类页/购买页</x:v>
      </x:c>
      <x:c r="N48" s="18" t="str">
        <x:v>主站商业页：标题围绕购买意图 + 品类 + 关键卖点</x:v>
      </x:c>
      <x:c r="O48" s="18" t="str">
        <x:v>/collections/disposable-vapes</x:v>
      </x:c>
      <x:c r="P48" s="18" t="str">
        <x:v>不适用</x:v>
      </x:c>
      <x:c r="Q48" s="18" t="str">
        <x:v>主站页面自身承接</x:v>
      </x:c>
      <x:c r="R48" s="18" t="str">
        <x:v>商业词：优先给主站，避免博客抢主站排名</x:v>
      </x:c>
      <x:c r="S48" s="18" t="str">
        <x:v>SERP 如为商品列表/品牌站/电商集合页，就建主站页面；若 SERP 全是教程，再拆支持文章。</x:v>
      </x:c>
      <x:c r="T48" s="42" t="n">
        <x:v>7</x:v>
      </x:c>
      <x:c r="U48" s="42" t="n">
        <x:v>6</x:v>
      </x:c>
      <x:c r="V48" s="42" t="n">
        <x:v>20</x:v>
      </x:c>
      <x:c r="W48" s="42" t="n">
        <x:v>7</x:v>
      </x:c>
      <x:c r="X48" s="42" t="n">
        <x:v>15</x:v>
      </x:c>
      <x:c r="Y48" s="42" t="n">
        <x:v>4</x:v>
      </x:c>
      <x:c r="Z48" s="42" t="n">
        <x:f>MAX(0,MIN(100,ROUND(((T48+U48+V48+W48+X48)-Y48)/85*100,0)))</x:f>
        <x:v>60</x:v>
      </x:c>
      <x:c r="AA48" s="18" t="str">
        <x:f>IF(L48="暂不做","P3 暂缓",IF(Z48&gt;=75,"P0 本周做",IF(Z48&gt;=60,"P1 近期做",IF(Z48&gt;=45,"P2 备选","P3 暂缓"))))</x:f>
        <x:v>P1 近期做</x:v>
      </x:c>
      <x:c r="AB48" s="18" t="str">
        <x:f>IF(Y48&gt;=15,"先做合规/相关性复核，不建议直接商业导流",IF(L48="主站","建/优化主站商业页",IF(L48="博客A-知识教程","写知识教程/FAQ文章",IF(L48="博客B-场景人群","写场景需求/选购指南文章",IF(L48="博客C-对比评测","写对比评测/榜单文章","暂不做或人工复核")))))</x:f>
        <x:v>建/优化主站商业页</x:v>
      </x:c>
      <x:c r="AC48" s="18" t="str">
        <x:v>All Products - ExDivo</x:v>
      </x:c>
      <x:c r="AD48" s="19" t="str">
        <x:v>all products</x:v>
      </x:c>
    </x:row>
    <x:row r="49">
      <x:c r="A49" s="40" t="n">
        <x:v>49</x:v>
      </x:c>
      <x:c r="B49" s="18" t="str">
        <x:v>https://exdivo.com/collections/all?page=2</x:v>
      </x:c>
      <x:c r="C49" s="18" t="str">
        <x:v>vape supplies online</x:v>
      </x:c>
      <x:c r="D49" s="18" t="str">
        <x:v>recommended</x:v>
      </x:c>
      <x:c r="E49" s="41" t="n">
        <x:v>320</x:v>
      </x:c>
      <x:c r="F49" s="41" t="n">
        <x:v>68</x:v>
      </x:c>
      <x:c r="G49" s="18" t="str">
        <x:v>commercial</x:v>
      </x:c>
      <x:c r="H49" s="18" t="str">
        <x:v>购买交易</x:v>
      </x:c>
      <x:c r="I49" s="18" t="str">
        <x:v>交易词</x:v>
      </x:c>
      <x:c r="J49" s="18" t="str">
        <x:v>主站</x:v>
      </x:c>
      <x:c r="K49" s="18" t="str"/>
      <x:c r="L49" s="18" t="str">
        <x:f>IF(K49="",J49,K49)</x:f>
        <x:v>主站</x:v>
      </x:c>
      <x:c r="M49" s="18" t="str">
        <x:v>产品集合页/分类页/购买页</x:v>
      </x:c>
      <x:c r="N49" s="18" t="str">
        <x:v>主站商业页：标题围绕购买意图 + 品类 + 关键卖点</x:v>
      </x:c>
      <x:c r="O49" s="18" t="str">
        <x:v>/collections/disposable-vapes</x:v>
      </x:c>
      <x:c r="P49" s="18" t="str">
        <x:v>不适用</x:v>
      </x:c>
      <x:c r="Q49" s="18" t="str">
        <x:v>主站页面自身承接</x:v>
      </x:c>
      <x:c r="R49" s="18" t="str">
        <x:v>商业词：优先给主站，避免博客抢主站排名</x:v>
      </x:c>
      <x:c r="S49" s="18" t="str">
        <x:v>SERP 如为商品列表/品牌站/电商集合页，就建主站页面；若 SERP 全是教程，再拆支持文章。</x:v>
      </x:c>
      <x:c r="T49" s="42" t="n">
        <x:v>7</x:v>
      </x:c>
      <x:c r="U49" s="42" t="n">
        <x:v>3</x:v>
      </x:c>
      <x:c r="V49" s="42" t="n">
        <x:v>20</x:v>
      </x:c>
      <x:c r="W49" s="42" t="n">
        <x:v>7</x:v>
      </x:c>
      <x:c r="X49" s="42" t="n">
        <x:v>15</x:v>
      </x:c>
      <x:c r="Y49" s="42" t="n">
        <x:v>4</x:v>
      </x:c>
      <x:c r="Z49" s="42" t="n">
        <x:f>MAX(0,MIN(100,ROUND(((T49+U49+V49+W49+X49)-Y49)/85*100,0)))</x:f>
        <x:v>56</x:v>
      </x:c>
      <x:c r="AA49" s="18" t="str">
        <x:f>IF(L49="暂不做","P3 暂缓",IF(Z49&gt;=75,"P0 本周做",IF(Z49&gt;=60,"P1 近期做",IF(Z49&gt;=45,"P2 备选","P3 暂缓"))))</x:f>
        <x:v>P2 备选</x:v>
      </x:c>
      <x:c r="AB49" s="18" t="str">
        <x:f>IF(Y49&gt;=15,"先做合规/相关性复核，不建议直接商业导流",IF(L49="主站","建/优化主站商业页",IF(L49="博客A-知识教程","写知识教程/FAQ文章",IF(L49="博客B-场景人群","写场景需求/选购指南文章",IF(L49="博客C-对比评测","写对比评测/榜单文章","暂不做或人工复核")))))</x:f>
        <x:v>建/优化主站商业页</x:v>
      </x:c>
      <x:c r="AC49" s="18" t="str">
        <x:v>All Products - ExDivo</x:v>
      </x:c>
      <x:c r="AD49" s="19" t="str">
        <x:v>all products</x:v>
      </x:c>
    </x:row>
    <x:row r="50">
      <x:c r="A50" s="40" t="n">
        <x:v>50</x:v>
      </x:c>
      <x:c r="B50" s="18" t="str">
        <x:v>https://exdivo.com/collections/all?page=2</x:v>
      </x:c>
      <x:c r="C50" s="18" t="str">
        <x:v>vape kits online</x:v>
      </x:c>
      <x:c r="D50" s="18" t="str">
        <x:v>recommended</x:v>
      </x:c>
      <x:c r="E50" s="41" t="n">
        <x:v>170</x:v>
      </x:c>
      <x:c r="F50" s="41" t="n">
        <x:v>68</x:v>
      </x:c>
      <x:c r="G50" s="18" t="str">
        <x:v>commercial</x:v>
      </x:c>
      <x:c r="H50" s="18" t="str">
        <x:v>购买交易</x:v>
      </x:c>
      <x:c r="I50" s="18" t="str">
        <x:v>交易词</x:v>
      </x:c>
      <x:c r="J50" s="18" t="str">
        <x:v>主站</x:v>
      </x:c>
      <x:c r="K50" s="18" t="str"/>
      <x:c r="L50" s="18" t="str">
        <x:f>IF(K50="",J50,K50)</x:f>
        <x:v>主站</x:v>
      </x:c>
      <x:c r="M50" s="18" t="str">
        <x:v>产品集合页/分类页/购买页</x:v>
      </x:c>
      <x:c r="N50" s="18" t="str">
        <x:v>主站商业页：标题围绕购买意图 + 品类 + 关键卖点</x:v>
      </x:c>
      <x:c r="O50" s="18" t="str">
        <x:v>/collections/disposable-vapes</x:v>
      </x:c>
      <x:c r="P50" s="18" t="str">
        <x:v>不适用</x:v>
      </x:c>
      <x:c r="Q50" s="18" t="str">
        <x:v>主站页面自身承接</x:v>
      </x:c>
      <x:c r="R50" s="18" t="str">
        <x:v>商业词：优先给主站，避免博客抢主站排名</x:v>
      </x:c>
      <x:c r="S50" s="18" t="str">
        <x:v>SERP 如为商品列表/品牌站/电商集合页，就建主站页面；若 SERP 全是教程，再拆支持文章。</x:v>
      </x:c>
      <x:c r="T50" s="42" t="n">
        <x:v>7</x:v>
      </x:c>
      <x:c r="U50" s="42" t="n">
        <x:v>3</x:v>
      </x:c>
      <x:c r="V50" s="42" t="n">
        <x:v>20</x:v>
      </x:c>
      <x:c r="W50" s="42" t="n">
        <x:v>7</x:v>
      </x:c>
      <x:c r="X50" s="42" t="n">
        <x:v>15</x:v>
      </x:c>
      <x:c r="Y50" s="42" t="n">
        <x:v>4</x:v>
      </x:c>
      <x:c r="Z50" s="42" t="n">
        <x:f>MAX(0,MIN(100,ROUND(((T50+U50+V50+W50+X50)-Y50)/85*100,0)))</x:f>
        <x:v>56</x:v>
      </x:c>
      <x:c r="AA50" s="18" t="str">
        <x:f>IF(L50="暂不做","P3 暂缓",IF(Z50&gt;=75,"P0 本周做",IF(Z50&gt;=60,"P1 近期做",IF(Z50&gt;=45,"P2 备选","P3 暂缓"))))</x:f>
        <x:v>P2 备选</x:v>
      </x:c>
      <x:c r="AB50" s="18" t="str">
        <x:f>IF(Y50&gt;=15,"先做合规/相关性复核，不建议直接商业导流",IF(L50="主站","建/优化主站商业页",IF(L50="博客A-知识教程","写知识教程/FAQ文章",IF(L50="博客B-场景人群","写场景需求/选购指南文章",IF(L50="博客C-对比评测","写对比评测/榜单文章","暂不做或人工复核")))))</x:f>
        <x:v>建/优化主站商业页</x:v>
      </x:c>
      <x:c r="AC50" s="18" t="str">
        <x:v>All Products - ExDivo</x:v>
      </x:c>
      <x:c r="AD50" s="19" t="str">
        <x:v>all products</x:v>
      </x:c>
    </x:row>
    <x:row r="51">
      <x:c r="A51" s="40" t="n">
        <x:v>51</x:v>
      </x:c>
      <x:c r="B51" s="18" t="str">
        <x:v>https://exdivo.com/collections/all?page=2</x:v>
      </x:c>
      <x:c r="C51" s="18" t="str">
        <x:v>vape pods online</x:v>
      </x:c>
      <x:c r="D51" s="18" t="str">
        <x:v>recommended</x:v>
      </x:c>
      <x:c r="E51" s="41" t="n">
        <x:v>110</x:v>
      </x:c>
      <x:c r="F51" s="41" t="n">
        <x:v>64</x:v>
      </x:c>
      <x:c r="G51" s="18" t="str">
        <x:v>commercial</x:v>
      </x:c>
      <x:c r="H51" s="18" t="str">
        <x:v>Pod Kit / Pod System</x:v>
      </x:c>
      <x:c r="I51" s="18" t="str">
        <x:v>交易词</x:v>
      </x:c>
      <x:c r="J51" s="18" t="str">
        <x:v>主站</x:v>
      </x:c>
      <x:c r="K51" s="18" t="str"/>
      <x:c r="L51" s="18" t="str">
        <x:f>IF(K51="",J51,K51)</x:f>
        <x:v>主站</x:v>
      </x:c>
      <x:c r="M51" s="18" t="str">
        <x:v>产品集合页/分类页/购买页</x:v>
      </x:c>
      <x:c r="N51" s="18" t="str">
        <x:v>主站商业页：标题围绕购买意图 + 品类 + 关键卖点</x:v>
      </x:c>
      <x:c r="O51" s="18" t="str">
        <x:v>/collections/pod-kits</x:v>
      </x:c>
      <x:c r="P51" s="18" t="str">
        <x:v>不适用</x:v>
      </x:c>
      <x:c r="Q51" s="18" t="str">
        <x:v>主站页面自身承接</x:v>
      </x:c>
      <x:c r="R51" s="18" t="str">
        <x:v>商业词：优先给主站，避免博客抢主站排名</x:v>
      </x:c>
      <x:c r="S51" s="18" t="str">
        <x:v>SERP 如为商品列表/品牌站/电商集合页，就建主站页面；若 SERP 全是教程，再拆支持文章。</x:v>
      </x:c>
      <x:c r="T51" s="42" t="n">
        <x:v>7</x:v>
      </x:c>
      <x:c r="U51" s="42" t="n">
        <x:v>3</x:v>
      </x:c>
      <x:c r="V51" s="42" t="n">
        <x:v>20</x:v>
      </x:c>
      <x:c r="W51" s="42" t="n">
        <x:v>7</x:v>
      </x:c>
      <x:c r="X51" s="42" t="n">
        <x:v>15</x:v>
      </x:c>
      <x:c r="Y51" s="42" t="n">
        <x:v>4</x:v>
      </x:c>
      <x:c r="Z51" s="42" t="n">
        <x:f>MAX(0,MIN(100,ROUND(((T51+U51+V51+W51+X51)-Y51)/85*100,0)))</x:f>
        <x:v>56</x:v>
      </x:c>
      <x:c r="AA51" s="18" t="str">
        <x:f>IF(L51="暂不做","P3 暂缓",IF(Z51&gt;=75,"P0 本周做",IF(Z51&gt;=60,"P1 近期做",IF(Z51&gt;=45,"P2 备选","P3 暂缓"))))</x:f>
        <x:v>P2 备选</x:v>
      </x:c>
      <x:c r="AB51" s="18" t="str">
        <x:f>IF(Y51&gt;=15,"先做合规/相关性复核，不建议直接商业导流",IF(L51="主站","建/优化主站商业页",IF(L51="博客A-知识教程","写知识教程/FAQ文章",IF(L51="博客B-场景人群","写场景需求/选购指南文章",IF(L51="博客C-对比评测","写对比评测/榜单文章","暂不做或人工复核")))))</x:f>
        <x:v>建/优化主站商业页</x:v>
      </x:c>
      <x:c r="AC51" s="18" t="str">
        <x:v>All Products - ExDivo</x:v>
      </x:c>
      <x:c r="AD51" s="19" t="str">
        <x:v>all products</x:v>
      </x:c>
    </x:row>
    <x:row r="52">
      <x:c r="A52" s="40" t="n">
        <x:v>52</x:v>
      </x:c>
      <x:c r="B52" s="18" t="str">
        <x:v>https://exdivo.com/collections/all?page=2</x:v>
      </x:c>
      <x:c r="C52" s="18" t="str">
        <x:v>vape systems</x:v>
      </x:c>
      <x:c r="D52" s="18" t="str">
        <x:v>recommended</x:v>
      </x:c>
      <x:c r="E52" s="41" t="n">
        <x:v>50</x:v>
      </x:c>
      <x:c r="F52" s="41" t="n">
        <x:v>49</x:v>
      </x:c>
      <x:c r="G52" s="18" t="str">
        <x:v>informational</x:v>
      </x:c>
      <x:c r="H52" s="18" t="str">
        <x:v>General Vape</x:v>
      </x:c>
      <x:c r="I52" s="18" t="str">
        <x:v>品类承接词</x:v>
      </x:c>
      <x:c r="J52" s="18" t="str">
        <x:v>主站</x:v>
      </x:c>
      <x:c r="K52" s="18" t="str"/>
      <x:c r="L52" s="18" t="str">
        <x:f>IF(K52="",J52,K52)</x:f>
        <x:v>主站</x:v>
      </x:c>
      <x:c r="M52" s="18" t="str">
        <x:v>品类页/集合页 + FAQ内容块</x:v>
      </x:c>
      <x:c r="N52" s="18" t="str">
        <x:v>主站品类页：用产品集合 + 选购说明承接</x:v>
      </x:c>
      <x:c r="O52" s="18" t="str">
        <x:v>/collections/disposable-vapes</x:v>
      </x:c>
      <x:c r="P52" s="18" t="str">
        <x:v>不适用</x:v>
      </x:c>
      <x:c r="Q52" s="18" t="str">
        <x:v>主站页面自身承接</x:v>
      </x:c>
      <x:c r="R52" s="18" t="str">
        <x:v>核心品类词：主站优先，博客只做长尾解释，不直接抢同一词</x:v>
      </x:c>
      <x:c r="S52" s="18" t="str">
        <x:v>如果 Google 首页产品页和指南混合，主站页要加 FAQ、选购指南、对比模块。</x:v>
      </x:c>
      <x:c r="T52" s="42" t="n">
        <x:v>4</x:v>
      </x:c>
      <x:c r="U52" s="42" t="n">
        <x:v>6</x:v>
      </x:c>
      <x:c r="V52" s="42" t="n">
        <x:v>16</x:v>
      </x:c>
      <x:c r="W52" s="42" t="n">
        <x:v>8</x:v>
      </x:c>
      <x:c r="X52" s="42" t="n">
        <x:v>15</x:v>
      </x:c>
      <x:c r="Y52" s="42" t="n">
        <x:v>4</x:v>
      </x:c>
      <x:c r="Z52" s="42" t="n">
        <x:f>MAX(0,MIN(100,ROUND(((T52+U52+V52+W52+X52)-Y52)/85*100,0)))</x:f>
        <x:v>53</x:v>
      </x:c>
      <x:c r="AA52" s="18" t="str">
        <x:f>IF(L52="暂不做","P3 暂缓",IF(Z52&gt;=75,"P0 本周做",IF(Z52&gt;=60,"P1 近期做",IF(Z52&gt;=45,"P2 备选","P3 暂缓"))))</x:f>
        <x:v>P2 备选</x:v>
      </x:c>
      <x:c r="AB52" s="18" t="str">
        <x:f>IF(Y52&gt;=15,"先做合规/相关性复核，不建议直接商业导流",IF(L52="主站","建/优化主站商业页",IF(L52="博客A-知识教程","写知识教程/FAQ文章",IF(L52="博客B-场景人群","写场景需求/选购指南文章",IF(L52="博客C-对比评测","写对比评测/榜单文章","暂不做或人工复核")))))</x:f>
        <x:v>建/优化主站商业页</x:v>
      </x:c>
      <x:c r="AC52" s="18" t="str">
        <x:v>All Products - ExDivo</x:v>
      </x:c>
      <x:c r="AD52" s="19" t="str">
        <x:v>all products</x:v>
      </x:c>
    </x:row>
    <x:row r="53">
      <x:c r="A53" s="40" t="n">
        <x:v>53</x:v>
      </x:c>
      <x:c r="B53" s="18" t="str">
        <x:v>https://exdivo.com/collections/all?page=2</x:v>
      </x:c>
      <x:c r="C53" s="18" t="str">
        <x:v>disposable vape shop online</x:v>
      </x:c>
      <x:c r="D53" s="18" t="str">
        <x:v>recommended</x:v>
      </x:c>
      <x:c r="E53" s="41" t="n">
        <x:v>50</x:v>
      </x:c>
      <x:c r="F53" s="41" t="n">
        <x:v>57</x:v>
      </x:c>
      <x:c r="G53" s="18" t="str">
        <x:v>commercial</x:v>
      </x:c>
      <x:c r="H53" s="18" t="str">
        <x:v>Disposable Vape</x:v>
      </x:c>
      <x:c r="I53" s="18" t="str">
        <x:v>交易词</x:v>
      </x:c>
      <x:c r="J53" s="18" t="str">
        <x:v>主站</x:v>
      </x:c>
      <x:c r="K53" s="18" t="str"/>
      <x:c r="L53" s="18" t="str">
        <x:f>IF(K53="",J53,K53)</x:f>
        <x:v>主站</x:v>
      </x:c>
      <x:c r="M53" s="18" t="str">
        <x:v>产品集合页/分类页/购买页</x:v>
      </x:c>
      <x:c r="N53" s="18" t="str">
        <x:v>主站商业页：标题围绕购买意图 + 品类 + 关键卖点</x:v>
      </x:c>
      <x:c r="O53" s="18" t="str">
        <x:v>/collections/disposable-vapes</x:v>
      </x:c>
      <x:c r="P53" s="18" t="str">
        <x:v>不适用</x:v>
      </x:c>
      <x:c r="Q53" s="18" t="str">
        <x:v>主站页面自身承接</x:v>
      </x:c>
      <x:c r="R53" s="18" t="str">
        <x:v>商业词：优先给主站，避免博客抢主站排名</x:v>
      </x:c>
      <x:c r="S53" s="18" t="str">
        <x:v>SERP 如为商品列表/品牌站/电商集合页，就建主站页面；若 SERP 全是教程，再拆支持文章。</x:v>
      </x:c>
      <x:c r="T53" s="42" t="n">
        <x:v>4</x:v>
      </x:c>
      <x:c r="U53" s="42" t="n">
        <x:v>6</x:v>
      </x:c>
      <x:c r="V53" s="42" t="n">
        <x:v>20</x:v>
      </x:c>
      <x:c r="W53" s="42" t="n">
        <x:v>7</x:v>
      </x:c>
      <x:c r="X53" s="42" t="n">
        <x:v>15</x:v>
      </x:c>
      <x:c r="Y53" s="42" t="n">
        <x:v>4</x:v>
      </x:c>
      <x:c r="Z53" s="42" t="n">
        <x:f>MAX(0,MIN(100,ROUND(((T53+U53+V53+W53+X53)-Y53)/85*100,0)))</x:f>
        <x:v>56</x:v>
      </x:c>
      <x:c r="AA53" s="18" t="str">
        <x:f>IF(L53="暂不做","P3 暂缓",IF(Z53&gt;=75,"P0 本周做",IF(Z53&gt;=60,"P1 近期做",IF(Z53&gt;=45,"P2 备选","P3 暂缓"))))</x:f>
        <x:v>P2 备选</x:v>
      </x:c>
      <x:c r="AB53" s="18" t="str">
        <x:f>IF(Y53&gt;=15,"先做合规/相关性复核，不建议直接商业导流",IF(L53="主站","建/优化主站商业页",IF(L53="博客A-知识教程","写知识教程/FAQ文章",IF(L53="博客B-场景人群","写场景需求/选购指南文章",IF(L53="博客C-对比评测","写对比评测/榜单文章","暂不做或人工复核")))))</x:f>
        <x:v>建/优化主站商业页</x:v>
      </x:c>
      <x:c r="AC53" s="18" t="str">
        <x:v>All Products - ExDivo</x:v>
      </x:c>
      <x:c r="AD53" s="19" t="str">
        <x:v>all products</x:v>
      </x:c>
    </x:row>
    <x:row r="54">
      <x:c r="A54" s="40" t="n">
        <x:v>54</x:v>
      </x:c>
      <x:c r="B54" s="18" t="str">
        <x:v>https://exdivo.com/collections/all?page=2</x:v>
      </x:c>
      <x:c r="C54" s="18" t="str">
        <x:v>vape for sale online</x:v>
      </x:c>
      <x:c r="D54" s="18" t="str">
        <x:v>recommended</x:v>
      </x:c>
      <x:c r="E54" s="41" t="n">
        <x:v>110</x:v>
      </x:c>
      <x:c r="F54" s="41" t="n">
        <x:v>70</x:v>
      </x:c>
      <x:c r="G54" s="18" t="str">
        <x:v>commercial</x:v>
      </x:c>
      <x:c r="H54" s="18" t="str">
        <x:v>购买交易</x:v>
      </x:c>
      <x:c r="I54" s="18" t="str">
        <x:v>交易词</x:v>
      </x:c>
      <x:c r="J54" s="18" t="str">
        <x:v>主站</x:v>
      </x:c>
      <x:c r="K54" s="18" t="str"/>
      <x:c r="L54" s="18" t="str">
        <x:f>IF(K54="",J54,K54)</x:f>
        <x:v>主站</x:v>
      </x:c>
      <x:c r="M54" s="18" t="str">
        <x:v>产品集合页/分类页/购买页</x:v>
      </x:c>
      <x:c r="N54" s="18" t="str">
        <x:v>主站商业页：标题围绕购买意图 + 品类 + 关键卖点</x:v>
      </x:c>
      <x:c r="O54" s="18" t="str">
        <x:v>/collections/disposable-vapes</x:v>
      </x:c>
      <x:c r="P54" s="18" t="str">
        <x:v>不适用</x:v>
      </x:c>
      <x:c r="Q54" s="18" t="str">
        <x:v>主站页面自身承接</x:v>
      </x:c>
      <x:c r="R54" s="18" t="str">
        <x:v>商业词：优先给主站，避免博客抢主站排名</x:v>
      </x:c>
      <x:c r="S54" s="18" t="str">
        <x:v>SERP 如为商品列表/品牌站/电商集合页，就建主站页面；若 SERP 全是教程，再拆支持文章。</x:v>
      </x:c>
      <x:c r="T54" s="42" t="n">
        <x:v>7</x:v>
      </x:c>
      <x:c r="U54" s="42" t="n">
        <x:v>3</x:v>
      </x:c>
      <x:c r="V54" s="42" t="n">
        <x:v>20</x:v>
      </x:c>
      <x:c r="W54" s="42" t="n">
        <x:v>7</x:v>
      </x:c>
      <x:c r="X54" s="42" t="n">
        <x:v>15</x:v>
      </x:c>
      <x:c r="Y54" s="42" t="n">
        <x:v>4</x:v>
      </x:c>
      <x:c r="Z54" s="42" t="n">
        <x:f>MAX(0,MIN(100,ROUND(((T54+U54+V54+W54+X54)-Y54)/85*100,0)))</x:f>
        <x:v>56</x:v>
      </x:c>
      <x:c r="AA54" s="18" t="str">
        <x:f>IF(L54="暂不做","P3 暂缓",IF(Z54&gt;=75,"P0 本周做",IF(Z54&gt;=60,"P1 近期做",IF(Z54&gt;=45,"P2 备选","P3 暂缓"))))</x:f>
        <x:v>P2 备选</x:v>
      </x:c>
      <x:c r="AB54" s="18" t="str">
        <x:f>IF(Y54&gt;=15,"先做合规/相关性复核，不建议直接商业导流",IF(L54="主站","建/优化主站商业页",IF(L54="博客A-知识教程","写知识教程/FAQ文章",IF(L54="博客B-场景人群","写场景需求/选购指南文章",IF(L54="博客C-对比评测","写对比评测/榜单文章","暂不做或人工复核")))))</x:f>
        <x:v>建/优化主站商业页</x:v>
      </x:c>
      <x:c r="AC54" s="18" t="str">
        <x:v>All Products - ExDivo</x:v>
      </x:c>
      <x:c r="AD54" s="19" t="str">
        <x:v>all products</x:v>
      </x:c>
    </x:row>
    <x:row r="55">
      <x:c r="A55" s="40" t="n">
        <x:v>55</x:v>
      </x:c>
      <x:c r="B55" s="18" t="str">
        <x:v>https://exdivo.com/collections/all?page=2</x:v>
      </x:c>
      <x:c r="C55" s="18" t="str">
        <x:v>vape accessories online</x:v>
      </x:c>
      <x:c r="D55" s="18" t="str">
        <x:v>recommended</x:v>
      </x:c>
      <x:c r="E55" s="41" t="n">
        <x:v>90</x:v>
      </x:c>
      <x:c r="F55" s="41" t="n">
        <x:v>69</x:v>
      </x:c>
      <x:c r="G55" s="18" t="str">
        <x:v>commercial</x:v>
      </x:c>
      <x:c r="H55" s="18" t="str">
        <x:v>购买交易</x:v>
      </x:c>
      <x:c r="I55" s="18" t="str">
        <x:v>交易词</x:v>
      </x:c>
      <x:c r="J55" s="18" t="str">
        <x:v>主站</x:v>
      </x:c>
      <x:c r="K55" s="18" t="str"/>
      <x:c r="L55" s="18" t="str">
        <x:f>IF(K55="",J55,K55)</x:f>
        <x:v>主站</x:v>
      </x:c>
      <x:c r="M55" s="18" t="str">
        <x:v>产品集合页/分类页/购买页</x:v>
      </x:c>
      <x:c r="N55" s="18" t="str">
        <x:v>主站商业页：标题围绕购买意图 + 品类 + 关键卖点</x:v>
      </x:c>
      <x:c r="O55" s="18" t="str">
        <x:v>/collections/disposable-vapes</x:v>
      </x:c>
      <x:c r="P55" s="18" t="str">
        <x:v>不适用</x:v>
      </x:c>
      <x:c r="Q55" s="18" t="str">
        <x:v>主站页面自身承接</x:v>
      </x:c>
      <x:c r="R55" s="18" t="str">
        <x:v>商业词：优先给主站，避免博客抢主站排名</x:v>
      </x:c>
      <x:c r="S55" s="18" t="str">
        <x:v>SERP 如为商品列表/品牌站/电商集合页，就建主站页面；若 SERP 全是教程，再拆支持文章。</x:v>
      </x:c>
      <x:c r="T55" s="42" t="n">
        <x:v>4</x:v>
      </x:c>
      <x:c r="U55" s="42" t="n">
        <x:v>3</x:v>
      </x:c>
      <x:c r="V55" s="42" t="n">
        <x:v>20</x:v>
      </x:c>
      <x:c r="W55" s="42" t="n">
        <x:v>7</x:v>
      </x:c>
      <x:c r="X55" s="42" t="n">
        <x:v>15</x:v>
      </x:c>
      <x:c r="Y55" s="42" t="n">
        <x:v>4</x:v>
      </x:c>
      <x:c r="Z55" s="42" t="n">
        <x:f>MAX(0,MIN(100,ROUND(((T55+U55+V55+W55+X55)-Y55)/85*100,0)))</x:f>
        <x:v>53</x:v>
      </x:c>
      <x:c r="AA55" s="18" t="str">
        <x:f>IF(L55="暂不做","P3 暂缓",IF(Z55&gt;=75,"P0 本周做",IF(Z55&gt;=60,"P1 近期做",IF(Z55&gt;=45,"P2 备选","P3 暂缓"))))</x:f>
        <x:v>P2 备选</x:v>
      </x:c>
      <x:c r="AB55" s="18" t="str">
        <x:f>IF(Y55&gt;=15,"先做合规/相关性复核，不建议直接商业导流",IF(L55="主站","建/优化主站商业页",IF(L55="博客A-知识教程","写知识教程/FAQ文章",IF(L55="博客B-场景人群","写场景需求/选购指南文章",IF(L55="博客C-对比评测","写对比评测/榜单文章","暂不做或人工复核")))))</x:f>
        <x:v>建/优化主站商业页</x:v>
      </x:c>
      <x:c r="AC55" s="18" t="str">
        <x:v>All Products - ExDivo</x:v>
      </x:c>
      <x:c r="AD55" s="19" t="str">
        <x:v>all products</x:v>
      </x:c>
    </x:row>
    <x:row r="56">
      <x:c r="A56" s="40" t="n">
        <x:v>56</x:v>
      </x:c>
      <x:c r="B56" s="18" t="str">
        <x:v>https://exdivo.com/collections/all?page=2</x:v>
      </x:c>
      <x:c r="C56" s="18" t="str">
        <x:v>e liquid vape device</x:v>
      </x:c>
      <x:c r="D56" s="18" t="str">
        <x:v>recommended</x:v>
      </x:c>
      <x:c r="E56" s="41" t="n">
        <x:v>40</x:v>
      </x:c>
      <x:c r="F56" s="41" t="n">
        <x:v>48</x:v>
      </x:c>
      <x:c r="G56" s="18" t="str">
        <x:v>informational</x:v>
      </x:c>
      <x:c r="H56" s="18" t="str">
        <x:v>General Vape</x:v>
      </x:c>
      <x:c r="I56" s="18" t="str">
        <x:v>知识/教程词</x:v>
      </x:c>
      <x:c r="J56" s="18" t="str">
        <x:v>博客A-知识教程</x:v>
      </x:c>
      <x:c r="K56" s="18" t="str"/>
      <x:c r="L56" s="18" t="str">
        <x:f>IF(K56="",J56,K56)</x:f>
        <x:v>博客A-知识教程</x:v>
      </x:c>
      <x:c r="M56" s="18" t="str">
        <x:v>百科/How-to/FAQ文章</x:v>
      </x:c>
      <x:c r="N56" s="18" t="str">
        <x:v>Guide angle: explain e liquid vape device, answer common questions, and avoid sales-first writing</x:v>
      </x:c>
      <x:c r="O56" s="18" t="str">
        <x:v>/collections/disposable-vapes</x:v>
      </x:c>
      <x:c r="P56" s="18" t="str">
        <x:v>谨慎</x:v>
      </x:c>
      <x:c r="Q56" s="18" t="str">
        <x:v>自然句/品牌词</x:v>
      </x:c>
      <x:c r="R56" s="18" t="str">
        <x:v>低中风险：先满足信息意图，导流要克制</x:v>
      </x:c>
      <x:c r="S56" s="18" t="str">
        <x:v>如果文章能自然回答下一步购买问题，再放 1 个主站内链；否则只做知识闭环。</x:v>
      </x:c>
      <x:c r="T56" s="42" t="n">
        <x:v>4</x:v>
      </x:c>
      <x:c r="U56" s="42" t="n">
        <x:v>6</x:v>
      </x:c>
      <x:c r="V56" s="42" t="n">
        <x:v>9</x:v>
      </x:c>
      <x:c r="W56" s="42" t="n">
        <x:v>14</x:v>
      </x:c>
      <x:c r="X56" s="42" t="n">
        <x:v>12</x:v>
      </x:c>
      <x:c r="Y56" s="42" t="n">
        <x:v>5</x:v>
      </x:c>
      <x:c r="Z56" s="42" t="n">
        <x:f>MAX(0,MIN(100,ROUND(((T56+U56+V56+W56+X56)-Y56)/85*100,0)))</x:f>
        <x:v>47</x:v>
      </x:c>
      <x:c r="AA56" s="18" t="str">
        <x:f>IF(L56="暂不做","P3 暂缓",IF(Z56&gt;=75,"P0 本周做",IF(Z56&gt;=60,"P1 近期做",IF(Z56&gt;=45,"P2 备选","P3 暂缓"))))</x:f>
        <x:v>P2 备选</x:v>
      </x:c>
      <x:c r="AB56" s="18" t="str">
        <x:f>IF(Y56&gt;=15,"先做合规/相关性复核，不建议直接商业导流",IF(L56="主站","建/优化主站商业页",IF(L56="博客A-知识教程","写知识教程/FAQ文章",IF(L56="博客B-场景人群","写场景需求/选购指南文章",IF(L56="博客C-对比评测","写对比评测/榜单文章","暂不做或人工复核")))))</x:f>
        <x:v>写知识教程/FAQ文章</x:v>
      </x:c>
      <x:c r="AC56" s="18" t="str">
        <x:v>All Products - ExDivo</x:v>
      </x:c>
      <x:c r="AD56" s="19" t="str">
        <x:v>all products</x:v>
      </x:c>
    </x:row>
    <x:row r="57">
      <x:c r="A57" s="40" t="n">
        <x:v>57</x:v>
      </x:c>
      <x:c r="B57" s="18" t="str">
        <x:v>https://exdivo.com/collections/all?page=2</x:v>
      </x:c>
      <x:c r="C57" s="18" t="str">
        <x:v>vape online shopping</x:v>
      </x:c>
      <x:c r="D57" s="18" t="str">
        <x:v>recommended</x:v>
      </x:c>
      <x:c r="E57" s="41" t="n">
        <x:v>90</x:v>
      </x:c>
      <x:c r="F57" s="41" t="n">
        <x:v>74</x:v>
      </x:c>
      <x:c r="G57" s="18" t="str">
        <x:v>commercial</x:v>
      </x:c>
      <x:c r="H57" s="18" t="str">
        <x:v>购买交易</x:v>
      </x:c>
      <x:c r="I57" s="18" t="str">
        <x:v>交易词</x:v>
      </x:c>
      <x:c r="J57" s="18" t="str">
        <x:v>主站</x:v>
      </x:c>
      <x:c r="K57" s="18" t="str"/>
      <x:c r="L57" s="18" t="str">
        <x:f>IF(K57="",J57,K57)</x:f>
        <x:v>主站</x:v>
      </x:c>
      <x:c r="M57" s="18" t="str">
        <x:v>产品集合页/分类页/购买页</x:v>
      </x:c>
      <x:c r="N57" s="18" t="str">
        <x:v>主站商业页：标题围绕购买意图 + 品类 + 关键卖点</x:v>
      </x:c>
      <x:c r="O57" s="18" t="str">
        <x:v>/collections/disposable-vapes</x:v>
      </x:c>
      <x:c r="P57" s="18" t="str">
        <x:v>不适用</x:v>
      </x:c>
      <x:c r="Q57" s="18" t="str">
        <x:v>主站页面自身承接</x:v>
      </x:c>
      <x:c r="R57" s="18" t="str">
        <x:v>商业词：优先给主站，避免博客抢主站排名</x:v>
      </x:c>
      <x:c r="S57" s="18" t="str">
        <x:v>SERP 如为商品列表/品牌站/电商集合页，就建主站页面；若 SERP 全是教程，再拆支持文章。</x:v>
      </x:c>
      <x:c r="T57" s="42" t="n">
        <x:v>4</x:v>
      </x:c>
      <x:c r="U57" s="42" t="n">
        <x:v>3</x:v>
      </x:c>
      <x:c r="V57" s="42" t="n">
        <x:v>20</x:v>
      </x:c>
      <x:c r="W57" s="42" t="n">
        <x:v>7</x:v>
      </x:c>
      <x:c r="X57" s="42" t="n">
        <x:v>15</x:v>
      </x:c>
      <x:c r="Y57" s="42" t="n">
        <x:v>4</x:v>
      </x:c>
      <x:c r="Z57" s="42" t="n">
        <x:f>MAX(0,MIN(100,ROUND(((T57+U57+V57+W57+X57)-Y57)/85*100,0)))</x:f>
        <x:v>53</x:v>
      </x:c>
      <x:c r="AA57" s="18" t="str">
        <x:f>IF(L57="暂不做","P3 暂缓",IF(Z57&gt;=75,"P0 本周做",IF(Z57&gt;=60,"P1 近期做",IF(Z57&gt;=45,"P2 备选","P3 暂缓"))))</x:f>
        <x:v>P2 备选</x:v>
      </x:c>
      <x:c r="AB57" s="18" t="str">
        <x:f>IF(Y57&gt;=15,"先做合规/相关性复核，不建议直接商业导流",IF(L57="主站","建/优化主站商业页",IF(L57="博客A-知识教程","写知识教程/FAQ文章",IF(L57="博客B-场景人群","写场景需求/选购指南文章",IF(L57="博客C-对比评测","写对比评测/榜单文章","暂不做或人工复核")))))</x:f>
        <x:v>建/优化主站商业页</x:v>
      </x:c>
      <x:c r="AC57" s="18" t="str">
        <x:v>All Products - ExDivo</x:v>
      </x:c>
      <x:c r="AD57" s="19" t="str">
        <x:v>all products</x:v>
      </x:c>
    </x:row>
    <x:row r="58">
      <x:c r="A58" s="40" t="n">
        <x:v>58</x:v>
      </x:c>
      <x:c r="B58" s="18" t="str">
        <x:v>https://exdivo.com/collections/all?page=2</x:v>
      </x:c>
      <x:c r="C58" s="18" t="str">
        <x:v>vape eliquid</x:v>
      </x:c>
      <x:c r="D58" s="18" t="str">
        <x:v>recommended</x:v>
      </x:c>
      <x:c r="E58" s="41" t="n">
        <x:v>70</x:v>
      </x:c>
      <x:c r="F58" s="41" t="n">
        <x:v>48</x:v>
      </x:c>
      <x:c r="G58" s="18" t="str">
        <x:v>commercial</x:v>
      </x:c>
      <x:c r="H58" s="18" t="str">
        <x:v>General Vape</x:v>
      </x:c>
      <x:c r="I58" s="18" t="str">
        <x:v>品类承接词</x:v>
      </x:c>
      <x:c r="J58" s="18" t="str">
        <x:v>主站</x:v>
      </x:c>
      <x:c r="K58" s="18" t="str"/>
      <x:c r="L58" s="18" t="str">
        <x:f>IF(K58="",J58,K58)</x:f>
        <x:v>主站</x:v>
      </x:c>
      <x:c r="M58" s="18" t="str">
        <x:v>品类页/集合页 + FAQ内容块</x:v>
      </x:c>
      <x:c r="N58" s="18" t="str">
        <x:v>主站品类页：用产品集合 + 选购说明承接</x:v>
      </x:c>
      <x:c r="O58" s="18" t="str">
        <x:v>/collections/disposable-vapes</x:v>
      </x:c>
      <x:c r="P58" s="18" t="str">
        <x:v>不适用</x:v>
      </x:c>
      <x:c r="Q58" s="18" t="str">
        <x:v>主站页面自身承接</x:v>
      </x:c>
      <x:c r="R58" s="18" t="str">
        <x:v>核心品类词：主站优先，博客只做长尾解释，不直接抢同一词</x:v>
      </x:c>
      <x:c r="S58" s="18" t="str">
        <x:v>如果 Google 首页产品页和指南混合，主站页要加 FAQ、选购指南、对比模块。</x:v>
      </x:c>
      <x:c r="T58" s="42" t="n">
        <x:v>4</x:v>
      </x:c>
      <x:c r="U58" s="42" t="n">
        <x:v>6</x:v>
      </x:c>
      <x:c r="V58" s="42" t="n">
        <x:v>18</x:v>
      </x:c>
      <x:c r="W58" s="42" t="n">
        <x:v>8</x:v>
      </x:c>
      <x:c r="X58" s="42" t="n">
        <x:v>15</x:v>
      </x:c>
      <x:c r="Y58" s="42" t="n">
        <x:v>4</x:v>
      </x:c>
      <x:c r="Z58" s="42" t="n">
        <x:f>MAX(0,MIN(100,ROUND(((T58+U58+V58+W58+X58)-Y58)/85*100,0)))</x:f>
        <x:v>55</x:v>
      </x:c>
      <x:c r="AA58" s="18" t="str">
        <x:f>IF(L58="暂不做","P3 暂缓",IF(Z58&gt;=75,"P0 本周做",IF(Z58&gt;=60,"P1 近期做",IF(Z58&gt;=45,"P2 备选","P3 暂缓"))))</x:f>
        <x:v>P2 备选</x:v>
      </x:c>
      <x:c r="AB58" s="18" t="str">
        <x:f>IF(Y58&gt;=15,"先做合规/相关性复核，不建议直接商业导流",IF(L58="主站","建/优化主站商业页",IF(L58="博客A-知识教程","写知识教程/FAQ文章",IF(L58="博客B-场景人群","写场景需求/选购指南文章",IF(L58="博客C-对比评测","写对比评测/榜单文章","暂不做或人工复核")))))</x:f>
        <x:v>建/优化主站商业页</x:v>
      </x:c>
      <x:c r="AC58" s="18" t="str">
        <x:v>All Products - ExDivo</x:v>
      </x:c>
      <x:c r="AD58" s="19" t="str">
        <x:v>all products</x:v>
      </x:c>
    </x:row>
    <x:row r="59">
      <x:c r="A59" s="40" t="n">
        <x:v>59</x:v>
      </x:c>
      <x:c r="B59" s="18" t="str">
        <x:v>https://exdivo.com/collections/all?page=2</x:v>
      </x:c>
      <x:c r="C59" s="18" t="str">
        <x:v>vape devices for sale</x:v>
      </x:c>
      <x:c r="D59" s="18" t="str">
        <x:v>recommended</x:v>
      </x:c>
      <x:c r="E59" s="41" t="n">
        <x:v>90</x:v>
      </x:c>
      <x:c r="F59" s="41" t="n">
        <x:v>75</x:v>
      </x:c>
      <x:c r="G59" s="18" t="str">
        <x:v>transactional</x:v>
      </x:c>
      <x:c r="H59" s="18" t="str">
        <x:v>购买交易</x:v>
      </x:c>
      <x:c r="I59" s="18" t="str">
        <x:v>交易词</x:v>
      </x:c>
      <x:c r="J59" s="18" t="str">
        <x:v>主站</x:v>
      </x:c>
      <x:c r="K59" s="18" t="str"/>
      <x:c r="L59" s="18" t="str">
        <x:f>IF(K59="",J59,K59)</x:f>
        <x:v>主站</x:v>
      </x:c>
      <x:c r="M59" s="18" t="str">
        <x:v>产品集合页/分类页/购买页</x:v>
      </x:c>
      <x:c r="N59" s="18" t="str">
        <x:v>主站商业页：标题围绕购买意图 + 品类 + 关键卖点</x:v>
      </x:c>
      <x:c r="O59" s="18" t="str">
        <x:v>/collections/disposable-vapes</x:v>
      </x:c>
      <x:c r="P59" s="18" t="str">
        <x:v>不适用</x:v>
      </x:c>
      <x:c r="Q59" s="18" t="str">
        <x:v>主站页面自身承接</x:v>
      </x:c>
      <x:c r="R59" s="18" t="str">
        <x:v>商业词：优先给主站，避免博客抢主站排名</x:v>
      </x:c>
      <x:c r="S59" s="18" t="str">
        <x:v>SERP 如为商品列表/品牌站/电商集合页，就建主站页面；若 SERP 全是教程，再拆支持文章。</x:v>
      </x:c>
      <x:c r="T59" s="42" t="n">
        <x:v>4</x:v>
      </x:c>
      <x:c r="U59" s="42" t="n">
        <x:v>3</x:v>
      </x:c>
      <x:c r="V59" s="42" t="n">
        <x:v>20</x:v>
      </x:c>
      <x:c r="W59" s="42" t="n">
        <x:v>7</x:v>
      </x:c>
      <x:c r="X59" s="42" t="n">
        <x:v>15</x:v>
      </x:c>
      <x:c r="Y59" s="42" t="n">
        <x:v>4</x:v>
      </x:c>
      <x:c r="Z59" s="42" t="n">
        <x:f>MAX(0,MIN(100,ROUND(((T59+U59+V59+W59+X59)-Y59)/85*100,0)))</x:f>
        <x:v>53</x:v>
      </x:c>
      <x:c r="AA59" s="18" t="str">
        <x:f>IF(L59="暂不做","P3 暂缓",IF(Z59&gt;=75,"P0 本周做",IF(Z59&gt;=60,"P1 近期做",IF(Z59&gt;=45,"P2 备选","P3 暂缓"))))</x:f>
        <x:v>P2 备选</x:v>
      </x:c>
      <x:c r="AB59" s="18" t="str">
        <x:f>IF(Y59&gt;=15,"先做合规/相关性复核，不建议直接商业导流",IF(L59="主站","建/优化主站商业页",IF(L59="博客A-知识教程","写知识教程/FAQ文章",IF(L59="博客B-场景人群","写场景需求/选购指南文章",IF(L59="博客C-对比评测","写对比评测/榜单文章","暂不做或人工复核")))))</x:f>
        <x:v>建/优化主站商业页</x:v>
      </x:c>
      <x:c r="AC59" s="18" t="str">
        <x:v>All Products - ExDivo</x:v>
      </x:c>
      <x:c r="AD59" s="19" t="str">
        <x:v>all products</x:v>
      </x:c>
    </x:row>
    <x:row r="60">
      <x:c r="A60" s="40" t="n">
        <x:v>60</x:v>
      </x:c>
      <x:c r="B60" s="18" t="str">
        <x:v>https://exdivo.com/collections/all?page=2</x:v>
      </x:c>
      <x:c r="C60" s="18" t="str">
        <x:v>electronic cigarette vape</x:v>
      </x:c>
      <x:c r="D60" s="18" t="str">
        <x:v>recommended</x:v>
      </x:c>
      <x:c r="E60" s="41" t="n">
        <x:v>390</x:v>
      </x:c>
      <x:c r="F60" s="41" t="n">
        <x:v>84</x:v>
      </x:c>
      <x:c r="G60" s="18" t="str">
        <x:v>informational</x:v>
      </x:c>
      <x:c r="H60" s="18" t="str">
        <x:v>E-Cigarette</x:v>
      </x:c>
      <x:c r="I60" s="18" t="str">
        <x:v>品类承接词</x:v>
      </x:c>
      <x:c r="J60" s="18" t="str">
        <x:v>主站</x:v>
      </x:c>
      <x:c r="K60" s="18" t="str"/>
      <x:c r="L60" s="18" t="str">
        <x:f>IF(K60="",J60,K60)</x:f>
        <x:v>主站</x:v>
      </x:c>
      <x:c r="M60" s="18" t="str">
        <x:v>品类页/集合页 + FAQ内容块</x:v>
      </x:c>
      <x:c r="N60" s="18" t="str">
        <x:v>主站品类页：用产品集合 + 选购说明承接</x:v>
      </x:c>
      <x:c r="O60" s="18" t="str">
        <x:v>/collections/e-cigarettes</x:v>
      </x:c>
      <x:c r="P60" s="18" t="str">
        <x:v>不适用</x:v>
      </x:c>
      <x:c r="Q60" s="18" t="str">
        <x:v>主站页面自身承接</x:v>
      </x:c>
      <x:c r="R60" s="18" t="str">
        <x:v>核心品类词：主站优先，博客只做长尾解释，不直接抢同一词</x:v>
      </x:c>
      <x:c r="S60" s="18" t="str">
        <x:v>如果 Google 首页产品页和指南混合，主站页要加 FAQ、选购指南、对比模块。</x:v>
      </x:c>
      <x:c r="T60" s="42" t="n">
        <x:v>7</x:v>
      </x:c>
      <x:c r="U60" s="42" t="n">
        <x:v>1</x:v>
      </x:c>
      <x:c r="V60" s="42" t="n">
        <x:v>16</x:v>
      </x:c>
      <x:c r="W60" s="42" t="n">
        <x:v>8</x:v>
      </x:c>
      <x:c r="X60" s="42" t="n">
        <x:v>15</x:v>
      </x:c>
      <x:c r="Y60" s="42" t="n">
        <x:v>4</x:v>
      </x:c>
      <x:c r="Z60" s="42" t="n">
        <x:f>MAX(0,MIN(100,ROUND(((T60+U60+V60+W60+X60)-Y60)/85*100,0)))</x:f>
        <x:v>51</x:v>
      </x:c>
      <x:c r="AA60" s="18" t="str">
        <x:f>IF(L60="暂不做","P3 暂缓",IF(Z60&gt;=75,"P0 本周做",IF(Z60&gt;=60,"P1 近期做",IF(Z60&gt;=45,"P2 备选","P3 暂缓"))))</x:f>
        <x:v>P2 备选</x:v>
      </x:c>
      <x:c r="AB60" s="18" t="str">
        <x:f>IF(Y60&gt;=15,"先做合规/相关性复核，不建议直接商业导流",IF(L60="主站","建/优化主站商业页",IF(L60="博客A-知识教程","写知识教程/FAQ文章",IF(L60="博客B-场景人群","写场景需求/选购指南文章",IF(L60="博客C-对比评测","写对比评测/榜单文章","暂不做或人工复核")))))</x:f>
        <x:v>建/优化主站商业页</x:v>
      </x:c>
      <x:c r="AC60" s="18" t="str">
        <x:v>All Products - ExDivo</x:v>
      </x:c>
      <x:c r="AD60" s="19" t="str">
        <x:v>all products</x:v>
      </x:c>
    </x:row>
    <x:row r="61">
      <x:c r="A61" s="40" t="n">
        <x:v>61</x:v>
      </x:c>
      <x:c r="B61" s="18" t="str">
        <x:v>https://exdivo.com/collections/all?page=2</x:v>
      </x:c>
      <x:c r="C61" s="18" t="str">
        <x:v>vape supplies</x:v>
      </x:c>
      <x:c r="D61" s="18" t="str">
        <x:v>recommended</x:v>
      </x:c>
      <x:c r="E61" s="41" t="n">
        <x:v>1000</x:v>
      </x:c>
      <x:c r="F61" s="41" t="n">
        <x:v>69</x:v>
      </x:c>
      <x:c r="G61" s="18" t="str">
        <x:v>commercial</x:v>
      </x:c>
      <x:c r="H61" s="18" t="str">
        <x:v>General Vape</x:v>
      </x:c>
      <x:c r="I61" s="18" t="str">
        <x:v>品类承接词</x:v>
      </x:c>
      <x:c r="J61" s="18" t="str">
        <x:v>主站</x:v>
      </x:c>
      <x:c r="K61" s="18" t="str"/>
      <x:c r="L61" s="18" t="str">
        <x:f>IF(K61="",J61,K61)</x:f>
        <x:v>主站</x:v>
      </x:c>
      <x:c r="M61" s="18" t="str">
        <x:v>品类页/集合页 + FAQ内容块</x:v>
      </x:c>
      <x:c r="N61" s="18" t="str">
        <x:v>主站品类页：用产品集合 + 选购说明承接</x:v>
      </x:c>
      <x:c r="O61" s="18" t="str">
        <x:v>/collections/disposable-vapes</x:v>
      </x:c>
      <x:c r="P61" s="18" t="str">
        <x:v>不适用</x:v>
      </x:c>
      <x:c r="Q61" s="18" t="str">
        <x:v>主站页面自身承接</x:v>
      </x:c>
      <x:c r="R61" s="18" t="str">
        <x:v>核心品类词：主站优先，博客只做长尾解释，不直接抢同一词</x:v>
      </x:c>
      <x:c r="S61" s="18" t="str">
        <x:v>如果 Google 首页产品页和指南混合，主站页要加 FAQ、选购指南、对比模块。</x:v>
      </x:c>
      <x:c r="T61" s="42" t="n">
        <x:v>13</x:v>
      </x:c>
      <x:c r="U61" s="42" t="n">
        <x:v>3</x:v>
      </x:c>
      <x:c r="V61" s="42" t="n">
        <x:v>18</x:v>
      </x:c>
      <x:c r="W61" s="42" t="n">
        <x:v>8</x:v>
      </x:c>
      <x:c r="X61" s="42" t="n">
        <x:v>15</x:v>
      </x:c>
      <x:c r="Y61" s="42" t="n">
        <x:v>4</x:v>
      </x:c>
      <x:c r="Z61" s="42" t="n">
        <x:f>MAX(0,MIN(100,ROUND(((T61+U61+V61+W61+X61)-Y61)/85*100,0)))</x:f>
        <x:v>62</x:v>
      </x:c>
      <x:c r="AA61" s="18" t="str">
        <x:f>IF(L61="暂不做","P3 暂缓",IF(Z61&gt;=75,"P0 本周做",IF(Z61&gt;=60,"P1 近期做",IF(Z61&gt;=45,"P2 备选","P3 暂缓"))))</x:f>
        <x:v>P1 近期做</x:v>
      </x:c>
      <x:c r="AB61" s="18" t="str">
        <x:f>IF(Y61&gt;=15,"先做合规/相关性复核，不建议直接商业导流",IF(L61="主站","建/优化主站商业页",IF(L61="博客A-知识教程","写知识教程/FAQ文章",IF(L61="博客B-场景人群","写场景需求/选购指南文章",IF(L61="博客C-对比评测","写对比评测/榜单文章","暂不做或人工复核")))))</x:f>
        <x:v>建/优化主站商业页</x:v>
      </x:c>
      <x:c r="AC61" s="18" t="str">
        <x:v>All Products - ExDivo</x:v>
      </x:c>
      <x:c r="AD61" s="19" t="str">
        <x:v>all products</x:v>
      </x:c>
    </x:row>
    <x:row r="62">
      <x:c r="A62" s="40" t="n">
        <x:v>62</x:v>
      </x:c>
      <x:c r="B62" s="18" t="str">
        <x:v>https://exdivo.com/collections/all?page=2</x:v>
      </x:c>
      <x:c r="C62" s="18" t="str">
        <x:v>vape electronic</x:v>
      </x:c>
      <x:c r="D62" s="18" t="str">
        <x:v>recommended</x:v>
      </x:c>
      <x:c r="E62" s="41" t="n">
        <x:v>70</x:v>
      </x:c>
      <x:c r="F62" s="41" t="n">
        <x:v>77</x:v>
      </x:c>
      <x:c r="G62" s="18" t="str">
        <x:v>informational</x:v>
      </x:c>
      <x:c r="H62" s="18" t="str">
        <x:v>General Vape</x:v>
      </x:c>
      <x:c r="I62" s="18" t="str">
        <x:v>品类承接词</x:v>
      </x:c>
      <x:c r="J62" s="18" t="str">
        <x:v>主站</x:v>
      </x:c>
      <x:c r="K62" s="18" t="str"/>
      <x:c r="L62" s="18" t="str">
        <x:f>IF(K62="",J62,K62)</x:f>
        <x:v>主站</x:v>
      </x:c>
      <x:c r="M62" s="18" t="str">
        <x:v>品类页/集合页 + FAQ内容块</x:v>
      </x:c>
      <x:c r="N62" s="18" t="str">
        <x:v>主站品类页：用产品集合 + 选购说明承接</x:v>
      </x:c>
      <x:c r="O62" s="18" t="str">
        <x:v>/collections/disposable-vapes</x:v>
      </x:c>
      <x:c r="P62" s="18" t="str">
        <x:v>不适用</x:v>
      </x:c>
      <x:c r="Q62" s="18" t="str">
        <x:v>主站页面自身承接</x:v>
      </x:c>
      <x:c r="R62" s="18" t="str">
        <x:v>核心品类词：主站优先，博客只做长尾解释，不直接抢同一词</x:v>
      </x:c>
      <x:c r="S62" s="18" t="str">
        <x:v>如果 Google 首页产品页和指南混合，主站页要加 FAQ、选购指南、对比模块。</x:v>
      </x:c>
      <x:c r="T62" s="42" t="n">
        <x:v>4</x:v>
      </x:c>
      <x:c r="U62" s="42" t="n">
        <x:v>1</x:v>
      </x:c>
      <x:c r="V62" s="42" t="n">
        <x:v>16</x:v>
      </x:c>
      <x:c r="W62" s="42" t="n">
        <x:v>8</x:v>
      </x:c>
      <x:c r="X62" s="42" t="n">
        <x:v>15</x:v>
      </x:c>
      <x:c r="Y62" s="42" t="n">
        <x:v>4</x:v>
      </x:c>
      <x:c r="Z62" s="42" t="n">
        <x:f>MAX(0,MIN(100,ROUND(((T62+U62+V62+W62+X62)-Y62)/85*100,0)))</x:f>
        <x:v>47</x:v>
      </x:c>
      <x:c r="AA62" s="18" t="str">
        <x:f>IF(L62="暂不做","P3 暂缓",IF(Z62&gt;=75,"P0 本周做",IF(Z62&gt;=60,"P1 近期做",IF(Z62&gt;=45,"P2 备选","P3 暂缓"))))</x:f>
        <x:v>P2 备选</x:v>
      </x:c>
      <x:c r="AB62" s="18" t="str">
        <x:f>IF(Y62&gt;=15,"先做合规/相关性复核，不建议直接商业导流",IF(L62="主站","建/优化主站商业页",IF(L62="博客A-知识教程","写知识教程/FAQ文章",IF(L62="博客B-场景人群","写场景需求/选购指南文章",IF(L62="博客C-对比评测","写对比评测/榜单文章","暂不做或人工复核")))))</x:f>
        <x:v>建/优化主站商业页</x:v>
      </x:c>
      <x:c r="AC62" s="18" t="str">
        <x:v>All Products - ExDivo</x:v>
      </x:c>
      <x:c r="AD62" s="19" t="str">
        <x:v>all products</x:v>
      </x:c>
    </x:row>
    <x:row r="63">
      <x:c r="A63" s="40" t="n">
        <x:v>63</x:v>
      </x:c>
      <x:c r="B63" s="18" t="str">
        <x:v>https://exdivo.com/collections/all?page=2</x:v>
      </x:c>
      <x:c r="C63" s="18" t="str">
        <x:v>different vape devices</x:v>
      </x:c>
      <x:c r="D63" s="18" t="str">
        <x:v>recommended</x:v>
      </x:c>
      <x:c r="E63" s="41" t="n">
        <x:v>50</x:v>
      </x:c>
      <x:c r="F63" s="41" t="n">
        <x:v>31</x:v>
      </x:c>
      <x:c r="G63" s="18" t="str">
        <x:v>informational</x:v>
      </x:c>
      <x:c r="H63" s="18" t="str">
        <x:v>知识教程</x:v>
      </x:c>
      <x:c r="I63" s="18" t="str">
        <x:v>品类承接词</x:v>
      </x:c>
      <x:c r="J63" s="18" t="str">
        <x:v>主站</x:v>
      </x:c>
      <x:c r="K63" s="18" t="str"/>
      <x:c r="L63" s="18" t="str">
        <x:f>IF(K63="",J63,K63)</x:f>
        <x:v>主站</x:v>
      </x:c>
      <x:c r="M63" s="18" t="str">
        <x:v>品类页/集合页 + FAQ内容块</x:v>
      </x:c>
      <x:c r="N63" s="18" t="str">
        <x:v>主站品类页：用产品集合 + 选购说明承接</x:v>
      </x:c>
      <x:c r="O63" s="18" t="str">
        <x:v>/collections/disposable-vapes</x:v>
      </x:c>
      <x:c r="P63" s="18" t="str">
        <x:v>不适用</x:v>
      </x:c>
      <x:c r="Q63" s="18" t="str">
        <x:v>主站页面自身承接</x:v>
      </x:c>
      <x:c r="R63" s="18" t="str">
        <x:v>核心品类词：主站优先，博客只做长尾解释，不直接抢同一词</x:v>
      </x:c>
      <x:c r="S63" s="18" t="str">
        <x:v>如果 Google 首页产品页和指南混合，主站页要加 FAQ、选购指南、对比模块。</x:v>
      </x:c>
      <x:c r="T63" s="42" t="n">
        <x:v>4</x:v>
      </x:c>
      <x:c r="U63" s="42" t="n">
        <x:v>9</x:v>
      </x:c>
      <x:c r="V63" s="42" t="n">
        <x:v>16</x:v>
      </x:c>
      <x:c r="W63" s="42" t="n">
        <x:v>8</x:v>
      </x:c>
      <x:c r="X63" s="42" t="n">
        <x:v>15</x:v>
      </x:c>
      <x:c r="Y63" s="42" t="n">
        <x:v>4</x:v>
      </x:c>
      <x:c r="Z63" s="42" t="n">
        <x:f>MAX(0,MIN(100,ROUND(((T63+U63+V63+W63+X63)-Y63)/85*100,0)))</x:f>
        <x:v>56</x:v>
      </x:c>
      <x:c r="AA63" s="18" t="str">
        <x:f>IF(L63="暂不做","P3 暂缓",IF(Z63&gt;=75,"P0 本周做",IF(Z63&gt;=60,"P1 近期做",IF(Z63&gt;=45,"P2 备选","P3 暂缓"))))</x:f>
        <x:v>P2 备选</x:v>
      </x:c>
      <x:c r="AB63" s="18" t="str">
        <x:f>IF(Y63&gt;=15,"先做合规/相关性复核，不建议直接商业导流",IF(L63="主站","建/优化主站商业页",IF(L63="博客A-知识教程","写知识教程/FAQ文章",IF(L63="博客B-场景人群","写场景需求/选购指南文章",IF(L63="博客C-对比评测","写对比评测/榜单文章","暂不做或人工复核")))))</x:f>
        <x:v>建/优化主站商业页</x:v>
      </x:c>
      <x:c r="AC63" s="18" t="str">
        <x:v>All Products - ExDivo</x:v>
      </x:c>
      <x:c r="AD63" s="19" t="str">
        <x:v>all products</x:v>
      </x:c>
    </x:row>
    <x:row r="64">
      <x:c r="A64" s="40" t="n">
        <x:v>64</x:v>
      </x:c>
      <x:c r="B64" s="18" t="str">
        <x:v>https://exdivo.com/collections/all?page=2</x:v>
      </x:c>
      <x:c r="C64" s="18" t="str">
        <x:v>vape to buy</x:v>
      </x:c>
      <x:c r="D64" s="18" t="str">
        <x:v>recommended</x:v>
      </x:c>
      <x:c r="E64" s="41" t="n">
        <x:v>40</x:v>
      </x:c>
      <x:c r="F64" s="41" t="n">
        <x:v>70</x:v>
      </x:c>
      <x:c r="G64" s="18" t="str">
        <x:v>transactional</x:v>
      </x:c>
      <x:c r="H64" s="18" t="str">
        <x:v>购买交易</x:v>
      </x:c>
      <x:c r="I64" s="18" t="str">
        <x:v>交易词</x:v>
      </x:c>
      <x:c r="J64" s="18" t="str">
        <x:v>主站</x:v>
      </x:c>
      <x:c r="K64" s="18" t="str"/>
      <x:c r="L64" s="18" t="str">
        <x:f>IF(K64="",J64,K64)</x:f>
        <x:v>主站</x:v>
      </x:c>
      <x:c r="M64" s="18" t="str">
        <x:v>产品集合页/分类页/购买页</x:v>
      </x:c>
      <x:c r="N64" s="18" t="str">
        <x:v>主站商业页：标题围绕购买意图 + 品类 + 关键卖点</x:v>
      </x:c>
      <x:c r="O64" s="18" t="str">
        <x:v>/collections/disposable-vapes</x:v>
      </x:c>
      <x:c r="P64" s="18" t="str">
        <x:v>不适用</x:v>
      </x:c>
      <x:c r="Q64" s="18" t="str">
        <x:v>主站页面自身承接</x:v>
      </x:c>
      <x:c r="R64" s="18" t="str">
        <x:v>商业词：优先给主站，避免博客抢主站排名</x:v>
      </x:c>
      <x:c r="S64" s="18" t="str">
        <x:v>SERP 如为商品列表/品牌站/电商集合页，就建主站页面；若 SERP 全是教程，再拆支持文章。</x:v>
      </x:c>
      <x:c r="T64" s="42" t="n">
        <x:v>4</x:v>
      </x:c>
      <x:c r="U64" s="42" t="n">
        <x:v>3</x:v>
      </x:c>
      <x:c r="V64" s="42" t="n">
        <x:v>20</x:v>
      </x:c>
      <x:c r="W64" s="42" t="n">
        <x:v>7</x:v>
      </x:c>
      <x:c r="X64" s="42" t="n">
        <x:v>15</x:v>
      </x:c>
      <x:c r="Y64" s="42" t="n">
        <x:v>4</x:v>
      </x:c>
      <x:c r="Z64" s="42" t="n">
        <x:f>MAX(0,MIN(100,ROUND(((T64+U64+V64+W64+X64)-Y64)/85*100,0)))</x:f>
        <x:v>53</x:v>
      </x:c>
      <x:c r="AA64" s="18" t="str">
        <x:f>IF(L64="暂不做","P3 暂缓",IF(Z64&gt;=75,"P0 本周做",IF(Z64&gt;=60,"P1 近期做",IF(Z64&gt;=45,"P2 备选","P3 暂缓"))))</x:f>
        <x:v>P2 备选</x:v>
      </x:c>
      <x:c r="AB64" s="18" t="str">
        <x:f>IF(Y64&gt;=15,"先做合规/相关性复核，不建议直接商业导流",IF(L64="主站","建/优化主站商业页",IF(L64="博客A-知识教程","写知识教程/FAQ文章",IF(L64="博客B-场景人群","写场景需求/选购指南文章",IF(L64="博客C-对比评测","写对比评测/榜单文章","暂不做或人工复核")))))</x:f>
        <x:v>建/优化主站商业页</x:v>
      </x:c>
      <x:c r="AC64" s="18" t="str">
        <x:v>All Products - ExDivo</x:v>
      </x:c>
      <x:c r="AD64" s="19" t="str">
        <x:v>all products</x:v>
      </x:c>
    </x:row>
    <x:row r="65">
      <x:c r="A65" s="40" t="n">
        <x:v>65</x:v>
      </x:c>
      <x:c r="B65" s="18" t="str">
        <x:v>https://exdivo.com/collections/all?page=2</x:v>
      </x:c>
      <x:c r="C65" s="18" t="str">
        <x:v>shop vape</x:v>
      </x:c>
      <x:c r="D65" s="18" t="str">
        <x:v>recommended</x:v>
      </x:c>
      <x:c r="E65" s="41" t="n">
        <x:v>70</x:v>
      </x:c>
      <x:c r="F65" s="41" t="n">
        <x:v>82</x:v>
      </x:c>
      <x:c r="G65" s="18" t="str">
        <x:v>commercial</x:v>
      </x:c>
      <x:c r="H65" s="18" t="str">
        <x:v>购买交易</x:v>
      </x:c>
      <x:c r="I65" s="18" t="str">
        <x:v>交易词</x:v>
      </x:c>
      <x:c r="J65" s="18" t="str">
        <x:v>主站</x:v>
      </x:c>
      <x:c r="K65" s="18" t="str"/>
      <x:c r="L65" s="18" t="str">
        <x:f>IF(K65="",J65,K65)</x:f>
        <x:v>主站</x:v>
      </x:c>
      <x:c r="M65" s="18" t="str">
        <x:v>产品集合页/分类页/购买页</x:v>
      </x:c>
      <x:c r="N65" s="18" t="str">
        <x:v>主站商业页：标题围绕购买意图 + 品类 + 关键卖点</x:v>
      </x:c>
      <x:c r="O65" s="18" t="str">
        <x:v>/collections/disposable-vapes</x:v>
      </x:c>
      <x:c r="P65" s="18" t="str">
        <x:v>不适用</x:v>
      </x:c>
      <x:c r="Q65" s="18" t="str">
        <x:v>主站页面自身承接</x:v>
      </x:c>
      <x:c r="R65" s="18" t="str">
        <x:v>商业词：优先给主站，避免博客抢主站排名</x:v>
      </x:c>
      <x:c r="S65" s="18" t="str">
        <x:v>SERP 如为商品列表/品牌站/电商集合页，就建主站页面；若 SERP 全是教程，再拆支持文章。</x:v>
      </x:c>
      <x:c r="T65" s="42" t="n">
        <x:v>4</x:v>
      </x:c>
      <x:c r="U65" s="42" t="n">
        <x:v>1</x:v>
      </x:c>
      <x:c r="V65" s="42" t="n">
        <x:v>20</x:v>
      </x:c>
      <x:c r="W65" s="42" t="n">
        <x:v>7</x:v>
      </x:c>
      <x:c r="X65" s="42" t="n">
        <x:v>15</x:v>
      </x:c>
      <x:c r="Y65" s="42" t="n">
        <x:v>4</x:v>
      </x:c>
      <x:c r="Z65" s="42" t="n">
        <x:f>MAX(0,MIN(100,ROUND(((T65+U65+V65+W65+X65)-Y65)/85*100,0)))</x:f>
        <x:v>51</x:v>
      </x:c>
      <x:c r="AA65" s="18" t="str">
        <x:f>IF(L65="暂不做","P3 暂缓",IF(Z65&gt;=75,"P0 本周做",IF(Z65&gt;=60,"P1 近期做",IF(Z65&gt;=45,"P2 备选","P3 暂缓"))))</x:f>
        <x:v>P2 备选</x:v>
      </x:c>
      <x:c r="AB65" s="18" t="str">
        <x:f>IF(Y65&gt;=15,"先做合规/相关性复核，不建议直接商业导流",IF(L65="主站","建/优化主站商业页",IF(L65="博客A-知识教程","写知识教程/FAQ文章",IF(L65="博客B-场景人群","写场景需求/选购指南文章",IF(L65="博客C-对比评测","写对比评测/榜单文章","暂不做或人工复核")))))</x:f>
        <x:v>建/优化主站商业页</x:v>
      </x:c>
      <x:c r="AC65" s="18" t="str">
        <x:v>All Products - ExDivo</x:v>
      </x:c>
      <x:c r="AD65" s="19" t="str">
        <x:v>all products</x:v>
      </x:c>
    </x:row>
    <x:row r="66">
      <x:c r="A66" s="40" t="n">
        <x:v>66</x:v>
      </x:c>
      <x:c r="B66" s="18" t="str">
        <x:v>https://exdivo.com/collections/all?page=2</x:v>
      </x:c>
      <x:c r="C66" s="18" t="str">
        <x:v>buy vape accessories</x:v>
      </x:c>
      <x:c r="D66" s="18" t="str">
        <x:v>recommended</x:v>
      </x:c>
      <x:c r="E66" s="41" t="n">
        <x:v>50</x:v>
      </x:c>
      <x:c r="F66" s="41" t="n">
        <x:v>79</x:v>
      </x:c>
      <x:c r="G66" s="18" t="str">
        <x:v>commercial</x:v>
      </x:c>
      <x:c r="H66" s="18" t="str">
        <x:v>购买交易</x:v>
      </x:c>
      <x:c r="I66" s="18" t="str">
        <x:v>交易词</x:v>
      </x:c>
      <x:c r="J66" s="18" t="str">
        <x:v>主站</x:v>
      </x:c>
      <x:c r="K66" s="18" t="str"/>
      <x:c r="L66" s="18" t="str">
        <x:f>IF(K66="",J66,K66)</x:f>
        <x:v>主站</x:v>
      </x:c>
      <x:c r="M66" s="18" t="str">
        <x:v>产品集合页/分类页/购买页</x:v>
      </x:c>
      <x:c r="N66" s="18" t="str">
        <x:v>主站商业页：标题围绕购买意图 + 品类 + 关键卖点</x:v>
      </x:c>
      <x:c r="O66" s="18" t="str">
        <x:v>/collections/disposable-vapes</x:v>
      </x:c>
      <x:c r="P66" s="18" t="str">
        <x:v>不适用</x:v>
      </x:c>
      <x:c r="Q66" s="18" t="str">
        <x:v>主站页面自身承接</x:v>
      </x:c>
      <x:c r="R66" s="18" t="str">
        <x:v>商业词：优先给主站，避免博客抢主站排名</x:v>
      </x:c>
      <x:c r="S66" s="18" t="str">
        <x:v>SERP 如为商品列表/品牌站/电商集合页，就建主站页面；若 SERP 全是教程，再拆支持文章。</x:v>
      </x:c>
      <x:c r="T66" s="42" t="n">
        <x:v>4</x:v>
      </x:c>
      <x:c r="U66" s="42" t="n">
        <x:v>1</x:v>
      </x:c>
      <x:c r="V66" s="42" t="n">
        <x:v>20</x:v>
      </x:c>
      <x:c r="W66" s="42" t="n">
        <x:v>7</x:v>
      </x:c>
      <x:c r="X66" s="42" t="n">
        <x:v>15</x:v>
      </x:c>
      <x:c r="Y66" s="42" t="n">
        <x:v>4</x:v>
      </x:c>
      <x:c r="Z66" s="42" t="n">
        <x:f>MAX(0,MIN(100,ROUND(((T66+U66+V66+W66+X66)-Y66)/85*100,0)))</x:f>
        <x:v>51</x:v>
      </x:c>
      <x:c r="AA66" s="18" t="str">
        <x:f>IF(L66="暂不做","P3 暂缓",IF(Z66&gt;=75,"P0 本周做",IF(Z66&gt;=60,"P1 近期做",IF(Z66&gt;=45,"P2 备选","P3 暂缓"))))</x:f>
        <x:v>P2 备选</x:v>
      </x:c>
      <x:c r="AB66" s="18" t="str">
        <x:f>IF(Y66&gt;=15,"先做合规/相关性复核，不建议直接商业导流",IF(L66="主站","建/优化主站商业页",IF(L66="博客A-知识教程","写知识教程/FAQ文章",IF(L66="博客B-场景人群","写场景需求/选购指南文章",IF(L66="博客C-对比评测","写对比评测/榜单文章","暂不做或人工复核")))))</x:f>
        <x:v>建/优化主站商业页</x:v>
      </x:c>
      <x:c r="AC66" s="18" t="str">
        <x:v>All Products - ExDivo</x:v>
      </x:c>
      <x:c r="AD66" s="19" t="str">
        <x:v>all products</x:v>
      </x:c>
    </x:row>
    <x:row r="67">
      <x:c r="A67" s="40" t="n">
        <x:v>67</x:v>
      </x:c>
      <x:c r="B67" s="18" t="str">
        <x:v>https://exdivo.com/collections/all?page=2</x:v>
      </x:c>
      <x:c r="C67" s="18" t="str">
        <x:v>vape sellers</x:v>
      </x:c>
      <x:c r="D67" s="18" t="str">
        <x:v>recommended</x:v>
      </x:c>
      <x:c r="E67" s="41" t="n">
        <x:v>50</x:v>
      </x:c>
      <x:c r="F67" s="41" t="n">
        <x:v>81</x:v>
      </x:c>
      <x:c r="G67" s="18" t="str">
        <x:v>commercial</x:v>
      </x:c>
      <x:c r="H67" s="18" t="str">
        <x:v>General Vape</x:v>
      </x:c>
      <x:c r="I67" s="18" t="str">
        <x:v>品类承接词</x:v>
      </x:c>
      <x:c r="J67" s="18" t="str">
        <x:v>主站</x:v>
      </x:c>
      <x:c r="K67" s="18" t="str"/>
      <x:c r="L67" s="18" t="str">
        <x:f>IF(K67="",J67,K67)</x:f>
        <x:v>主站</x:v>
      </x:c>
      <x:c r="M67" s="18" t="str">
        <x:v>品类页/集合页 + FAQ内容块</x:v>
      </x:c>
      <x:c r="N67" s="18" t="str">
        <x:v>主站品类页：用产品集合 + 选购说明承接</x:v>
      </x:c>
      <x:c r="O67" s="18" t="str">
        <x:v>/collections/disposable-vapes</x:v>
      </x:c>
      <x:c r="P67" s="18" t="str">
        <x:v>不适用</x:v>
      </x:c>
      <x:c r="Q67" s="18" t="str">
        <x:v>主站页面自身承接</x:v>
      </x:c>
      <x:c r="R67" s="18" t="str">
        <x:v>核心品类词：主站优先，博客只做长尾解释，不直接抢同一词</x:v>
      </x:c>
      <x:c r="S67" s="18" t="str">
        <x:v>如果 Google 首页产品页和指南混合，主站页要加 FAQ、选购指南、对比模块。</x:v>
      </x:c>
      <x:c r="T67" s="42" t="n">
        <x:v>4</x:v>
      </x:c>
      <x:c r="U67" s="42" t="n">
        <x:v>1</x:v>
      </x:c>
      <x:c r="V67" s="42" t="n">
        <x:v>18</x:v>
      </x:c>
      <x:c r="W67" s="42" t="n">
        <x:v>8</x:v>
      </x:c>
      <x:c r="X67" s="42" t="n">
        <x:v>15</x:v>
      </x:c>
      <x:c r="Y67" s="42" t="n">
        <x:v>4</x:v>
      </x:c>
      <x:c r="Z67" s="42" t="n">
        <x:f>MAX(0,MIN(100,ROUND(((T67+U67+V67+W67+X67)-Y67)/85*100,0)))</x:f>
        <x:v>49</x:v>
      </x:c>
      <x:c r="AA67" s="18" t="str">
        <x:f>IF(L67="暂不做","P3 暂缓",IF(Z67&gt;=75,"P0 本周做",IF(Z67&gt;=60,"P1 近期做",IF(Z67&gt;=45,"P2 备选","P3 暂缓"))))</x:f>
        <x:v>P2 备选</x:v>
      </x:c>
      <x:c r="AB67" s="18" t="str">
        <x:f>IF(Y67&gt;=15,"先做合规/相关性复核，不建议直接商业导流",IF(L67="主站","建/优化主站商业页",IF(L67="博客A-知识教程","写知识教程/FAQ文章",IF(L67="博客B-场景人群","写场景需求/选购指南文章",IF(L67="博客C-对比评测","写对比评测/榜单文章","暂不做或人工复核")))))</x:f>
        <x:v>建/优化主站商业页</x:v>
      </x:c>
      <x:c r="AC67" s="18" t="str">
        <x:v>All Products - ExDivo</x:v>
      </x:c>
      <x:c r="AD67" s="19" t="str">
        <x:v>all products</x:v>
      </x:c>
    </x:row>
    <x:row r="68">
      <x:c r="A68" s="40" t="n">
        <x:v>68</x:v>
      </x:c>
      <x:c r="B68" s="18" t="str">
        <x:v>https://exdivo.com/collections/all?page=2</x:v>
      </x:c>
      <x:c r="C68" s="18" t="str">
        <x:v>vaping accessories</x:v>
      </x:c>
      <x:c r="D68" s="18" t="str">
        <x:v>recommended</x:v>
      </x:c>
      <x:c r="E68" s="41" t="n">
        <x:v>210</x:v>
      </x:c>
      <x:c r="F68" s="41" t="n">
        <x:v>61</x:v>
      </x:c>
      <x:c r="G68" s="18" t="str">
        <x:v>commercial</x:v>
      </x:c>
      <x:c r="H68" s="18" t="str">
        <x:v>General Vape</x:v>
      </x:c>
      <x:c r="I68" s="18" t="str">
        <x:v>品类承接词</x:v>
      </x:c>
      <x:c r="J68" s="18" t="str">
        <x:v>主站</x:v>
      </x:c>
      <x:c r="K68" s="18" t="str"/>
      <x:c r="L68" s="18" t="str">
        <x:f>IF(K68="",J68,K68)</x:f>
        <x:v>主站</x:v>
      </x:c>
      <x:c r="M68" s="18" t="str">
        <x:v>品类页/集合页 + FAQ内容块</x:v>
      </x:c>
      <x:c r="N68" s="18" t="str">
        <x:v>主站品类页：用产品集合 + 选购说明承接</x:v>
      </x:c>
      <x:c r="O68" s="18" t="str">
        <x:v>/collections/disposable-vapes</x:v>
      </x:c>
      <x:c r="P68" s="18" t="str">
        <x:v>不适用</x:v>
      </x:c>
      <x:c r="Q68" s="18" t="str">
        <x:v>主站页面自身承接</x:v>
      </x:c>
      <x:c r="R68" s="18" t="str">
        <x:v>核心品类词：主站优先，博客只做长尾解释，不直接抢同一词</x:v>
      </x:c>
      <x:c r="S68" s="18" t="str">
        <x:v>如果 Google 首页产品页和指南混合，主站页要加 FAQ、选购指南、对比模块。</x:v>
      </x:c>
      <x:c r="T68" s="42" t="n">
        <x:v>7</x:v>
      </x:c>
      <x:c r="U68" s="42" t="n">
        <x:v>3</x:v>
      </x:c>
      <x:c r="V68" s="42" t="n">
        <x:v>18</x:v>
      </x:c>
      <x:c r="W68" s="42" t="n">
        <x:v>8</x:v>
      </x:c>
      <x:c r="X68" s="42" t="n">
        <x:v>15</x:v>
      </x:c>
      <x:c r="Y68" s="42" t="n">
        <x:v>4</x:v>
      </x:c>
      <x:c r="Z68" s="42" t="n">
        <x:f>MAX(0,MIN(100,ROUND(((T68+U68+V68+W68+X68)-Y68)/85*100,0)))</x:f>
        <x:v>55</x:v>
      </x:c>
      <x:c r="AA68" s="18" t="str">
        <x:f>IF(L68="暂不做","P3 暂缓",IF(Z68&gt;=75,"P0 本周做",IF(Z68&gt;=60,"P1 近期做",IF(Z68&gt;=45,"P2 备选","P3 暂缓"))))</x:f>
        <x:v>P2 备选</x:v>
      </x:c>
      <x:c r="AB68" s="18" t="str">
        <x:f>IF(Y68&gt;=15,"先做合规/相关性复核，不建议直接商业导流",IF(L68="主站","建/优化主站商业页",IF(L68="博客A-知识教程","写知识教程/FAQ文章",IF(L68="博客B-场景人群","写场景需求/选购指南文章",IF(L68="博客C-对比评测","写对比评测/榜单文章","暂不做或人工复核")))))</x:f>
        <x:v>建/优化主站商业页</x:v>
      </x:c>
      <x:c r="AC68" s="18" t="str">
        <x:v>All Products - ExDivo</x:v>
      </x:c>
      <x:c r="AD68" s="19" t="str">
        <x:v>all products</x:v>
      </x:c>
    </x:row>
    <x:row r="69">
      <x:c r="A69" s="40" t="n">
        <x:v>69</x:v>
      </x:c>
      <x:c r="B69" s="18" t="str">
        <x:v>https://exdivo.com/collections/all?page=2</x:v>
      </x:c>
      <x:c r="C69" s="18" t="str">
        <x:v>all vape products</x:v>
      </x:c>
      <x:c r="D69" s="18" t="str">
        <x:v>recommended</x:v>
      </x:c>
      <x:c r="E69" s="41" t="n">
        <x:v>0</x:v>
      </x:c>
      <x:c r="F69" s="41" t="n">
        <x:v>0</x:v>
      </x:c>
      <x:c r="G69" s="18" t="str">
        <x:v>48</x:v>
      </x:c>
      <x:c r="H69" s="18" t="str">
        <x:v>General Vape</x:v>
      </x:c>
      <x:c r="I69" s="18" t="str">
        <x:v>品类承接词</x:v>
      </x:c>
      <x:c r="J69" s="18" t="str">
        <x:v>主站</x:v>
      </x:c>
      <x:c r="K69" s="18" t="str"/>
      <x:c r="L69" s="18" t="str">
        <x:f>IF(K69="",J69,K69)</x:f>
        <x:v>主站</x:v>
      </x:c>
      <x:c r="M69" s="18" t="str">
        <x:v>品类页/集合页 + FAQ内容块</x:v>
      </x:c>
      <x:c r="N69" s="18" t="str">
        <x:v>主站品类页：用产品集合 + 选购说明承接</x:v>
      </x:c>
      <x:c r="O69" s="18" t="str">
        <x:v>/collections/disposable-vapes</x:v>
      </x:c>
      <x:c r="P69" s="18" t="str">
        <x:v>不适用</x:v>
      </x:c>
      <x:c r="Q69" s="18" t="str">
        <x:v>主站页面自身承接</x:v>
      </x:c>
      <x:c r="R69" s="18" t="str">
        <x:v>核心品类词：主站优先，博客只做长尾解释，不直接抢同一词</x:v>
      </x:c>
      <x:c r="S69" s="18" t="str">
        <x:v>如果 Google 首页产品页和指南混合，主站页要加 FAQ、选购指南、对比模块。</x:v>
      </x:c>
      <x:c r="T69" s="42" t="n">
        <x:v>1</x:v>
      </x:c>
      <x:c r="U69" s="42" t="n">
        <x:v>15</x:v>
      </x:c>
      <x:c r="V69" s="42" t="n">
        <x:v>16</x:v>
      </x:c>
      <x:c r="W69" s="42" t="n">
        <x:v>8</x:v>
      </x:c>
      <x:c r="X69" s="42" t="n">
        <x:v>15</x:v>
      </x:c>
      <x:c r="Y69" s="42" t="n">
        <x:v>4</x:v>
      </x:c>
      <x:c r="Z69" s="42" t="n">
        <x:f>MAX(0,MIN(100,ROUND(((T69+U69+V69+W69+X69)-Y69)/85*100,0)))</x:f>
        <x:v>60</x:v>
      </x:c>
      <x:c r="AA69" s="18" t="str">
        <x:f>IF(L69="暂不做","P3 暂缓",IF(Z69&gt;=75,"P0 本周做",IF(Z69&gt;=60,"P1 近期做",IF(Z69&gt;=45,"P2 备选","P3 暂缓"))))</x:f>
        <x:v>P1 近期做</x:v>
      </x:c>
      <x:c r="AB69" s="18" t="str">
        <x:f>IF(Y69&gt;=15,"先做合规/相关性复核，不建议直接商业导流",IF(L69="主站","建/优化主站商业页",IF(L69="博客A-知识教程","写知识教程/FAQ文章",IF(L69="博客B-场景人群","写场景需求/选购指南文章",IF(L69="博客C-对比评测","写对比评测/榜单文章","暂不做或人工复核")))))</x:f>
        <x:v>建/优化主站商业页</x:v>
      </x:c>
      <x:c r="AC69" s="18" t="str">
        <x:v>All Products - ExDivo</x:v>
      </x:c>
      <x:c r="AD69" s="19" t="str">
        <x:v>all products</x:v>
      </x:c>
    </x:row>
    <x:row r="70">
      <x:c r="A70" s="40" t="n">
        <x:v>70</x:v>
      </x:c>
      <x:c r="B70" s="18" t="str">
        <x:v>https://exdivo.com/comments/exdivo-kuz-25k-replaceable-pod-vape_64dec8c7</x:v>
      </x:c>
      <x:c r="C70" s="18" t="str">
        <x:v>mr blue vape flavor review</x:v>
      </x:c>
      <x:c r="D70" s="18" t="str">
        <x:v>recommended</x:v>
      </x:c>
      <x:c r="E70" s="41" t="n">
        <x:v>0</x:v>
      </x:c>
      <x:c r="F70" s="41" t="n">
        <x:v>0</x:v>
      </x:c>
      <x:c r="G70" s="18" t="str">
        <x:v>48</x:v>
      </x:c>
      <x:c r="H70" s="18" t="str">
        <x:v>竞品/品牌词</x:v>
      </x:c>
      <x:c r="I70" s="18" t="str">
        <x:v>竞品对比词</x:v>
      </x:c>
      <x:c r="J70" s="18" t="str">
        <x:v>博客C-对比评测</x:v>
      </x:c>
      <x:c r="K70" s="18" t="str"/>
      <x:c r="L70" s="18" t="str">
        <x:f>IF(K70="",J70,K70)</x:f>
        <x:v>博客C-对比评测</x:v>
      </x:c>
      <x:c r="M70" s="18" t="str">
        <x:v>对比/替代/榜单文章</x:v>
      </x:c>
      <x:c r="N70" s="18" t="str">
        <x:v>Best angle: mr blue vape flavor review - comparison, pros/cons, and which option fits different buyers</x:v>
      </x:c>
      <x:c r="O70" s="18" t="str">
        <x:v>/collections/disposable-vapes 或对应替代产品集合页</x:v>
      </x:c>
      <x:c r="P70" s="18" t="str">
        <x:v>谨慎</x:v>
      </x:c>
      <x:c r="Q70" s="18" t="str">
        <x:v>自然句/品牌词/品类词</x:v>
      </x:c>
      <x:c r="R70" s="18" t="str">
        <x:v>中风险：涉及竞品品牌，避免商标误导、贬低竞品和虚假对比</x:v>
      </x:c>
      <x:c r="S70" s="18" t="str">
        <x:v>适合做客观对比或替代方案，但不要把竞品词直接做主站商业页。</x:v>
      </x:c>
      <x:c r="T70" s="42" t="n">
        <x:v>1</x:v>
      </x:c>
      <x:c r="U70" s="42" t="n">
        <x:v>15</x:v>
      </x:c>
      <x:c r="V70" s="42" t="n">
        <x:v>14</x:v>
      </x:c>
      <x:c r="W70" s="42" t="n">
        <x:v>14</x:v>
      </x:c>
      <x:c r="X70" s="42" t="n">
        <x:v>11</x:v>
      </x:c>
      <x:c r="Y70" s="42" t="n">
        <x:v>10</x:v>
      </x:c>
      <x:c r="Z70" s="42" t="n">
        <x:f>MAX(0,MIN(100,ROUND(((T70+U70+V70+W70+X70)-Y70)/85*100,0)))</x:f>
        <x:v>53</x:v>
      </x:c>
      <x:c r="AA70" s="18" t="str">
        <x:f>IF(L70="暂不做","P3 暂缓",IF(Z70&gt;=75,"P0 本周做",IF(Z70&gt;=60,"P1 近期做",IF(Z70&gt;=45,"P2 备选","P3 暂缓"))))</x:f>
        <x:v>P2 备选</x:v>
      </x:c>
      <x:c r="AB70" s="18" t="str">
        <x:f>IF(Y70&gt;=15,"先做合规/相关性复核，不建议直接商业导流",IF(L70="主站","建/优化主站商业页",IF(L70="博客A-知识教程","写知识教程/FAQ文章",IF(L70="博客B-场景人群","写场景需求/选购指南文章",IF(L70="博客C-对比评测","写对比评测/榜单文章","暂不做或人工复核")))))</x:f>
        <x:v>写对比评测/榜单文章</x:v>
      </x:c>
      <x:c r="AC70" s="18" t="str">
        <x:v>Reviews - MR.BLUE - ExDivo KUZ 25K Replaceable Pod Vape - ExDivo</x:v>
      </x:c>
      <x:c r="AD70" s="19" t="str">
        <x:v>48</x:v>
      </x:c>
    </x:row>
    <x:row r="71">
      <x:c r="A71" s="40" t="n">
        <x:v>71</x:v>
      </x:c>
      <x:c r="B71" s="18" t="str">
        <x:v>https://exdivo.com/comments/exdivo-kuz-25k-replaceable-pod-vape_64dec8c7</x:v>
      </x:c>
      <x:c r="C71" s="18" t="str">
        <x:v>mr blue vape</x:v>
      </x:c>
      <x:c r="D71" s="18" t="str">
        <x:v>recommended</x:v>
      </x:c>
      <x:c r="E71" s="41" t="n">
        <x:v>50</x:v>
      </x:c>
      <x:c r="F71" s="41" t="n">
        <x:v>0</x:v>
      </x:c>
      <x:c r="G71" s="18" t="str">
        <x:v>informational</x:v>
      </x:c>
      <x:c r="H71" s="18" t="str">
        <x:v>竞品/品牌词</x:v>
      </x:c>
      <x:c r="I71" s="18" t="str">
        <x:v>竞品品牌词</x:v>
      </x:c>
      <x:c r="J71" s="18" t="str">
        <x:v>暂不做</x:v>
      </x:c>
      <x:c r="K71" s="18" t="str"/>
      <x:c r="L71" s="18" t="str">
        <x:f>IF(K71="",J71,K71)</x:f>
        <x:v>暂不做</x:v>
      </x:c>
      <x:c r="M71" s="18" t="str">
        <x:v>人工确认后再决定</x:v>
      </x:c>
      <x:c r="N71" s="18" t="str">
        <x:v>人工确认是否可做客观对比</x:v>
      </x:c>
      <x:c r="O71" s="18" t="str">
        <x:v>无</x:v>
      </x:c>
      <x:c r="P71" s="18" t="str">
        <x:v>否</x:v>
      </x:c>
      <x:c r="Q71" s="18" t="str">
        <x:v>不导流</x:v>
      </x:c>
      <x:c r="R71" s="18" t="str">
        <x:v>中高风险：纯竞品品牌词容易产生商标/相关性问题</x:v>
      </x:c>
      <x:c r="S71" s="18" t="str">
        <x:v>只有带 alternative / vs / review / best 这类明确比较意图时，才考虑博客C。</x:v>
      </x:c>
      <x:c r="T71" s="42" t="n">
        <x:v>4</x:v>
      </x:c>
      <x:c r="U71" s="42" t="n">
        <x:v>15</x:v>
      </x:c>
      <x:c r="V71" s="42" t="n">
        <x:v>5</x:v>
      </x:c>
      <x:c r="W71" s="42" t="n">
        <x:v>7</x:v>
      </x:c>
      <x:c r="X71" s="42" t="n">
        <x:v>4</x:v>
      </x:c>
      <x:c r="Y71" s="42" t="n">
        <x:v>14</x:v>
      </x:c>
      <x:c r="Z71" s="42" t="n">
        <x:f>MAX(0,MIN(100,ROUND(((T71+U71+V71+W71+X71)-Y71)/85*100,0)))</x:f>
        <x:v>25</x:v>
      </x:c>
      <x:c r="AA71" s="18" t="str">
        <x:f>IF(L71="暂不做","P3 暂缓",IF(Z71&gt;=75,"P0 本周做",IF(Z71&gt;=60,"P1 近期做",IF(Z71&gt;=45,"P2 备选","P3 暂缓"))))</x:f>
        <x:v>P3 暂缓</x:v>
      </x:c>
      <x:c r="AB71" s="18" t="str">
        <x:f>IF(Y71&gt;=15,"先做合规/相关性复核，不建议直接商业导流",IF(L71="主站","建/优化主站商业页",IF(L71="博客A-知识教程","写知识教程/FAQ文章",IF(L71="博客B-场景人群","写场景需求/选购指南文章",IF(L71="博客C-对比评测","写对比评测/榜单文章","暂不做或人工复核")))))</x:f>
        <x:v>暂不做或人工复核</x:v>
      </x:c>
      <x:c r="AC71" s="18" t="str">
        <x:v>Reviews - MR.BLUE - ExDivo KUZ 25K Replaceable Pod Vape - ExDivo</x:v>
      </x:c>
      <x:c r="AD71" s="19" t="str">
        <x:v>48</x:v>
      </x:c>
    </x:row>
    <x:row r="72">
      <x:c r="A72" s="40" t="n">
        <x:v>72</x:v>
      </x:c>
      <x:c r="B72" s="18" t="str">
        <x:v>https://exdivo.com/comments/exdivo-kuz-25k-replaceable-pod-vape_0f3c5b24?writeComment=true</x:v>
      </x:c>
      <x:c r="C72" s="18" t="str">
        <x:v>vape flavor reviews blueberry sour raspberry</x:v>
      </x:c>
      <x:c r="D72" s="18" t="str">
        <x:v>recommended</x:v>
      </x:c>
      <x:c r="E72" s="41" t="n">
        <x:v>0</x:v>
      </x:c>
      <x:c r="F72" s="41" t="n">
        <x:v>0</x:v>
      </x:c>
      <x:c r="G72" s="18" t="str">
        <x:v>48</x:v>
      </x:c>
      <x:c r="H72" s="18" t="str">
        <x:v>竞品/品牌词</x:v>
      </x:c>
      <x:c r="I72" s="18" t="str">
        <x:v>竞品对比词</x:v>
      </x:c>
      <x:c r="J72" s="18" t="str">
        <x:v>博客C-对比评测</x:v>
      </x:c>
      <x:c r="K72" s="18" t="str"/>
      <x:c r="L72" s="18" t="str">
        <x:f>IF(K72="",J72,K72)</x:f>
        <x:v>博客C-对比评测</x:v>
      </x:c>
      <x:c r="M72" s="18" t="str">
        <x:v>对比/替代/榜单文章</x:v>
      </x:c>
      <x:c r="N72" s="18" t="str">
        <x:v>Best angle: vape flavor reviews blueberry sour raspberry - comparison, pros/cons, and which option fits different buyers</x:v>
      </x:c>
      <x:c r="O72" s="18" t="str">
        <x:v>/collections/disposable-vapes 或对应替代产品集合页</x:v>
      </x:c>
      <x:c r="P72" s="18" t="str">
        <x:v>谨慎</x:v>
      </x:c>
      <x:c r="Q72" s="18" t="str">
        <x:v>自然句/品牌词/品类词</x:v>
      </x:c>
      <x:c r="R72" s="18" t="str">
        <x:v>中风险：涉及竞品品牌，避免商标误导、贬低竞品和虚假对比</x:v>
      </x:c>
      <x:c r="S72" s="18" t="str">
        <x:v>适合做客观对比或替代方案，但不要把竞品词直接做主站商业页。</x:v>
      </x:c>
      <x:c r="T72" s="42" t="n">
        <x:v>1</x:v>
      </x:c>
      <x:c r="U72" s="42" t="n">
        <x:v>15</x:v>
      </x:c>
      <x:c r="V72" s="42" t="n">
        <x:v>14</x:v>
      </x:c>
      <x:c r="W72" s="42" t="n">
        <x:v>14</x:v>
      </x:c>
      <x:c r="X72" s="42" t="n">
        <x:v>11</x:v>
      </x:c>
      <x:c r="Y72" s="42" t="n">
        <x:v>10</x:v>
      </x:c>
      <x:c r="Z72" s="42" t="n">
        <x:f>MAX(0,MIN(100,ROUND(((T72+U72+V72+W72+X72)-Y72)/85*100,0)))</x:f>
        <x:v>53</x:v>
      </x:c>
      <x:c r="AA72" s="18" t="str">
        <x:f>IF(L72="暂不做","P3 暂缓",IF(Z72&gt;=75,"P0 本周做",IF(Z72&gt;=60,"P1 近期做",IF(Z72&gt;=45,"P2 备选","P3 暂缓"))))</x:f>
        <x:v>P2 备选</x:v>
      </x:c>
      <x:c r="AB72" s="18" t="str">
        <x:f>IF(Y72&gt;=15,"先做合规/相关性复核，不建议直接商业导流",IF(L72="主站","建/优化主站商业页",IF(L72="博客A-知识教程","写知识教程/FAQ文章",IF(L72="博客B-场景人群","写场景需求/选购指南文章",IF(L72="博客C-对比评测","写对比评测/榜单文章","暂不做或人工复核")))))</x:f>
        <x:v>写对比评测/榜单文章</x:v>
      </x:c>
      <x:c r="AC72" s="18" t="str">
        <x:v>Reviews - BLUEBERRY SOUR RASPBERRY - ExDivo KUZ 25K Replaceable Pod Vape - ExDivo</x:v>
      </x:c>
      <x:c r="AD72" s="19" t="str">
        <x:v>48</x:v>
      </x:c>
    </x:row>
    <x:row r="73">
      <x:c r="A73" s="40" t="n">
        <x:v>73</x:v>
      </x:c>
      <x:c r="B73" s="18" t="str">
        <x:v>https://exdivo.com/comments/exdivo-kuz-25k-replaceable-pod-vape_0f3c5b24?writeComment=true</x:v>
      </x:c>
      <x:c r="C73" s="18" t="str">
        <x:v>blueberry sour raspberry vape review</x:v>
      </x:c>
      <x:c r="D73" s="18" t="str">
        <x:v>recommended</x:v>
      </x:c>
      <x:c r="E73" s="41" t="n">
        <x:v>0</x:v>
      </x:c>
      <x:c r="F73" s="41" t="n">
        <x:v>0</x:v>
      </x:c>
      <x:c r="G73" s="18" t="str">
        <x:v>48</x:v>
      </x:c>
      <x:c r="H73" s="18" t="str">
        <x:v>竞品/品牌词</x:v>
      </x:c>
      <x:c r="I73" s="18" t="str">
        <x:v>竞品对比词</x:v>
      </x:c>
      <x:c r="J73" s="18" t="str">
        <x:v>博客C-对比评测</x:v>
      </x:c>
      <x:c r="K73" s="18" t="str"/>
      <x:c r="L73" s="18" t="str">
        <x:f>IF(K73="",J73,K73)</x:f>
        <x:v>博客C-对比评测</x:v>
      </x:c>
      <x:c r="M73" s="18" t="str">
        <x:v>对比/替代/榜单文章</x:v>
      </x:c>
      <x:c r="N73" s="18" t="str">
        <x:v>Best angle: blueberry sour raspberry vape review - comparison, pros/cons, and which option fits different buyers</x:v>
      </x:c>
      <x:c r="O73" s="18" t="str">
        <x:v>/collections/disposable-vapes 或对应替代产品集合页</x:v>
      </x:c>
      <x:c r="P73" s="18" t="str">
        <x:v>谨慎</x:v>
      </x:c>
      <x:c r="Q73" s="18" t="str">
        <x:v>自然句/品牌词/品类词</x:v>
      </x:c>
      <x:c r="R73" s="18" t="str">
        <x:v>中风险：涉及竞品品牌，避免商标误导、贬低竞品和虚假对比</x:v>
      </x:c>
      <x:c r="S73" s="18" t="str">
        <x:v>适合做客观对比或替代方案，但不要把竞品词直接做主站商业页。</x:v>
      </x:c>
      <x:c r="T73" s="42" t="n">
        <x:v>1</x:v>
      </x:c>
      <x:c r="U73" s="42" t="n">
        <x:v>15</x:v>
      </x:c>
      <x:c r="V73" s="42" t="n">
        <x:v>14</x:v>
      </x:c>
      <x:c r="W73" s="42" t="n">
        <x:v>14</x:v>
      </x:c>
      <x:c r="X73" s="42" t="n">
        <x:v>11</x:v>
      </x:c>
      <x:c r="Y73" s="42" t="n">
        <x:v>10</x:v>
      </x:c>
      <x:c r="Z73" s="42" t="n">
        <x:f>MAX(0,MIN(100,ROUND(((T73+U73+V73+W73+X73)-Y73)/85*100,0)))</x:f>
        <x:v>53</x:v>
      </x:c>
      <x:c r="AA73" s="18" t="str">
        <x:f>IF(L73="暂不做","P3 暂缓",IF(Z73&gt;=75,"P0 本周做",IF(Z73&gt;=60,"P1 近期做",IF(Z73&gt;=45,"P2 备选","P3 暂缓"))))</x:f>
        <x:v>P2 备选</x:v>
      </x:c>
      <x:c r="AB73" s="18" t="str">
        <x:f>IF(Y73&gt;=15,"先做合规/相关性复核，不建议直接商业导流",IF(L73="主站","建/优化主站商业页",IF(L73="博客A-知识教程","写知识教程/FAQ文章",IF(L73="博客B-场景人群","写场景需求/选购指南文章",IF(L73="博客C-对比评测","写对比评测/榜单文章","暂不做或人工复核")))))</x:f>
        <x:v>写对比评测/榜单文章</x:v>
      </x:c>
      <x:c r="AC73" s="18" t="str">
        <x:v>Reviews - BLUEBERRY SOUR RASPBERRY - ExDivo KUZ 25K Replaceable Pod Vape - ExDivo</x:v>
      </x:c>
      <x:c r="AD73" s="19" t="str">
        <x:v>48</x:v>
      </x:c>
    </x:row>
    <x:row r="74">
      <x:c r="A74" s="40" t="n">
        <x:v>74</x:v>
      </x:c>
      <x:c r="B74" s="18" t="str">
        <x:v>https://exdivo.com/comments/exdivo-bright-mirror-35k-replaceable-vape-kit_9d9e42e4</x:v>
      </x:c>
      <x:c r="C74" s="18" t="str">
        <x:v>35k vape kit flavor</x:v>
      </x:c>
      <x:c r="D74" s="18" t="str">
        <x:v>recommended</x:v>
      </x:c>
      <x:c r="E74" s="41" t="n">
        <x:v>0</x:v>
      </x:c>
      <x:c r="F74" s="41" t="n">
        <x:v>0</x:v>
      </x:c>
      <x:c r="G74" s="18" t="str">
        <x:v>48</x:v>
      </x:c>
      <x:c r="H74" s="18" t="str">
        <x:v>Flavor / 口味</x:v>
      </x:c>
      <x:c r="I74" s="18" t="str">
        <x:v>场景/需求词</x:v>
      </x:c>
      <x:c r="J74" s="18" t="str">
        <x:v>博客B-场景人群</x:v>
      </x:c>
      <x:c r="K74" s="18" t="str"/>
      <x:c r="L74" s="18" t="str">
        <x:f>IF(K74="",J74,K74)</x:f>
        <x:v>博客B-场景人群</x:v>
      </x:c>
      <x:c r="M74" s="18" t="str">
        <x:v>场景解决方案/选购指南文章</x:v>
      </x:c>
      <x:c r="N74" s="18" t="str">
        <x:v>Scenario angle: how to choose 35k vape kit flavor based on use case, flavor, nicotine, and budget</x:v>
      </x:c>
      <x:c r="O74" s="18" t="str">
        <x:v>/collections/flavored-disposable-vapes</x:v>
      </x:c>
      <x:c r="P74" s="18" t="str">
        <x:v>是</x:v>
      </x:c>
      <x:c r="Q74" s="18" t="str">
        <x:v>自然句/品类词</x:v>
      </x:c>
      <x:c r="R74" s="18" t="str">
        <x:v>低中风险：适合软性导流，但不要夸大效果或触碰健康疗效</x:v>
      </x:c>
      <x:c r="S74" s="18" t="str">
        <x:v>围绕使用场景、口味、尼古丁需求、便携性等写，不和主站品类页抢词。</x:v>
      </x:c>
      <x:c r="T74" s="42" t="n">
        <x:v>1</x:v>
      </x:c>
      <x:c r="U74" s="42" t="n">
        <x:v>15</x:v>
      </x:c>
      <x:c r="V74" s="42" t="n">
        <x:v>13</x:v>
      </x:c>
      <x:c r="W74" s="42" t="n">
        <x:v>14</x:v>
      </x:c>
      <x:c r="X74" s="42" t="n">
        <x:v>13</x:v>
      </x:c>
      <x:c r="Y74" s="42" t="n">
        <x:v>5</x:v>
      </x:c>
      <x:c r="Z74" s="42" t="n">
        <x:f>MAX(0,MIN(100,ROUND(((T74+U74+V74+W74+X74)-Y74)/85*100,0)))</x:f>
        <x:v>60</x:v>
      </x:c>
      <x:c r="AA74" s="18" t="str">
        <x:f>IF(L74="暂不做","P3 暂缓",IF(Z74&gt;=75,"P0 本周做",IF(Z74&gt;=60,"P1 近期做",IF(Z74&gt;=45,"P2 备选","P3 暂缓"))))</x:f>
        <x:v>P1 近期做</x:v>
      </x:c>
      <x:c r="AB74" s="18" t="str">
        <x:f>IF(Y74&gt;=15,"先做合规/相关性复核，不建议直接商业导流",IF(L74="主站","建/优化主站商业页",IF(L74="博客A-知识教程","写知识教程/FAQ文章",IF(L74="博客B-场景人群","写场景需求/选购指南文章",IF(L74="博客C-对比评测","写对比评测/榜单文章","暂不做或人工复核")))))</x:f>
        <x:v>写场景需求/选购指南文章</x:v>
      </x:c>
      <x:c r="AC74" s="18" t="str">
        <x:v>Reviews - COOL MINT - ExDivo BRIGHT MIRROR 35K Replaceable VAPE kit - ExDivo</x:v>
      </x:c>
      <x:c r="AD74" s="19" t="str">
        <x:v>48</x:v>
      </x:c>
    </x:row>
    <x:row r="75">
      <x:c r="A75" s="40" t="n">
        <x:v>75</x:v>
      </x:c>
      <x:c r="B75" s="18" t="str">
        <x:v>https://exdivo.com/comments/luxury-women-s-vape-18ml-dual-mesh-40000-puffs_151a2c79</x:v>
      </x:c>
      <x:c r="C75" s="18" t="str">
        <x:v>40k vape flavor review</x:v>
      </x:c>
      <x:c r="D75" s="18" t="str">
        <x:v>recommended</x:v>
      </x:c>
      <x:c r="E75" s="41" t="n">
        <x:v>0</x:v>
      </x:c>
      <x:c r="F75" s="41" t="n">
        <x:v>0</x:v>
      </x:c>
      <x:c r="G75" s="18" t="str">
        <x:v>48</x:v>
      </x:c>
      <x:c r="H75" s="18" t="str">
        <x:v>Flavor / 口味</x:v>
      </x:c>
      <x:c r="I75" s="18" t="str">
        <x:v>商业调查词</x:v>
      </x:c>
      <x:c r="J75" s="18" t="str">
        <x:v>博客C-对比评测</x:v>
      </x:c>
      <x:c r="K75" s="18" t="str"/>
      <x:c r="L75" s="18" t="str">
        <x:f>IF(K75="",J75,K75)</x:f>
        <x:v>博客C-对比评测</x:v>
      </x:c>
      <x:c r="M75" s="18" t="str">
        <x:v>Best/Top/Review/VS/替代方案文章</x:v>
      </x:c>
      <x:c r="N75" s="18" t="str">
        <x:v>Best angle: 40k vape flavor review - comparison, pros/cons, and which option fits different buyers</x:v>
      </x:c>
      <x:c r="O75" s="18" t="str">
        <x:v>/collections/flavored-disposable-vapes</x:v>
      </x:c>
      <x:c r="P75" s="18" t="str">
        <x:v>是</x:v>
      </x:c>
      <x:c r="Q75" s="18" t="str">
        <x:v>自然句/品类词/品牌词</x:v>
      </x:c>
      <x:c r="R75" s="18" t="str">
        <x:v>中风险：榜单和评测必须真实、中立，避免夸大</x:v>
      </x:c>
      <x:c r="S75" s="18" t="str">
        <x:v>这类词不直接给主站，先用博客C教育和比较，再导流到最相关集合页。</x:v>
      </x:c>
      <x:c r="T75" s="42" t="n">
        <x:v>1</x:v>
      </x:c>
      <x:c r="U75" s="42" t="n">
        <x:v>15</x:v>
      </x:c>
      <x:c r="V75" s="42" t="n">
        <x:v>16</x:v>
      </x:c>
      <x:c r="W75" s="42" t="n">
        <x:v>15</x:v>
      </x:c>
      <x:c r="X75" s="42" t="n">
        <x:v>13</x:v>
      </x:c>
      <x:c r="Y75" s="42" t="n">
        <x:v>6</x:v>
      </x:c>
      <x:c r="Z75" s="42" t="n">
        <x:f>MAX(0,MIN(100,ROUND(((T75+U75+V75+W75+X75)-Y75)/85*100,0)))</x:f>
        <x:v>64</x:v>
      </x:c>
      <x:c r="AA75" s="18" t="str">
        <x:f>IF(L75="暂不做","P3 暂缓",IF(Z75&gt;=75,"P0 本周做",IF(Z75&gt;=60,"P1 近期做",IF(Z75&gt;=45,"P2 备选","P3 暂缓"))))</x:f>
        <x:v>P1 近期做</x:v>
      </x:c>
      <x:c r="AB75" s="18" t="str">
        <x:f>IF(Y75&gt;=15,"先做合规/相关性复核，不建议直接商业导流",IF(L75="主站","建/优化主站商业页",IF(L75="博客A-知识教程","写知识教程/FAQ文章",IF(L75="博客B-场景人群","写场景需求/选购指南文章",IF(L75="博客C-对比评测","写对比评测/榜单文章","暂不做或人工复核")))))</x:f>
        <x:v>写对比评测/榜单文章</x:v>
      </x:c>
      <x:c r="AC75" s="18" t="str">
        <x:v>Reviews - WHITE GUMMY ICE - ExDivo FLORA 40K Disposable Vape - ExDivo</x:v>
      </x:c>
      <x:c r="AD75" s="19" t="str">
        <x:v>48</x:v>
      </x:c>
    </x:row>
    <x:row r="76">
      <x:c r="A76" s="40" t="n">
        <x:v>76</x:v>
      </x:c>
      <x:c r="B76" s="18" t="str">
        <x:v>https://exdivo.com/comments/luxury-women-s-vape-18ml-dual-mesh-40000-puffs_151a2c79</x:v>
      </x:c>
      <x:c r="C76" s="18" t="str">
        <x:v>exdivo 40k vape review</x:v>
      </x:c>
      <x:c r="D76" s="18" t="str">
        <x:v>recommended</x:v>
      </x:c>
      <x:c r="E76" s="41" t="n">
        <x:v>0</x:v>
      </x:c>
      <x:c r="F76" s="41" t="n">
        <x:v>0</x:v>
      </x:c>
      <x:c r="G76" s="18" t="str">
        <x:v>48</x:v>
      </x:c>
      <x:c r="H76" s="18" t="str">
        <x:v>对比评测</x:v>
      </x:c>
      <x:c r="I76" s="18" t="str">
        <x:v>商业调查词</x:v>
      </x:c>
      <x:c r="J76" s="18" t="str">
        <x:v>博客C-对比评测</x:v>
      </x:c>
      <x:c r="K76" s="18" t="str"/>
      <x:c r="L76" s="18" t="str">
        <x:f>IF(K76="",J76,K76)</x:f>
        <x:v>博客C-对比评测</x:v>
      </x:c>
      <x:c r="M76" s="18" t="str">
        <x:v>Best/Top/Review/VS/替代方案文章</x:v>
      </x:c>
      <x:c r="N76" s="18" t="str">
        <x:v>Best angle: exdivo 40k vape review - comparison, pros/cons, and which option fits different buyers</x:v>
      </x:c>
      <x:c r="O76" s="18" t="str">
        <x:v>/collections/disposable-vapes</x:v>
      </x:c>
      <x:c r="P76" s="18" t="str">
        <x:v>是</x:v>
      </x:c>
      <x:c r="Q76" s="18" t="str">
        <x:v>自然句/品类词/品牌词</x:v>
      </x:c>
      <x:c r="R76" s="18" t="str">
        <x:v>中风险：榜单和评测必须真实、中立，避免夸大</x:v>
      </x:c>
      <x:c r="S76" s="18" t="str">
        <x:v>这类词不直接给主站，先用博客C教育和比较，再导流到最相关集合页。</x:v>
      </x:c>
      <x:c r="T76" s="42" t="n">
        <x:v>1</x:v>
      </x:c>
      <x:c r="U76" s="42" t="n">
        <x:v>15</x:v>
      </x:c>
      <x:c r="V76" s="42" t="n">
        <x:v>16</x:v>
      </x:c>
      <x:c r="W76" s="42" t="n">
        <x:v>15</x:v>
      </x:c>
      <x:c r="X76" s="42" t="n">
        <x:v>13</x:v>
      </x:c>
      <x:c r="Y76" s="42" t="n">
        <x:v>6</x:v>
      </x:c>
      <x:c r="Z76" s="42" t="n">
        <x:f>MAX(0,MIN(100,ROUND(((T76+U76+V76+W76+X76)-Y76)/85*100,0)))</x:f>
        <x:v>64</x:v>
      </x:c>
      <x:c r="AA76" s="18" t="str">
        <x:f>IF(L76="暂不做","P3 暂缓",IF(Z76&gt;=75,"P0 本周做",IF(Z76&gt;=60,"P1 近期做",IF(Z76&gt;=45,"P2 备选","P3 暂缓"))))</x:f>
        <x:v>P1 近期做</x:v>
      </x:c>
      <x:c r="AB76" s="18" t="str">
        <x:f>IF(Y76&gt;=15,"先做合规/相关性复核，不建议直接商业导流",IF(L76="主站","建/优化主站商业页",IF(L76="博客A-知识教程","写知识教程/FAQ文章",IF(L76="博客B-场景人群","写场景需求/选购指南文章",IF(L76="博客C-对比评测","写对比评测/榜单文章","暂不做或人工复核")))))</x:f>
        <x:v>写对比评测/榜单文章</x:v>
      </x:c>
      <x:c r="AC76" s="18" t="str">
        <x:v>Reviews - WHITE GUMMY ICE - ExDivo FLORA 40K Disposable Vape - ExDivo</x:v>
      </x:c>
      <x:c r="AD76" s="19" t="str">
        <x:v>48</x:v>
      </x:c>
    </x:row>
    <x:row r="77">
      <x:c r="A77" s="40" t="n">
        <x:v>77</x:v>
      </x:c>
      <x:c r="B77" s="18" t="str">
        <x:v>https://exdivo.com/blogs/why-more-vapers-are-choosing-high-puff-disposable-vapes-in-2026_718a66ce?data_from=index_index</x:v>
      </x:c>
      <x:c r="C77" s="18" t="str">
        <x:v>best vapes</x:v>
      </x:c>
      <x:c r="D77" s="18" t="str">
        <x:v>recommended</x:v>
      </x:c>
      <x:c r="E77" s="41" t="n">
        <x:v>6600</x:v>
      </x:c>
      <x:c r="F77" s="41" t="n">
        <x:v>30</x:v>
      </x:c>
      <x:c r="G77" s="18" t="str">
        <x:v>commercial</x:v>
      </x:c>
      <x:c r="H77" s="18" t="str">
        <x:v>对比评测</x:v>
      </x:c>
      <x:c r="I77" s="18" t="str">
        <x:v>商业调查词</x:v>
      </x:c>
      <x:c r="J77" s="18" t="str">
        <x:v>博客C-对比评测</x:v>
      </x:c>
      <x:c r="K77" s="18" t="str"/>
      <x:c r="L77" s="18" t="str">
        <x:f>IF(K77="",J77,K77)</x:f>
        <x:v>博客C-对比评测</x:v>
      </x:c>
      <x:c r="M77" s="18" t="str">
        <x:v>Best/Top/Review/VS/替代方案文章</x:v>
      </x:c>
      <x:c r="N77" s="18" t="str">
        <x:v>Best angle: best vapes - comparison, pros/cons, and which option fits different buyers</x:v>
      </x:c>
      <x:c r="O77" s="18" t="str">
        <x:v>/collections/disposable-vapes</x:v>
      </x:c>
      <x:c r="P77" s="18" t="str">
        <x:v>是</x:v>
      </x:c>
      <x:c r="Q77" s="18" t="str">
        <x:v>自然句/品类词/品牌词</x:v>
      </x:c>
      <x:c r="R77" s="18" t="str">
        <x:v>中风险：榜单和评测必须真实、中立，避免夸大</x:v>
      </x:c>
      <x:c r="S77" s="18" t="str">
        <x:v>这类词不直接给主站，先用博客C教育和比较，再导流到最相关集合页。</x:v>
      </x:c>
      <x:c r="T77" s="42" t="n">
        <x:v>16</x:v>
      </x:c>
      <x:c r="U77" s="42" t="n">
        <x:v>12</x:v>
      </x:c>
      <x:c r="V77" s="42" t="n">
        <x:v>16</x:v>
      </x:c>
      <x:c r="W77" s="42" t="n">
        <x:v>15</x:v>
      </x:c>
      <x:c r="X77" s="42" t="n">
        <x:v>13</x:v>
      </x:c>
      <x:c r="Y77" s="42" t="n">
        <x:v>6</x:v>
      </x:c>
      <x:c r="Z77" s="42" t="n">
        <x:f>MAX(0,MIN(100,ROUND(((T77+U77+V77+W77+X77)-Y77)/85*100,0)))</x:f>
        <x:v>78</x:v>
      </x:c>
      <x:c r="AA77" s="18" t="str">
        <x:f>IF(L77="暂不做","P3 暂缓",IF(Z77&gt;=75,"P0 本周做",IF(Z77&gt;=60,"P1 近期做",IF(Z77&gt;=45,"P2 备选","P3 暂缓"))))</x:f>
        <x:v>P0 本周做</x:v>
      </x:c>
      <x:c r="AB77" s="18" t="str">
        <x:f>IF(Y77&gt;=15,"先做合规/相关性复核，不建议直接商业导流",IF(L77="主站","建/优化主站商业页",IF(L77="博客A-知识教程","写知识教程/FAQ文章",IF(L77="博客B-场景人群","写场景需求/选购指南文章",IF(L77="博客C-对比评测","写对比评测/榜单文章","暂不做或人工复核")))))</x:f>
        <x:v>写对比评测/榜单文章</x:v>
      </x:c>
      <x:c r="AC77" s="18" t="str">
        <x:v>Why More Vapers Are Choosing High-Puff Disposable Vapes in 2026</x:v>
      </x:c>
      <x:c r="AD77" s="19" t="str">
        <x:v>discover why high-puff disposable vapes are trending in 2026, offering longer use, consistent flavor, and better value. explore exdivo’s premium devices.</x:v>
      </x:c>
    </x:row>
    <x:row r="78">
      <x:c r="A78" s="40" t="n">
        <x:v>78</x:v>
      </x:c>
      <x:c r="B78" s="18" t="str">
        <x:v>https://exdivo.com/blogs/why-more-vapers-are-choosing-high-puff-disposable-vapes-in-2026_718a66ce?data_from=index_index</x:v>
      </x:c>
      <x:c r="C78" s="18" t="str">
        <x:v>popular vapes</x:v>
      </x:c>
      <x:c r="D78" s="18" t="str">
        <x:v>recommended</x:v>
      </x:c>
      <x:c r="E78" s="41" t="n">
        <x:v>1900</x:v>
      </x:c>
      <x:c r="F78" s="41" t="n">
        <x:v>27</x:v>
      </x:c>
      <x:c r="G78" s="18" t="str">
        <x:v>informational, commercial</x:v>
      </x:c>
      <x:c r="H78" s="18" t="str">
        <x:v>对比评测</x:v>
      </x:c>
      <x:c r="I78" s="18" t="str">
        <x:v>商业调查词</x:v>
      </x:c>
      <x:c r="J78" s="18" t="str">
        <x:v>博客C-对比评测</x:v>
      </x:c>
      <x:c r="K78" s="18" t="str"/>
      <x:c r="L78" s="18" t="str">
        <x:f>IF(K78="",J78,K78)</x:f>
        <x:v>博客C-对比评测</x:v>
      </x:c>
      <x:c r="M78" s="18" t="str">
        <x:v>Best/Top/Review/VS/替代方案文章</x:v>
      </x:c>
      <x:c r="N78" s="18" t="str">
        <x:v>Best angle: popular vapes - comparison, pros/cons, and which option fits different buyers</x:v>
      </x:c>
      <x:c r="O78" s="18" t="str">
        <x:v>/collections/disposable-vapes</x:v>
      </x:c>
      <x:c r="P78" s="18" t="str">
        <x:v>是</x:v>
      </x:c>
      <x:c r="Q78" s="18" t="str">
        <x:v>自然句/品类词/品牌词</x:v>
      </x:c>
      <x:c r="R78" s="18" t="str">
        <x:v>中风险：榜单和评测必须真实、中立，避免夸大</x:v>
      </x:c>
      <x:c r="S78" s="18" t="str">
        <x:v>这类词不直接给主站，先用博客C教育和比较，再导流到最相关集合页。</x:v>
      </x:c>
      <x:c r="T78" s="42" t="n">
        <x:v>13</x:v>
      </x:c>
      <x:c r="U78" s="42" t="n">
        <x:v>12</x:v>
      </x:c>
      <x:c r="V78" s="42" t="n">
        <x:v>16</x:v>
      </x:c>
      <x:c r="W78" s="42" t="n">
        <x:v>15</x:v>
      </x:c>
      <x:c r="X78" s="42" t="n">
        <x:v>13</x:v>
      </x:c>
      <x:c r="Y78" s="42" t="n">
        <x:v>6</x:v>
      </x:c>
      <x:c r="Z78" s="42" t="n">
        <x:f>MAX(0,MIN(100,ROUND(((T78+U78+V78+W78+X78)-Y78)/85*100,0)))</x:f>
        <x:v>74</x:v>
      </x:c>
      <x:c r="AA78" s="18" t="str">
        <x:f>IF(L78="暂不做","P3 暂缓",IF(Z78&gt;=75,"P0 本周做",IF(Z78&gt;=60,"P1 近期做",IF(Z78&gt;=45,"P2 备选","P3 暂缓"))))</x:f>
        <x:v>P1 近期做</x:v>
      </x:c>
      <x:c r="AB78" s="18" t="str">
        <x:f>IF(Y78&gt;=15,"先做合规/相关性复核，不建议直接商业导流",IF(L78="主站","建/优化主站商业页",IF(L78="博客A-知识教程","写知识教程/FAQ文章",IF(L78="博客B-场景人群","写场景需求/选购指南文章",IF(L78="博客C-对比评测","写对比评测/榜单文章","暂不做或人工复核")))))</x:f>
        <x:v>写对比评测/榜单文章</x:v>
      </x:c>
      <x:c r="AC78" s="18" t="str">
        <x:v>Why More Vapers Are Choosing High-Puff Disposable Vapes in 2026</x:v>
      </x:c>
      <x:c r="AD78" s="19" t="str">
        <x:v>discover why high-puff disposable vapes are trending in 2026, offering longer use, consistent flavor, and better value. explore exdivo’s premium devices.</x:v>
      </x:c>
    </x:row>
    <x:row r="79">
      <x:c r="A79" s="40" t="n">
        <x:v>79</x:v>
      </x:c>
      <x:c r="B79" s="18" t="str">
        <x:v>https://exdivo.com/blogs/why-more-vapers-are-choosing-high-puff-disposable-vapes-in-2026_718a66ce?data_from=index_index</x:v>
      </x:c>
      <x:c r="C79" s="18" t="str">
        <x:v>new vapes</x:v>
      </x:c>
      <x:c r="D79" s="18" t="str">
        <x:v>recommended</x:v>
      </x:c>
      <x:c r="E79" s="41" t="n">
        <x:v>1900</x:v>
      </x:c>
      <x:c r="F79" s="41" t="n">
        <x:v>56</x:v>
      </x:c>
      <x:c r="G79" s="18" t="str">
        <x:v>informational</x:v>
      </x:c>
      <x:c r="H79" s="18" t="str">
        <x:v>General Vape</x:v>
      </x:c>
      <x:c r="I79" s="18" t="str">
        <x:v>品类承接词</x:v>
      </x:c>
      <x:c r="J79" s="18" t="str">
        <x:v>主站</x:v>
      </x:c>
      <x:c r="K79" s="18" t="str"/>
      <x:c r="L79" s="18" t="str">
        <x:f>IF(K79="",J79,K79)</x:f>
        <x:v>主站</x:v>
      </x:c>
      <x:c r="M79" s="18" t="str">
        <x:v>品类页/集合页 + FAQ内容块</x:v>
      </x:c>
      <x:c r="N79" s="18" t="str">
        <x:v>主站品类页：用产品集合 + 选购说明承接</x:v>
      </x:c>
      <x:c r="O79" s="18" t="str">
        <x:v>/collections/disposable-vapes</x:v>
      </x:c>
      <x:c r="P79" s="18" t="str">
        <x:v>不适用</x:v>
      </x:c>
      <x:c r="Q79" s="18" t="str">
        <x:v>主站页面自身承接</x:v>
      </x:c>
      <x:c r="R79" s="18" t="str">
        <x:v>核心品类词：主站优先，博客只做长尾解释，不直接抢同一词</x:v>
      </x:c>
      <x:c r="S79" s="18" t="str">
        <x:v>如果 Google 首页产品页和指南混合，主站页要加 FAQ、选购指南、对比模块。</x:v>
      </x:c>
      <x:c r="T79" s="42" t="n">
        <x:v>13</x:v>
      </x:c>
      <x:c r="U79" s="42" t="n">
        <x:v>6</x:v>
      </x:c>
      <x:c r="V79" s="42" t="n">
        <x:v>16</x:v>
      </x:c>
      <x:c r="W79" s="42" t="n">
        <x:v>8</x:v>
      </x:c>
      <x:c r="X79" s="42" t="n">
        <x:v>15</x:v>
      </x:c>
      <x:c r="Y79" s="42" t="n">
        <x:v>4</x:v>
      </x:c>
      <x:c r="Z79" s="42" t="n">
        <x:f>MAX(0,MIN(100,ROUND(((T79+U79+V79+W79+X79)-Y79)/85*100,0)))</x:f>
        <x:v>64</x:v>
      </x:c>
      <x:c r="AA79" s="18" t="str">
        <x:f>IF(L79="暂不做","P3 暂缓",IF(Z79&gt;=75,"P0 本周做",IF(Z79&gt;=60,"P1 近期做",IF(Z79&gt;=45,"P2 备选","P3 暂缓"))))</x:f>
        <x:v>P1 近期做</x:v>
      </x:c>
      <x:c r="AB79" s="18" t="str">
        <x:f>IF(Y79&gt;=15,"先做合规/相关性复核，不建议直接商业导流",IF(L79="主站","建/优化主站商业页",IF(L79="博客A-知识教程","写知识教程/FAQ文章",IF(L79="博客B-场景人群","写场景需求/选购指南文章",IF(L79="博客C-对比评测","写对比评测/榜单文章","暂不做或人工复核")))))</x:f>
        <x:v>建/优化主站商业页</x:v>
      </x:c>
      <x:c r="AC79" s="18" t="str">
        <x:v>Why More Vapers Are Choosing High-Puff Disposable Vapes in 2026</x:v>
      </x:c>
      <x:c r="AD79" s="19" t="str">
        <x:v>discover why high-puff disposable vapes are trending in 2026, offering longer use, consistent flavor, and better value. explore exdivo’s premium devices.</x:v>
      </x:c>
    </x:row>
    <x:row r="80">
      <x:c r="A80" s="40" t="n">
        <x:v>80</x:v>
      </x:c>
      <x:c r="B80" s="18" t="str">
        <x:v>https://exdivo.com/blogs/why-more-vapers-are-choosing-high-puff-disposable-vapes-in-2026_718a66ce?data_from=index_index</x:v>
      </x:c>
      <x:c r="C80" s="18" t="str">
        <x:v>flavor vapes</x:v>
      </x:c>
      <x:c r="D80" s="18" t="str">
        <x:v>recommended</x:v>
      </x:c>
      <x:c r="E80" s="41" t="n">
        <x:v>590</x:v>
      </x:c>
      <x:c r="F80" s="41" t="n">
        <x:v>33</x:v>
      </x:c>
      <x:c r="G80" s="18" t="str">
        <x:v>informational</x:v>
      </x:c>
      <x:c r="H80" s="18" t="str">
        <x:v>Flavor / 口味</x:v>
      </x:c>
      <x:c r="I80" s="18" t="str">
        <x:v>场景/需求词</x:v>
      </x:c>
      <x:c r="J80" s="18" t="str">
        <x:v>博客B-场景人群</x:v>
      </x:c>
      <x:c r="K80" s="18" t="str"/>
      <x:c r="L80" s="18" t="str">
        <x:f>IF(K80="",J80,K80)</x:f>
        <x:v>博客B-场景人群</x:v>
      </x:c>
      <x:c r="M80" s="18" t="str">
        <x:v>场景解决方案/选购指南文章</x:v>
      </x:c>
      <x:c r="N80" s="18" t="str">
        <x:v>Scenario angle: how to choose flavor vapes based on use case, flavor, nicotine, and budget</x:v>
      </x:c>
      <x:c r="O80" s="18" t="str">
        <x:v>/collections/flavored-disposable-vapes</x:v>
      </x:c>
      <x:c r="P80" s="18" t="str">
        <x:v>是</x:v>
      </x:c>
      <x:c r="Q80" s="18" t="str">
        <x:v>自然句/品类词</x:v>
      </x:c>
      <x:c r="R80" s="18" t="str">
        <x:v>低中风险：适合软性导流，但不要夸大效果或触碰健康疗效</x:v>
      </x:c>
      <x:c r="S80" s="18" t="str">
        <x:v>围绕使用场景、口味、尼古丁需求、便携性等写，不和主站品类页抢词。</x:v>
      </x:c>
      <x:c r="T80" s="42" t="n">
        <x:v>10</x:v>
      </x:c>
      <x:c r="U80" s="42" t="n">
        <x:v>9</x:v>
      </x:c>
      <x:c r="V80" s="42" t="n">
        <x:v>13</x:v>
      </x:c>
      <x:c r="W80" s="42" t="n">
        <x:v>14</x:v>
      </x:c>
      <x:c r="X80" s="42" t="n">
        <x:v>13</x:v>
      </x:c>
      <x:c r="Y80" s="42" t="n">
        <x:v>5</x:v>
      </x:c>
      <x:c r="Z80" s="42" t="n">
        <x:f>MAX(0,MIN(100,ROUND(((T80+U80+V80+W80+X80)-Y80)/85*100,0)))</x:f>
        <x:v>64</x:v>
      </x:c>
      <x:c r="AA80" s="18" t="str">
        <x:f>IF(L80="暂不做","P3 暂缓",IF(Z80&gt;=75,"P0 本周做",IF(Z80&gt;=60,"P1 近期做",IF(Z80&gt;=45,"P2 备选","P3 暂缓"))))</x:f>
        <x:v>P1 近期做</x:v>
      </x:c>
      <x:c r="AB80" s="18" t="str">
        <x:f>IF(Y80&gt;=15,"先做合规/相关性复核，不建议直接商业导流",IF(L80="主站","建/优化主站商业页",IF(L80="博客A-知识教程","写知识教程/FAQ文章",IF(L80="博客B-场景人群","写场景需求/选购指南文章",IF(L80="博客C-对比评测","写对比评测/榜单文章","暂不做或人工复核")))))</x:f>
        <x:v>写场景需求/选购指南文章</x:v>
      </x:c>
      <x:c r="AC80" s="18" t="str">
        <x:v>Why More Vapers Are Choosing High-Puff Disposable Vapes in 2026</x:v>
      </x:c>
      <x:c r="AD80" s="19" t="str">
        <x:v>discover why high-puff disposable vapes are trending in 2026, offering longer use, consistent flavor, and better value. explore exdivo’s premium devices.</x:v>
      </x:c>
    </x:row>
    <x:row r="81">
      <x:c r="A81" s="40" t="n">
        <x:v>81</x:v>
      </x:c>
      <x:c r="B81" s="18" t="str">
        <x:v>https://exdivo.com/blogs/why-more-vapers-are-choosing-high-puff-disposable-vapes-in-2026_718a66ce?data_from=index_index</x:v>
      </x:c>
      <x:c r="C81" s="18" t="str">
        <x:v>high end vape</x:v>
      </x:c>
      <x:c r="D81" s="18" t="str">
        <x:v>recommended</x:v>
      </x:c>
      <x:c r="E81" s="41" t="n">
        <x:v>320</x:v>
      </x:c>
      <x:c r="F81" s="41" t="n">
        <x:v>41</x:v>
      </x:c>
      <x:c r="G81" s="18" t="str">
        <x:v>commercial</x:v>
      </x:c>
      <x:c r="H81" s="18" t="str">
        <x:v>General Vape</x:v>
      </x:c>
      <x:c r="I81" s="18" t="str">
        <x:v>品类承接词</x:v>
      </x:c>
      <x:c r="J81" s="18" t="str">
        <x:v>主站</x:v>
      </x:c>
      <x:c r="K81" s="18" t="str"/>
      <x:c r="L81" s="18" t="str">
        <x:f>IF(K81="",J81,K81)</x:f>
        <x:v>主站</x:v>
      </x:c>
      <x:c r="M81" s="18" t="str">
        <x:v>品类页/集合页 + FAQ内容块</x:v>
      </x:c>
      <x:c r="N81" s="18" t="str">
        <x:v>主站品类页：用产品集合 + 选购说明承接</x:v>
      </x:c>
      <x:c r="O81" s="18" t="str">
        <x:v>/collections/disposable-vapes</x:v>
      </x:c>
      <x:c r="P81" s="18" t="str">
        <x:v>不适用</x:v>
      </x:c>
      <x:c r="Q81" s="18" t="str">
        <x:v>主站页面自身承接</x:v>
      </x:c>
      <x:c r="R81" s="18" t="str">
        <x:v>核心品类词：主站优先，博客只做长尾解释，不直接抢同一词</x:v>
      </x:c>
      <x:c r="S81" s="18" t="str">
        <x:v>如果 Google 首页产品页和指南混合，主站页要加 FAQ、选购指南、对比模块。</x:v>
      </x:c>
      <x:c r="T81" s="42" t="n">
        <x:v>7</x:v>
      </x:c>
      <x:c r="U81" s="42" t="n">
        <x:v>9</x:v>
      </x:c>
      <x:c r="V81" s="42" t="n">
        <x:v>18</x:v>
      </x:c>
      <x:c r="W81" s="42" t="n">
        <x:v>8</x:v>
      </x:c>
      <x:c r="X81" s="42" t="n">
        <x:v>15</x:v>
      </x:c>
      <x:c r="Y81" s="42" t="n">
        <x:v>4</x:v>
      </x:c>
      <x:c r="Z81" s="42" t="n">
        <x:f>MAX(0,MIN(100,ROUND(((T81+U81+V81+W81+X81)-Y81)/85*100,0)))</x:f>
        <x:v>62</x:v>
      </x:c>
      <x:c r="AA81" s="18" t="str">
        <x:f>IF(L81="暂不做","P3 暂缓",IF(Z81&gt;=75,"P0 本周做",IF(Z81&gt;=60,"P1 近期做",IF(Z81&gt;=45,"P2 备选","P3 暂缓"))))</x:f>
        <x:v>P1 近期做</x:v>
      </x:c>
      <x:c r="AB81" s="18" t="str">
        <x:f>IF(Y81&gt;=15,"先做合规/相关性复核，不建议直接商业导流",IF(L81="主站","建/优化主站商业页",IF(L81="博客A-知识教程","写知识教程/FAQ文章",IF(L81="博客B-场景人群","写场景需求/选购指南文章",IF(L81="博客C-对比评测","写对比评测/榜单文章","暂不做或人工复核")))))</x:f>
        <x:v>建/优化主站商业页</x:v>
      </x:c>
      <x:c r="AC81" s="18" t="str">
        <x:v>Why More Vapers Are Choosing High-Puff Disposable Vapes in 2026</x:v>
      </x:c>
      <x:c r="AD81" s="19" t="str">
        <x:v>discover why high-puff disposable vapes are trending in 2026, offering longer use, consistent flavor, and better value. explore exdivo’s premium devices.</x:v>
      </x:c>
    </x:row>
    <x:row r="82">
      <x:c r="A82" s="40" t="n">
        <x:v>82</x:v>
      </x:c>
      <x:c r="B82" s="18" t="str">
        <x:v>https://exdivo.com/blogs/why-more-vapers-are-choosing-high-puff-disposable-vapes-in-2026_718a66ce?data_from=index_index</x:v>
      </x:c>
      <x:c r="C82" s="18" t="str">
        <x:v>newest vapes</x:v>
      </x:c>
      <x:c r="D82" s="18" t="str">
        <x:v>recommended</x:v>
      </x:c>
      <x:c r="E82" s="41" t="n">
        <x:v>110</x:v>
      </x:c>
      <x:c r="F82" s="41" t="n">
        <x:v>27</x:v>
      </x:c>
      <x:c r="G82" s="18" t="str">
        <x:v>informational, commercial</x:v>
      </x:c>
      <x:c r="H82" s="18" t="str">
        <x:v>General Vape</x:v>
      </x:c>
      <x:c r="I82" s="18" t="str">
        <x:v>品类承接词</x:v>
      </x:c>
      <x:c r="J82" s="18" t="str">
        <x:v>主站</x:v>
      </x:c>
      <x:c r="K82" s="18" t="str"/>
      <x:c r="L82" s="18" t="str">
        <x:f>IF(K82="",J82,K82)</x:f>
        <x:v>主站</x:v>
      </x:c>
      <x:c r="M82" s="18" t="str">
        <x:v>品类页/集合页 + FAQ内容块</x:v>
      </x:c>
      <x:c r="N82" s="18" t="str">
        <x:v>主站品类页：用产品集合 + 选购说明承接</x:v>
      </x:c>
      <x:c r="O82" s="18" t="str">
        <x:v>/collections/disposable-vapes</x:v>
      </x:c>
      <x:c r="P82" s="18" t="str">
        <x:v>不适用</x:v>
      </x:c>
      <x:c r="Q82" s="18" t="str">
        <x:v>主站页面自身承接</x:v>
      </x:c>
      <x:c r="R82" s="18" t="str">
        <x:v>核心品类词：主站优先，博客只做长尾解释，不直接抢同一词</x:v>
      </x:c>
      <x:c r="S82" s="18" t="str">
        <x:v>如果 Google 首页产品页和指南混合，主站页要加 FAQ、选购指南、对比模块。</x:v>
      </x:c>
      <x:c r="T82" s="42" t="n">
        <x:v>7</x:v>
      </x:c>
      <x:c r="U82" s="42" t="n">
        <x:v>12</x:v>
      </x:c>
      <x:c r="V82" s="42" t="n">
        <x:v>18</x:v>
      </x:c>
      <x:c r="W82" s="42" t="n">
        <x:v>8</x:v>
      </x:c>
      <x:c r="X82" s="42" t="n">
        <x:v>15</x:v>
      </x:c>
      <x:c r="Y82" s="42" t="n">
        <x:v>4</x:v>
      </x:c>
      <x:c r="Z82" s="42" t="n">
        <x:f>MAX(0,MIN(100,ROUND(((T82+U82+V82+W82+X82)-Y82)/85*100,0)))</x:f>
        <x:v>66</x:v>
      </x:c>
      <x:c r="AA82" s="18" t="str">
        <x:f>IF(L82="暂不做","P3 暂缓",IF(Z82&gt;=75,"P0 本周做",IF(Z82&gt;=60,"P1 近期做",IF(Z82&gt;=45,"P2 备选","P3 暂缓"))))</x:f>
        <x:v>P1 近期做</x:v>
      </x:c>
      <x:c r="AB82" s="18" t="str">
        <x:f>IF(Y82&gt;=15,"先做合规/相关性复核，不建议直接商业导流",IF(L82="主站","建/优化主站商业页",IF(L82="博客A-知识教程","写知识教程/FAQ文章",IF(L82="博客B-场景人群","写场景需求/选购指南文章",IF(L82="博客C-对比评测","写对比评测/榜单文章","暂不做或人工复核")))))</x:f>
        <x:v>建/优化主站商业页</x:v>
      </x:c>
      <x:c r="AC82" s="18" t="str">
        <x:v>Why More Vapers Are Choosing High-Puff Disposable Vapes in 2026</x:v>
      </x:c>
      <x:c r="AD82" s="19" t="str">
        <x:v>discover why high-puff disposable vapes are trending in 2026, offering longer use, consistent flavor, and better value. explore exdivo’s premium devices.</x:v>
      </x:c>
    </x:row>
    <x:row r="83">
      <x:c r="A83" s="40" t="n">
        <x:v>83</x:v>
      </x:c>
      <x:c r="B83" s="18" t="str">
        <x:v>https://exdivo.com/blogs/why-more-vapers-are-choosing-high-puff-disposable-vapes-in-2026_718a66ce?data_from=index_index</x:v>
      </x:c>
      <x:c r="C83" s="18" t="str">
        <x:v>high quality vapes</x:v>
      </x:c>
      <x:c r="D83" s="18" t="str">
        <x:v>recommended</x:v>
      </x:c>
      <x:c r="E83" s="41" t="n">
        <x:v>260</x:v>
      </x:c>
      <x:c r="F83" s="41" t="n">
        <x:v>60</x:v>
      </x:c>
      <x:c r="G83" s="18" t="str">
        <x:v>informational, commercial</x:v>
      </x:c>
      <x:c r="H83" s="18" t="str">
        <x:v>General Vape</x:v>
      </x:c>
      <x:c r="I83" s="18" t="str">
        <x:v>品类承接词</x:v>
      </x:c>
      <x:c r="J83" s="18" t="str">
        <x:v>主站</x:v>
      </x:c>
      <x:c r="K83" s="18" t="str"/>
      <x:c r="L83" s="18" t="str">
        <x:f>IF(K83="",J83,K83)</x:f>
        <x:v>主站</x:v>
      </x:c>
      <x:c r="M83" s="18" t="str">
        <x:v>品类页/集合页 + FAQ内容块</x:v>
      </x:c>
      <x:c r="N83" s="18" t="str">
        <x:v>主站品类页：用产品集合 + 选购说明承接</x:v>
      </x:c>
      <x:c r="O83" s="18" t="str">
        <x:v>/collections/disposable-vapes</x:v>
      </x:c>
      <x:c r="P83" s="18" t="str">
        <x:v>不适用</x:v>
      </x:c>
      <x:c r="Q83" s="18" t="str">
        <x:v>主站页面自身承接</x:v>
      </x:c>
      <x:c r="R83" s="18" t="str">
        <x:v>核心品类词：主站优先，博客只做长尾解释，不直接抢同一词</x:v>
      </x:c>
      <x:c r="S83" s="18" t="str">
        <x:v>如果 Google 首页产品页和指南混合，主站页要加 FAQ、选购指南、对比模块。</x:v>
      </x:c>
      <x:c r="T83" s="42" t="n">
        <x:v>7</x:v>
      </x:c>
      <x:c r="U83" s="42" t="n">
        <x:v>6</x:v>
      </x:c>
      <x:c r="V83" s="42" t="n">
        <x:v>18</x:v>
      </x:c>
      <x:c r="W83" s="42" t="n">
        <x:v>8</x:v>
      </x:c>
      <x:c r="X83" s="42" t="n">
        <x:v>15</x:v>
      </x:c>
      <x:c r="Y83" s="42" t="n">
        <x:v>4</x:v>
      </x:c>
      <x:c r="Z83" s="42" t="n">
        <x:f>MAX(0,MIN(100,ROUND(((T83+U83+V83+W83+X83)-Y83)/85*100,0)))</x:f>
        <x:v>59</x:v>
      </x:c>
      <x:c r="AA83" s="18" t="str">
        <x:f>IF(L83="暂不做","P3 暂缓",IF(Z83&gt;=75,"P0 本周做",IF(Z83&gt;=60,"P1 近期做",IF(Z83&gt;=45,"P2 备选","P3 暂缓"))))</x:f>
        <x:v>P2 备选</x:v>
      </x:c>
      <x:c r="AB83" s="18" t="str">
        <x:f>IF(Y83&gt;=15,"先做合规/相关性复核，不建议直接商业导流",IF(L83="主站","建/优化主站商业页",IF(L83="博客A-知识教程","写知识教程/FAQ文章",IF(L83="博客B-场景人群","写场景需求/选购指南文章",IF(L83="博客C-对比评测","写对比评测/榜单文章","暂不做或人工复核")))))</x:f>
        <x:v>建/优化主站商业页</x:v>
      </x:c>
      <x:c r="AC83" s="18" t="str">
        <x:v>Why More Vapers Are Choosing High-Puff Disposable Vapes in 2026</x:v>
      </x:c>
      <x:c r="AD83" s="19" t="str">
        <x:v>discover why high-puff disposable vapes are trending in 2026, offering longer use, consistent flavor, and better value. explore exdivo’s premium devices.</x:v>
      </x:c>
    </x:row>
    <x:row r="84">
      <x:c r="A84" s="40" t="n">
        <x:v>84</x:v>
      </x:c>
      <x:c r="B84" s="18" t="str">
        <x:v>https://exdivo.com/blogs/why-more-vapers-are-choosing-high-puff-disposable-vapes-in-2026_718a66ce?data_from=index_index</x:v>
      </x:c>
      <x:c r="C84" s="18" t="str">
        <x:v>good flavor vapes</x:v>
      </x:c>
      <x:c r="D84" s="18" t="str">
        <x:v>recommended</x:v>
      </x:c>
      <x:c r="E84" s="41" t="n">
        <x:v>70</x:v>
      </x:c>
      <x:c r="F84" s="41" t="n">
        <x:v>28</x:v>
      </x:c>
      <x:c r="G84" s="18" t="str">
        <x:v>informational</x:v>
      </x:c>
      <x:c r="H84" s="18" t="str">
        <x:v>Flavor / 口味</x:v>
      </x:c>
      <x:c r="I84" s="18" t="str">
        <x:v>场景/需求词</x:v>
      </x:c>
      <x:c r="J84" s="18" t="str">
        <x:v>博客B-场景人群</x:v>
      </x:c>
      <x:c r="K84" s="18" t="str"/>
      <x:c r="L84" s="18" t="str">
        <x:f>IF(K84="",J84,K84)</x:f>
        <x:v>博客B-场景人群</x:v>
      </x:c>
      <x:c r="M84" s="18" t="str">
        <x:v>场景解决方案/选购指南文章</x:v>
      </x:c>
      <x:c r="N84" s="18" t="str">
        <x:v>Scenario angle: how to choose good flavor vapes based on use case, flavor, nicotine, and budget</x:v>
      </x:c>
      <x:c r="O84" s="18" t="str">
        <x:v>/collections/flavored-disposable-vapes</x:v>
      </x:c>
      <x:c r="P84" s="18" t="str">
        <x:v>是</x:v>
      </x:c>
      <x:c r="Q84" s="18" t="str">
        <x:v>自然句/品类词</x:v>
      </x:c>
      <x:c r="R84" s="18" t="str">
        <x:v>低中风险：适合软性导流，但不要夸大效果或触碰健康疗效</x:v>
      </x:c>
      <x:c r="S84" s="18" t="str">
        <x:v>围绕使用场景、口味、尼古丁需求、便携性等写，不和主站品类页抢词。</x:v>
      </x:c>
      <x:c r="T84" s="42" t="n">
        <x:v>4</x:v>
      </x:c>
      <x:c r="U84" s="42" t="n">
        <x:v>12</x:v>
      </x:c>
      <x:c r="V84" s="42" t="n">
        <x:v>13</x:v>
      </x:c>
      <x:c r="W84" s="42" t="n">
        <x:v>14</x:v>
      </x:c>
      <x:c r="X84" s="42" t="n">
        <x:v>13</x:v>
      </x:c>
      <x:c r="Y84" s="42" t="n">
        <x:v>5</x:v>
      </x:c>
      <x:c r="Z84" s="42" t="n">
        <x:f>MAX(0,MIN(100,ROUND(((T84+U84+V84+W84+X84)-Y84)/85*100,0)))</x:f>
        <x:v>60</x:v>
      </x:c>
      <x:c r="AA84" s="18" t="str">
        <x:f>IF(L84="暂不做","P3 暂缓",IF(Z84&gt;=75,"P0 本周做",IF(Z84&gt;=60,"P1 近期做",IF(Z84&gt;=45,"P2 备选","P3 暂缓"))))</x:f>
        <x:v>P1 近期做</x:v>
      </x:c>
      <x:c r="AB84" s="18" t="str">
        <x:f>IF(Y84&gt;=15,"先做合规/相关性复核，不建议直接商业导流",IF(L84="主站","建/优化主站商业页",IF(L84="博客A-知识教程","写知识教程/FAQ文章",IF(L84="博客B-场景人群","写场景需求/选购指南文章",IF(L84="博客C-对比评测","写对比评测/榜单文章","暂不做或人工复核")))))</x:f>
        <x:v>写场景需求/选购指南文章</x:v>
      </x:c>
      <x:c r="AC84" s="18" t="str">
        <x:v>Why More Vapers Are Choosing High-Puff Disposable Vapes in 2026</x:v>
      </x:c>
      <x:c r="AD84" s="19" t="str">
        <x:v>discover why high-puff disposable vapes are trending in 2026, offering longer use, consistent flavor, and better value. explore exdivo’s premium devices.</x:v>
      </x:c>
    </x:row>
    <x:row r="85">
      <x:c r="A85" s="40" t="n">
        <x:v>85</x:v>
      </x:c>
      <x:c r="B85" s="18" t="str">
        <x:v>https://exdivo.com/blogs/why-more-vapers-are-choosing-high-puff-disposable-vapes-in-2026_718a66ce?data_from=index_index</x:v>
      </x:c>
      <x:c r="C85" s="18" t="str">
        <x:v>high nicotine vapes</x:v>
      </x:c>
      <x:c r="D85" s="18" t="str">
        <x:v>recommended</x:v>
      </x:c>
      <x:c r="E85" s="41" t="n">
        <x:v>40</x:v>
      </x:c>
      <x:c r="F85" s="41" t="n">
        <x:v>7</x:v>
      </x:c>
      <x:c r="G85" s="18" t="str">
        <x:v>informational</x:v>
      </x:c>
      <x:c r="H85" s="18" t="str">
        <x:v>Nicotine / 尼古丁</x:v>
      </x:c>
      <x:c r="I85" s="18" t="str">
        <x:v>场景/需求词</x:v>
      </x:c>
      <x:c r="J85" s="18" t="str">
        <x:v>博客B-场景人群</x:v>
      </x:c>
      <x:c r="K85" s="18" t="str"/>
      <x:c r="L85" s="18" t="str">
        <x:f>IF(K85="",J85,K85)</x:f>
        <x:v>博客B-场景人群</x:v>
      </x:c>
      <x:c r="M85" s="18" t="str">
        <x:v>场景解决方案/选购指南文章</x:v>
      </x:c>
      <x:c r="N85" s="18" t="str">
        <x:v>Scenario angle: how to choose high nicotine vapes based on use case, flavor, nicotine, and budget</x:v>
      </x:c>
      <x:c r="O85" s="18" t="str">
        <x:v>/collections/disposable-vapes</x:v>
      </x:c>
      <x:c r="P85" s="18" t="str">
        <x:v>是</x:v>
      </x:c>
      <x:c r="Q85" s="18" t="str">
        <x:v>自然句/品类词</x:v>
      </x:c>
      <x:c r="R85" s="18" t="str">
        <x:v>低中风险：适合软性导流，但不要夸大效果或触碰健康疗效</x:v>
      </x:c>
      <x:c r="S85" s="18" t="str">
        <x:v>围绕使用场景、口味、尼古丁需求、便携性等写，不和主站品类页抢词。</x:v>
      </x:c>
      <x:c r="T85" s="42" t="n">
        <x:v>4</x:v>
      </x:c>
      <x:c r="U85" s="42" t="n">
        <x:v>15</x:v>
      </x:c>
      <x:c r="V85" s="42" t="n">
        <x:v>13</x:v>
      </x:c>
      <x:c r="W85" s="42" t="n">
        <x:v>14</x:v>
      </x:c>
      <x:c r="X85" s="42" t="n">
        <x:v>13</x:v>
      </x:c>
      <x:c r="Y85" s="42" t="n">
        <x:v>5</x:v>
      </x:c>
      <x:c r="Z85" s="42" t="n">
        <x:f>MAX(0,MIN(100,ROUND(((T85+U85+V85+W85+X85)-Y85)/85*100,0)))</x:f>
        <x:v>64</x:v>
      </x:c>
      <x:c r="AA85" s="18" t="str">
        <x:f>IF(L85="暂不做","P3 暂缓",IF(Z85&gt;=75,"P0 本周做",IF(Z85&gt;=60,"P1 近期做",IF(Z85&gt;=45,"P2 备选","P3 暂缓"))))</x:f>
        <x:v>P1 近期做</x:v>
      </x:c>
      <x:c r="AB85" s="18" t="str">
        <x:f>IF(Y85&gt;=15,"先做合规/相关性复核，不建议直接商业导流",IF(L85="主站","建/优化主站商业页",IF(L85="博客A-知识教程","写知识教程/FAQ文章",IF(L85="博客B-场景人群","写场景需求/选购指南文章",IF(L85="博客C-对比评测","写对比评测/榜单文章","暂不做或人工复核")))))</x:f>
        <x:v>写场景需求/选购指南文章</x:v>
      </x:c>
      <x:c r="AC85" s="18" t="str">
        <x:v>Why More Vapers Are Choosing High-Puff Disposable Vapes in 2026</x:v>
      </x:c>
      <x:c r="AD85" s="19" t="str">
        <x:v>discover why high-puff disposable vapes are trending in 2026, offering longer use, consistent flavor, and better value. explore exdivo’s premium devices.</x:v>
      </x:c>
    </x:row>
    <x:row r="86">
      <x:c r="A86" s="40" t="n">
        <x:v>86</x:v>
      </x:c>
      <x:c r="B86" s="18" t="str">
        <x:v>https://exdivo.com/blogs/why-more-vapers-are-choosing-high-puff-disposable-vapes-in-2026_718a66ce?data_from=index_index</x:v>
      </x:c>
      <x:c r="C86" s="18" t="str">
        <x:v>trending vapes</x:v>
      </x:c>
      <x:c r="D86" s="18" t="str">
        <x:v>recommended</x:v>
      </x:c>
      <x:c r="E86" s="41" t="n">
        <x:v>50</x:v>
      </x:c>
      <x:c r="F86" s="41" t="n">
        <x:v>37</x:v>
      </x:c>
      <x:c r="G86" s="18" t="str">
        <x:v>commercial</x:v>
      </x:c>
      <x:c r="H86" s="18" t="str">
        <x:v>General Vape</x:v>
      </x:c>
      <x:c r="I86" s="18" t="str">
        <x:v>品类承接词</x:v>
      </x:c>
      <x:c r="J86" s="18" t="str">
        <x:v>主站</x:v>
      </x:c>
      <x:c r="K86" s="18" t="str"/>
      <x:c r="L86" s="18" t="str">
        <x:f>IF(K86="",J86,K86)</x:f>
        <x:v>主站</x:v>
      </x:c>
      <x:c r="M86" s="18" t="str">
        <x:v>品类页/集合页 + FAQ内容块</x:v>
      </x:c>
      <x:c r="N86" s="18" t="str">
        <x:v>主站品类页：用产品集合 + 选购说明承接</x:v>
      </x:c>
      <x:c r="O86" s="18" t="str">
        <x:v>/collections/disposable-vapes</x:v>
      </x:c>
      <x:c r="P86" s="18" t="str">
        <x:v>不适用</x:v>
      </x:c>
      <x:c r="Q86" s="18" t="str">
        <x:v>主站页面自身承接</x:v>
      </x:c>
      <x:c r="R86" s="18" t="str">
        <x:v>核心品类词：主站优先，博客只做长尾解释，不直接抢同一词</x:v>
      </x:c>
      <x:c r="S86" s="18" t="str">
        <x:v>如果 Google 首页产品页和指南混合，主站页要加 FAQ、选购指南、对比模块。</x:v>
      </x:c>
      <x:c r="T86" s="42" t="n">
        <x:v>4</x:v>
      </x:c>
      <x:c r="U86" s="42" t="n">
        <x:v>9</x:v>
      </x:c>
      <x:c r="V86" s="42" t="n">
        <x:v>18</x:v>
      </x:c>
      <x:c r="W86" s="42" t="n">
        <x:v>8</x:v>
      </x:c>
      <x:c r="X86" s="42" t="n">
        <x:v>15</x:v>
      </x:c>
      <x:c r="Y86" s="42" t="n">
        <x:v>4</x:v>
      </x:c>
      <x:c r="Z86" s="42" t="n">
        <x:f>MAX(0,MIN(100,ROUND(((T86+U86+V86+W86+X86)-Y86)/85*100,0)))</x:f>
        <x:v>59</x:v>
      </x:c>
      <x:c r="AA86" s="18" t="str">
        <x:f>IF(L86="暂不做","P3 暂缓",IF(Z86&gt;=75,"P0 本周做",IF(Z86&gt;=60,"P1 近期做",IF(Z86&gt;=45,"P2 备选","P3 暂缓"))))</x:f>
        <x:v>P2 备选</x:v>
      </x:c>
      <x:c r="AB86" s="18" t="str">
        <x:f>IF(Y86&gt;=15,"先做合规/相关性复核，不建议直接商业导流",IF(L86="主站","建/优化主站商业页",IF(L86="博客A-知识教程","写知识教程/FAQ文章",IF(L86="博客B-场景人群","写场景需求/选购指南文章",IF(L86="博客C-对比评测","写对比评测/榜单文章","暂不做或人工复核")))))</x:f>
        <x:v>建/优化主站商业页</x:v>
      </x:c>
      <x:c r="AC86" s="18" t="str">
        <x:v>Why More Vapers Are Choosing High-Puff Disposable Vapes in 2026</x:v>
      </x:c>
      <x:c r="AD86" s="19" t="str">
        <x:v>discover why high-puff disposable vapes are trending in 2026, offering longer use, consistent flavor, and better value. explore exdivo’s premium devices.</x:v>
      </x:c>
    </x:row>
    <x:row r="87">
      <x:c r="A87" s="40" t="n">
        <x:v>87</x:v>
      </x:c>
      <x:c r="B87" s="18" t="str">
        <x:v>https://exdivo.com/blogs/why-more-vapers-are-choosing-high-puff-disposable-vapes-in-2026_718a66ce?data_from=index_index</x:v>
      </x:c>
      <x:c r="C87" s="18" t="str">
        <x:v>strong vapes</x:v>
      </x:c>
      <x:c r="D87" s="18" t="str">
        <x:v>recommended</x:v>
      </x:c>
      <x:c r="E87" s="41" t="n">
        <x:v>70</x:v>
      </x:c>
      <x:c r="F87" s="41" t="n">
        <x:v>40</x:v>
      </x:c>
      <x:c r="G87" s="18" t="str">
        <x:v>commercial</x:v>
      </x:c>
      <x:c r="H87" s="18" t="str">
        <x:v>General Vape</x:v>
      </x:c>
      <x:c r="I87" s="18" t="str">
        <x:v>品类承接词</x:v>
      </x:c>
      <x:c r="J87" s="18" t="str">
        <x:v>主站</x:v>
      </x:c>
      <x:c r="K87" s="18" t="str"/>
      <x:c r="L87" s="18" t="str">
        <x:f>IF(K87="",J87,K87)</x:f>
        <x:v>主站</x:v>
      </x:c>
      <x:c r="M87" s="18" t="str">
        <x:v>品类页/集合页 + FAQ内容块</x:v>
      </x:c>
      <x:c r="N87" s="18" t="str">
        <x:v>主站品类页：用产品集合 + 选购说明承接</x:v>
      </x:c>
      <x:c r="O87" s="18" t="str">
        <x:v>/collections/disposable-vapes</x:v>
      </x:c>
      <x:c r="P87" s="18" t="str">
        <x:v>不适用</x:v>
      </x:c>
      <x:c r="Q87" s="18" t="str">
        <x:v>主站页面自身承接</x:v>
      </x:c>
      <x:c r="R87" s="18" t="str">
        <x:v>核心品类词：主站优先，博客只做长尾解释，不直接抢同一词</x:v>
      </x:c>
      <x:c r="S87" s="18" t="str">
        <x:v>如果 Google 首页产品页和指南混合，主站页要加 FAQ、选购指南、对比模块。</x:v>
      </x:c>
      <x:c r="T87" s="42" t="n">
        <x:v>4</x:v>
      </x:c>
      <x:c r="U87" s="42" t="n">
        <x:v>9</x:v>
      </x:c>
      <x:c r="V87" s="42" t="n">
        <x:v>18</x:v>
      </x:c>
      <x:c r="W87" s="42" t="n">
        <x:v>8</x:v>
      </x:c>
      <x:c r="X87" s="42" t="n">
        <x:v>15</x:v>
      </x:c>
      <x:c r="Y87" s="42" t="n">
        <x:v>4</x:v>
      </x:c>
      <x:c r="Z87" s="42" t="n">
        <x:f>MAX(0,MIN(100,ROUND(((T87+U87+V87+W87+X87)-Y87)/85*100,0)))</x:f>
        <x:v>59</x:v>
      </x:c>
      <x:c r="AA87" s="18" t="str">
        <x:f>IF(L87="暂不做","P3 暂缓",IF(Z87&gt;=75,"P0 本周做",IF(Z87&gt;=60,"P1 近期做",IF(Z87&gt;=45,"P2 备选","P3 暂缓"))))</x:f>
        <x:v>P2 备选</x:v>
      </x:c>
      <x:c r="AB87" s="18" t="str">
        <x:f>IF(Y87&gt;=15,"先做合规/相关性复核，不建议直接商业导流",IF(L87="主站","建/优化主站商业页",IF(L87="博客A-知识教程","写知识教程/FAQ文章",IF(L87="博客B-场景人群","写场景需求/选购指南文章",IF(L87="博客C-对比评测","写对比评测/榜单文章","暂不做或人工复核")))))</x:f>
        <x:v>建/优化主站商业页</x:v>
      </x:c>
      <x:c r="AC87" s="18" t="str">
        <x:v>Why More Vapers Are Choosing High-Puff Disposable Vapes in 2026</x:v>
      </x:c>
      <x:c r="AD87" s="19" t="str">
        <x:v>discover why high-puff disposable vapes are trending in 2026, offering longer use, consistent flavor, and better value. explore exdivo’s premium devices.</x:v>
      </x:c>
    </x:row>
    <x:row r="88">
      <x:c r="A88" s="40" t="n">
        <x:v>88</x:v>
      </x:c>
      <x:c r="B88" s="18" t="str">
        <x:v>https://exdivo.com/blogs/why-more-vapers-are-choosing-high-puff-disposable-vapes-in-2026_718a66ce?data_from=index_index</x:v>
      </x:c>
      <x:c r="C88" s="18" t="str">
        <x:v>high puff disposable vapes trend</x:v>
      </x:c>
      <x:c r="D88" s="18" t="str">
        <x:v>recommended</x:v>
      </x:c>
      <x:c r="E88" s="41" t="n">
        <x:v>0</x:v>
      </x:c>
      <x:c r="F88" s="41" t="n">
        <x:v>0</x:v>
      </x:c>
      <x:c r="G88" s="18" t="str">
        <x:v>48</x:v>
      </x:c>
      <x:c r="H88" s="18" t="str">
        <x:v>Disposable Vape</x:v>
      </x:c>
      <x:c r="I88" s="18" t="str">
        <x:v>内容词</x:v>
      </x:c>
      <x:c r="J88" s="18" t="str">
        <x:v>博客A-知识教程</x:v>
      </x:c>
      <x:c r="K88" s="18" t="str"/>
      <x:c r="L88" s="18" t="str">
        <x:f>IF(K88="",J88,K88)</x:f>
        <x:v>博客A-知识教程</x:v>
      </x:c>
      <x:c r="M88" s="18" t="str">
        <x:v>知识/教程文章</x:v>
      </x:c>
      <x:c r="N88" s="18" t="str">
        <x:v>Guide angle: explain high puff disposable vapes trend, answer common questions, and avoid sales-first writing</x:v>
      </x:c>
      <x:c r="O88" s="18" t="str">
        <x:v>/collections/disposable-vapes 或最接近的产品集合页</x:v>
      </x:c>
      <x:c r="P88" s="18" t="str">
        <x:v>谨慎</x:v>
      </x:c>
      <x:c r="Q88" s="18" t="str">
        <x:v>品牌词/自然句</x:v>
      </x:c>
      <x:c r="R88" s="18" t="str">
        <x:v>低风险：按常规内容质量和搜索意图校验</x:v>
      </x:c>
      <x:c r="S88" s="18" t="str">
        <x:v>先看 Google SERP：如果首页多数为产品集合页，改回主站；如果多数为教程/问答，保持博客。</x:v>
      </x:c>
      <x:c r="T88" s="42" t="n">
        <x:v>1</x:v>
      </x:c>
      <x:c r="U88" s="42" t="n">
        <x:v>15</x:v>
      </x:c>
      <x:c r="V88" s="42" t="n">
        <x:v>10</x:v>
      </x:c>
      <x:c r="W88" s="42" t="n">
        <x:v>12</x:v>
      </x:c>
      <x:c r="X88" s="42" t="n">
        <x:v>12</x:v>
      </x:c>
      <x:c r="Y88" s="42" t="n">
        <x:v>4</x:v>
      </x:c>
      <x:c r="Z88" s="42" t="n">
        <x:f>MAX(0,MIN(100,ROUND(((T88+U88+V88+W88+X88)-Y88)/85*100,0)))</x:f>
        <x:v>54</x:v>
      </x:c>
      <x:c r="AA88" s="18" t="str">
        <x:f>IF(L88="暂不做","P3 暂缓",IF(Z88&gt;=75,"P0 本周做",IF(Z88&gt;=60,"P1 近期做",IF(Z88&gt;=45,"P2 备选","P3 暂缓"))))</x:f>
        <x:v>P2 备选</x:v>
      </x:c>
      <x:c r="AB88" s="18" t="str">
        <x:f>IF(Y88&gt;=15,"先做合规/相关性复核，不建议直接商业导流",IF(L88="主站","建/优化主站商业页",IF(L88="博客A-知识教程","写知识教程/FAQ文章",IF(L88="博客B-场景人群","写场景需求/选购指南文章",IF(L88="博客C-对比评测","写对比评测/榜单文章","暂不做或人工复核")))))</x:f>
        <x:v>写知识教程/FAQ文章</x:v>
      </x:c>
      <x:c r="AC88" s="18" t="str">
        <x:v>Why More Vapers Are Choosing High-Puff Disposable Vapes in 2026</x:v>
      </x:c>
      <x:c r="AD88" s="19" t="str">
        <x:v>discover why high-puff disposable vapes are trending in 2026, offering longer use, consistent flavor, and better value. explore exdivo’s premium devices.</x:v>
      </x:c>
    </x:row>
    <x:row r="89">
      <x:c r="A89" s="40" t="n">
        <x:v>89</x:v>
      </x:c>
      <x:c r="B89" s="18" t="str">
        <x:v>https://exdivo.com/blogs/why-more-vapers-are-choosing-high-puff-disposable-vapes-in-2026_718a66ce?data_from=index_index</x:v>
      </x:c>
      <x:c r="C89" s="18" t="str">
        <x:v>benefits of high puff vapes</x:v>
      </x:c>
      <x:c r="D89" s="18" t="str">
        <x:v>recommended</x:v>
      </x:c>
      <x:c r="E89" s="41" t="n">
        <x:v>0</x:v>
      </x:c>
      <x:c r="F89" s="41" t="n">
        <x:v>0</x:v>
      </x:c>
      <x:c r="G89" s="18" t="str">
        <x:v>48</x:v>
      </x:c>
      <x:c r="H89" s="18" t="str">
        <x:v>General Vape</x:v>
      </x:c>
      <x:c r="I89" s="18" t="str">
        <x:v>内容词</x:v>
      </x:c>
      <x:c r="J89" s="18" t="str">
        <x:v>博客A-知识教程</x:v>
      </x:c>
      <x:c r="K89" s="18" t="str"/>
      <x:c r="L89" s="18" t="str">
        <x:f>IF(K89="",J89,K89)</x:f>
        <x:v>博客A-知识教程</x:v>
      </x:c>
      <x:c r="M89" s="18" t="str">
        <x:v>知识/教程文章</x:v>
      </x:c>
      <x:c r="N89" s="18" t="str">
        <x:v>Guide angle: explain benefits of high puff vapes, answer common questions, and avoid sales-first writing</x:v>
      </x:c>
      <x:c r="O89" s="18" t="str">
        <x:v>/collections/disposable-vapes 或最接近的产品集合页</x:v>
      </x:c>
      <x:c r="P89" s="18" t="str">
        <x:v>谨慎</x:v>
      </x:c>
      <x:c r="Q89" s="18" t="str">
        <x:v>品牌词/自然句</x:v>
      </x:c>
      <x:c r="R89" s="18" t="str">
        <x:v>低风险：按常规内容质量和搜索意图校验</x:v>
      </x:c>
      <x:c r="S89" s="18" t="str">
        <x:v>先看 Google SERP：如果首页多数为产品集合页，改回主站；如果多数为教程/问答，保持博客。</x:v>
      </x:c>
      <x:c r="T89" s="42" t="n">
        <x:v>1</x:v>
      </x:c>
      <x:c r="U89" s="42" t="n">
        <x:v>15</x:v>
      </x:c>
      <x:c r="V89" s="42" t="n">
        <x:v>10</x:v>
      </x:c>
      <x:c r="W89" s="42" t="n">
        <x:v>12</x:v>
      </x:c>
      <x:c r="X89" s="42" t="n">
        <x:v>12</x:v>
      </x:c>
      <x:c r="Y89" s="42" t="n">
        <x:v>4</x:v>
      </x:c>
      <x:c r="Z89" s="42" t="n">
        <x:f>MAX(0,MIN(100,ROUND(((T89+U89+V89+W89+X89)-Y89)/85*100,0)))</x:f>
        <x:v>54</x:v>
      </x:c>
      <x:c r="AA89" s="18" t="str">
        <x:f>IF(L89="暂不做","P3 暂缓",IF(Z89&gt;=75,"P0 本周做",IF(Z89&gt;=60,"P1 近期做",IF(Z89&gt;=45,"P2 备选","P3 暂缓"))))</x:f>
        <x:v>P2 备选</x:v>
      </x:c>
      <x:c r="AB89" s="18" t="str">
        <x:f>IF(Y89&gt;=15,"先做合规/相关性复核，不建议直接商业导流",IF(L89="主站","建/优化主站商业页",IF(L89="博客A-知识教程","写知识教程/FAQ文章",IF(L89="博客B-场景人群","写场景需求/选购指南文章",IF(L89="博客C-对比评测","写对比评测/榜单文章","暂不做或人工复核")))))</x:f>
        <x:v>写知识教程/FAQ文章</x:v>
      </x:c>
      <x:c r="AC89" s="18" t="str">
        <x:v>Why More Vapers Are Choosing High-Puff Disposable Vapes in 2026</x:v>
      </x:c>
      <x:c r="AD89" s="19" t="str">
        <x:v>discover why high-puff disposable vapes are trending in 2026, offering longer use, consistent flavor, and better value. explore exdivo’s premium devices.</x:v>
      </x:c>
    </x:row>
    <x:row r="90">
      <x:c r="A90" s="40" t="n">
        <x:v>90</x:v>
      </x:c>
      <x:c r="B90" s="18" t="str">
        <x:v>https://exdivo.com/blogs/why-more-vapers-are-choosing-high-puff-disposable-vapes-in-2026_718a66ce?data_from=index_index</x:v>
      </x:c>
      <x:c r="C90" s="18" t="str">
        <x:v>premium vape devices</x:v>
      </x:c>
      <x:c r="D90" s="18" t="str">
        <x:v>recommended</x:v>
      </x:c>
      <x:c r="E90" s="41" t="n">
        <x:v>0</x:v>
      </x:c>
      <x:c r="F90" s="41" t="n">
        <x:v>0</x:v>
      </x:c>
      <x:c r="G90" s="18" t="str">
        <x:v>48</x:v>
      </x:c>
      <x:c r="H90" s="18" t="str">
        <x:v>General Vape</x:v>
      </x:c>
      <x:c r="I90" s="18" t="str">
        <x:v>品类承接词</x:v>
      </x:c>
      <x:c r="J90" s="18" t="str">
        <x:v>主站</x:v>
      </x:c>
      <x:c r="K90" s="18" t="str"/>
      <x:c r="L90" s="18" t="str">
        <x:f>IF(K90="",J90,K90)</x:f>
        <x:v>主站</x:v>
      </x:c>
      <x:c r="M90" s="18" t="str">
        <x:v>品类页/集合页 + FAQ内容块</x:v>
      </x:c>
      <x:c r="N90" s="18" t="str">
        <x:v>主站品类页：用产品集合 + 选购说明承接</x:v>
      </x:c>
      <x:c r="O90" s="18" t="str">
        <x:v>/collections/disposable-vapes</x:v>
      </x:c>
      <x:c r="P90" s="18" t="str">
        <x:v>不适用</x:v>
      </x:c>
      <x:c r="Q90" s="18" t="str">
        <x:v>主站页面自身承接</x:v>
      </x:c>
      <x:c r="R90" s="18" t="str">
        <x:v>核心品类词：主站优先，博客只做长尾解释，不直接抢同一词</x:v>
      </x:c>
      <x:c r="S90" s="18" t="str">
        <x:v>如果 Google 首页产品页和指南混合，主站页要加 FAQ、选购指南、对比模块。</x:v>
      </x:c>
      <x:c r="T90" s="42" t="n">
        <x:v>1</x:v>
      </x:c>
      <x:c r="U90" s="42" t="n">
        <x:v>15</x:v>
      </x:c>
      <x:c r="V90" s="42" t="n">
        <x:v>16</x:v>
      </x:c>
      <x:c r="W90" s="42" t="n">
        <x:v>8</x:v>
      </x:c>
      <x:c r="X90" s="42" t="n">
        <x:v>15</x:v>
      </x:c>
      <x:c r="Y90" s="42" t="n">
        <x:v>4</x:v>
      </x:c>
      <x:c r="Z90" s="42" t="n">
        <x:f>MAX(0,MIN(100,ROUND(((T90+U90+V90+W90+X90)-Y90)/85*100,0)))</x:f>
        <x:v>60</x:v>
      </x:c>
      <x:c r="AA90" s="18" t="str">
        <x:f>IF(L90="暂不做","P3 暂缓",IF(Z90&gt;=75,"P0 本周做",IF(Z90&gt;=60,"P1 近期做",IF(Z90&gt;=45,"P2 备选","P3 暂缓"))))</x:f>
        <x:v>P1 近期做</x:v>
      </x:c>
      <x:c r="AB90" s="18" t="str">
        <x:f>IF(Y90&gt;=15,"先做合规/相关性复核，不建议直接商业导流",IF(L90="主站","建/优化主站商业页",IF(L90="博客A-知识教程","写知识教程/FAQ文章",IF(L90="博客B-场景人群","写场景需求/选购指南文章",IF(L90="博客C-对比评测","写对比评测/榜单文章","暂不做或人工复核")))))</x:f>
        <x:v>建/优化主站商业页</x:v>
      </x:c>
      <x:c r="AC90" s="18" t="str">
        <x:v>Why More Vapers Are Choosing High-Puff Disposable Vapes in 2026</x:v>
      </x:c>
      <x:c r="AD90" s="19" t="str">
        <x:v>discover why high-puff disposable vapes are trending in 2026, offering longer use, consistent flavor, and better value. explore exdivo’s premium devices.</x:v>
      </x:c>
    </x:row>
    <x:row r="91">
      <x:c r="A91" s="40" t="n">
        <x:v>91</x:v>
      </x:c>
      <x:c r="B91" s="18" t="str">
        <x:v>https://exdivo.com/blogs/why-more-vapers-are-choosing-high-puff-disposable-vapes-in-2026_718a66ce?data_from=index_index</x:v>
      </x:c>
      <x:c r="C91" s="18" t="str">
        <x:v>premium disposable vapes</x:v>
      </x:c>
      <x:c r="D91" s="18" t="str">
        <x:v>recommended</x:v>
      </x:c>
      <x:c r="E91" s="41" t="n">
        <x:v>40</x:v>
      </x:c>
      <x:c r="F91" s="41" t="n">
        <x:v>50</x:v>
      </x:c>
      <x:c r="G91" s="18" t="str">
        <x:v>informational</x:v>
      </x:c>
      <x:c r="H91" s="18" t="str">
        <x:v>Disposable Vape</x:v>
      </x:c>
      <x:c r="I91" s="18" t="str">
        <x:v>品类承接词</x:v>
      </x:c>
      <x:c r="J91" s="18" t="str">
        <x:v>主站</x:v>
      </x:c>
      <x:c r="K91" s="18" t="str"/>
      <x:c r="L91" s="18" t="str">
        <x:f>IF(K91="",J91,K91)</x:f>
        <x:v>主站</x:v>
      </x:c>
      <x:c r="M91" s="18" t="str">
        <x:v>品类页/集合页 + FAQ内容块</x:v>
      </x:c>
      <x:c r="N91" s="18" t="str">
        <x:v>主站品类页：用产品集合 + 选购说明承接</x:v>
      </x:c>
      <x:c r="O91" s="18" t="str">
        <x:v>/collections/disposable-vapes</x:v>
      </x:c>
      <x:c r="P91" s="18" t="str">
        <x:v>不适用</x:v>
      </x:c>
      <x:c r="Q91" s="18" t="str">
        <x:v>主站页面自身承接</x:v>
      </x:c>
      <x:c r="R91" s="18" t="str">
        <x:v>核心品类词：主站优先，博客只做长尾解释，不直接抢同一词</x:v>
      </x:c>
      <x:c r="S91" s="18" t="str">
        <x:v>如果 Google 首页产品页和指南混合，主站页要加 FAQ、选购指南、对比模块。</x:v>
      </x:c>
      <x:c r="T91" s="42" t="n">
        <x:v>4</x:v>
      </x:c>
      <x:c r="U91" s="42" t="n">
        <x:v>6</x:v>
      </x:c>
      <x:c r="V91" s="42" t="n">
        <x:v>16</x:v>
      </x:c>
      <x:c r="W91" s="42" t="n">
        <x:v>8</x:v>
      </x:c>
      <x:c r="X91" s="42" t="n">
        <x:v>15</x:v>
      </x:c>
      <x:c r="Y91" s="42" t="n">
        <x:v>4</x:v>
      </x:c>
      <x:c r="Z91" s="42" t="n">
        <x:f>MAX(0,MIN(100,ROUND(((T91+U91+V91+W91+X91)-Y91)/85*100,0)))</x:f>
        <x:v>53</x:v>
      </x:c>
      <x:c r="AA91" s="18" t="str">
        <x:f>IF(L91="暂不做","P3 暂缓",IF(Z91&gt;=75,"P0 本周做",IF(Z91&gt;=60,"P1 近期做",IF(Z91&gt;=45,"P2 备选","P3 暂缓"))))</x:f>
        <x:v>P2 备选</x:v>
      </x:c>
      <x:c r="AB91" s="18" t="str">
        <x:f>IF(Y91&gt;=15,"先做合规/相关性复核，不建议直接商业导流",IF(L91="主站","建/优化主站商业页",IF(L91="博客A-知识教程","写知识教程/FAQ文章",IF(L91="博客B-场景人群","写场景需求/选购指南文章",IF(L91="博客C-对比评测","写对比评测/榜单文章","暂不做或人工复核")))))</x:f>
        <x:v>建/优化主站商业页</x:v>
      </x:c>
      <x:c r="AC91" s="18" t="str">
        <x:v>Why More Vapers Are Choosing High-Puff Disposable Vapes in 2026</x:v>
      </x:c>
      <x:c r="AD91" s="19" t="str">
        <x:v>discover why high-puff disposable vapes are trending in 2026, offering longer use, consistent flavor, and better value. explore exdivo’s premium devices.</x:v>
      </x:c>
    </x:row>
    <x:row r="92">
      <x:c r="A92" s="40" t="n">
        <x:v>92</x:v>
      </x:c>
      <x:c r="B92" s="18" t="str">
        <x:v>https://exdivo.com/comments/exdivo-kuz-25k-replaceable-pod-vape_8c92b717?writeComment=true</x:v>
      </x:c>
      <x:c r="C92" s="18" t="str">
        <x:v>exdivo fresh mint flavor</x:v>
      </x:c>
      <x:c r="D92" s="18" t="str">
        <x:v>recommended</x:v>
      </x:c>
      <x:c r="E92" s="41" t="n">
        <x:v>0</x:v>
      </x:c>
      <x:c r="F92" s="41" t="n">
        <x:v>0</x:v>
      </x:c>
      <x:c r="G92" s="18" t="str">
        <x:v>48</x:v>
      </x:c>
      <x:c r="H92" s="18" t="str">
        <x:v>Flavor / 口味</x:v>
      </x:c>
      <x:c r="I92" s="18" t="str">
        <x:v>场景/需求词</x:v>
      </x:c>
      <x:c r="J92" s="18" t="str">
        <x:v>博客B-场景人群</x:v>
      </x:c>
      <x:c r="K92" s="18" t="str"/>
      <x:c r="L92" s="18" t="str">
        <x:f>IF(K92="",J92,K92)</x:f>
        <x:v>博客B-场景人群</x:v>
      </x:c>
      <x:c r="M92" s="18" t="str">
        <x:v>场景解决方案/选购指南文章</x:v>
      </x:c>
      <x:c r="N92" s="18" t="str">
        <x:v>Scenario angle: how to choose exdivo fresh mint flavor based on use case, flavor, nicotine, and budget</x:v>
      </x:c>
      <x:c r="O92" s="18" t="str">
        <x:v>/collections/flavored-disposable-vapes</x:v>
      </x:c>
      <x:c r="P92" s="18" t="str">
        <x:v>是</x:v>
      </x:c>
      <x:c r="Q92" s="18" t="str">
        <x:v>自然句/品类词</x:v>
      </x:c>
      <x:c r="R92" s="18" t="str">
        <x:v>低中风险：适合软性导流，但不要夸大效果或触碰健康疗效</x:v>
      </x:c>
      <x:c r="S92" s="18" t="str">
        <x:v>围绕使用场景、口味、尼古丁需求、便携性等写，不和主站品类页抢词。</x:v>
      </x:c>
      <x:c r="T92" s="42" t="n">
        <x:v>1</x:v>
      </x:c>
      <x:c r="U92" s="42" t="n">
        <x:v>15</x:v>
      </x:c>
      <x:c r="V92" s="42" t="n">
        <x:v>13</x:v>
      </x:c>
      <x:c r="W92" s="42" t="n">
        <x:v>14</x:v>
      </x:c>
      <x:c r="X92" s="42" t="n">
        <x:v>13</x:v>
      </x:c>
      <x:c r="Y92" s="42" t="n">
        <x:v>5</x:v>
      </x:c>
      <x:c r="Z92" s="42" t="n">
        <x:f>MAX(0,MIN(100,ROUND(((T92+U92+V92+W92+X92)-Y92)/85*100,0)))</x:f>
        <x:v>60</x:v>
      </x:c>
      <x:c r="AA92" s="18" t="str">
        <x:f>IF(L92="暂不做","P3 暂缓",IF(Z92&gt;=75,"P0 本周做",IF(Z92&gt;=60,"P1 近期做",IF(Z92&gt;=45,"P2 备选","P3 暂缓"))))</x:f>
        <x:v>P1 近期做</x:v>
      </x:c>
      <x:c r="AB92" s="18" t="str">
        <x:f>IF(Y92&gt;=15,"先做合规/相关性复核，不建议直接商业导流",IF(L92="主站","建/优化主站商业页",IF(L92="博客A-知识教程","写知识教程/FAQ文章",IF(L92="博客B-场景人群","写场景需求/选购指南文章",IF(L92="博客C-对比评测","写对比评测/榜单文章","暂不做或人工复核")))))</x:f>
        <x:v>写场景需求/选购指南文章</x:v>
      </x:c>
      <x:c r="AC92" s="18" t="str">
        <x:v>Reviews - FRESH MINT - ExDivo KUZ 25K Replaceable Pod Vape - ExDivo</x:v>
      </x:c>
      <x:c r="AD92" s="19" t="str">
        <x:v>48</x:v>
      </x:c>
    </x:row>
    <x:row r="93">
      <x:c r="A93" s="40" t="n">
        <x:v>93</x:v>
      </x:c>
      <x:c r="B93" s="18" t="str">
        <x:v>https://exdivo.com/comments/exdivo-kuz-25k-replaceable-pod-vape_8c92b717?writeComment=true</x:v>
      </x:c>
      <x:c r="C93" s="18" t="str">
        <x:v>fresh mint disposable vape</x:v>
      </x:c>
      <x:c r="D93" s="18" t="str">
        <x:v>recommended</x:v>
      </x:c>
      <x:c r="E93" s="41" t="n">
        <x:v>0</x:v>
      </x:c>
      <x:c r="F93" s="41" t="n">
        <x:v>0</x:v>
      </x:c>
      <x:c r="G93" s="18" t="str">
        <x:v>48</x:v>
      </x:c>
      <x:c r="H93" s="18" t="str">
        <x:v>Disposable Vape</x:v>
      </x:c>
      <x:c r="I93" s="18" t="str">
        <x:v>内容词</x:v>
      </x:c>
      <x:c r="J93" s="18" t="str">
        <x:v>博客A-知识教程</x:v>
      </x:c>
      <x:c r="K93" s="18" t="str"/>
      <x:c r="L93" s="18" t="str">
        <x:f>IF(K93="",J93,K93)</x:f>
        <x:v>博客A-知识教程</x:v>
      </x:c>
      <x:c r="M93" s="18" t="str">
        <x:v>知识/教程文章</x:v>
      </x:c>
      <x:c r="N93" s="18" t="str">
        <x:v>Guide angle: explain fresh mint disposable vape, answer common questions, and avoid sales-first writing</x:v>
      </x:c>
      <x:c r="O93" s="18" t="str">
        <x:v>/collections/disposable-vapes 或最接近的产品集合页</x:v>
      </x:c>
      <x:c r="P93" s="18" t="str">
        <x:v>谨慎</x:v>
      </x:c>
      <x:c r="Q93" s="18" t="str">
        <x:v>品牌词/自然句</x:v>
      </x:c>
      <x:c r="R93" s="18" t="str">
        <x:v>低风险：按常规内容质量和搜索意图校验</x:v>
      </x:c>
      <x:c r="S93" s="18" t="str">
        <x:v>先看 Google SERP：如果首页多数为产品集合页，改回主站；如果多数为教程/问答，保持博客。</x:v>
      </x:c>
      <x:c r="T93" s="42" t="n">
        <x:v>1</x:v>
      </x:c>
      <x:c r="U93" s="42" t="n">
        <x:v>15</x:v>
      </x:c>
      <x:c r="V93" s="42" t="n">
        <x:v>10</x:v>
      </x:c>
      <x:c r="W93" s="42" t="n">
        <x:v>12</x:v>
      </x:c>
      <x:c r="X93" s="42" t="n">
        <x:v>12</x:v>
      </x:c>
      <x:c r="Y93" s="42" t="n">
        <x:v>4</x:v>
      </x:c>
      <x:c r="Z93" s="42" t="n">
        <x:f>MAX(0,MIN(100,ROUND(((T93+U93+V93+W93+X93)-Y93)/85*100,0)))</x:f>
        <x:v>54</x:v>
      </x:c>
      <x:c r="AA93" s="18" t="str">
        <x:f>IF(L93="暂不做","P3 暂缓",IF(Z93&gt;=75,"P0 本周做",IF(Z93&gt;=60,"P1 近期做",IF(Z93&gt;=45,"P2 备选","P3 暂缓"))))</x:f>
        <x:v>P2 备选</x:v>
      </x:c>
      <x:c r="AB93" s="18" t="str">
        <x:f>IF(Y93&gt;=15,"先做合规/相关性复核，不建议直接商业导流",IF(L93="主站","建/优化主站商业页",IF(L93="博客A-知识教程","写知识教程/FAQ文章",IF(L93="博客B-场景人群","写场景需求/选购指南文章",IF(L93="博客C-对比评测","写对比评测/榜单文章","暂不做或人工复核")))))</x:f>
        <x:v>写知识教程/FAQ文章</x:v>
      </x:c>
      <x:c r="AC93" s="18" t="str">
        <x:v>Reviews - FRESH MINT - ExDivo KUZ 25K Replaceable Pod Vape - ExDivo</x:v>
      </x:c>
      <x:c r="AD93" s="19" t="str">
        <x:v>48</x:v>
      </x:c>
    </x:row>
    <x:row r="94">
      <x:c r="A94" s="40" t="n">
        <x:v>94</x:v>
      </x:c>
      <x:c r="B94" s="18" t="str">
        <x:v>https://exdivo.com/comments/exdivo-kuz-25k-replaceable-pod-vape_8c92b717?writeComment=true</x:v>
      </x:c>
      <x:c r="C94" s="18" t="str">
        <x:v>fresh mint vape review</x:v>
      </x:c>
      <x:c r="D94" s="18" t="str">
        <x:v>recommended</x:v>
      </x:c>
      <x:c r="E94" s="41" t="n">
        <x:v>0</x:v>
      </x:c>
      <x:c r="F94" s="41" t="n">
        <x:v>0</x:v>
      </x:c>
      <x:c r="G94" s="18" t="str">
        <x:v>48</x:v>
      </x:c>
      <x:c r="H94" s="18" t="str">
        <x:v>对比评测</x:v>
      </x:c>
      <x:c r="I94" s="18" t="str">
        <x:v>商业调查词</x:v>
      </x:c>
      <x:c r="J94" s="18" t="str">
        <x:v>博客C-对比评测</x:v>
      </x:c>
      <x:c r="K94" s="18" t="str"/>
      <x:c r="L94" s="18" t="str">
        <x:f>IF(K94="",J94,K94)</x:f>
        <x:v>博客C-对比评测</x:v>
      </x:c>
      <x:c r="M94" s="18" t="str">
        <x:v>Best/Top/Review/VS/替代方案文章</x:v>
      </x:c>
      <x:c r="N94" s="18" t="str">
        <x:v>Best angle: fresh mint vape review - comparison, pros/cons, and which option fits different buyers</x:v>
      </x:c>
      <x:c r="O94" s="18" t="str">
        <x:v>/collections/disposable-vapes</x:v>
      </x:c>
      <x:c r="P94" s="18" t="str">
        <x:v>是</x:v>
      </x:c>
      <x:c r="Q94" s="18" t="str">
        <x:v>自然句/品类词/品牌词</x:v>
      </x:c>
      <x:c r="R94" s="18" t="str">
        <x:v>中风险：榜单和评测必须真实、中立，避免夸大</x:v>
      </x:c>
      <x:c r="S94" s="18" t="str">
        <x:v>这类词不直接给主站，先用博客C教育和比较，再导流到最相关集合页。</x:v>
      </x:c>
      <x:c r="T94" s="42" t="n">
        <x:v>1</x:v>
      </x:c>
      <x:c r="U94" s="42" t="n">
        <x:v>15</x:v>
      </x:c>
      <x:c r="V94" s="42" t="n">
        <x:v>16</x:v>
      </x:c>
      <x:c r="W94" s="42" t="n">
        <x:v>15</x:v>
      </x:c>
      <x:c r="X94" s="42" t="n">
        <x:v>13</x:v>
      </x:c>
      <x:c r="Y94" s="42" t="n">
        <x:v>6</x:v>
      </x:c>
      <x:c r="Z94" s="42" t="n">
        <x:f>MAX(0,MIN(100,ROUND(((T94+U94+V94+W94+X94)-Y94)/85*100,0)))</x:f>
        <x:v>64</x:v>
      </x:c>
      <x:c r="AA94" s="18" t="str">
        <x:f>IF(L94="暂不做","P3 暂缓",IF(Z94&gt;=75,"P0 本周做",IF(Z94&gt;=60,"P1 近期做",IF(Z94&gt;=45,"P2 备选","P3 暂缓"))))</x:f>
        <x:v>P1 近期做</x:v>
      </x:c>
      <x:c r="AB94" s="18" t="str">
        <x:f>IF(Y94&gt;=15,"先做合规/相关性复核，不建议直接商业导流",IF(L94="主站","建/优化主站商业页",IF(L94="博客A-知识教程","写知识教程/FAQ文章",IF(L94="博客B-场景人群","写场景需求/选购指南文章",IF(L94="博客C-对比评测","写对比评测/榜单文章","暂不做或人工复核")))))</x:f>
        <x:v>写对比评测/榜单文章</x:v>
      </x:c>
      <x:c r="AC94" s="18" t="str">
        <x:v>Reviews - FRESH MINT - ExDivo KUZ 25K Replaceable Pod Vape - ExDivo</x:v>
      </x:c>
      <x:c r="AD94" s="19" t="str">
        <x:v>48</x:v>
      </x:c>
    </x:row>
    <x:row r="95">
      <x:c r="A95" s="40" t="n">
        <x:v>95</x:v>
      </x:c>
      <x:c r="B95" s="18" t="str">
        <x:v>https://exdivo.com/comments/exdivo-kuz-25k-replaceable-pod-vape_8c92b717?writeComment=true</x:v>
      </x:c>
      <x:c r="C95" s="18" t="str">
        <x:v>exdivo kuz fresh mint review</x:v>
      </x:c>
      <x:c r="D95" s="18" t="str">
        <x:v>recommended</x:v>
      </x:c>
      <x:c r="E95" s="41" t="n">
        <x:v>0</x:v>
      </x:c>
      <x:c r="F95" s="41" t="n">
        <x:v>0</x:v>
      </x:c>
      <x:c r="G95" s="18" t="str">
        <x:v>48</x:v>
      </x:c>
      <x:c r="H95" s="18" t="str">
        <x:v>对比评测</x:v>
      </x:c>
      <x:c r="I95" s="18" t="str">
        <x:v>商业调查词</x:v>
      </x:c>
      <x:c r="J95" s="18" t="str">
        <x:v>博客C-对比评测</x:v>
      </x:c>
      <x:c r="K95" s="18" t="str"/>
      <x:c r="L95" s="18" t="str">
        <x:f>IF(K95="",J95,K95)</x:f>
        <x:v>博客C-对比评测</x:v>
      </x:c>
      <x:c r="M95" s="18" t="str">
        <x:v>Best/Top/Review/VS/替代方案文章</x:v>
      </x:c>
      <x:c r="N95" s="18" t="str">
        <x:v>Best angle: exdivo kuz fresh mint review - comparison, pros/cons, and which option fits different buyers</x:v>
      </x:c>
      <x:c r="O95" s="18" t="str">
        <x:v>/collections/disposable-vapes</x:v>
      </x:c>
      <x:c r="P95" s="18" t="str">
        <x:v>是</x:v>
      </x:c>
      <x:c r="Q95" s="18" t="str">
        <x:v>自然句/品类词/品牌词</x:v>
      </x:c>
      <x:c r="R95" s="18" t="str">
        <x:v>中风险：榜单和评测必须真实、中立，避免夸大</x:v>
      </x:c>
      <x:c r="S95" s="18" t="str">
        <x:v>这类词不直接给主站，先用博客C教育和比较，再导流到最相关集合页。</x:v>
      </x:c>
      <x:c r="T95" s="42" t="n">
        <x:v>1</x:v>
      </x:c>
      <x:c r="U95" s="42" t="n">
        <x:v>15</x:v>
      </x:c>
      <x:c r="V95" s="42" t="n">
        <x:v>16</x:v>
      </x:c>
      <x:c r="W95" s="42" t="n">
        <x:v>15</x:v>
      </x:c>
      <x:c r="X95" s="42" t="n">
        <x:v>13</x:v>
      </x:c>
      <x:c r="Y95" s="42" t="n">
        <x:v>6</x:v>
      </x:c>
      <x:c r="Z95" s="42" t="n">
        <x:f>MAX(0,MIN(100,ROUND(((T95+U95+V95+W95+X95)-Y95)/85*100,0)))</x:f>
        <x:v>64</x:v>
      </x:c>
      <x:c r="AA95" s="18" t="str">
        <x:f>IF(L95="暂不做","P3 暂缓",IF(Z95&gt;=75,"P0 本周做",IF(Z95&gt;=60,"P1 近期做",IF(Z95&gt;=45,"P2 备选","P3 暂缓"))))</x:f>
        <x:v>P1 近期做</x:v>
      </x:c>
      <x:c r="AB95" s="18" t="str">
        <x:f>IF(Y95&gt;=15,"先做合规/相关性复核，不建议直接商业导流",IF(L95="主站","建/优化主站商业页",IF(L95="博客A-知识教程","写知识教程/FAQ文章",IF(L95="博客B-场景人群","写场景需求/选购指南文章",IF(L95="博客C-对比评测","写对比评测/榜单文章","暂不做或人工复核")))))</x:f>
        <x:v>写对比评测/榜单文章</x:v>
      </x:c>
      <x:c r="AC95" s="18" t="str">
        <x:v>Reviews - FRESH MINT - ExDivo KUZ 25K Replaceable Pod Vape - ExDivo</x:v>
      </x:c>
      <x:c r="AD95" s="19" t="str">
        <x:v>48</x:v>
      </x:c>
    </x:row>
    <x:row r="96">
      <x:c r="A96" s="40" t="n">
        <x:v>96</x:v>
      </x:c>
      <x:c r="B96" s="18" t="str">
        <x:v>https://exdivo.com/comments/exdivo-bright-mirror-35k-replaceable-vape-kit_25244789</x:v>
      </x:c>
      <x:c r="C96" s="18" t="str">
        <x:v>sour apple ice vape review</x:v>
      </x:c>
      <x:c r="D96" s="18" t="str">
        <x:v>recommended</x:v>
      </x:c>
      <x:c r="E96" s="41" t="n">
        <x:v>0</x:v>
      </x:c>
      <x:c r="F96" s="41" t="n">
        <x:v>0</x:v>
      </x:c>
      <x:c r="G96" s="18" t="str">
        <x:v>48</x:v>
      </x:c>
      <x:c r="H96" s="18" t="str">
        <x:v>对比评测</x:v>
      </x:c>
      <x:c r="I96" s="18" t="str">
        <x:v>商业调查词</x:v>
      </x:c>
      <x:c r="J96" s="18" t="str">
        <x:v>博客C-对比评测</x:v>
      </x:c>
      <x:c r="K96" s="18" t="str"/>
      <x:c r="L96" s="18" t="str">
        <x:f>IF(K96="",J96,K96)</x:f>
        <x:v>博客C-对比评测</x:v>
      </x:c>
      <x:c r="M96" s="18" t="str">
        <x:v>Best/Top/Review/VS/替代方案文章</x:v>
      </x:c>
      <x:c r="N96" s="18" t="str">
        <x:v>Best angle: sour apple ice vape review - comparison, pros/cons, and which option fits different buyers</x:v>
      </x:c>
      <x:c r="O96" s="18" t="str">
        <x:v>/collections/disposable-vapes</x:v>
      </x:c>
      <x:c r="P96" s="18" t="str">
        <x:v>是</x:v>
      </x:c>
      <x:c r="Q96" s="18" t="str">
        <x:v>自然句/品类词/品牌词</x:v>
      </x:c>
      <x:c r="R96" s="18" t="str">
        <x:v>中风险：榜单和评测必须真实、中立，避免夸大</x:v>
      </x:c>
      <x:c r="S96" s="18" t="str">
        <x:v>这类词不直接给主站，先用博客C教育和比较，再导流到最相关集合页。</x:v>
      </x:c>
      <x:c r="T96" s="42" t="n">
        <x:v>1</x:v>
      </x:c>
      <x:c r="U96" s="42" t="n">
        <x:v>15</x:v>
      </x:c>
      <x:c r="V96" s="42" t="n">
        <x:v>16</x:v>
      </x:c>
      <x:c r="W96" s="42" t="n">
        <x:v>15</x:v>
      </x:c>
      <x:c r="X96" s="42" t="n">
        <x:v>13</x:v>
      </x:c>
      <x:c r="Y96" s="42" t="n">
        <x:v>6</x:v>
      </x:c>
      <x:c r="Z96" s="42" t="n">
        <x:f>MAX(0,MIN(100,ROUND(((T96+U96+V96+W96+X96)-Y96)/85*100,0)))</x:f>
        <x:v>64</x:v>
      </x:c>
      <x:c r="AA96" s="18" t="str">
        <x:f>IF(L96="暂不做","P3 暂缓",IF(Z96&gt;=75,"P0 本周做",IF(Z96&gt;=60,"P1 近期做",IF(Z96&gt;=45,"P2 备选","P3 暂缓"))))</x:f>
        <x:v>P1 近期做</x:v>
      </x:c>
      <x:c r="AB96" s="18" t="str">
        <x:f>IF(Y96&gt;=15,"先做合规/相关性复核，不建议直接商业导流",IF(L96="主站","建/优化主站商业页",IF(L96="博客A-知识教程","写知识教程/FAQ文章",IF(L96="博客B-场景人群","写场景需求/选购指南文章",IF(L96="博客C-对比评测","写对比评测/榜单文章","暂不做或人工复核")))))</x:f>
        <x:v>写对比评测/榜单文章</x:v>
      </x:c>
      <x:c r="AC96" s="18" t="str">
        <x:v>Reviews - SOUR APPLE ICE - ExDivo BRIGHT MIRROR 35K Replaceable VAPE kit - ExDivo</x:v>
      </x:c>
      <x:c r="AD96" s="19" t="str">
        <x:v>48</x:v>
      </x:c>
    </x:row>
    <x:row r="97">
      <x:c r="A97" s="40" t="n">
        <x:v>97</x:v>
      </x:c>
      <x:c r="B97" s="18" t="str">
        <x:v>https://exdivo.com/comments/exdivo-bright-mirror-35k-replaceable-vape-kit_25244789</x:v>
      </x:c>
      <x:c r="C97" s="18" t="str">
        <x:v>vape flavor reviews sour apple ice</x:v>
      </x:c>
      <x:c r="D97" s="18" t="str">
        <x:v>recommended</x:v>
      </x:c>
      <x:c r="E97" s="41" t="n">
        <x:v>0</x:v>
      </x:c>
      <x:c r="F97" s="41" t="n">
        <x:v>0</x:v>
      </x:c>
      <x:c r="G97" s="18" t="str">
        <x:v>48</x:v>
      </x:c>
      <x:c r="H97" s="18" t="str">
        <x:v>Flavor / 口味</x:v>
      </x:c>
      <x:c r="I97" s="18" t="str">
        <x:v>商业调查词</x:v>
      </x:c>
      <x:c r="J97" s="18" t="str">
        <x:v>博客C-对比评测</x:v>
      </x:c>
      <x:c r="K97" s="18" t="str"/>
      <x:c r="L97" s="18" t="str">
        <x:f>IF(K97="",J97,K97)</x:f>
        <x:v>博客C-对比评测</x:v>
      </x:c>
      <x:c r="M97" s="18" t="str">
        <x:v>Best/Top/Review/VS/替代方案文章</x:v>
      </x:c>
      <x:c r="N97" s="18" t="str">
        <x:v>Best angle: vape flavor reviews sour apple ice - comparison, pros/cons, and which option fits different buyers</x:v>
      </x:c>
      <x:c r="O97" s="18" t="str">
        <x:v>/collections/flavored-disposable-vapes</x:v>
      </x:c>
      <x:c r="P97" s="18" t="str">
        <x:v>是</x:v>
      </x:c>
      <x:c r="Q97" s="18" t="str">
        <x:v>自然句/品类词/品牌词</x:v>
      </x:c>
      <x:c r="R97" s="18" t="str">
        <x:v>中风险：榜单和评测必须真实、中立，避免夸大</x:v>
      </x:c>
      <x:c r="S97" s="18" t="str">
        <x:v>这类词不直接给主站，先用博客C教育和比较，再导流到最相关集合页。</x:v>
      </x:c>
      <x:c r="T97" s="42" t="n">
        <x:v>1</x:v>
      </x:c>
      <x:c r="U97" s="42" t="n">
        <x:v>15</x:v>
      </x:c>
      <x:c r="V97" s="42" t="n">
        <x:v>16</x:v>
      </x:c>
      <x:c r="W97" s="42" t="n">
        <x:v>15</x:v>
      </x:c>
      <x:c r="X97" s="42" t="n">
        <x:v>13</x:v>
      </x:c>
      <x:c r="Y97" s="42" t="n">
        <x:v>6</x:v>
      </x:c>
      <x:c r="Z97" s="42" t="n">
        <x:f>MAX(0,MIN(100,ROUND(((T97+U97+V97+W97+X97)-Y97)/85*100,0)))</x:f>
        <x:v>64</x:v>
      </x:c>
      <x:c r="AA97" s="18" t="str">
        <x:f>IF(L97="暂不做","P3 暂缓",IF(Z97&gt;=75,"P0 本周做",IF(Z97&gt;=60,"P1 近期做",IF(Z97&gt;=45,"P2 备选","P3 暂缓"))))</x:f>
        <x:v>P1 近期做</x:v>
      </x:c>
      <x:c r="AB97" s="18" t="str">
        <x:f>IF(Y97&gt;=15,"先做合规/相关性复核，不建议直接商业导流",IF(L97="主站","建/优化主站商业页",IF(L97="博客A-知识教程","写知识教程/FAQ文章",IF(L97="博客B-场景人群","写场景需求/选购指南文章",IF(L97="博客C-对比评测","写对比评测/榜单文章","暂不做或人工复核")))))</x:f>
        <x:v>写对比评测/榜单文章</x:v>
      </x:c>
      <x:c r="AC97" s="18" t="str">
        <x:v>Reviews - SOUR APPLE ICE - ExDivo BRIGHT MIRROR 35K Replaceable VAPE kit - ExDivo</x:v>
      </x:c>
      <x:c r="AD97" s="19" t="str">
        <x:v>48</x:v>
      </x:c>
    </x:row>
    <x:row r="98">
      <x:c r="A98" s="40" t="n">
        <x:v>98</x:v>
      </x:c>
      <x:c r="B98" s="18" t="str">
        <x:v>https://exdivo.com/comments/exdivo-bright-mirror-35k-replaceable-vape-kit_25244789</x:v>
      </x:c>
      <x:c r="C98" s="18" t="str">
        <x:v>sour apple ice vape juice</x:v>
      </x:c>
      <x:c r="D98" s="18" t="str">
        <x:v>recommended</x:v>
      </x:c>
      <x:c r="E98" s="41" t="n">
        <x:v>50</x:v>
      </x:c>
      <x:c r="F98" s="41" t="n">
        <x:v>2</x:v>
      </x:c>
      <x:c r="G98" s="18" t="str">
        <x:v>informational</x:v>
      </x:c>
      <x:c r="H98" s="18" t="str">
        <x:v>General Vape</x:v>
      </x:c>
      <x:c r="I98" s="18" t="str">
        <x:v>知识/教程词</x:v>
      </x:c>
      <x:c r="J98" s="18" t="str">
        <x:v>博客A-知识教程</x:v>
      </x:c>
      <x:c r="K98" s="18" t="str"/>
      <x:c r="L98" s="18" t="str">
        <x:f>IF(K98="",J98,K98)</x:f>
        <x:v>博客A-知识教程</x:v>
      </x:c>
      <x:c r="M98" s="18" t="str">
        <x:v>百科/How-to/FAQ文章</x:v>
      </x:c>
      <x:c r="N98" s="18" t="str">
        <x:v>Guide angle: explain sour apple ice vape juice, answer common questions, and avoid sales-first writing</x:v>
      </x:c>
      <x:c r="O98" s="18" t="str">
        <x:v>/collections/disposable-vapes</x:v>
      </x:c>
      <x:c r="P98" s="18" t="str">
        <x:v>谨慎</x:v>
      </x:c>
      <x:c r="Q98" s="18" t="str">
        <x:v>自然句/品牌词</x:v>
      </x:c>
      <x:c r="R98" s="18" t="str">
        <x:v>低中风险：先满足信息意图，导流要克制</x:v>
      </x:c>
      <x:c r="S98" s="18" t="str">
        <x:v>如果文章能自然回答下一步购买问题，再放 1 个主站内链；否则只做知识闭环。</x:v>
      </x:c>
      <x:c r="T98" s="42" t="n">
        <x:v>4</x:v>
      </x:c>
      <x:c r="U98" s="42" t="n">
        <x:v>15</x:v>
      </x:c>
      <x:c r="V98" s="42" t="n">
        <x:v>9</x:v>
      </x:c>
      <x:c r="W98" s="42" t="n">
        <x:v>14</x:v>
      </x:c>
      <x:c r="X98" s="42" t="n">
        <x:v>12</x:v>
      </x:c>
      <x:c r="Y98" s="42" t="n">
        <x:v>5</x:v>
      </x:c>
      <x:c r="Z98" s="42" t="n">
        <x:f>MAX(0,MIN(100,ROUND(((T98+U98+V98+W98+X98)-Y98)/85*100,0)))</x:f>
        <x:v>58</x:v>
      </x:c>
      <x:c r="AA98" s="18" t="str">
        <x:f>IF(L98="暂不做","P3 暂缓",IF(Z98&gt;=75,"P0 本周做",IF(Z98&gt;=60,"P1 近期做",IF(Z98&gt;=45,"P2 备选","P3 暂缓"))))</x:f>
        <x:v>P2 备选</x:v>
      </x:c>
      <x:c r="AB98" s="18" t="str">
        <x:f>IF(Y98&gt;=15,"先做合规/相关性复核，不建议直接商业导流",IF(L98="主站","建/优化主站商业页",IF(L98="博客A-知识教程","写知识教程/FAQ文章",IF(L98="博客B-场景人群","写场景需求/选购指南文章",IF(L98="博客C-对比评测","写对比评测/榜单文章","暂不做或人工复核")))))</x:f>
        <x:v>写知识教程/FAQ文章</x:v>
      </x:c>
      <x:c r="AC98" s="18" t="str">
        <x:v>Reviews - SOUR APPLE ICE - ExDivo BRIGHT MIRROR 35K Replaceable VAPE kit - ExDivo</x:v>
      </x:c>
      <x:c r="AD98" s="19" t="str">
        <x:v>48</x:v>
      </x:c>
    </x:row>
    <x:row r="99">
      <x:c r="A99" s="40" t="n">
        <x:v>99</x:v>
      </x:c>
      <x:c r="B99" s="18" t="str">
        <x:v>https://exdivo.com/comments/exdivo-bright-mirror-35k-replaceable-vape-kit_45396b6c</x:v>
      </x:c>
      <x:c r="C99" s="18" t="str">
        <x:v>peach mango watermelon vape review</x:v>
      </x:c>
      <x:c r="D99" s="18" t="str">
        <x:v>recommended</x:v>
      </x:c>
      <x:c r="E99" s="41" t="n">
        <x:v>0</x:v>
      </x:c>
      <x:c r="F99" s="41" t="n">
        <x:v>0</x:v>
      </x:c>
      <x:c r="G99" s="18" t="str">
        <x:v>48</x:v>
      </x:c>
      <x:c r="H99" s="18" t="str">
        <x:v>对比评测</x:v>
      </x:c>
      <x:c r="I99" s="18" t="str">
        <x:v>商业调查词</x:v>
      </x:c>
      <x:c r="J99" s="18" t="str">
        <x:v>博客C-对比评测</x:v>
      </x:c>
      <x:c r="K99" s="18" t="str"/>
      <x:c r="L99" s="18" t="str">
        <x:f>IF(K99="",J99,K99)</x:f>
        <x:v>博客C-对比评测</x:v>
      </x:c>
      <x:c r="M99" s="18" t="str">
        <x:v>Best/Top/Review/VS/替代方案文章</x:v>
      </x:c>
      <x:c r="N99" s="18" t="str">
        <x:v>Best angle: peach mango watermelon vape review - comparison, pros/cons, and which option fits different buyers</x:v>
      </x:c>
      <x:c r="O99" s="18" t="str">
        <x:v>/collections/disposable-vapes</x:v>
      </x:c>
      <x:c r="P99" s="18" t="str">
        <x:v>是</x:v>
      </x:c>
      <x:c r="Q99" s="18" t="str">
        <x:v>自然句/品类词/品牌词</x:v>
      </x:c>
      <x:c r="R99" s="18" t="str">
        <x:v>中风险：榜单和评测必须真实、中立，避免夸大</x:v>
      </x:c>
      <x:c r="S99" s="18" t="str">
        <x:v>这类词不直接给主站，先用博客C教育和比较，再导流到最相关集合页。</x:v>
      </x:c>
      <x:c r="T99" s="42" t="n">
        <x:v>1</x:v>
      </x:c>
      <x:c r="U99" s="42" t="n">
        <x:v>15</x:v>
      </x:c>
      <x:c r="V99" s="42" t="n">
        <x:v>16</x:v>
      </x:c>
      <x:c r="W99" s="42" t="n">
        <x:v>15</x:v>
      </x:c>
      <x:c r="X99" s="42" t="n">
        <x:v>13</x:v>
      </x:c>
      <x:c r="Y99" s="42" t="n">
        <x:v>6</x:v>
      </x:c>
      <x:c r="Z99" s="42" t="n">
        <x:f>MAX(0,MIN(100,ROUND(((T99+U99+V99+W99+X99)-Y99)/85*100,0)))</x:f>
        <x:v>64</x:v>
      </x:c>
      <x:c r="AA99" s="18" t="str">
        <x:f>IF(L99="暂不做","P3 暂缓",IF(Z99&gt;=75,"P0 本周做",IF(Z99&gt;=60,"P1 近期做",IF(Z99&gt;=45,"P2 备选","P3 暂缓"))))</x:f>
        <x:v>P1 近期做</x:v>
      </x:c>
      <x:c r="AB99" s="18" t="str">
        <x:f>IF(Y99&gt;=15,"先做合规/相关性复核，不建议直接商业导流",IF(L99="主站","建/优化主站商业页",IF(L99="博客A-知识教程","写知识教程/FAQ文章",IF(L99="博客B-场景人群","写场景需求/选购指南文章",IF(L99="博客C-对比评测","写对比评测/榜单文章","暂不做或人工复核")))))</x:f>
        <x:v>写对比评测/榜单文章</x:v>
      </x:c>
      <x:c r="AC99" s="18" t="str">
        <x:v>Reviews - PEACH MANGO WATERMELON - ExDivo BRIGHT MIRROR 35K Replaceable VAPE kit - ExDivo</x:v>
      </x:c>
      <x:c r="AD99" s="19" t="str">
        <x:v>48</x:v>
      </x:c>
    </x:row>
    <x:row r="100">
      <x:c r="A100" s="40" t="n">
        <x:v>100</x:v>
      </x:c>
      <x:c r="B100" s="18" t="str">
        <x:v>https://exdivo.com/comments/exdivo-bright-mirror-35k-replaceable-vape-kit_45396b6c</x:v>
      </x:c>
      <x:c r="C100" s="18" t="str">
        <x:v>vape flavor reviews peach mango watermelon</x:v>
      </x:c>
      <x:c r="D100" s="18" t="str">
        <x:v>recommended</x:v>
      </x:c>
      <x:c r="E100" s="41" t="n">
        <x:v>0</x:v>
      </x:c>
      <x:c r="F100" s="41" t="n">
        <x:v>0</x:v>
      </x:c>
      <x:c r="G100" s="18" t="str">
        <x:v>48</x:v>
      </x:c>
      <x:c r="H100" s="18" t="str">
        <x:v>Flavor / 口味</x:v>
      </x:c>
      <x:c r="I100" s="18" t="str">
        <x:v>商业调查词</x:v>
      </x:c>
      <x:c r="J100" s="18" t="str">
        <x:v>博客C-对比评测</x:v>
      </x:c>
      <x:c r="K100" s="18" t="str"/>
      <x:c r="L100" s="18" t="str">
        <x:f>IF(K100="",J100,K100)</x:f>
        <x:v>博客C-对比评测</x:v>
      </x:c>
      <x:c r="M100" s="18" t="str">
        <x:v>Best/Top/Review/VS/替代方案文章</x:v>
      </x:c>
      <x:c r="N100" s="18" t="str">
        <x:v>Best angle: vape flavor reviews peach mango watermelon - comparison, pros/cons, and which option fits different buyers</x:v>
      </x:c>
      <x:c r="O100" s="18" t="str">
        <x:v>/collections/flavored-disposable-vapes</x:v>
      </x:c>
      <x:c r="P100" s="18" t="str">
        <x:v>是</x:v>
      </x:c>
      <x:c r="Q100" s="18" t="str">
        <x:v>自然句/品类词/品牌词</x:v>
      </x:c>
      <x:c r="R100" s="18" t="str">
        <x:v>中风险：榜单和评测必须真实、中立，避免夸大</x:v>
      </x:c>
      <x:c r="S100" s="18" t="str">
        <x:v>这类词不直接给主站，先用博客C教育和比较，再导流到最相关集合页。</x:v>
      </x:c>
      <x:c r="T100" s="42" t="n">
        <x:v>1</x:v>
      </x:c>
      <x:c r="U100" s="42" t="n">
        <x:v>15</x:v>
      </x:c>
      <x:c r="V100" s="42" t="n">
        <x:v>16</x:v>
      </x:c>
      <x:c r="W100" s="42" t="n">
        <x:v>15</x:v>
      </x:c>
      <x:c r="X100" s="42" t="n">
        <x:v>13</x:v>
      </x:c>
      <x:c r="Y100" s="42" t="n">
        <x:v>6</x:v>
      </x:c>
      <x:c r="Z100" s="42" t="n">
        <x:f>MAX(0,MIN(100,ROUND(((T100+U100+V100+W100+X100)-Y100)/85*100,0)))</x:f>
        <x:v>64</x:v>
      </x:c>
      <x:c r="AA100" s="18" t="str">
        <x:f>IF(L100="暂不做","P3 暂缓",IF(Z100&gt;=75,"P0 本周做",IF(Z100&gt;=60,"P1 近期做",IF(Z100&gt;=45,"P2 备选","P3 暂缓"))))</x:f>
        <x:v>P1 近期做</x:v>
      </x:c>
      <x:c r="AB100" s="18" t="str">
        <x:f>IF(Y100&gt;=15,"先做合规/相关性复核，不建议直接商业导流",IF(L100="主站","建/优化主站商业页",IF(L100="博客A-知识教程","写知识教程/FAQ文章",IF(L100="博客B-场景人群","写场景需求/选购指南文章",IF(L100="博客C-对比评测","写对比评测/榜单文章","暂不做或人工复核")))))</x:f>
        <x:v>写对比评测/榜单文章</x:v>
      </x:c>
      <x:c r="AC100" s="18" t="str">
        <x:v>Reviews - PEACH MANGO WATERMELON - ExDivo BRIGHT MIRROR 35K Replaceable VAPE kit - ExDivo</x:v>
      </x:c>
      <x:c r="AD100" s="19" t="str">
        <x:v>48</x:v>
      </x:c>
    </x:row>
    <x:row r="101">
      <x:c r="A101" s="40" t="n">
        <x:v>101</x:v>
      </x:c>
      <x:c r="B101" s="18" t="str">
        <x:v>https://exdivo.com/comments/exdivo-bright-mirror-35k-replaceable-vape-kit_17dd6a51</x:v>
      </x:c>
      <x:c r="C101" s="18" t="str">
        <x:v>exdivo mexican mango flavor</x:v>
      </x:c>
      <x:c r="D101" s="18" t="str">
        <x:v>recommended</x:v>
      </x:c>
      <x:c r="E101" s="41" t="n">
        <x:v>0</x:v>
      </x:c>
      <x:c r="F101" s="41" t="n">
        <x:v>0</x:v>
      </x:c>
      <x:c r="G101" s="18" t="str">
        <x:v>48</x:v>
      </x:c>
      <x:c r="H101" s="18" t="str">
        <x:v>Flavor / 口味</x:v>
      </x:c>
      <x:c r="I101" s="18" t="str">
        <x:v>场景/需求词</x:v>
      </x:c>
      <x:c r="J101" s="18" t="str">
        <x:v>博客B-场景人群</x:v>
      </x:c>
      <x:c r="K101" s="18" t="str"/>
      <x:c r="L101" s="18" t="str">
        <x:f>IF(K101="",J101,K101)</x:f>
        <x:v>博客B-场景人群</x:v>
      </x:c>
      <x:c r="M101" s="18" t="str">
        <x:v>场景解决方案/选购指南文章</x:v>
      </x:c>
      <x:c r="N101" s="18" t="str">
        <x:v>Scenario angle: how to choose exdivo mexican mango flavor based on use case, flavor, nicotine, and budget</x:v>
      </x:c>
      <x:c r="O101" s="18" t="str">
        <x:v>/collections/flavored-disposable-vapes</x:v>
      </x:c>
      <x:c r="P101" s="18" t="str">
        <x:v>是</x:v>
      </x:c>
      <x:c r="Q101" s="18" t="str">
        <x:v>自然句/品类词</x:v>
      </x:c>
      <x:c r="R101" s="18" t="str">
        <x:v>低中风险：适合软性导流，但不要夸大效果或触碰健康疗效</x:v>
      </x:c>
      <x:c r="S101" s="18" t="str">
        <x:v>围绕使用场景、口味、尼古丁需求、便携性等写，不和主站品类页抢词。</x:v>
      </x:c>
      <x:c r="T101" s="42" t="n">
        <x:v>1</x:v>
      </x:c>
      <x:c r="U101" s="42" t="n">
        <x:v>15</x:v>
      </x:c>
      <x:c r="V101" s="42" t="n">
        <x:v>13</x:v>
      </x:c>
      <x:c r="W101" s="42" t="n">
        <x:v>14</x:v>
      </x:c>
      <x:c r="X101" s="42" t="n">
        <x:v>13</x:v>
      </x:c>
      <x:c r="Y101" s="42" t="n">
        <x:v>5</x:v>
      </x:c>
      <x:c r="Z101" s="42" t="n">
        <x:f>MAX(0,MIN(100,ROUND(((T101+U101+V101+W101+X101)-Y101)/85*100,0)))</x:f>
        <x:v>60</x:v>
      </x:c>
      <x:c r="AA101" s="18" t="str">
        <x:f>IF(L101="暂不做","P3 暂缓",IF(Z101&gt;=75,"P0 本周做",IF(Z101&gt;=60,"P1 近期做",IF(Z101&gt;=45,"P2 备选","P3 暂缓"))))</x:f>
        <x:v>P1 近期做</x:v>
      </x:c>
      <x:c r="AB101" s="18" t="str">
        <x:f>IF(Y101&gt;=15,"先做合规/相关性复核，不建议直接商业导流",IF(L101="主站","建/优化主站商业页",IF(L101="博客A-知识教程","写知识教程/FAQ文章",IF(L101="博客B-场景人群","写场景需求/选购指南文章",IF(L101="博客C-对比评测","写对比评测/榜单文章","暂不做或人工复核")))))</x:f>
        <x:v>写场景需求/选购指南文章</x:v>
      </x:c>
      <x:c r="AC101" s="18" t="str">
        <x:v>Reviews - MEXICAN MANGO - ExDivo BRIGHT MIRROR 35K Replaceable VAPE kit - ExDivo</x:v>
      </x:c>
      <x:c r="AD101" s="19" t="str">
        <x:v>48</x:v>
      </x:c>
    </x:row>
    <x:row r="102">
      <x:c r="A102" s="40" t="n">
        <x:v>102</x:v>
      </x:c>
      <x:c r="B102" s="18" t="str">
        <x:v>https://exdivo.com/comments/exdivo-bright-mirror-35k-replaceable-vape-kit_17dd6a51</x:v>
      </x:c>
      <x:c r="C102" s="18" t="str">
        <x:v>exdivo bright mirror 35k review</x:v>
      </x:c>
      <x:c r="D102" s="18" t="str">
        <x:v>recommended</x:v>
      </x:c>
      <x:c r="E102" s="41" t="n">
        <x:v>0</x:v>
      </x:c>
      <x:c r="F102" s="41" t="n">
        <x:v>0</x:v>
      </x:c>
      <x:c r="G102" s="18" t="str">
        <x:v>48</x:v>
      </x:c>
      <x:c r="H102" s="18" t="str">
        <x:v>对比评测</x:v>
      </x:c>
      <x:c r="I102" s="18" t="str">
        <x:v>商业调查词</x:v>
      </x:c>
      <x:c r="J102" s="18" t="str">
        <x:v>博客C-对比评测</x:v>
      </x:c>
      <x:c r="K102" s="18" t="str"/>
      <x:c r="L102" s="18" t="str">
        <x:f>IF(K102="",J102,K102)</x:f>
        <x:v>博客C-对比评测</x:v>
      </x:c>
      <x:c r="M102" s="18" t="str">
        <x:v>Best/Top/Review/VS/替代方案文章</x:v>
      </x:c>
      <x:c r="N102" s="18" t="str">
        <x:v>Best angle: exdivo bright mirror 35k review - comparison, pros/cons, and which option fits different buyers</x:v>
      </x:c>
      <x:c r="O102" s="18" t="str">
        <x:v>/collections/disposable-vapes</x:v>
      </x:c>
      <x:c r="P102" s="18" t="str">
        <x:v>是</x:v>
      </x:c>
      <x:c r="Q102" s="18" t="str">
        <x:v>自然句/品类词/品牌词</x:v>
      </x:c>
      <x:c r="R102" s="18" t="str">
        <x:v>中风险：榜单和评测必须真实、中立，避免夸大</x:v>
      </x:c>
      <x:c r="S102" s="18" t="str">
        <x:v>这类词不直接给主站，先用博客C教育和比较，再导流到最相关集合页。</x:v>
      </x:c>
      <x:c r="T102" s="42" t="n">
        <x:v>1</x:v>
      </x:c>
      <x:c r="U102" s="42" t="n">
        <x:v>15</x:v>
      </x:c>
      <x:c r="V102" s="42" t="n">
        <x:v>16</x:v>
      </x:c>
      <x:c r="W102" s="42" t="n">
        <x:v>15</x:v>
      </x:c>
      <x:c r="X102" s="42" t="n">
        <x:v>13</x:v>
      </x:c>
      <x:c r="Y102" s="42" t="n">
        <x:v>6</x:v>
      </x:c>
      <x:c r="Z102" s="42" t="n">
        <x:f>MAX(0,MIN(100,ROUND(((T102+U102+V102+W102+X102)-Y102)/85*100,0)))</x:f>
        <x:v>64</x:v>
      </x:c>
      <x:c r="AA102" s="18" t="str">
        <x:f>IF(L102="暂不做","P3 暂缓",IF(Z102&gt;=75,"P0 本周做",IF(Z102&gt;=60,"P1 近期做",IF(Z102&gt;=45,"P2 备选","P3 暂缓"))))</x:f>
        <x:v>P1 近期做</x:v>
      </x:c>
      <x:c r="AB102" s="18" t="str">
        <x:f>IF(Y102&gt;=15,"先做合规/相关性复核，不建议直接商业导流",IF(L102="主站","建/优化主站商业页",IF(L102="博客A-知识教程","写知识教程/FAQ文章",IF(L102="博客B-场景人群","写场景需求/选购指南文章",IF(L102="博客C-对比评测","写对比评测/榜单文章","暂不做或人工复核")))))</x:f>
        <x:v>写对比评测/榜单文章</x:v>
      </x:c>
      <x:c r="AC102" s="18" t="str">
        <x:v>Reviews - MEXICAN MANGO - ExDivo BRIGHT MIRROR 35K Replaceable VAPE kit - ExDivo</x:v>
      </x:c>
      <x:c r="AD102" s="19" t="str">
        <x:v>48</x:v>
      </x:c>
    </x:row>
    <x:row r="103">
      <x:c r="A103" s="40" t="n">
        <x:v>103</x:v>
      </x:c>
      <x:c r="B103" s="18" t="str">
        <x:v>https://exdivo.com/blogs/exdivo-disposable-vape-review-flavor-performance-and-value?data_from=index_index</x:v>
      </x:c>
      <x:c r="C103" s="18" t="str">
        <x:v>best vape disposable</x:v>
      </x:c>
      <x:c r="D103" s="18" t="str">
        <x:v>recommended</x:v>
      </x:c>
      <x:c r="E103" s="41" t="n">
        <x:v>1300</x:v>
      </x:c>
      <x:c r="F103" s="41" t="n">
        <x:v>34</x:v>
      </x:c>
      <x:c r="G103" s="18" t="str">
        <x:v>commercial</x:v>
      </x:c>
      <x:c r="H103" s="18" t="str">
        <x:v>Disposable Vape</x:v>
      </x:c>
      <x:c r="I103" s="18" t="str">
        <x:v>商业调查词</x:v>
      </x:c>
      <x:c r="J103" s="18" t="str">
        <x:v>博客C-对比评测</x:v>
      </x:c>
      <x:c r="K103" s="18" t="str"/>
      <x:c r="L103" s="18" t="str">
        <x:f>IF(K103="",J103,K103)</x:f>
        <x:v>博客C-对比评测</x:v>
      </x:c>
      <x:c r="M103" s="18" t="str">
        <x:v>Best/Top/Review/VS/替代方案文章</x:v>
      </x:c>
      <x:c r="N103" s="18" t="str">
        <x:v>Best angle: best vape disposable - comparison, pros/cons, and which option fits different buyers</x:v>
      </x:c>
      <x:c r="O103" s="18" t="str">
        <x:v>/collections/disposable-vapes</x:v>
      </x:c>
      <x:c r="P103" s="18" t="str">
        <x:v>是</x:v>
      </x:c>
      <x:c r="Q103" s="18" t="str">
        <x:v>自然句/品类词/品牌词</x:v>
      </x:c>
      <x:c r="R103" s="18" t="str">
        <x:v>中风险：榜单和评测必须真实、中立，避免夸大</x:v>
      </x:c>
      <x:c r="S103" s="18" t="str">
        <x:v>这类词不直接给主站，先用博客C教育和比较，再导流到最相关集合页。</x:v>
      </x:c>
      <x:c r="T103" s="42" t="n">
        <x:v>13</x:v>
      </x:c>
      <x:c r="U103" s="42" t="n">
        <x:v>9</x:v>
      </x:c>
      <x:c r="V103" s="42" t="n">
        <x:v>16</x:v>
      </x:c>
      <x:c r="W103" s="42" t="n">
        <x:v>15</x:v>
      </x:c>
      <x:c r="X103" s="42" t="n">
        <x:v>13</x:v>
      </x:c>
      <x:c r="Y103" s="42" t="n">
        <x:v>6</x:v>
      </x:c>
      <x:c r="Z103" s="42" t="n">
        <x:f>MAX(0,MIN(100,ROUND(((T103+U103+V103+W103+X103)-Y103)/85*100,0)))</x:f>
        <x:v>71</x:v>
      </x:c>
      <x:c r="AA103" s="18" t="str">
        <x:f>IF(L103="暂不做","P3 暂缓",IF(Z103&gt;=75,"P0 本周做",IF(Z103&gt;=60,"P1 近期做",IF(Z103&gt;=45,"P2 备选","P3 暂缓"))))</x:f>
        <x:v>P1 近期做</x:v>
      </x:c>
      <x:c r="AB103" s="18" t="str">
        <x:f>IF(Y103&gt;=15,"先做合规/相关性复核，不建议直接商业导流",IF(L103="主站","建/优化主站商业页",IF(L103="博客A-知识教程","写知识教程/FAQ文章",IF(L103="博客B-场景人群","写场景需求/选购指南文章",IF(L103="博客C-对比评测","写对比评测/榜单文章","暂不做或人工复核")))))</x:f>
        <x:v>写对比评测/榜单文章</x:v>
      </x:c>
      <x:c r="AC103" s="18" t="str">
        <x:v>EXDIVO Disposable Vape Review: Flavor, Performance, and Value - ExDivo</x:v>
      </x:c>
      <x:c r="AD103" s="19" t="str">
        <x:v>exdivo disposable vape review: flavor, performance, and value</x:v>
      </x:c>
    </x:row>
    <x:row r="104">
      <x:c r="A104" s="40" t="n">
        <x:v>104</x:v>
      </x:c>
      <x:c r="B104" s="18" t="str">
        <x:v>https://exdivo.com/blogs/exdivo-disposable-vape-review-flavor-performance-and-value?data_from=index_index</x:v>
      </x:c>
      <x:c r="C104" s="18" t="str">
        <x:v>disposable vape deals</x:v>
      </x:c>
      <x:c r="D104" s="18" t="str">
        <x:v>recommended</x:v>
      </x:c>
      <x:c r="E104" s="41" t="n">
        <x:v>390</x:v>
      </x:c>
      <x:c r="F104" s="41" t="n">
        <x:v>31</x:v>
      </x:c>
      <x:c r="G104" s="18" t="str">
        <x:v>commercial</x:v>
      </x:c>
      <x:c r="H104" s="18" t="str">
        <x:v>Disposable Vape</x:v>
      </x:c>
      <x:c r="I104" s="18" t="str">
        <x:v>品类承接词</x:v>
      </x:c>
      <x:c r="J104" s="18" t="str">
        <x:v>主站</x:v>
      </x:c>
      <x:c r="K104" s="18" t="str"/>
      <x:c r="L104" s="18" t="str">
        <x:f>IF(K104="",J104,K104)</x:f>
        <x:v>主站</x:v>
      </x:c>
      <x:c r="M104" s="18" t="str">
        <x:v>品类页/集合页 + FAQ内容块</x:v>
      </x:c>
      <x:c r="N104" s="18" t="str">
        <x:v>主站品类页：用产品集合 + 选购说明承接</x:v>
      </x:c>
      <x:c r="O104" s="18" t="str">
        <x:v>/collections/disposable-vapes</x:v>
      </x:c>
      <x:c r="P104" s="18" t="str">
        <x:v>不适用</x:v>
      </x:c>
      <x:c r="Q104" s="18" t="str">
        <x:v>主站页面自身承接</x:v>
      </x:c>
      <x:c r="R104" s="18" t="str">
        <x:v>核心品类词：主站优先，博客只做长尾解释，不直接抢同一词</x:v>
      </x:c>
      <x:c r="S104" s="18" t="str">
        <x:v>如果 Google 首页产品页和指南混合，主站页要加 FAQ、选购指南、对比模块。</x:v>
      </x:c>
      <x:c r="T104" s="42" t="n">
        <x:v>7</x:v>
      </x:c>
      <x:c r="U104" s="42" t="n">
        <x:v>9</x:v>
      </x:c>
      <x:c r="V104" s="42" t="n">
        <x:v>18</x:v>
      </x:c>
      <x:c r="W104" s="42" t="n">
        <x:v>8</x:v>
      </x:c>
      <x:c r="X104" s="42" t="n">
        <x:v>15</x:v>
      </x:c>
      <x:c r="Y104" s="42" t="n">
        <x:v>4</x:v>
      </x:c>
      <x:c r="Z104" s="42" t="n">
        <x:f>MAX(0,MIN(100,ROUND(((T104+U104+V104+W104+X104)-Y104)/85*100,0)))</x:f>
        <x:v>62</x:v>
      </x:c>
      <x:c r="AA104" s="18" t="str">
        <x:f>IF(L104="暂不做","P3 暂缓",IF(Z104&gt;=75,"P0 本周做",IF(Z104&gt;=60,"P1 近期做",IF(Z104&gt;=45,"P2 备选","P3 暂缓"))))</x:f>
        <x:v>P1 近期做</x:v>
      </x:c>
      <x:c r="AB104" s="18" t="str">
        <x:f>IF(Y104&gt;=15,"先做合规/相关性复核，不建议直接商业导流",IF(L104="主站","建/优化主站商业页",IF(L104="博客A-知识教程","写知识教程/FAQ文章",IF(L104="博客B-场景人群","写场景需求/选购指南文章",IF(L104="博客C-对比评测","写对比评测/榜单文章","暂不做或人工复核")))))</x:f>
        <x:v>建/优化主站商业页</x:v>
      </x:c>
      <x:c r="AC104" s="18" t="str">
        <x:v>EXDIVO Disposable Vape Review: Flavor, Performance, and Value - ExDivo</x:v>
      </x:c>
      <x:c r="AD104" s="19" t="str">
        <x:v>exdivo disposable vape review: flavor, performance, and value</x:v>
      </x:c>
    </x:row>
    <x:row r="105">
      <x:c r="A105" s="40" t="n">
        <x:v>105</x:v>
      </x:c>
      <x:c r="B105" s="18" t="str">
        <x:v>https://exdivo.com/blogs/exdivo-disposable-vape-review-flavor-performance-and-value?data_from=index_index</x:v>
      </x:c>
      <x:c r="C105" s="18" t="str">
        <x:v>best tasting disposable vape</x:v>
      </x:c>
      <x:c r="D105" s="18" t="str">
        <x:v>recommended</x:v>
      </x:c>
      <x:c r="E105" s="41" t="n">
        <x:v>140</x:v>
      </x:c>
      <x:c r="F105" s="41" t="n">
        <x:v>25</x:v>
      </x:c>
      <x:c r="G105" s="18" t="str">
        <x:v>commercial</x:v>
      </x:c>
      <x:c r="H105" s="18" t="str">
        <x:v>Disposable Vape</x:v>
      </x:c>
      <x:c r="I105" s="18" t="str">
        <x:v>商业调查词</x:v>
      </x:c>
      <x:c r="J105" s="18" t="str">
        <x:v>博客C-对比评测</x:v>
      </x:c>
      <x:c r="K105" s="18" t="str"/>
      <x:c r="L105" s="18" t="str">
        <x:f>IF(K105="",J105,K105)</x:f>
        <x:v>博客C-对比评测</x:v>
      </x:c>
      <x:c r="M105" s="18" t="str">
        <x:v>Best/Top/Review/VS/替代方案文章</x:v>
      </x:c>
      <x:c r="N105" s="18" t="str">
        <x:v>Best angle: best tasting disposable vape - comparison, pros/cons, and which option fits different buyers</x:v>
      </x:c>
      <x:c r="O105" s="18" t="str">
        <x:v>/collections/disposable-vapes</x:v>
      </x:c>
      <x:c r="P105" s="18" t="str">
        <x:v>是</x:v>
      </x:c>
      <x:c r="Q105" s="18" t="str">
        <x:v>自然句/品类词/品牌词</x:v>
      </x:c>
      <x:c r="R105" s="18" t="str">
        <x:v>中风险：榜单和评测必须真实、中立，避免夸大</x:v>
      </x:c>
      <x:c r="S105" s="18" t="str">
        <x:v>这类词不直接给主站，先用博客C教育和比较，再导流到最相关集合页。</x:v>
      </x:c>
      <x:c r="T105" s="42" t="n">
        <x:v>7</x:v>
      </x:c>
      <x:c r="U105" s="42" t="n">
        <x:v>12</x:v>
      </x:c>
      <x:c r="V105" s="42" t="n">
        <x:v>16</x:v>
      </x:c>
      <x:c r="W105" s="42" t="n">
        <x:v>15</x:v>
      </x:c>
      <x:c r="X105" s="42" t="n">
        <x:v>13</x:v>
      </x:c>
      <x:c r="Y105" s="42" t="n">
        <x:v>6</x:v>
      </x:c>
      <x:c r="Z105" s="42" t="n">
        <x:f>MAX(0,MIN(100,ROUND(((T105+U105+V105+W105+X105)-Y105)/85*100,0)))</x:f>
        <x:v>67</x:v>
      </x:c>
      <x:c r="AA105" s="18" t="str">
        <x:f>IF(L105="暂不做","P3 暂缓",IF(Z105&gt;=75,"P0 本周做",IF(Z105&gt;=60,"P1 近期做",IF(Z105&gt;=45,"P2 备选","P3 暂缓"))))</x:f>
        <x:v>P1 近期做</x:v>
      </x:c>
      <x:c r="AB105" s="18" t="str">
        <x:f>IF(Y105&gt;=15,"先做合规/相关性复核，不建议直接商业导流",IF(L105="主站","建/优化主站商业页",IF(L105="博客A-知识教程","写知识教程/FAQ文章",IF(L105="博客B-场景人群","写场景需求/选购指南文章",IF(L105="博客C-对比评测","写对比评测/榜单文章","暂不做或人工复核")))))</x:f>
        <x:v>写对比评测/榜单文章</x:v>
      </x:c>
      <x:c r="AC105" s="18" t="str">
        <x:v>EXDIVO Disposable Vape Review: Flavor, Performance, and Value - ExDivo</x:v>
      </x:c>
      <x:c r="AD105" s="19" t="str">
        <x:v>exdivo disposable vape review: flavor, performance, and value</x:v>
      </x:c>
    </x:row>
    <x:row r="106">
      <x:c r="A106" s="40" t="n">
        <x:v>106</x:v>
      </x:c>
      <x:c r="B106" s="18" t="str">
        <x:v>https://exdivo.com/blogs/exdivo-disposable-vape-review-flavor-performance-and-value?data_from=index_index</x:v>
      </x:c>
      <x:c r="C106" s="18" t="str">
        <x:v>best tobacco disposable vape</x:v>
      </x:c>
      <x:c r="D106" s="18" t="str">
        <x:v>recommended</x:v>
      </x:c>
      <x:c r="E106" s="41" t="n">
        <x:v>50</x:v>
      </x:c>
      <x:c r="F106" s="41" t="n">
        <x:v>4</x:v>
      </x:c>
      <x:c r="G106" s="18" t="str">
        <x:v>commercial</x:v>
      </x:c>
      <x:c r="H106" s="18" t="str">
        <x:v>Disposable Vape</x:v>
      </x:c>
      <x:c r="I106" s="18" t="str">
        <x:v>商业调查词</x:v>
      </x:c>
      <x:c r="J106" s="18" t="str">
        <x:v>博客C-对比评测</x:v>
      </x:c>
      <x:c r="K106" s="18" t="str"/>
      <x:c r="L106" s="18" t="str">
        <x:f>IF(K106="",J106,K106)</x:f>
        <x:v>博客C-对比评测</x:v>
      </x:c>
      <x:c r="M106" s="18" t="str">
        <x:v>Best/Top/Review/VS/替代方案文章</x:v>
      </x:c>
      <x:c r="N106" s="18" t="str">
        <x:v>Best angle: best tobacco disposable vape - comparison, pros/cons, and which option fits different buyers</x:v>
      </x:c>
      <x:c r="O106" s="18" t="str">
        <x:v>/collections/disposable-vapes</x:v>
      </x:c>
      <x:c r="P106" s="18" t="str">
        <x:v>是</x:v>
      </x:c>
      <x:c r="Q106" s="18" t="str">
        <x:v>自然句/品类词/品牌词</x:v>
      </x:c>
      <x:c r="R106" s="18" t="str">
        <x:v>中风险：榜单和评测必须真实、中立，避免夸大</x:v>
      </x:c>
      <x:c r="S106" s="18" t="str">
        <x:v>这类词不直接给主站，先用博客C教育和比较，再导流到最相关集合页。</x:v>
      </x:c>
      <x:c r="T106" s="42" t="n">
        <x:v>4</x:v>
      </x:c>
      <x:c r="U106" s="42" t="n">
        <x:v>15</x:v>
      </x:c>
      <x:c r="V106" s="42" t="n">
        <x:v>16</x:v>
      </x:c>
      <x:c r="W106" s="42" t="n">
        <x:v>15</x:v>
      </x:c>
      <x:c r="X106" s="42" t="n">
        <x:v>13</x:v>
      </x:c>
      <x:c r="Y106" s="42" t="n">
        <x:v>6</x:v>
      </x:c>
      <x:c r="Z106" s="42" t="n">
        <x:f>MAX(0,MIN(100,ROUND(((T106+U106+V106+W106+X106)-Y106)/85*100,0)))</x:f>
        <x:v>67</x:v>
      </x:c>
      <x:c r="AA106" s="18" t="str">
        <x:f>IF(L106="暂不做","P3 暂缓",IF(Z106&gt;=75,"P0 本周做",IF(Z106&gt;=60,"P1 近期做",IF(Z106&gt;=45,"P2 备选","P3 暂缓"))))</x:f>
        <x:v>P1 近期做</x:v>
      </x:c>
      <x:c r="AB106" s="18" t="str">
        <x:f>IF(Y106&gt;=15,"先做合规/相关性复核，不建议直接商业导流",IF(L106="主站","建/优化主站商业页",IF(L106="博客A-知识教程","写知识教程/FAQ文章",IF(L106="博客B-场景人群","写场景需求/选购指南文章",IF(L106="博客C-对比评测","写对比评测/榜单文章","暂不做或人工复核")))))</x:f>
        <x:v>写对比评测/榜单文章</x:v>
      </x:c>
      <x:c r="AC106" s="18" t="str">
        <x:v>EXDIVO Disposable Vape Review: Flavor, Performance, and Value - ExDivo</x:v>
      </x:c>
      <x:c r="AD106" s="19" t="str">
        <x:v>exdivo disposable vape review: flavor, performance, and value</x:v>
      </x:c>
    </x:row>
    <x:row r="107">
      <x:c r="A107" s="40" t="n">
        <x:v>107</x:v>
      </x:c>
      <x:c r="B107" s="18" t="str">
        <x:v>https://exdivo.com/blogs/exdivo-disposable-vape-review-flavor-performance-and-value?data_from=index_index</x:v>
      </x:c>
      <x:c r="C107" s="18" t="str">
        <x:v>best disposable vape brand</x:v>
      </x:c>
      <x:c r="D107" s="18" t="str">
        <x:v>recommended</x:v>
      </x:c>
      <x:c r="E107" s="41" t="n">
        <x:v>90</x:v>
      </x:c>
      <x:c r="F107" s="41" t="n">
        <x:v>22</x:v>
      </x:c>
      <x:c r="G107" s="18" t="str">
        <x:v>commercial</x:v>
      </x:c>
      <x:c r="H107" s="18" t="str">
        <x:v>Disposable Vape</x:v>
      </x:c>
      <x:c r="I107" s="18" t="str">
        <x:v>商业调查词</x:v>
      </x:c>
      <x:c r="J107" s="18" t="str">
        <x:v>博客C-对比评测</x:v>
      </x:c>
      <x:c r="K107" s="18" t="str"/>
      <x:c r="L107" s="18" t="str">
        <x:f>IF(K107="",J107,K107)</x:f>
        <x:v>博客C-对比评测</x:v>
      </x:c>
      <x:c r="M107" s="18" t="str">
        <x:v>Best/Top/Review/VS/替代方案文章</x:v>
      </x:c>
      <x:c r="N107" s="18" t="str">
        <x:v>Best angle: best disposable vape brand - comparison, pros/cons, and which option fits different buyers</x:v>
      </x:c>
      <x:c r="O107" s="18" t="str">
        <x:v>/collections/disposable-vapes</x:v>
      </x:c>
      <x:c r="P107" s="18" t="str">
        <x:v>是</x:v>
      </x:c>
      <x:c r="Q107" s="18" t="str">
        <x:v>自然句/品类词/品牌词</x:v>
      </x:c>
      <x:c r="R107" s="18" t="str">
        <x:v>中风险：榜单和评测必须真实、中立，避免夸大</x:v>
      </x:c>
      <x:c r="S107" s="18" t="str">
        <x:v>这类词不直接给主站，先用博客C教育和比较，再导流到最相关集合页。</x:v>
      </x:c>
      <x:c r="T107" s="42" t="n">
        <x:v>4</x:v>
      </x:c>
      <x:c r="U107" s="42" t="n">
        <x:v>12</x:v>
      </x:c>
      <x:c r="V107" s="42" t="n">
        <x:v>16</x:v>
      </x:c>
      <x:c r="W107" s="42" t="n">
        <x:v>15</x:v>
      </x:c>
      <x:c r="X107" s="42" t="n">
        <x:v>13</x:v>
      </x:c>
      <x:c r="Y107" s="42" t="n">
        <x:v>6</x:v>
      </x:c>
      <x:c r="Z107" s="42" t="n">
        <x:f>MAX(0,MIN(100,ROUND(((T107+U107+V107+W107+X107)-Y107)/85*100,0)))</x:f>
        <x:v>64</x:v>
      </x:c>
      <x:c r="AA107" s="18" t="str">
        <x:f>IF(L107="暂不做","P3 暂缓",IF(Z107&gt;=75,"P0 本周做",IF(Z107&gt;=60,"P1 近期做",IF(Z107&gt;=45,"P2 备选","P3 暂缓"))))</x:f>
        <x:v>P1 近期做</x:v>
      </x:c>
      <x:c r="AB107" s="18" t="str">
        <x:f>IF(Y107&gt;=15,"先做合规/相关性复核，不建议直接商业导流",IF(L107="主站","建/优化主站商业页",IF(L107="博客A-知识教程","写知识教程/FAQ文章",IF(L107="博客B-场景人群","写场景需求/选购指南文章",IF(L107="博客C-对比评测","写对比评测/榜单文章","暂不做或人工复核")))))</x:f>
        <x:v>写对比评测/榜单文章</x:v>
      </x:c>
      <x:c r="AC107" s="18" t="str">
        <x:v>EXDIVO Disposable Vape Review: Flavor, Performance, and Value - ExDivo</x:v>
      </x:c>
      <x:c r="AD107" s="19" t="str">
        <x:v>exdivo disposable vape review: flavor, performance, and value</x:v>
      </x:c>
    </x:row>
    <x:row r="108">
      <x:c r="A108" s="40" t="n">
        <x:v>108</x:v>
      </x:c>
      <x:c r="B108" s="18" t="str">
        <x:v>https://exdivo.com/blogs/exdivo-disposable-vape-review-flavor-performance-and-value?data_from=index_index</x:v>
      </x:c>
      <x:c r="C108" s="18" t="str">
        <x:v>cheap disposable vape</x:v>
      </x:c>
      <x:c r="D108" s="18" t="str">
        <x:v>recommended</x:v>
      </x:c>
      <x:c r="E108" s="41" t="n">
        <x:v>140</x:v>
      </x:c>
      <x:c r="F108" s="41" t="n">
        <x:v>38</x:v>
      </x:c>
      <x:c r="G108" s="18" t="str">
        <x:v>commercial</x:v>
      </x:c>
      <x:c r="H108" s="18" t="str">
        <x:v>Disposable Vape</x:v>
      </x:c>
      <x:c r="I108" s="18" t="str">
        <x:v>交易词</x:v>
      </x:c>
      <x:c r="J108" s="18" t="str">
        <x:v>主站</x:v>
      </x:c>
      <x:c r="K108" s="18" t="str"/>
      <x:c r="L108" s="18" t="str">
        <x:f>IF(K108="",J108,K108)</x:f>
        <x:v>主站</x:v>
      </x:c>
      <x:c r="M108" s="18" t="str">
        <x:v>产品集合页/分类页/购买页</x:v>
      </x:c>
      <x:c r="N108" s="18" t="str">
        <x:v>主站商业页：标题围绕购买意图 + 品类 + 关键卖点</x:v>
      </x:c>
      <x:c r="O108" s="18" t="str">
        <x:v>/collections/disposable-vapes</x:v>
      </x:c>
      <x:c r="P108" s="18" t="str">
        <x:v>不适用</x:v>
      </x:c>
      <x:c r="Q108" s="18" t="str">
        <x:v>主站页面自身承接</x:v>
      </x:c>
      <x:c r="R108" s="18" t="str">
        <x:v>商业词：优先给主站，避免博客抢主站排名</x:v>
      </x:c>
      <x:c r="S108" s="18" t="str">
        <x:v>SERP 如为商品列表/品牌站/电商集合页，就建主站页面；若 SERP 全是教程，再拆支持文章。</x:v>
      </x:c>
      <x:c r="T108" s="42" t="n">
        <x:v>7</x:v>
      </x:c>
      <x:c r="U108" s="42" t="n">
        <x:v>9</x:v>
      </x:c>
      <x:c r="V108" s="42" t="n">
        <x:v>20</x:v>
      </x:c>
      <x:c r="W108" s="42" t="n">
        <x:v>7</x:v>
      </x:c>
      <x:c r="X108" s="42" t="n">
        <x:v>15</x:v>
      </x:c>
      <x:c r="Y108" s="42" t="n">
        <x:v>4</x:v>
      </x:c>
      <x:c r="Z108" s="42" t="n">
        <x:f>MAX(0,MIN(100,ROUND(((T108+U108+V108+W108+X108)-Y108)/85*100,0)))</x:f>
        <x:v>64</x:v>
      </x:c>
      <x:c r="AA108" s="18" t="str">
        <x:f>IF(L108="暂不做","P3 暂缓",IF(Z108&gt;=75,"P0 本周做",IF(Z108&gt;=60,"P1 近期做",IF(Z108&gt;=45,"P2 备选","P3 暂缓"))))</x:f>
        <x:v>P1 近期做</x:v>
      </x:c>
      <x:c r="AB108" s="18" t="str">
        <x:f>IF(Y108&gt;=15,"先做合规/相关性复核，不建议直接商业导流",IF(L108="主站","建/优化主站商业页",IF(L108="博客A-知识教程","写知识教程/FAQ文章",IF(L108="博客B-场景人群","写场景需求/选购指南文章",IF(L108="博客C-对比评测","写对比评测/榜单文章","暂不做或人工复核")))))</x:f>
        <x:v>建/优化主站商业页</x:v>
      </x:c>
      <x:c r="AC108" s="18" t="str">
        <x:v>EXDIVO Disposable Vape Review: Flavor, Performance, and Value - ExDivo</x:v>
      </x:c>
      <x:c r="AD108" s="19" t="str">
        <x:v>exdivo disposable vape review: flavor, performance, and value</x:v>
      </x:c>
    </x:row>
    <x:row r="109">
      <x:c r="A109" s="40" t="n">
        <x:v>109</x:v>
      </x:c>
      <x:c r="B109" s="18" t="str">
        <x:v>https://exdivo.com/blogs/exdivo-disposable-vape-review-flavor-performance-and-value?data_from=index_index</x:v>
      </x:c>
      <x:c r="C109" s="18" t="str">
        <x:v>the best disposable vape</x:v>
      </x:c>
      <x:c r="D109" s="18" t="str">
        <x:v>recommended</x:v>
      </x:c>
      <x:c r="E109" s="41" t="n">
        <x:v>50</x:v>
      </x:c>
      <x:c r="F109" s="41" t="n">
        <x:v>20</x:v>
      </x:c>
      <x:c r="G109" s="18" t="str">
        <x:v>commercial</x:v>
      </x:c>
      <x:c r="H109" s="18" t="str">
        <x:v>Disposable Vape</x:v>
      </x:c>
      <x:c r="I109" s="18" t="str">
        <x:v>商业调查词</x:v>
      </x:c>
      <x:c r="J109" s="18" t="str">
        <x:v>博客C-对比评测</x:v>
      </x:c>
      <x:c r="K109" s="18" t="str"/>
      <x:c r="L109" s="18" t="str">
        <x:f>IF(K109="",J109,K109)</x:f>
        <x:v>博客C-对比评测</x:v>
      </x:c>
      <x:c r="M109" s="18" t="str">
        <x:v>Best/Top/Review/VS/替代方案文章</x:v>
      </x:c>
      <x:c r="N109" s="18" t="str">
        <x:v>Best angle: the best disposable vape - comparison, pros/cons, and which option fits different buyers</x:v>
      </x:c>
      <x:c r="O109" s="18" t="str">
        <x:v>/collections/disposable-vapes</x:v>
      </x:c>
      <x:c r="P109" s="18" t="str">
        <x:v>是</x:v>
      </x:c>
      <x:c r="Q109" s="18" t="str">
        <x:v>自然句/品类词/品牌词</x:v>
      </x:c>
      <x:c r="R109" s="18" t="str">
        <x:v>中风险：榜单和评测必须真实、中立，避免夸大</x:v>
      </x:c>
      <x:c r="S109" s="18" t="str">
        <x:v>这类词不直接给主站，先用博客C教育和比较，再导流到最相关集合页。</x:v>
      </x:c>
      <x:c r="T109" s="42" t="n">
        <x:v>4</x:v>
      </x:c>
      <x:c r="U109" s="42" t="n">
        <x:v>12</x:v>
      </x:c>
      <x:c r="V109" s="42" t="n">
        <x:v>16</x:v>
      </x:c>
      <x:c r="W109" s="42" t="n">
        <x:v>15</x:v>
      </x:c>
      <x:c r="X109" s="42" t="n">
        <x:v>13</x:v>
      </x:c>
      <x:c r="Y109" s="42" t="n">
        <x:v>6</x:v>
      </x:c>
      <x:c r="Z109" s="42" t="n">
        <x:f>MAX(0,MIN(100,ROUND(((T109+U109+V109+W109+X109)-Y109)/85*100,0)))</x:f>
        <x:v>64</x:v>
      </x:c>
      <x:c r="AA109" s="18" t="str">
        <x:f>IF(L109="暂不做","P3 暂缓",IF(Z109&gt;=75,"P0 本周做",IF(Z109&gt;=60,"P1 近期做",IF(Z109&gt;=45,"P2 备选","P3 暂缓"))))</x:f>
        <x:v>P1 近期做</x:v>
      </x:c>
      <x:c r="AB109" s="18" t="str">
        <x:f>IF(Y109&gt;=15,"先做合规/相关性复核，不建议直接商业导流",IF(L109="主站","建/优化主站商业页",IF(L109="博客A-知识教程","写知识教程/FAQ文章",IF(L109="博客B-场景人群","写场景需求/选购指南文章",IF(L109="博客C-对比评测","写对比评测/榜单文章","暂不做或人工复核")))))</x:f>
        <x:v>写对比评测/榜单文章</x:v>
      </x:c>
      <x:c r="AC109" s="18" t="str">
        <x:v>EXDIVO Disposable Vape Review: Flavor, Performance, and Value - ExDivo</x:v>
      </x:c>
      <x:c r="AD109" s="19" t="str">
        <x:v>exdivo disposable vape review: flavor, performance, and value</x:v>
      </x:c>
    </x:row>
    <x:row r="110">
      <x:c r="A110" s="40" t="n">
        <x:v>110</x:v>
      </x:c>
      <x:c r="B110" s="18" t="str">
        <x:v>https://exdivo.com/blogs/exdivo-disposable-vape-review-flavor-performance-and-value?data_from=index_index</x:v>
      </x:c>
      <x:c r="C110" s="18" t="str">
        <x:v>which disposable vape is the best</x:v>
      </x:c>
      <x:c r="D110" s="18" t="str">
        <x:v>recommended</x:v>
      </x:c>
      <x:c r="E110" s="41" t="n">
        <x:v>50</x:v>
      </x:c>
      <x:c r="F110" s="41" t="n">
        <x:v>21</x:v>
      </x:c>
      <x:c r="G110" s="18" t="str">
        <x:v>commercial</x:v>
      </x:c>
      <x:c r="H110" s="18" t="str">
        <x:v>Disposable Vape</x:v>
      </x:c>
      <x:c r="I110" s="18" t="str">
        <x:v>商业调查词</x:v>
      </x:c>
      <x:c r="J110" s="18" t="str">
        <x:v>博客C-对比评测</x:v>
      </x:c>
      <x:c r="K110" s="18" t="str"/>
      <x:c r="L110" s="18" t="str">
        <x:f>IF(K110="",J110,K110)</x:f>
        <x:v>博客C-对比评测</x:v>
      </x:c>
      <x:c r="M110" s="18" t="str">
        <x:v>Best/Top/Review/VS/替代方案文章</x:v>
      </x:c>
      <x:c r="N110" s="18" t="str">
        <x:v>Best angle: which disposable vape is the best - comparison, pros/cons, and which option fits different buyers</x:v>
      </x:c>
      <x:c r="O110" s="18" t="str">
        <x:v>/collections/disposable-vapes</x:v>
      </x:c>
      <x:c r="P110" s="18" t="str">
        <x:v>是</x:v>
      </x:c>
      <x:c r="Q110" s="18" t="str">
        <x:v>自然句/品类词/品牌词</x:v>
      </x:c>
      <x:c r="R110" s="18" t="str">
        <x:v>中风险：榜单和评测必须真实、中立，避免夸大</x:v>
      </x:c>
      <x:c r="S110" s="18" t="str">
        <x:v>这类词不直接给主站，先用博客C教育和比较，再导流到最相关集合页。</x:v>
      </x:c>
      <x:c r="T110" s="42" t="n">
        <x:v>4</x:v>
      </x:c>
      <x:c r="U110" s="42" t="n">
        <x:v>12</x:v>
      </x:c>
      <x:c r="V110" s="42" t="n">
        <x:v>16</x:v>
      </x:c>
      <x:c r="W110" s="42" t="n">
        <x:v>15</x:v>
      </x:c>
      <x:c r="X110" s="42" t="n">
        <x:v>13</x:v>
      </x:c>
      <x:c r="Y110" s="42" t="n">
        <x:v>6</x:v>
      </x:c>
      <x:c r="Z110" s="42" t="n">
        <x:f>MAX(0,MIN(100,ROUND(((T110+U110+V110+W110+X110)-Y110)/85*100,0)))</x:f>
        <x:v>64</x:v>
      </x:c>
      <x:c r="AA110" s="18" t="str">
        <x:f>IF(L110="暂不做","P3 暂缓",IF(Z110&gt;=75,"P0 本周做",IF(Z110&gt;=60,"P1 近期做",IF(Z110&gt;=45,"P2 备选","P3 暂缓"))))</x:f>
        <x:v>P1 近期做</x:v>
      </x:c>
      <x:c r="AB110" s="18" t="str">
        <x:f>IF(Y110&gt;=15,"先做合规/相关性复核，不建议直接商业导流",IF(L110="主站","建/优化主站商业页",IF(L110="博客A-知识教程","写知识教程/FAQ文章",IF(L110="博客B-场景人群","写场景需求/选购指南文章",IF(L110="博客C-对比评测","写对比评测/榜单文章","暂不做或人工复核")))))</x:f>
        <x:v>写对比评测/榜单文章</x:v>
      </x:c>
      <x:c r="AC110" s="18" t="str">
        <x:v>EXDIVO Disposable Vape Review: Flavor, Performance, and Value - ExDivo</x:v>
      </x:c>
      <x:c r="AD110" s="19" t="str">
        <x:v>exdivo disposable vape review: flavor, performance, and value</x:v>
      </x:c>
    </x:row>
    <x:row r="111">
      <x:c r="A111" s="40" t="n">
        <x:v>111</x:v>
      </x:c>
      <x:c r="B111" s="18" t="str">
        <x:v>https://exdivo.com/blogs/exdivo-disposable-vape-review-flavor-performance-and-value?data_from=index_index</x:v>
      </x:c>
      <x:c r="C111" s="18" t="str">
        <x:v>best rechargeable disposable vape</x:v>
      </x:c>
      <x:c r="D111" s="18" t="str">
        <x:v>recommended</x:v>
      </x:c>
      <x:c r="E111" s="41" t="n">
        <x:v>50</x:v>
      </x:c>
      <x:c r="F111" s="41" t="n">
        <x:v>26</x:v>
      </x:c>
      <x:c r="G111" s="18" t="str">
        <x:v>commercial</x:v>
      </x:c>
      <x:c r="H111" s="18" t="str">
        <x:v>Disposable Vape</x:v>
      </x:c>
      <x:c r="I111" s="18" t="str">
        <x:v>商业调查词</x:v>
      </x:c>
      <x:c r="J111" s="18" t="str">
        <x:v>博客C-对比评测</x:v>
      </x:c>
      <x:c r="K111" s="18" t="str"/>
      <x:c r="L111" s="18" t="str">
        <x:f>IF(K111="",J111,K111)</x:f>
        <x:v>博客C-对比评测</x:v>
      </x:c>
      <x:c r="M111" s="18" t="str">
        <x:v>Best/Top/Review/VS/替代方案文章</x:v>
      </x:c>
      <x:c r="N111" s="18" t="str">
        <x:v>Best angle: best rechargeable disposable vape - comparison, pros/cons, and which option fits different buyers</x:v>
      </x:c>
      <x:c r="O111" s="18" t="str">
        <x:v>/collections/rechargeable-vapes</x:v>
      </x:c>
      <x:c r="P111" s="18" t="str">
        <x:v>是</x:v>
      </x:c>
      <x:c r="Q111" s="18" t="str">
        <x:v>自然句/品类词/品牌词</x:v>
      </x:c>
      <x:c r="R111" s="18" t="str">
        <x:v>中风险：榜单和评测必须真实、中立，避免夸大</x:v>
      </x:c>
      <x:c r="S111" s="18" t="str">
        <x:v>这类词不直接给主站，先用博客C教育和比较，再导流到最相关集合页。</x:v>
      </x:c>
      <x:c r="T111" s="42" t="n">
        <x:v>4</x:v>
      </x:c>
      <x:c r="U111" s="42" t="n">
        <x:v>12</x:v>
      </x:c>
      <x:c r="V111" s="42" t="n">
        <x:v>16</x:v>
      </x:c>
      <x:c r="W111" s="42" t="n">
        <x:v>15</x:v>
      </x:c>
      <x:c r="X111" s="42" t="n">
        <x:v>13</x:v>
      </x:c>
      <x:c r="Y111" s="42" t="n">
        <x:v>6</x:v>
      </x:c>
      <x:c r="Z111" s="42" t="n">
        <x:f>MAX(0,MIN(100,ROUND(((T111+U111+V111+W111+X111)-Y111)/85*100,0)))</x:f>
        <x:v>64</x:v>
      </x:c>
      <x:c r="AA111" s="18" t="str">
        <x:f>IF(L111="暂不做","P3 暂缓",IF(Z111&gt;=75,"P0 本周做",IF(Z111&gt;=60,"P1 近期做",IF(Z111&gt;=45,"P2 备选","P3 暂缓"))))</x:f>
        <x:v>P1 近期做</x:v>
      </x:c>
      <x:c r="AB111" s="18" t="str">
        <x:f>IF(Y111&gt;=15,"先做合规/相关性复核，不建议直接商业导流",IF(L111="主站","建/优化主站商业页",IF(L111="博客A-知识教程","写知识教程/FAQ文章",IF(L111="博客B-场景人群","写场景需求/选购指南文章",IF(L111="博客C-对比评测","写对比评测/榜单文章","暂不做或人工复核")))))</x:f>
        <x:v>写对比评测/榜单文章</x:v>
      </x:c>
      <x:c r="AC111" s="18" t="str">
        <x:v>EXDIVO Disposable Vape Review: Flavor, Performance, and Value - ExDivo</x:v>
      </x:c>
      <x:c r="AD111" s="19" t="str">
        <x:v>exdivo disposable vape review: flavor, performance, and value</x:v>
      </x:c>
    </x:row>
    <x:row r="112">
      <x:c r="A112" s="40" t="n">
        <x:v>112</x:v>
      </x:c>
      <x:c r="B112" s="18" t="str">
        <x:v>https://exdivo.com/blogs/exdivo-disposable-vape-review-flavor-performance-and-value?data_from=index_index</x:v>
      </x:c>
      <x:c r="C112" s="18" t="str">
        <x:v>vape review</x:v>
      </x:c>
      <x:c r="D112" s="18" t="str">
        <x:v>recommended</x:v>
      </x:c>
      <x:c r="E112" s="41" t="n">
        <x:v>90</x:v>
      </x:c>
      <x:c r="F112" s="41" t="n">
        <x:v>33</x:v>
      </x:c>
      <x:c r="G112" s="18" t="str">
        <x:v>commercial</x:v>
      </x:c>
      <x:c r="H112" s="18" t="str">
        <x:v>对比评测</x:v>
      </x:c>
      <x:c r="I112" s="18" t="str">
        <x:v>商业调查词</x:v>
      </x:c>
      <x:c r="J112" s="18" t="str">
        <x:v>博客C-对比评测</x:v>
      </x:c>
      <x:c r="K112" s="18" t="str"/>
      <x:c r="L112" s="18" t="str">
        <x:f>IF(K112="",J112,K112)</x:f>
        <x:v>博客C-对比评测</x:v>
      </x:c>
      <x:c r="M112" s="18" t="str">
        <x:v>Best/Top/Review/VS/替代方案文章</x:v>
      </x:c>
      <x:c r="N112" s="18" t="str">
        <x:v>Best angle: vape review - comparison, pros/cons, and which option fits different buyers</x:v>
      </x:c>
      <x:c r="O112" s="18" t="str">
        <x:v>/collections/disposable-vapes</x:v>
      </x:c>
      <x:c r="P112" s="18" t="str">
        <x:v>是</x:v>
      </x:c>
      <x:c r="Q112" s="18" t="str">
        <x:v>自然句/品类词/品牌词</x:v>
      </x:c>
      <x:c r="R112" s="18" t="str">
        <x:v>中风险：榜单和评测必须真实、中立，避免夸大</x:v>
      </x:c>
      <x:c r="S112" s="18" t="str">
        <x:v>这类词不直接给主站，先用博客C教育和比较，再导流到最相关集合页。</x:v>
      </x:c>
      <x:c r="T112" s="42" t="n">
        <x:v>4</x:v>
      </x:c>
      <x:c r="U112" s="42" t="n">
        <x:v>9</x:v>
      </x:c>
      <x:c r="V112" s="42" t="n">
        <x:v>16</x:v>
      </x:c>
      <x:c r="W112" s="42" t="n">
        <x:v>15</x:v>
      </x:c>
      <x:c r="X112" s="42" t="n">
        <x:v>13</x:v>
      </x:c>
      <x:c r="Y112" s="42" t="n">
        <x:v>6</x:v>
      </x:c>
      <x:c r="Z112" s="42" t="n">
        <x:f>MAX(0,MIN(100,ROUND(((T112+U112+V112+W112+X112)-Y112)/85*100,0)))</x:f>
        <x:v>60</x:v>
      </x:c>
      <x:c r="AA112" s="18" t="str">
        <x:f>IF(L112="暂不做","P3 暂缓",IF(Z112&gt;=75,"P0 本周做",IF(Z112&gt;=60,"P1 近期做",IF(Z112&gt;=45,"P2 备选","P3 暂缓"))))</x:f>
        <x:v>P1 近期做</x:v>
      </x:c>
      <x:c r="AB112" s="18" t="str">
        <x:f>IF(Y112&gt;=15,"先做合规/相关性复核，不建议直接商业导流",IF(L112="主站","建/优化主站商业页",IF(L112="博客A-知识教程","写知识教程/FAQ文章",IF(L112="博客B-场景人群","写场景需求/选购指南文章",IF(L112="博客C-对比评测","写对比评测/榜单文章","暂不做或人工复核")))))</x:f>
        <x:v>写对比评测/榜单文章</x:v>
      </x:c>
      <x:c r="AC112" s="18" t="str">
        <x:v>EXDIVO Disposable Vape Review: Flavor, Performance, and Value - ExDivo</x:v>
      </x:c>
      <x:c r="AD112" s="19" t="str">
        <x:v>exdivo disposable vape review: flavor, performance, and value</x:v>
      </x:c>
    </x:row>
    <x:row r="113">
      <x:c r="A113" s="40" t="n">
        <x:v>113</x:v>
      </x:c>
      <x:c r="B113" s="18" t="str">
        <x:v>https://exdivo.com/blogs/exdivo-disposable-vape-review-flavor-performance-and-value?data_from=index_index</x:v>
      </x:c>
      <x:c r="C113" s="18" t="str">
        <x:v>best nicotine disposable vape</x:v>
      </x:c>
      <x:c r="D113" s="18" t="str">
        <x:v>recommended</x:v>
      </x:c>
      <x:c r="E113" s="41" t="n">
        <x:v>40</x:v>
      </x:c>
      <x:c r="F113" s="41" t="n">
        <x:v>49</x:v>
      </x:c>
      <x:c r="G113" s="18" t="str">
        <x:v>commercial</x:v>
      </x:c>
      <x:c r="H113" s="18" t="str">
        <x:v>Disposable Vape</x:v>
      </x:c>
      <x:c r="I113" s="18" t="str">
        <x:v>商业调查词</x:v>
      </x:c>
      <x:c r="J113" s="18" t="str">
        <x:v>博客C-对比评测</x:v>
      </x:c>
      <x:c r="K113" s="18" t="str"/>
      <x:c r="L113" s="18" t="str">
        <x:f>IF(K113="",J113,K113)</x:f>
        <x:v>博客C-对比评测</x:v>
      </x:c>
      <x:c r="M113" s="18" t="str">
        <x:v>Best/Top/Review/VS/替代方案文章</x:v>
      </x:c>
      <x:c r="N113" s="18" t="str">
        <x:v>Best angle: best nicotine disposable vape - comparison, pros/cons, and which option fits different buyers</x:v>
      </x:c>
      <x:c r="O113" s="18" t="str">
        <x:v>/collections/disposable-vapes</x:v>
      </x:c>
      <x:c r="P113" s="18" t="str">
        <x:v>是</x:v>
      </x:c>
      <x:c r="Q113" s="18" t="str">
        <x:v>自然句/品类词/品牌词</x:v>
      </x:c>
      <x:c r="R113" s="18" t="str">
        <x:v>中风险：榜单和评测必须真实、中立，避免夸大</x:v>
      </x:c>
      <x:c r="S113" s="18" t="str">
        <x:v>这类词不直接给主站，先用博客C教育和比较，再导流到最相关集合页。</x:v>
      </x:c>
      <x:c r="T113" s="42" t="n">
        <x:v>4</x:v>
      </x:c>
      <x:c r="U113" s="42" t="n">
        <x:v>6</x:v>
      </x:c>
      <x:c r="V113" s="42" t="n">
        <x:v>16</x:v>
      </x:c>
      <x:c r="W113" s="42" t="n">
        <x:v>15</x:v>
      </x:c>
      <x:c r="X113" s="42" t="n">
        <x:v>13</x:v>
      </x:c>
      <x:c r="Y113" s="42" t="n">
        <x:v>6</x:v>
      </x:c>
      <x:c r="Z113" s="42" t="n">
        <x:f>MAX(0,MIN(100,ROUND(((T113+U113+V113+W113+X113)-Y113)/85*100,0)))</x:f>
        <x:v>56</x:v>
      </x:c>
      <x:c r="AA113" s="18" t="str">
        <x:f>IF(L113="暂不做","P3 暂缓",IF(Z113&gt;=75,"P0 本周做",IF(Z113&gt;=60,"P1 近期做",IF(Z113&gt;=45,"P2 备选","P3 暂缓"))))</x:f>
        <x:v>P2 备选</x:v>
      </x:c>
      <x:c r="AB113" s="18" t="str">
        <x:f>IF(Y113&gt;=15,"先做合规/相关性复核，不建议直接商业导流",IF(L113="主站","建/优化主站商业页",IF(L113="博客A-知识教程","写知识教程/FAQ文章",IF(L113="博客B-场景人群","写场景需求/选购指南文章",IF(L113="博客C-对比评测","写对比评测/榜单文章","暂不做或人工复核")))))</x:f>
        <x:v>写对比评测/榜单文章</x:v>
      </x:c>
      <x:c r="AC113" s="18" t="str">
        <x:v>EXDIVO Disposable Vape Review: Flavor, Performance, and Value - ExDivo</x:v>
      </x:c>
      <x:c r="AD113" s="19" t="str">
        <x:v>exdivo disposable vape review: flavor, performance, and value</x:v>
      </x:c>
    </x:row>
    <x:row r="114">
      <x:c r="A114" s="40" t="n">
        <x:v>114</x:v>
      </x:c>
      <x:c r="B114" s="18" t="str">
        <x:v>https://exdivo.com/blogs/exdivo-disposable-vape-review-flavor-performance-and-value?data_from=index_index</x:v>
      </x:c>
      <x:c r="C114" s="18" t="str">
        <x:v>disposable vape performance</x:v>
      </x:c>
      <x:c r="D114" s="18" t="str">
        <x:v>recommended</x:v>
      </x:c>
      <x:c r="E114" s="41" t="n">
        <x:v>0</x:v>
      </x:c>
      <x:c r="F114" s="41" t="n">
        <x:v>0</x:v>
      </x:c>
      <x:c r="G114" s="18" t="str">
        <x:v>48</x:v>
      </x:c>
      <x:c r="H114" s="18" t="str">
        <x:v>Disposable Vape</x:v>
      </x:c>
      <x:c r="I114" s="18" t="str">
        <x:v>品类承接词</x:v>
      </x:c>
      <x:c r="J114" s="18" t="str">
        <x:v>主站</x:v>
      </x:c>
      <x:c r="K114" s="18" t="str"/>
      <x:c r="L114" s="18" t="str">
        <x:f>IF(K114="",J114,K114)</x:f>
        <x:v>主站</x:v>
      </x:c>
      <x:c r="M114" s="18" t="str">
        <x:v>品类页/集合页 + FAQ内容块</x:v>
      </x:c>
      <x:c r="N114" s="18" t="str">
        <x:v>主站品类页：用产品集合 + 选购说明承接</x:v>
      </x:c>
      <x:c r="O114" s="18" t="str">
        <x:v>/collections/disposable-vapes</x:v>
      </x:c>
      <x:c r="P114" s="18" t="str">
        <x:v>不适用</x:v>
      </x:c>
      <x:c r="Q114" s="18" t="str">
        <x:v>主站页面自身承接</x:v>
      </x:c>
      <x:c r="R114" s="18" t="str">
        <x:v>核心品类词：主站优先，博客只做长尾解释，不直接抢同一词</x:v>
      </x:c>
      <x:c r="S114" s="18" t="str">
        <x:v>如果 Google 首页产品页和指南混合，主站页要加 FAQ、选购指南、对比模块。</x:v>
      </x:c>
      <x:c r="T114" s="42" t="n">
        <x:v>1</x:v>
      </x:c>
      <x:c r="U114" s="42" t="n">
        <x:v>15</x:v>
      </x:c>
      <x:c r="V114" s="42" t="n">
        <x:v>16</x:v>
      </x:c>
      <x:c r="W114" s="42" t="n">
        <x:v>8</x:v>
      </x:c>
      <x:c r="X114" s="42" t="n">
        <x:v>15</x:v>
      </x:c>
      <x:c r="Y114" s="42" t="n">
        <x:v>4</x:v>
      </x:c>
      <x:c r="Z114" s="42" t="n">
        <x:f>MAX(0,MIN(100,ROUND(((T114+U114+V114+W114+X114)-Y114)/85*100,0)))</x:f>
        <x:v>60</x:v>
      </x:c>
      <x:c r="AA114" s="18" t="str">
        <x:f>IF(L114="暂不做","P3 暂缓",IF(Z114&gt;=75,"P0 本周做",IF(Z114&gt;=60,"P1 近期做",IF(Z114&gt;=45,"P2 备选","P3 暂缓"))))</x:f>
        <x:v>P1 近期做</x:v>
      </x:c>
      <x:c r="AB114" s="18" t="str">
        <x:f>IF(Y114&gt;=15,"先做合规/相关性复核，不建议直接商业导流",IF(L114="主站","建/优化主站商业页",IF(L114="博客A-知识教程","写知识教程/FAQ文章",IF(L114="博客B-场景人群","写场景需求/选购指南文章",IF(L114="博客C-对比评测","写对比评测/榜单文章","暂不做或人工复核")))))</x:f>
        <x:v>建/优化主站商业页</x:v>
      </x:c>
      <x:c r="AC114" s="18" t="str">
        <x:v>EXDIVO Disposable Vape Review: Flavor, Performance, and Value - ExDivo</x:v>
      </x:c>
      <x:c r="AD114" s="19" t="str">
        <x:v>exdivo disposable vape review: flavor, performance, and value</x:v>
      </x:c>
    </x:row>
    <x:row r="115">
      <x:c r="A115" s="40" t="n">
        <x:v>115</x:v>
      </x:c>
      <x:c r="B115" s="18" t="str">
        <x:v>https://exdivo.com/blogs/exdivo-disposable-vape-review-flavor-performance-and-value?data_from=index_index</x:v>
      </x:c>
      <x:c r="C115" s="18" t="str">
        <x:v>vape value for money</x:v>
      </x:c>
      <x:c r="D115" s="18" t="str">
        <x:v>recommended</x:v>
      </x:c>
      <x:c r="E115" s="41" t="n">
        <x:v>0</x:v>
      </x:c>
      <x:c r="F115" s="41" t="n">
        <x:v>0</x:v>
      </x:c>
      <x:c r="G115" s="18" t="str">
        <x:v>48</x:v>
      </x:c>
      <x:c r="H115" s="18" t="str">
        <x:v>General Vape</x:v>
      </x:c>
      <x:c r="I115" s="18" t="str">
        <x:v>场景/需求词</x:v>
      </x:c>
      <x:c r="J115" s="18" t="str">
        <x:v>博客B-场景人群</x:v>
      </x:c>
      <x:c r="K115" s="18" t="str"/>
      <x:c r="L115" s="18" t="str">
        <x:f>IF(K115="",J115,K115)</x:f>
        <x:v>博客B-场景人群</x:v>
      </x:c>
      <x:c r="M115" s="18" t="str">
        <x:v>场景解决方案/选购指南文章</x:v>
      </x:c>
      <x:c r="N115" s="18" t="str">
        <x:v>Scenario angle: how to choose vape value for money based on use case, flavor, nicotine, and budget</x:v>
      </x:c>
      <x:c r="O115" s="18" t="str">
        <x:v>/collections/disposable-vapes</x:v>
      </x:c>
      <x:c r="P115" s="18" t="str">
        <x:v>是</x:v>
      </x:c>
      <x:c r="Q115" s="18" t="str">
        <x:v>自然句/品类词</x:v>
      </x:c>
      <x:c r="R115" s="18" t="str">
        <x:v>低中风险：适合软性导流，但不要夸大效果或触碰健康疗效</x:v>
      </x:c>
      <x:c r="S115" s="18" t="str">
        <x:v>围绕使用场景、口味、尼古丁需求、便携性等写，不和主站品类页抢词。</x:v>
      </x:c>
      <x:c r="T115" s="42" t="n">
        <x:v>1</x:v>
      </x:c>
      <x:c r="U115" s="42" t="n">
        <x:v>15</x:v>
      </x:c>
      <x:c r="V115" s="42" t="n">
        <x:v>13</x:v>
      </x:c>
      <x:c r="W115" s="42" t="n">
        <x:v>14</x:v>
      </x:c>
      <x:c r="X115" s="42" t="n">
        <x:v>13</x:v>
      </x:c>
      <x:c r="Y115" s="42" t="n">
        <x:v>5</x:v>
      </x:c>
      <x:c r="Z115" s="42" t="n">
        <x:f>MAX(0,MIN(100,ROUND(((T115+U115+V115+W115+X115)-Y115)/85*100,0)))</x:f>
        <x:v>60</x:v>
      </x:c>
      <x:c r="AA115" s="18" t="str">
        <x:f>IF(L115="暂不做","P3 暂缓",IF(Z115&gt;=75,"P0 本周做",IF(Z115&gt;=60,"P1 近期做",IF(Z115&gt;=45,"P2 备选","P3 暂缓"))))</x:f>
        <x:v>P1 近期做</x:v>
      </x:c>
      <x:c r="AB115" s="18" t="str">
        <x:f>IF(Y115&gt;=15,"先做合规/相关性复核，不建议直接商业导流",IF(L115="主站","建/优化主站商业页",IF(L115="博客A-知识教程","写知识教程/FAQ文章",IF(L115="博客B-场景人群","写场景需求/选购指南文章",IF(L115="博客C-对比评测","写对比评测/榜单文章","暂不做或人工复核")))))</x:f>
        <x:v>写场景需求/选购指南文章</x:v>
      </x:c>
      <x:c r="AC115" s="18" t="str">
        <x:v>EXDIVO Disposable Vape Review: Flavor, Performance, and Value - ExDivo</x:v>
      </x:c>
      <x:c r="AD115" s="19" t="str">
        <x:v>exdivo disposable vape review: flavor, performance, and value</x:v>
      </x:c>
    </x:row>
    <x:row r="116">
      <x:c r="A116" s="40" t="n">
        <x:v>116</x:v>
      </x:c>
      <x:c r="B116" s="18" t="str">
        <x:v>https://exdivo.com/blogs/exdivo-disposable-vape-review-flavor-performance-and-value?data_from=index_index</x:v>
      </x:c>
      <x:c r="C116" s="18" t="str">
        <x:v>menthol disposable vape review</x:v>
      </x:c>
      <x:c r="D116" s="18" t="str">
        <x:v>recommended</x:v>
      </x:c>
      <x:c r="E116" s="41" t="n">
        <x:v>0</x:v>
      </x:c>
      <x:c r="F116" s="41" t="n">
        <x:v>0</x:v>
      </x:c>
      <x:c r="G116" s="18" t="str">
        <x:v>48</x:v>
      </x:c>
      <x:c r="H116" s="18" t="str">
        <x:v>Disposable Vape</x:v>
      </x:c>
      <x:c r="I116" s="18" t="str">
        <x:v>商业调查词</x:v>
      </x:c>
      <x:c r="J116" s="18" t="str">
        <x:v>博客C-对比评测</x:v>
      </x:c>
      <x:c r="K116" s="18" t="str"/>
      <x:c r="L116" s="18" t="str">
        <x:f>IF(K116="",J116,K116)</x:f>
        <x:v>博客C-对比评测</x:v>
      </x:c>
      <x:c r="M116" s="18" t="str">
        <x:v>Best/Top/Review/VS/替代方案文章</x:v>
      </x:c>
      <x:c r="N116" s="18" t="str">
        <x:v>Best angle: menthol disposable vape review - comparison, pros/cons, and which option fits different buyers</x:v>
      </x:c>
      <x:c r="O116" s="18" t="str">
        <x:v>/collections/disposable-vapes</x:v>
      </x:c>
      <x:c r="P116" s="18" t="str">
        <x:v>是</x:v>
      </x:c>
      <x:c r="Q116" s="18" t="str">
        <x:v>自然句/品类词/品牌词</x:v>
      </x:c>
      <x:c r="R116" s="18" t="str">
        <x:v>中风险：榜单和评测必须真实、中立，避免夸大</x:v>
      </x:c>
      <x:c r="S116" s="18" t="str">
        <x:v>这类词不直接给主站，先用博客C教育和比较，再导流到最相关集合页。</x:v>
      </x:c>
      <x:c r="T116" s="42" t="n">
        <x:v>1</x:v>
      </x:c>
      <x:c r="U116" s="42" t="n">
        <x:v>15</x:v>
      </x:c>
      <x:c r="V116" s="42" t="n">
        <x:v>16</x:v>
      </x:c>
      <x:c r="W116" s="42" t="n">
        <x:v>15</x:v>
      </x:c>
      <x:c r="X116" s="42" t="n">
        <x:v>13</x:v>
      </x:c>
      <x:c r="Y116" s="42" t="n">
        <x:v>6</x:v>
      </x:c>
      <x:c r="Z116" s="42" t="n">
        <x:f>MAX(0,MIN(100,ROUND(((T116+U116+V116+W116+X116)-Y116)/85*100,0)))</x:f>
        <x:v>64</x:v>
      </x:c>
      <x:c r="AA116" s="18" t="str">
        <x:f>IF(L116="暂不做","P3 暂缓",IF(Z116&gt;=75,"P0 本周做",IF(Z116&gt;=60,"P1 近期做",IF(Z116&gt;=45,"P2 备选","P3 暂缓"))))</x:f>
        <x:v>P1 近期做</x:v>
      </x:c>
      <x:c r="AB116" s="18" t="str">
        <x:f>IF(Y116&gt;=15,"先做合规/相关性复核，不建议直接商业导流",IF(L116="主站","建/优化主站商业页",IF(L116="博客A-知识教程","写知识教程/FAQ文章",IF(L116="博客B-场景人群","写场景需求/选购指南文章",IF(L116="博客C-对比评测","写对比评测/榜单文章","暂不做或人工复核")))))</x:f>
        <x:v>写对比评测/榜单文章</x:v>
      </x:c>
      <x:c r="AC116" s="18" t="str">
        <x:v>EXDIVO Disposable Vape Review: Flavor, Performance, and Value - ExDivo</x:v>
      </x:c>
      <x:c r="AD116" s="19" t="str">
        <x:v>exdivo disposable vape review: flavor, performance, and value</x:v>
      </x:c>
    </x:row>
    <x:row r="117">
      <x:c r="A117" s="40" t="n">
        <x:v>117</x:v>
      </x:c>
      <x:c r="B117" s="18" t="str">
        <x:v>https://exdivo.com/blogs/exdivo-disposable-vape-review-flavor-performance-and-value?data_from=index_index</x:v>
      </x:c>
      <x:c r="C117" s="18" t="str">
        <x:v>disposable vape flavor review</x:v>
      </x:c>
      <x:c r="D117" s="18" t="str">
        <x:v>recommended</x:v>
      </x:c>
      <x:c r="E117" s="41" t="n">
        <x:v>0</x:v>
      </x:c>
      <x:c r="F117" s="41" t="n">
        <x:v>0</x:v>
      </x:c>
      <x:c r="G117" s="18" t="str">
        <x:v>48</x:v>
      </x:c>
      <x:c r="H117" s="18" t="str">
        <x:v>Disposable Vape</x:v>
      </x:c>
      <x:c r="I117" s="18" t="str">
        <x:v>商业调查词</x:v>
      </x:c>
      <x:c r="J117" s="18" t="str">
        <x:v>博客C-对比评测</x:v>
      </x:c>
      <x:c r="K117" s="18" t="str"/>
      <x:c r="L117" s="18" t="str">
        <x:f>IF(K117="",J117,K117)</x:f>
        <x:v>博客C-对比评测</x:v>
      </x:c>
      <x:c r="M117" s="18" t="str">
        <x:v>Best/Top/Review/VS/替代方案文章</x:v>
      </x:c>
      <x:c r="N117" s="18" t="str">
        <x:v>Best angle: disposable vape flavor review - comparison, pros/cons, and which option fits different buyers</x:v>
      </x:c>
      <x:c r="O117" s="18" t="str">
        <x:v>/collections/flavored-disposable-vapes</x:v>
      </x:c>
      <x:c r="P117" s="18" t="str">
        <x:v>是</x:v>
      </x:c>
      <x:c r="Q117" s="18" t="str">
        <x:v>自然句/品类词/品牌词</x:v>
      </x:c>
      <x:c r="R117" s="18" t="str">
        <x:v>中风险：榜单和评测必须真实、中立，避免夸大</x:v>
      </x:c>
      <x:c r="S117" s="18" t="str">
        <x:v>这类词不直接给主站，先用博客C教育和比较，再导流到最相关集合页。</x:v>
      </x:c>
      <x:c r="T117" s="42" t="n">
        <x:v>1</x:v>
      </x:c>
      <x:c r="U117" s="42" t="n">
        <x:v>15</x:v>
      </x:c>
      <x:c r="V117" s="42" t="n">
        <x:v>16</x:v>
      </x:c>
      <x:c r="W117" s="42" t="n">
        <x:v>15</x:v>
      </x:c>
      <x:c r="X117" s="42" t="n">
        <x:v>13</x:v>
      </x:c>
      <x:c r="Y117" s="42" t="n">
        <x:v>6</x:v>
      </x:c>
      <x:c r="Z117" s="42" t="n">
        <x:f>MAX(0,MIN(100,ROUND(((T117+U117+V117+W117+X117)-Y117)/85*100,0)))</x:f>
        <x:v>64</x:v>
      </x:c>
      <x:c r="AA117" s="18" t="str">
        <x:f>IF(L117="暂不做","P3 暂缓",IF(Z117&gt;=75,"P0 本周做",IF(Z117&gt;=60,"P1 近期做",IF(Z117&gt;=45,"P2 备选","P3 暂缓"))))</x:f>
        <x:v>P1 近期做</x:v>
      </x:c>
      <x:c r="AB117" s="18" t="str">
        <x:f>IF(Y117&gt;=15,"先做合规/相关性复核，不建议直接商业导流",IF(L117="主站","建/优化主站商业页",IF(L117="博客A-知识教程","写知识教程/FAQ文章",IF(L117="博客B-场景人群","写场景需求/选购指南文章",IF(L117="博客C-对比评测","写对比评测/榜单文章","暂不做或人工复核")))))</x:f>
        <x:v>写对比评测/榜单文章</x:v>
      </x:c>
      <x:c r="AC117" s="18" t="str">
        <x:v>EXDIVO Disposable Vape Review: Flavor, Performance, and Value - ExDivo</x:v>
      </x:c>
      <x:c r="AD117" s="19" t="str">
        <x:v>exdivo disposable vape review: flavor, performance, and value</x:v>
      </x:c>
    </x:row>
    <x:row r="118">
      <x:c r="A118" s="40" t="n">
        <x:v>118</x:v>
      </x:c>
      <x:c r="B118" s="18" t="str">
        <x:v>https://exdivo.com/blogs/exdivo-disposable-vape-review-flavor-performance-and-value?data_from=index_index</x:v>
      </x:c>
      <x:c r="C118" s="18" t="str">
        <x:v>exdivo vape kit reviews</x:v>
      </x:c>
      <x:c r="D118" s="18" t="str">
        <x:v>recommended</x:v>
      </x:c>
      <x:c r="E118" s="41" t="n">
        <x:v>0</x:v>
      </x:c>
      <x:c r="F118" s="41" t="n">
        <x:v>0</x:v>
      </x:c>
      <x:c r="G118" s="18" t="str">
        <x:v>48</x:v>
      </x:c>
      <x:c r="H118" s="18" t="str">
        <x:v>对比评测</x:v>
      </x:c>
      <x:c r="I118" s="18" t="str">
        <x:v>商业调查词</x:v>
      </x:c>
      <x:c r="J118" s="18" t="str">
        <x:v>博客C-对比评测</x:v>
      </x:c>
      <x:c r="K118" s="18" t="str"/>
      <x:c r="L118" s="18" t="str">
        <x:f>IF(K118="",J118,K118)</x:f>
        <x:v>博客C-对比评测</x:v>
      </x:c>
      <x:c r="M118" s="18" t="str">
        <x:v>Best/Top/Review/VS/替代方案文章</x:v>
      </x:c>
      <x:c r="N118" s="18" t="str">
        <x:v>Best angle: exdivo vape kit reviews - comparison, pros/cons, and which option fits different buyers</x:v>
      </x:c>
      <x:c r="O118" s="18" t="str">
        <x:v>/collections/disposable-vapes</x:v>
      </x:c>
      <x:c r="P118" s="18" t="str">
        <x:v>是</x:v>
      </x:c>
      <x:c r="Q118" s="18" t="str">
        <x:v>自然句/品类词/品牌词</x:v>
      </x:c>
      <x:c r="R118" s="18" t="str">
        <x:v>中风险：榜单和评测必须真实、中立，避免夸大</x:v>
      </x:c>
      <x:c r="S118" s="18" t="str">
        <x:v>这类词不直接给主站，先用博客C教育和比较，再导流到最相关集合页。</x:v>
      </x:c>
      <x:c r="T118" s="42" t="n">
        <x:v>1</x:v>
      </x:c>
      <x:c r="U118" s="42" t="n">
        <x:v>15</x:v>
      </x:c>
      <x:c r="V118" s="42" t="n">
        <x:v>16</x:v>
      </x:c>
      <x:c r="W118" s="42" t="n">
        <x:v>15</x:v>
      </x:c>
      <x:c r="X118" s="42" t="n">
        <x:v>13</x:v>
      </x:c>
      <x:c r="Y118" s="42" t="n">
        <x:v>6</x:v>
      </x:c>
      <x:c r="Z118" s="42" t="n">
        <x:f>MAX(0,MIN(100,ROUND(((T118+U118+V118+W118+X118)-Y118)/85*100,0)))</x:f>
        <x:v>64</x:v>
      </x:c>
      <x:c r="AA118" s="18" t="str">
        <x:f>IF(L118="暂不做","P3 暂缓",IF(Z118&gt;=75,"P0 本周做",IF(Z118&gt;=60,"P1 近期做",IF(Z118&gt;=45,"P2 备选","P3 暂缓"))))</x:f>
        <x:v>P1 近期做</x:v>
      </x:c>
      <x:c r="AB118" s="18" t="str">
        <x:f>IF(Y118&gt;=15,"先做合规/相关性复核，不建议直接商业导流",IF(L118="主站","建/优化主站商业页",IF(L118="博客A-知识教程","写知识教程/FAQ文章",IF(L118="博客B-场景人群","写场景需求/选购指南文章",IF(L118="博客C-对比评测","写对比评测/榜单文章","暂不做或人工复核")))))</x:f>
        <x:v>写对比评测/榜单文章</x:v>
      </x:c>
      <x:c r="AC118" s="18" t="str">
        <x:v>EXDIVO Disposable Vape Review: Flavor, Performance, and Value - ExDivo</x:v>
      </x:c>
      <x:c r="AD118" s="19" t="str">
        <x:v>exdivo disposable vape review: flavor, performance, and value</x:v>
      </x:c>
    </x:row>
    <x:row r="119">
      <x:c r="A119" s="40" t="n">
        <x:v>119</x:v>
      </x:c>
      <x:c r="B119" s="18" t="str">
        <x:v>https://exdivo.com/blogs/exdivo-disposable-vape-review-flavor-performance-and-value?data_from=index_index</x:v>
      </x:c>
      <x:c r="C119" s="18" t="str">
        <x:v>menthol disposable vape reviews</x:v>
      </x:c>
      <x:c r="D119" s="18" t="str">
        <x:v>recommended</x:v>
      </x:c>
      <x:c r="E119" s="41" t="n">
        <x:v>0</x:v>
      </x:c>
      <x:c r="F119" s="41" t="n">
        <x:v>0</x:v>
      </x:c>
      <x:c r="G119" s="18" t="str">
        <x:v>48</x:v>
      </x:c>
      <x:c r="H119" s="18" t="str">
        <x:v>Disposable Vape</x:v>
      </x:c>
      <x:c r="I119" s="18" t="str">
        <x:v>商业调查词</x:v>
      </x:c>
      <x:c r="J119" s="18" t="str">
        <x:v>博客C-对比评测</x:v>
      </x:c>
      <x:c r="K119" s="18" t="str"/>
      <x:c r="L119" s="18" t="str">
        <x:f>IF(K119="",J119,K119)</x:f>
        <x:v>博客C-对比评测</x:v>
      </x:c>
      <x:c r="M119" s="18" t="str">
        <x:v>Best/Top/Review/VS/替代方案文章</x:v>
      </x:c>
      <x:c r="N119" s="18" t="str">
        <x:v>Best angle: menthol disposable vape reviews - comparison, pros/cons, and which option fits different buyers</x:v>
      </x:c>
      <x:c r="O119" s="18" t="str">
        <x:v>/collections/disposable-vapes</x:v>
      </x:c>
      <x:c r="P119" s="18" t="str">
        <x:v>是</x:v>
      </x:c>
      <x:c r="Q119" s="18" t="str">
        <x:v>自然句/品类词/品牌词</x:v>
      </x:c>
      <x:c r="R119" s="18" t="str">
        <x:v>中风险：榜单和评测必须真实、中立，避免夸大</x:v>
      </x:c>
      <x:c r="S119" s="18" t="str">
        <x:v>这类词不直接给主站，先用博客C教育和比较，再导流到最相关集合页。</x:v>
      </x:c>
      <x:c r="T119" s="42" t="n">
        <x:v>1</x:v>
      </x:c>
      <x:c r="U119" s="42" t="n">
        <x:v>15</x:v>
      </x:c>
      <x:c r="V119" s="42" t="n">
        <x:v>16</x:v>
      </x:c>
      <x:c r="W119" s="42" t="n">
        <x:v>15</x:v>
      </x:c>
      <x:c r="X119" s="42" t="n">
        <x:v>13</x:v>
      </x:c>
      <x:c r="Y119" s="42" t="n">
        <x:v>6</x:v>
      </x:c>
      <x:c r="Z119" s="42" t="n">
        <x:f>MAX(0,MIN(100,ROUND(((T119+U119+V119+W119+X119)-Y119)/85*100,0)))</x:f>
        <x:v>64</x:v>
      </x:c>
      <x:c r="AA119" s="18" t="str">
        <x:f>IF(L119="暂不做","P3 暂缓",IF(Z119&gt;=75,"P0 本周做",IF(Z119&gt;=60,"P1 近期做",IF(Z119&gt;=45,"P2 备选","P3 暂缓"))))</x:f>
        <x:v>P1 近期做</x:v>
      </x:c>
      <x:c r="AB119" s="18" t="str">
        <x:f>IF(Y119&gt;=15,"先做合规/相关性复核，不建议直接商业导流",IF(L119="主站","建/优化主站商业页",IF(L119="博客A-知识教程","写知识教程/FAQ文章",IF(L119="博客B-场景人群","写场景需求/选购指南文章",IF(L119="博客C-对比评测","写对比评测/榜单文章","暂不做或人工复核")))))</x:f>
        <x:v>写对比评测/榜单文章</x:v>
      </x:c>
      <x:c r="AC119" s="18" t="str">
        <x:v>EXDIVO Disposable Vape Review: Flavor, Performance, and Value - ExDivo</x:v>
      </x:c>
      <x:c r="AD119" s="19" t="str">
        <x:v>exdivo disposable vape review: flavor, performance, and value</x:v>
      </x:c>
    </x:row>
    <x:row r="120">
      <x:c r="A120" s="40" t="n">
        <x:v>120</x:v>
      </x:c>
      <x:c r="B120" s="18" t="str">
        <x:v>https://exdivo.com/collections/visionaura-full-screen/products/exdivo-space-45k-disposable-vape_3855e1a8?data_from=collection_detail&amp;spm=collection_detail.313081.collection_detail-11702364.9.</x:v>
      </x:c>
      <x:c r="C120" s="18" t="str">
        <x:v>exdivo 45k puffs</x:v>
      </x:c>
      <x:c r="D120" s="18" t="str">
        <x:v>recommended</x:v>
      </x:c>
      <x:c r="E120" s="41" t="n">
        <x:v>0</x:v>
      </x:c>
      <x:c r="F120" s="41" t="n">
        <x:v>0</x:v>
      </x:c>
      <x:c r="G120" s="18" t="str">
        <x:v>48</x:v>
      </x:c>
      <x:c r="H120" s="18" t="str">
        <x:v>General Vape</x:v>
      </x:c>
      <x:c r="I120" s="18" t="str">
        <x:v>弱相关词</x:v>
      </x:c>
      <x:c r="J120" s="18" t="str">
        <x:v>暂不做</x:v>
      </x:c>
      <x:c r="K120" s="18" t="str"/>
      <x:c r="L120" s="18" t="str">
        <x:f>IF(K120="",J120,K120)</x:f>
        <x:v>暂不做</x:v>
      </x:c>
      <x:c r="M120" s="18" t="str">
        <x:v>不建议建页</x:v>
      </x:c>
      <x:c r="N120" s="18" t="str">
        <x:v>不进入内容生产</x:v>
      </x:c>
      <x:c r="O120" s="18" t="str">
        <x:v>无</x:v>
      </x:c>
      <x:c r="P120" s="18" t="str">
        <x:v>否</x:v>
      </x:c>
      <x:c r="Q120" s="18" t="str">
        <x:v>不导流</x:v>
      </x:c>
      <x:c r="R120" s="18" t="str">
        <x:v>相关性弱：可能带来无效流量或偏离产品定位</x:v>
      </x:c>
      <x:c r="S120" s="18" t="str">
        <x:v>除非人工确认与核心产品强相关，否则不要进入内容排期。</x:v>
      </x:c>
      <x:c r="T120" s="42" t="n">
        <x:v>1</x:v>
      </x:c>
      <x:c r="U120" s="42" t="n">
        <x:v>15</x:v>
      </x:c>
      <x:c r="V120" s="42" t="n">
        <x:v>2</x:v>
      </x:c>
      <x:c r="W120" s="42" t="n">
        <x:v>3</x:v>
      </x:c>
      <x:c r="X120" s="42" t="n">
        <x:v>2</x:v>
      </x:c>
      <x:c r="Y120" s="42" t="n">
        <x:v>16</x:v>
      </x:c>
      <x:c r="Z120" s="42" t="n">
        <x:f>MAX(0,MIN(100,ROUND(((T120+U120+V120+W120+X120)-Y120)/85*100,0)))</x:f>
        <x:v>8</x:v>
      </x:c>
      <x:c r="AA120" s="18" t="str">
        <x:f>IF(L120="暂不做","P3 暂缓",IF(Z120&gt;=75,"P0 本周做",IF(Z120&gt;=60,"P1 近期做",IF(Z120&gt;=45,"P2 备选","P3 暂缓"))))</x:f>
        <x:v>P3 暂缓</x:v>
      </x:c>
      <x:c r="AB120" s="18" t="str">
        <x:f>IF(Y120&gt;=15,"先做合规/相关性复核，不建议直接商业导流",IF(L120="主站","建/优化主站商业页",IF(L120="博客A-知识教程","写知识教程/FAQ文章",IF(L120="博客B-场景人群","写场景需求/选购指南文章",IF(L120="博客C-对比评测","写对比评测/榜单文章","暂不做或人工复核")))))</x:f>
        <x:v>先做合规/相关性复核，不建议直接商业导流</x:v>
      </x:c>
      <x:c r="AC120" s="18" t="str">
        <x:v>ExDivo SPACE 45K Disposable Vape</x:v>
      </x:c>
      <x:c r="AD120" s="19" t="str">
        <x:v>45000 puffs</x:v>
      </x:c>
    </x:row>
    <x:row r="121">
      <x:c r="A121" s="40" t="n">
        <x:v>121</x:v>
      </x:c>
      <x:c r="B121" s="18" t="str">
        <x:v>https://exdivo.com/collections/interstellar/products/exdivo-interstellar-35k-disposable-vape_d6ea723a?data_from=collection_detail&amp;spm=collection_detail.310720.collection_detail-11702364.1.</x:v>
      </x:c>
      <x:c r="C121" s="18" t="str">
        <x:v>exdivo interstellar 35k vape</x:v>
      </x:c>
      <x:c r="D121" s="18" t="str">
        <x:v>recommended</x:v>
      </x:c>
      <x:c r="E121" s="41" t="n">
        <x:v>0</x:v>
      </x:c>
      <x:c r="F121" s="41" t="n">
        <x:v>0</x:v>
      </x:c>
      <x:c r="G121" s="18" t="str">
        <x:v>48</x:v>
      </x:c>
      <x:c r="H121" s="18" t="str">
        <x:v>General Vape</x:v>
      </x:c>
      <x:c r="I121" s="18" t="str">
        <x:v>内容词</x:v>
      </x:c>
      <x:c r="J121" s="18" t="str">
        <x:v>博客A-知识教程</x:v>
      </x:c>
      <x:c r="K121" s="18" t="str"/>
      <x:c r="L121" s="18" t="str">
        <x:f>IF(K121="",J121,K121)</x:f>
        <x:v>博客A-知识教程</x:v>
      </x:c>
      <x:c r="M121" s="18" t="str">
        <x:v>知识/教程文章</x:v>
      </x:c>
      <x:c r="N121" s="18" t="str">
        <x:v>Guide angle: explain exdivo interstellar 35k vape, answer common questions, and avoid sales-first writing</x:v>
      </x:c>
      <x:c r="O121" s="18" t="str">
        <x:v>/collections/disposable-vapes 或最接近的产品集合页</x:v>
      </x:c>
      <x:c r="P121" s="18" t="str">
        <x:v>谨慎</x:v>
      </x:c>
      <x:c r="Q121" s="18" t="str">
        <x:v>品牌词/自然句</x:v>
      </x:c>
      <x:c r="R121" s="18" t="str">
        <x:v>低风险：按常规内容质量和搜索意图校验</x:v>
      </x:c>
      <x:c r="S121" s="18" t="str">
        <x:v>先看 Google SERP：如果首页多数为产品集合页，改回主站；如果多数为教程/问答，保持博客。</x:v>
      </x:c>
      <x:c r="T121" s="42" t="n">
        <x:v>1</x:v>
      </x:c>
      <x:c r="U121" s="42" t="n">
        <x:v>15</x:v>
      </x:c>
      <x:c r="V121" s="42" t="n">
        <x:v>10</x:v>
      </x:c>
      <x:c r="W121" s="42" t="n">
        <x:v>12</x:v>
      </x:c>
      <x:c r="X121" s="42" t="n">
        <x:v>12</x:v>
      </x:c>
      <x:c r="Y121" s="42" t="n">
        <x:v>4</x:v>
      </x:c>
      <x:c r="Z121" s="42" t="n">
        <x:f>MAX(0,MIN(100,ROUND(((T121+U121+V121+W121+X121)-Y121)/85*100,0)))</x:f>
        <x:v>54</x:v>
      </x:c>
      <x:c r="AA121" s="18" t="str">
        <x:f>IF(L121="暂不做","P3 暂缓",IF(Z121&gt;=75,"P0 本周做",IF(Z121&gt;=60,"P1 近期做",IF(Z121&gt;=45,"P2 备选","P3 暂缓"))))</x:f>
        <x:v>P2 备选</x:v>
      </x:c>
      <x:c r="AB121" s="18" t="str">
        <x:f>IF(Y121&gt;=15,"先做合规/相关性复核，不建议直接商业导流",IF(L121="主站","建/优化主站商业页",IF(L121="博客A-知识教程","写知识教程/FAQ文章",IF(L121="博客B-场景人群","写场景需求/选购指南文章",IF(L121="博客C-对比评测","写对比评测/榜单文章","暂不做或人工复核")))))</x:f>
        <x:v>写知识教程/FAQ文章</x:v>
      </x:c>
      <x:c r="AC121" s="18" t="str">
        <x:v>ExDivo INTERSTELLAR 35K Disposable Vape</x:v>
      </x:c>
      <x:c r="AD121" s="19" t="str">
        <x:v>35000 puffs</x:v>
      </x:c>
    </x:row>
    <x:row r="122">
      <x:c r="A122" s="40" t="n">
        <x:v>122</x:v>
      </x:c>
      <x:c r="B122" s="18" t="str">
        <x:v>https://exdivo.com/collections/interstellar/products/exdivo-interstellar-35k-disposable-vape_d6ea723a?data_from=collection_detail&amp;spm=collection_detail.310720.collection_detail-11702364.1.</x:v>
      </x:c>
      <x:c r="C122" s="18" t="str">
        <x:v>interstellar 35k vape</x:v>
      </x:c>
      <x:c r="D122" s="18" t="str">
        <x:v>recommended</x:v>
      </x:c>
      <x:c r="E122" s="41" t="n">
        <x:v>0</x:v>
      </x:c>
      <x:c r="F122" s="41" t="n">
        <x:v>0</x:v>
      </x:c>
      <x:c r="G122" s="18" t="str">
        <x:v>48</x:v>
      </x:c>
      <x:c r="H122" s="18" t="str">
        <x:v>General Vape</x:v>
      </x:c>
      <x:c r="I122" s="18" t="str">
        <x:v>品类承接词</x:v>
      </x:c>
      <x:c r="J122" s="18" t="str">
        <x:v>主站</x:v>
      </x:c>
      <x:c r="K122" s="18" t="str"/>
      <x:c r="L122" s="18" t="str">
        <x:f>IF(K122="",J122,K122)</x:f>
        <x:v>主站</x:v>
      </x:c>
      <x:c r="M122" s="18" t="str">
        <x:v>品类页/集合页 + FAQ内容块</x:v>
      </x:c>
      <x:c r="N122" s="18" t="str">
        <x:v>主站品类页：用产品集合 + 选购说明承接</x:v>
      </x:c>
      <x:c r="O122" s="18" t="str">
        <x:v>/collections/disposable-vapes</x:v>
      </x:c>
      <x:c r="P122" s="18" t="str">
        <x:v>不适用</x:v>
      </x:c>
      <x:c r="Q122" s="18" t="str">
        <x:v>主站页面自身承接</x:v>
      </x:c>
      <x:c r="R122" s="18" t="str">
        <x:v>核心品类词：主站优先，博客只做长尾解释，不直接抢同一词</x:v>
      </x:c>
      <x:c r="S122" s="18" t="str">
        <x:v>如果 Google 首页产品页和指南混合，主站页要加 FAQ、选购指南、对比模块。</x:v>
      </x:c>
      <x:c r="T122" s="42" t="n">
        <x:v>1</x:v>
      </x:c>
      <x:c r="U122" s="42" t="n">
        <x:v>15</x:v>
      </x:c>
      <x:c r="V122" s="42" t="n">
        <x:v>16</x:v>
      </x:c>
      <x:c r="W122" s="42" t="n">
        <x:v>8</x:v>
      </x:c>
      <x:c r="X122" s="42" t="n">
        <x:v>15</x:v>
      </x:c>
      <x:c r="Y122" s="42" t="n">
        <x:v>4</x:v>
      </x:c>
      <x:c r="Z122" s="42" t="n">
        <x:f>MAX(0,MIN(100,ROUND(((T122+U122+V122+W122+X122)-Y122)/85*100,0)))</x:f>
        <x:v>60</x:v>
      </x:c>
      <x:c r="AA122" s="18" t="str">
        <x:f>IF(L122="暂不做","P3 暂缓",IF(Z122&gt;=75,"P0 本周做",IF(Z122&gt;=60,"P1 近期做",IF(Z122&gt;=45,"P2 备选","P3 暂缓"))))</x:f>
        <x:v>P1 近期做</x:v>
      </x:c>
      <x:c r="AB122" s="18" t="str">
        <x:f>IF(Y122&gt;=15,"先做合规/相关性复核，不建议直接商业导流",IF(L122="主站","建/优化主站商业页",IF(L122="博客A-知识教程","写知识教程/FAQ文章",IF(L122="博客B-场景人群","写场景需求/选购指南文章",IF(L122="博客C-对比评测","写对比评测/榜单文章","暂不做或人工复核")))))</x:f>
        <x:v>建/优化主站商业页</x:v>
      </x:c>
      <x:c r="AC122" s="18" t="str">
        <x:v>ExDivo INTERSTELLAR 35K Disposable Vape</x:v>
      </x:c>
      <x:c r="AD122" s="19" t="str">
        <x:v>35000 puffs</x:v>
      </x:c>
    </x:row>
    <x:row r="123">
      <x:c r="A123" s="40" t="n">
        <x:v>123</x:v>
      </x:c>
      <x:c r="B123" s="18" t="str">
        <x:v>https://exdivo.com/collections/interstellar/products/exdivo-interstellar-35k-disposable-vape_d6ea723a?data_from=collection_detail&amp;spm=collection_detail.310720.collection_detail-11702364.1.</x:v>
      </x:c>
      <x:c r="C123" s="18" t="str">
        <x:v>interstellar 35k vape review</x:v>
      </x:c>
      <x:c r="D123" s="18" t="str">
        <x:v>recommended</x:v>
      </x:c>
      <x:c r="E123" s="41" t="n">
        <x:v>0</x:v>
      </x:c>
      <x:c r="F123" s="41" t="n">
        <x:v>0</x:v>
      </x:c>
      <x:c r="G123" s="18" t="str">
        <x:v>48</x:v>
      </x:c>
      <x:c r="H123" s="18" t="str">
        <x:v>对比评测</x:v>
      </x:c>
      <x:c r="I123" s="18" t="str">
        <x:v>商业调查词</x:v>
      </x:c>
      <x:c r="J123" s="18" t="str">
        <x:v>博客C-对比评测</x:v>
      </x:c>
      <x:c r="K123" s="18" t="str"/>
      <x:c r="L123" s="18" t="str">
        <x:f>IF(K123="",J123,K123)</x:f>
        <x:v>博客C-对比评测</x:v>
      </x:c>
      <x:c r="M123" s="18" t="str">
        <x:v>Best/Top/Review/VS/替代方案文章</x:v>
      </x:c>
      <x:c r="N123" s="18" t="str">
        <x:v>Best angle: interstellar 35k vape review - comparison, pros/cons, and which option fits different buyers</x:v>
      </x:c>
      <x:c r="O123" s="18" t="str">
        <x:v>/collections/disposable-vapes</x:v>
      </x:c>
      <x:c r="P123" s="18" t="str">
        <x:v>是</x:v>
      </x:c>
      <x:c r="Q123" s="18" t="str">
        <x:v>自然句/品类词/品牌词</x:v>
      </x:c>
      <x:c r="R123" s="18" t="str">
        <x:v>中风险：榜单和评测必须真实、中立，避免夸大</x:v>
      </x:c>
      <x:c r="S123" s="18" t="str">
        <x:v>这类词不直接给主站，先用博客C教育和比较，再导流到最相关集合页。</x:v>
      </x:c>
      <x:c r="T123" s="42" t="n">
        <x:v>1</x:v>
      </x:c>
      <x:c r="U123" s="42" t="n">
        <x:v>15</x:v>
      </x:c>
      <x:c r="V123" s="42" t="n">
        <x:v>16</x:v>
      </x:c>
      <x:c r="W123" s="42" t="n">
        <x:v>15</x:v>
      </x:c>
      <x:c r="X123" s="42" t="n">
        <x:v>13</x:v>
      </x:c>
      <x:c r="Y123" s="42" t="n">
        <x:v>6</x:v>
      </x:c>
      <x:c r="Z123" s="42" t="n">
        <x:f>MAX(0,MIN(100,ROUND(((T123+U123+V123+W123+X123)-Y123)/85*100,0)))</x:f>
        <x:v>64</x:v>
      </x:c>
      <x:c r="AA123" s="18" t="str">
        <x:f>IF(L123="暂不做","P3 暂缓",IF(Z123&gt;=75,"P0 本周做",IF(Z123&gt;=60,"P1 近期做",IF(Z123&gt;=45,"P2 备选","P3 暂缓"))))</x:f>
        <x:v>P1 近期做</x:v>
      </x:c>
      <x:c r="AB123" s="18" t="str">
        <x:f>IF(Y123&gt;=15,"先做合规/相关性复核，不建议直接商业导流",IF(L123="主站","建/优化主站商业页",IF(L123="博客A-知识教程","写知识教程/FAQ文章",IF(L123="博客B-场景人群","写场景需求/选购指南文章",IF(L123="博客C-对比评测","写对比评测/榜单文章","暂不做或人工复核")))))</x:f>
        <x:v>写对比评测/榜单文章</x:v>
      </x:c>
      <x:c r="AC123" s="18" t="str">
        <x:v>ExDivo INTERSTELLAR 35K Disposable Vape</x:v>
      </x:c>
      <x:c r="AD123" s="19" t="str">
        <x:v>35000 puffs</x:v>
      </x:c>
    </x:row>
    <x:row r="124">
      <x:c r="A124" s="40" t="n">
        <x:v>124</x:v>
      </x:c>
      <x:c r="B124" s="18" t="str">
        <x:v>https://exdivo.com/blogs/exdivo-disposable-vape-review-flavor-performance-and-value</x:v>
      </x:c>
      <x:c r="C124" s="18" t="str">
        <x:v>exdivo disposable vape review</x:v>
      </x:c>
      <x:c r="D124" s="18" t="str">
        <x:v>recommended</x:v>
      </x:c>
      <x:c r="E124" s="41" t="n">
        <x:v>0</x:v>
      </x:c>
      <x:c r="F124" s="41" t="n">
        <x:v>0</x:v>
      </x:c>
      <x:c r="G124" s="18" t="str">
        <x:v>48</x:v>
      </x:c>
      <x:c r="H124" s="18" t="str">
        <x:v>Disposable Vape</x:v>
      </x:c>
      <x:c r="I124" s="18" t="str">
        <x:v>商业调查词</x:v>
      </x:c>
      <x:c r="J124" s="18" t="str">
        <x:v>博客C-对比评测</x:v>
      </x:c>
      <x:c r="K124" s="18" t="str"/>
      <x:c r="L124" s="18" t="str">
        <x:f>IF(K124="",J124,K124)</x:f>
        <x:v>博客C-对比评测</x:v>
      </x:c>
      <x:c r="M124" s="18" t="str">
        <x:v>Best/Top/Review/VS/替代方案文章</x:v>
      </x:c>
      <x:c r="N124" s="18" t="str">
        <x:v>Best angle: exdivo disposable vape review - comparison, pros/cons, and which option fits different buyers</x:v>
      </x:c>
      <x:c r="O124" s="18" t="str">
        <x:v>/collections/disposable-vapes</x:v>
      </x:c>
      <x:c r="P124" s="18" t="str">
        <x:v>是</x:v>
      </x:c>
      <x:c r="Q124" s="18" t="str">
        <x:v>自然句/品类词/品牌词</x:v>
      </x:c>
      <x:c r="R124" s="18" t="str">
        <x:v>中风险：榜单和评测必须真实、中立，避免夸大</x:v>
      </x:c>
      <x:c r="S124" s="18" t="str">
        <x:v>这类词不直接给主站，先用博客C教育和比较，再导流到最相关集合页。</x:v>
      </x:c>
      <x:c r="T124" s="42" t="n">
        <x:v>1</x:v>
      </x:c>
      <x:c r="U124" s="42" t="n">
        <x:v>15</x:v>
      </x:c>
      <x:c r="V124" s="42" t="n">
        <x:v>16</x:v>
      </x:c>
      <x:c r="W124" s="42" t="n">
        <x:v>15</x:v>
      </x:c>
      <x:c r="X124" s="42" t="n">
        <x:v>13</x:v>
      </x:c>
      <x:c r="Y124" s="42" t="n">
        <x:v>6</x:v>
      </x:c>
      <x:c r="Z124" s="42" t="n">
        <x:f>MAX(0,MIN(100,ROUND(((T124+U124+V124+W124+X124)-Y124)/85*100,0)))</x:f>
        <x:v>64</x:v>
      </x:c>
      <x:c r="AA124" s="18" t="str">
        <x:f>IF(L124="暂不做","P3 暂缓",IF(Z124&gt;=75,"P0 本周做",IF(Z124&gt;=60,"P1 近期做",IF(Z124&gt;=45,"P2 备选","P3 暂缓"))))</x:f>
        <x:v>P1 近期做</x:v>
      </x:c>
      <x:c r="AB124" s="18" t="str">
        <x:f>IF(Y124&gt;=15,"先做合规/相关性复核，不建议直接商业导流",IF(L124="主站","建/优化主站商业页",IF(L124="博客A-知识教程","写知识教程/FAQ文章",IF(L124="博客B-场景人群","写场景需求/选购指南文章",IF(L124="博客C-对比评测","写对比评测/榜单文章","暂不做或人工复核")))))</x:f>
        <x:v>写对比评测/榜单文章</x:v>
      </x:c>
      <x:c r="AC124" s="18" t="str">
        <x:v>EXDIVO Disposable Vape Review: Flavor, Performance, and Value - ExDivo</x:v>
      </x:c>
      <x:c r="AD124" s="19" t="str">
        <x:v>exdivo disposable vape review: flavor, performance, and value</x:v>
      </x:c>
    </x:row>
    <x:row r="125">
      <x:c r="A125" s="40" t="n">
        <x:v>125</x:v>
      </x:c>
      <x:c r="B125" s="18" t="str">
        <x:v>https://exdivo.com/blogs/exdivo-disposable-vape-review-flavor-performance-and-value</x:v>
      </x:c>
      <x:c r="C125" s="18" t="str">
        <x:v>exdivo vape review</x:v>
      </x:c>
      <x:c r="D125" s="18" t="str">
        <x:v>recommended</x:v>
      </x:c>
      <x:c r="E125" s="41" t="n">
        <x:v>0</x:v>
      </x:c>
      <x:c r="F125" s="41" t="n">
        <x:v>0</x:v>
      </x:c>
      <x:c r="G125" s="18" t="str">
        <x:v>48</x:v>
      </x:c>
      <x:c r="H125" s="18" t="str">
        <x:v>对比评测</x:v>
      </x:c>
      <x:c r="I125" s="18" t="str">
        <x:v>商业调查词</x:v>
      </x:c>
      <x:c r="J125" s="18" t="str">
        <x:v>博客C-对比评测</x:v>
      </x:c>
      <x:c r="K125" s="18" t="str"/>
      <x:c r="L125" s="18" t="str">
        <x:f>IF(K125="",J125,K125)</x:f>
        <x:v>博客C-对比评测</x:v>
      </x:c>
      <x:c r="M125" s="18" t="str">
        <x:v>Best/Top/Review/VS/替代方案文章</x:v>
      </x:c>
      <x:c r="N125" s="18" t="str">
        <x:v>Best angle: exdivo vape review - comparison, pros/cons, and which option fits different buyers</x:v>
      </x:c>
      <x:c r="O125" s="18" t="str">
        <x:v>/collections/disposable-vapes</x:v>
      </x:c>
      <x:c r="P125" s="18" t="str">
        <x:v>是</x:v>
      </x:c>
      <x:c r="Q125" s="18" t="str">
        <x:v>自然句/品类词/品牌词</x:v>
      </x:c>
      <x:c r="R125" s="18" t="str">
        <x:v>中风险：榜单和评测必须真实、中立，避免夸大</x:v>
      </x:c>
      <x:c r="S125" s="18" t="str">
        <x:v>这类词不直接给主站，先用博客C教育和比较，再导流到最相关集合页。</x:v>
      </x:c>
      <x:c r="T125" s="42" t="n">
        <x:v>1</x:v>
      </x:c>
      <x:c r="U125" s="42" t="n">
        <x:v>15</x:v>
      </x:c>
      <x:c r="V125" s="42" t="n">
        <x:v>16</x:v>
      </x:c>
      <x:c r="W125" s="42" t="n">
        <x:v>15</x:v>
      </x:c>
      <x:c r="X125" s="42" t="n">
        <x:v>13</x:v>
      </x:c>
      <x:c r="Y125" s="42" t="n">
        <x:v>6</x:v>
      </x:c>
      <x:c r="Z125" s="42" t="n">
        <x:f>MAX(0,MIN(100,ROUND(((T125+U125+V125+W125+X125)-Y125)/85*100,0)))</x:f>
        <x:v>64</x:v>
      </x:c>
      <x:c r="AA125" s="18" t="str">
        <x:f>IF(L125="暂不做","P3 暂缓",IF(Z125&gt;=75,"P0 本周做",IF(Z125&gt;=60,"P1 近期做",IF(Z125&gt;=45,"P2 备选","P3 暂缓"))))</x:f>
        <x:v>P1 近期做</x:v>
      </x:c>
      <x:c r="AB125" s="18" t="str">
        <x:f>IF(Y125&gt;=15,"先做合规/相关性复核，不建议直接商业导流",IF(L125="主站","建/优化主站商业页",IF(L125="博客A-知识教程","写知识教程/FAQ文章",IF(L125="博客B-场景人群","写场景需求/选购指南文章",IF(L125="博客C-对比评测","写对比评测/榜单文章","暂不做或人工复核")))))</x:f>
        <x:v>写对比评测/榜单文章</x:v>
      </x:c>
      <x:c r="AC125" s="18" t="str">
        <x:v>EXDIVO Disposable Vape Review: Flavor, Performance, and Value - ExDivo</x:v>
      </x:c>
      <x:c r="AD125" s="19" t="str">
        <x:v>exdivo disposable vape review: flavor, performance, and value</x:v>
      </x:c>
    </x:row>
    <x:row r="126">
      <x:c r="A126" s="40" t="n">
        <x:v>126</x:v>
      </x:c>
      <x:c r="B126" s="18" t="str">
        <x:v>https://exdivo.com/blogs/exdivo-disposable-vape-review-flavor-performance-and-value</x:v>
      </x:c>
      <x:c r="C126" s="18" t="str">
        <x:v>exdivo pod vape reviews</x:v>
      </x:c>
      <x:c r="D126" s="18" t="str">
        <x:v>recommended</x:v>
      </x:c>
      <x:c r="E126" s="41" t="n">
        <x:v>0</x:v>
      </x:c>
      <x:c r="F126" s="41" t="n">
        <x:v>0</x:v>
      </x:c>
      <x:c r="G126" s="18" t="str">
        <x:v>48</x:v>
      </x:c>
      <x:c r="H126" s="18" t="str">
        <x:v>Pod Kit / Pod System</x:v>
      </x:c>
      <x:c r="I126" s="18" t="str">
        <x:v>商业调查词</x:v>
      </x:c>
      <x:c r="J126" s="18" t="str">
        <x:v>博客C-对比评测</x:v>
      </x:c>
      <x:c r="K126" s="18" t="str"/>
      <x:c r="L126" s="18" t="str">
        <x:f>IF(K126="",J126,K126)</x:f>
        <x:v>博客C-对比评测</x:v>
      </x:c>
      <x:c r="M126" s="18" t="str">
        <x:v>Best/Top/Review/VS/替代方案文章</x:v>
      </x:c>
      <x:c r="N126" s="18" t="str">
        <x:v>Best angle: exdivo pod vape reviews - comparison, pros/cons, and which option fits different buyers</x:v>
      </x:c>
      <x:c r="O126" s="18" t="str">
        <x:v>/collections/pod-kits</x:v>
      </x:c>
      <x:c r="P126" s="18" t="str">
        <x:v>是</x:v>
      </x:c>
      <x:c r="Q126" s="18" t="str">
        <x:v>自然句/品类词/品牌词</x:v>
      </x:c>
      <x:c r="R126" s="18" t="str">
        <x:v>中风险：榜单和评测必须真实、中立，避免夸大</x:v>
      </x:c>
      <x:c r="S126" s="18" t="str">
        <x:v>这类词不直接给主站，先用博客C教育和比较，再导流到最相关集合页。</x:v>
      </x:c>
      <x:c r="T126" s="42" t="n">
        <x:v>1</x:v>
      </x:c>
      <x:c r="U126" s="42" t="n">
        <x:v>15</x:v>
      </x:c>
      <x:c r="V126" s="42" t="n">
        <x:v>16</x:v>
      </x:c>
      <x:c r="W126" s="42" t="n">
        <x:v>15</x:v>
      </x:c>
      <x:c r="X126" s="42" t="n">
        <x:v>13</x:v>
      </x:c>
      <x:c r="Y126" s="42" t="n">
        <x:v>6</x:v>
      </x:c>
      <x:c r="Z126" s="42" t="n">
        <x:f>MAX(0,MIN(100,ROUND(((T126+U126+V126+W126+X126)-Y126)/85*100,0)))</x:f>
        <x:v>64</x:v>
      </x:c>
      <x:c r="AA126" s="18" t="str">
        <x:f>IF(L126="暂不做","P3 暂缓",IF(Z126&gt;=75,"P0 本周做",IF(Z126&gt;=60,"P1 近期做",IF(Z126&gt;=45,"P2 备选","P3 暂缓"))))</x:f>
        <x:v>P1 近期做</x:v>
      </x:c>
      <x:c r="AB126" s="18" t="str">
        <x:f>IF(Y126&gt;=15,"先做合规/相关性复核，不建议直接商业导流",IF(L126="主站","建/优化主站商业页",IF(L126="博客A-知识教程","写知识教程/FAQ文章",IF(L126="博客B-场景人群","写场景需求/选购指南文章",IF(L126="博客C-对比评测","写对比评测/榜单文章","暂不做或人工复核")))))</x:f>
        <x:v>写对比评测/榜单文章</x:v>
      </x:c>
      <x:c r="AC126" s="18" t="str">
        <x:v>EXDIVO Disposable Vape Review: Flavor, Performance, and Value - ExDivo</x:v>
      </x:c>
      <x:c r="AD126" s="19" t="str">
        <x:v>exdivo disposable vape review: flavor, performance, and value</x:v>
      </x:c>
    </x:row>
    <x:row r="127">
      <x:c r="A127" s="40" t="n">
        <x:v>127</x:v>
      </x:c>
      <x:c r="B127" s="18" t="str">
        <x:v>https://exdivo.com/comments/exdivo-flora-40k-disposable-vape_40f04366?writeComment=true</x:v>
      </x:c>
      <x:c r="C127" s="18" t="str">
        <x:v>miami mint vape</x:v>
      </x:c>
      <x:c r="D127" s="18" t="str">
        <x:v>recommended</x:v>
      </x:c>
      <x:c r="E127" s="41" t="n">
        <x:v>3600</x:v>
      </x:c>
      <x:c r="F127" s="41" t="n">
        <x:v>9</x:v>
      </x:c>
      <x:c r="G127" s="18" t="str">
        <x:v>informational</x:v>
      </x:c>
      <x:c r="H127" s="18" t="str">
        <x:v>General Vape</x:v>
      </x:c>
      <x:c r="I127" s="18" t="str">
        <x:v>品类承接词</x:v>
      </x:c>
      <x:c r="J127" s="18" t="str">
        <x:v>主站</x:v>
      </x:c>
      <x:c r="K127" s="18" t="str"/>
      <x:c r="L127" s="18" t="str">
        <x:f>IF(K127="",J127,K127)</x:f>
        <x:v>主站</x:v>
      </x:c>
      <x:c r="M127" s="18" t="str">
        <x:v>品类页/集合页 + FAQ内容块</x:v>
      </x:c>
      <x:c r="N127" s="18" t="str">
        <x:v>主站品类页：用产品集合 + 选购说明承接</x:v>
      </x:c>
      <x:c r="O127" s="18" t="str">
        <x:v>/collections/disposable-vapes</x:v>
      </x:c>
      <x:c r="P127" s="18" t="str">
        <x:v>不适用</x:v>
      </x:c>
      <x:c r="Q127" s="18" t="str">
        <x:v>主站页面自身承接</x:v>
      </x:c>
      <x:c r="R127" s="18" t="str">
        <x:v>核心品类词：主站优先，博客只做长尾解释，不直接抢同一词</x:v>
      </x:c>
      <x:c r="S127" s="18" t="str">
        <x:v>如果 Google 首页产品页和指南混合，主站页要加 FAQ、选购指南、对比模块。</x:v>
      </x:c>
      <x:c r="T127" s="42" t="n">
        <x:v>13</x:v>
      </x:c>
      <x:c r="U127" s="42" t="n">
        <x:v>15</x:v>
      </x:c>
      <x:c r="V127" s="42" t="n">
        <x:v>16</x:v>
      </x:c>
      <x:c r="W127" s="42" t="n">
        <x:v>8</x:v>
      </x:c>
      <x:c r="X127" s="42" t="n">
        <x:v>15</x:v>
      </x:c>
      <x:c r="Y127" s="42" t="n">
        <x:v>4</x:v>
      </x:c>
      <x:c r="Z127" s="42" t="n">
        <x:f>MAX(0,MIN(100,ROUND(((T127+U127+V127+W127+X127)-Y127)/85*100,0)))</x:f>
        <x:v>74</x:v>
      </x:c>
      <x:c r="AA127" s="18" t="str">
        <x:f>IF(L127="暂不做","P3 暂缓",IF(Z127&gt;=75,"P0 本周做",IF(Z127&gt;=60,"P1 近期做",IF(Z127&gt;=45,"P2 备选","P3 暂缓"))))</x:f>
        <x:v>P1 近期做</x:v>
      </x:c>
      <x:c r="AB127" s="18" t="str">
        <x:f>IF(Y127&gt;=15,"先做合规/相关性复核，不建议直接商业导流",IF(L127="主站","建/优化主站商业页",IF(L127="博客A-知识教程","写知识教程/FAQ文章",IF(L127="博客B-场景人群","写场景需求/选购指南文章",IF(L127="博客C-对比评测","写对比评测/榜单文章","暂不做或人工复核")))))</x:f>
        <x:v>建/优化主站商业页</x:v>
      </x:c>
      <x:c r="AC127" s="18" t="str">
        <x:v>Reviews - MIAMI MINT - ExDivo FLORA 40K Disposable Vape - ExDivo</x:v>
      </x:c>
      <x:c r="AD127" s="19" t="str">
        <x:v>48</x:v>
      </x:c>
    </x:row>
    <x:row r="128">
      <x:c r="A128" s="40" t="n">
        <x:v>128</x:v>
      </x:c>
      <x:c r="B128" s="18" t="str">
        <x:v>https://exdivo.com/comments/exdivo-flora-40k-disposable-vape_40f04366?writeComment=true</x:v>
      </x:c>
      <x:c r="C128" s="18" t="str">
        <x:v>miami mint vapes</x:v>
      </x:c>
      <x:c r="D128" s="18" t="str">
        <x:v>recommended</x:v>
      </x:c>
      <x:c r="E128" s="41" t="n">
        <x:v>170</x:v>
      </x:c>
      <x:c r="F128" s="41" t="n">
        <x:v>7</x:v>
      </x:c>
      <x:c r="G128" s="18" t="str">
        <x:v>informational, commercial</x:v>
      </x:c>
      <x:c r="H128" s="18" t="str">
        <x:v>General Vape</x:v>
      </x:c>
      <x:c r="I128" s="18" t="str">
        <x:v>品类承接词</x:v>
      </x:c>
      <x:c r="J128" s="18" t="str">
        <x:v>主站</x:v>
      </x:c>
      <x:c r="K128" s="18" t="str"/>
      <x:c r="L128" s="18" t="str">
        <x:f>IF(K128="",J128,K128)</x:f>
        <x:v>主站</x:v>
      </x:c>
      <x:c r="M128" s="18" t="str">
        <x:v>品类页/集合页 + FAQ内容块</x:v>
      </x:c>
      <x:c r="N128" s="18" t="str">
        <x:v>主站品类页：用产品集合 + 选购说明承接</x:v>
      </x:c>
      <x:c r="O128" s="18" t="str">
        <x:v>/collections/disposable-vapes</x:v>
      </x:c>
      <x:c r="P128" s="18" t="str">
        <x:v>不适用</x:v>
      </x:c>
      <x:c r="Q128" s="18" t="str">
        <x:v>主站页面自身承接</x:v>
      </x:c>
      <x:c r="R128" s="18" t="str">
        <x:v>核心品类词：主站优先，博客只做长尾解释，不直接抢同一词</x:v>
      </x:c>
      <x:c r="S128" s="18" t="str">
        <x:v>如果 Google 首页产品页和指南混合，主站页要加 FAQ、选购指南、对比模块。</x:v>
      </x:c>
      <x:c r="T128" s="42" t="n">
        <x:v>7</x:v>
      </x:c>
      <x:c r="U128" s="42" t="n">
        <x:v>15</x:v>
      </x:c>
      <x:c r="V128" s="42" t="n">
        <x:v>18</x:v>
      </x:c>
      <x:c r="W128" s="42" t="n">
        <x:v>8</x:v>
      </x:c>
      <x:c r="X128" s="42" t="n">
        <x:v>15</x:v>
      </x:c>
      <x:c r="Y128" s="42" t="n">
        <x:v>4</x:v>
      </x:c>
      <x:c r="Z128" s="42" t="n">
        <x:f>MAX(0,MIN(100,ROUND(((T128+U128+V128+W128+X128)-Y128)/85*100,0)))</x:f>
        <x:v>69</x:v>
      </x:c>
      <x:c r="AA128" s="18" t="str">
        <x:f>IF(L128="暂不做","P3 暂缓",IF(Z128&gt;=75,"P0 本周做",IF(Z128&gt;=60,"P1 近期做",IF(Z128&gt;=45,"P2 备选","P3 暂缓"))))</x:f>
        <x:v>P1 近期做</x:v>
      </x:c>
      <x:c r="AB128" s="18" t="str">
        <x:f>IF(Y128&gt;=15,"先做合规/相关性复核，不建议直接商业导流",IF(L128="主站","建/优化主站商业页",IF(L128="博客A-知识教程","写知识教程/FAQ文章",IF(L128="博客B-场景人群","写场景需求/选购指南文章",IF(L128="博客C-对比评测","写对比评测/榜单文章","暂不做或人工复核")))))</x:f>
        <x:v>建/优化主站商业页</x:v>
      </x:c>
      <x:c r="AC128" s="18" t="str">
        <x:v>Reviews - MIAMI MINT - ExDivo FLORA 40K Disposable Vape - ExDivo</x:v>
      </x:c>
      <x:c r="AD128" s="19" t="str">
        <x:v>48</x:v>
      </x:c>
    </x:row>
    <x:row r="129">
      <x:c r="A129" s="40" t="n">
        <x:v>129</x:v>
      </x:c>
      <x:c r="B129" s="18" t="str">
        <x:v>https://exdivo.com/comments/exdivo-flora-40k-disposable-vape_40f04366?writeComment=true</x:v>
      </x:c>
      <x:c r="C129" s="18" t="str">
        <x:v>miami mint vape flavor</x:v>
      </x:c>
      <x:c r="D129" s="18" t="str">
        <x:v>recommended</x:v>
      </x:c>
      <x:c r="E129" s="41" t="n">
        <x:v>90</x:v>
      </x:c>
      <x:c r="F129" s="41" t="n">
        <x:v>1</x:v>
      </x:c>
      <x:c r="G129" s="18" t="str">
        <x:v>informational</x:v>
      </x:c>
      <x:c r="H129" s="18" t="str">
        <x:v>Flavor / 口味</x:v>
      </x:c>
      <x:c r="I129" s="18" t="str">
        <x:v>场景/需求词</x:v>
      </x:c>
      <x:c r="J129" s="18" t="str">
        <x:v>博客B-场景人群</x:v>
      </x:c>
      <x:c r="K129" s="18" t="str"/>
      <x:c r="L129" s="18" t="str">
        <x:f>IF(K129="",J129,K129)</x:f>
        <x:v>博客B-场景人群</x:v>
      </x:c>
      <x:c r="M129" s="18" t="str">
        <x:v>场景解决方案/选购指南文章</x:v>
      </x:c>
      <x:c r="N129" s="18" t="str">
        <x:v>Scenario angle: how to choose miami mint vape flavor based on use case, flavor, nicotine, and budget</x:v>
      </x:c>
      <x:c r="O129" s="18" t="str">
        <x:v>/collections/flavored-disposable-vapes</x:v>
      </x:c>
      <x:c r="P129" s="18" t="str">
        <x:v>是</x:v>
      </x:c>
      <x:c r="Q129" s="18" t="str">
        <x:v>自然句/品类词</x:v>
      </x:c>
      <x:c r="R129" s="18" t="str">
        <x:v>低中风险：适合软性导流，但不要夸大效果或触碰健康疗效</x:v>
      </x:c>
      <x:c r="S129" s="18" t="str">
        <x:v>围绕使用场景、口味、尼古丁需求、便携性等写，不和主站品类页抢词。</x:v>
      </x:c>
      <x:c r="T129" s="42" t="n">
        <x:v>4</x:v>
      </x:c>
      <x:c r="U129" s="42" t="n">
        <x:v>15</x:v>
      </x:c>
      <x:c r="V129" s="42" t="n">
        <x:v>13</x:v>
      </x:c>
      <x:c r="W129" s="42" t="n">
        <x:v>14</x:v>
      </x:c>
      <x:c r="X129" s="42" t="n">
        <x:v>13</x:v>
      </x:c>
      <x:c r="Y129" s="42" t="n">
        <x:v>5</x:v>
      </x:c>
      <x:c r="Z129" s="42" t="n">
        <x:f>MAX(0,MIN(100,ROUND(((T129+U129+V129+W129+X129)-Y129)/85*100,0)))</x:f>
        <x:v>64</x:v>
      </x:c>
      <x:c r="AA129" s="18" t="str">
        <x:f>IF(L129="暂不做","P3 暂缓",IF(Z129&gt;=75,"P0 本周做",IF(Z129&gt;=60,"P1 近期做",IF(Z129&gt;=45,"P2 备选","P3 暂缓"))))</x:f>
        <x:v>P1 近期做</x:v>
      </x:c>
      <x:c r="AB129" s="18" t="str">
        <x:f>IF(Y129&gt;=15,"先做合规/相关性复核，不建议直接商业导流",IF(L129="主站","建/优化主站商业页",IF(L129="博客A-知识教程","写知识教程/FAQ文章",IF(L129="博客B-场景人群","写场景需求/选购指南文章",IF(L129="博客C-对比评测","写对比评测/榜单文章","暂不做或人工复核")))))</x:f>
        <x:v>写场景需求/选购指南文章</x:v>
      </x:c>
      <x:c r="AC129" s="18" t="str">
        <x:v>Reviews - MIAMI MINT - ExDivo FLORA 40K Disposable Vape - ExDivo</x:v>
      </x:c>
      <x:c r="AD129" s="19" t="str">
        <x:v>48</x:v>
      </x:c>
    </x:row>
    <x:row r="130">
      <x:c r="A130" s="40" t="n">
        <x:v>130</x:v>
      </x:c>
      <x:c r="B130" s="18" t="str">
        <x:v>https://exdivo.com/comments/exdivo-flora-40k-disposable-vape_40f04366?writeComment=true</x:v>
      </x:c>
      <x:c r="C130" s="18" t="str">
        <x:v>miami mint raz vape</x:v>
      </x:c>
      <x:c r="D130" s="18" t="str">
        <x:v>recommended</x:v>
      </x:c>
      <x:c r="E130" s="41" t="n">
        <x:v>90</x:v>
      </x:c>
      <x:c r="F130" s="41" t="n">
        <x:v>1</x:v>
      </x:c>
      <x:c r="G130" s="18" t="str">
        <x:v>informational</x:v>
      </x:c>
      <x:c r="H130" s="18" t="str">
        <x:v>竞品/品牌词</x:v>
      </x:c>
      <x:c r="I130" s="18" t="str">
        <x:v>竞品品牌词</x:v>
      </x:c>
      <x:c r="J130" s="18" t="str">
        <x:v>暂不做</x:v>
      </x:c>
      <x:c r="K130" s="18" t="str"/>
      <x:c r="L130" s="18" t="str">
        <x:f>IF(K130="",J130,K130)</x:f>
        <x:v>暂不做</x:v>
      </x:c>
      <x:c r="M130" s="18" t="str">
        <x:v>人工确认后再决定</x:v>
      </x:c>
      <x:c r="N130" s="18" t="str">
        <x:v>人工确认是否可做客观对比</x:v>
      </x:c>
      <x:c r="O130" s="18" t="str">
        <x:v>无</x:v>
      </x:c>
      <x:c r="P130" s="18" t="str">
        <x:v>否</x:v>
      </x:c>
      <x:c r="Q130" s="18" t="str">
        <x:v>不导流</x:v>
      </x:c>
      <x:c r="R130" s="18" t="str">
        <x:v>中高风险：纯竞品品牌词容易产生商标/相关性问题</x:v>
      </x:c>
      <x:c r="S130" s="18" t="str">
        <x:v>只有带 alternative / vs / review / best 这类明确比较意图时，才考虑博客C。</x:v>
      </x:c>
      <x:c r="T130" s="42" t="n">
        <x:v>4</x:v>
      </x:c>
      <x:c r="U130" s="42" t="n">
        <x:v>15</x:v>
      </x:c>
      <x:c r="V130" s="42" t="n">
        <x:v>5</x:v>
      </x:c>
      <x:c r="W130" s="42" t="n">
        <x:v>7</x:v>
      </x:c>
      <x:c r="X130" s="42" t="n">
        <x:v>4</x:v>
      </x:c>
      <x:c r="Y130" s="42" t="n">
        <x:v>14</x:v>
      </x:c>
      <x:c r="Z130" s="42" t="n">
        <x:f>MAX(0,MIN(100,ROUND(((T130+U130+V130+W130+X130)-Y130)/85*100,0)))</x:f>
        <x:v>25</x:v>
      </x:c>
      <x:c r="AA130" s="18" t="str">
        <x:f>IF(L130="暂不做","P3 暂缓",IF(Z130&gt;=75,"P0 本周做",IF(Z130&gt;=60,"P1 近期做",IF(Z130&gt;=45,"P2 备选","P3 暂缓"))))</x:f>
        <x:v>P3 暂缓</x:v>
      </x:c>
      <x:c r="AB130" s="18" t="str">
        <x:f>IF(Y130&gt;=15,"先做合规/相关性复核，不建议直接商业导流",IF(L130="主站","建/优化主站商业页",IF(L130="博客A-知识教程","写知识教程/FAQ文章",IF(L130="博客B-场景人群","写场景需求/选购指南文章",IF(L130="博客C-对比评测","写对比评测/榜单文章","暂不做或人工复核")))))</x:f>
        <x:v>暂不做或人工复核</x:v>
      </x:c>
      <x:c r="AC130" s="18" t="str">
        <x:v>Reviews - MIAMI MINT - ExDivo FLORA 40K Disposable Vape - ExDivo</x:v>
      </x:c>
      <x:c r="AD130" s="19" t="str">
        <x:v>48</x:v>
      </x:c>
    </x:row>
    <x:row r="131">
      <x:c r="A131" s="40" t="n">
        <x:v>131</x:v>
      </x:c>
      <x:c r="B131" s="18" t="str">
        <x:v>https://exdivo.com/comments/exdivo-flora-40k-disposable-vape_40f04366?writeComment=true</x:v>
      </x:c>
      <x:c r="C131" s="18" t="str">
        <x:v>best miami mint vape</x:v>
      </x:c>
      <x:c r="D131" s="18" t="str">
        <x:v>recommended</x:v>
      </x:c>
      <x:c r="E131" s="41" t="n">
        <x:v>40</x:v>
      </x:c>
      <x:c r="F131" s="41" t="n">
        <x:v>1</x:v>
      </x:c>
      <x:c r="G131" s="18" t="str">
        <x:v>commercial</x:v>
      </x:c>
      <x:c r="H131" s="18" t="str">
        <x:v>对比评测</x:v>
      </x:c>
      <x:c r="I131" s="18" t="str">
        <x:v>商业调查词</x:v>
      </x:c>
      <x:c r="J131" s="18" t="str">
        <x:v>博客C-对比评测</x:v>
      </x:c>
      <x:c r="K131" s="18" t="str"/>
      <x:c r="L131" s="18" t="str">
        <x:f>IF(K131="",J131,K131)</x:f>
        <x:v>博客C-对比评测</x:v>
      </x:c>
      <x:c r="M131" s="18" t="str">
        <x:v>Best/Top/Review/VS/替代方案文章</x:v>
      </x:c>
      <x:c r="N131" s="18" t="str">
        <x:v>Best angle: best miami mint vape - comparison, pros/cons, and which option fits different buyers</x:v>
      </x:c>
      <x:c r="O131" s="18" t="str">
        <x:v>/collections/disposable-vapes</x:v>
      </x:c>
      <x:c r="P131" s="18" t="str">
        <x:v>是</x:v>
      </x:c>
      <x:c r="Q131" s="18" t="str">
        <x:v>自然句/品类词/品牌词</x:v>
      </x:c>
      <x:c r="R131" s="18" t="str">
        <x:v>中风险：榜单和评测必须真实、中立，避免夸大</x:v>
      </x:c>
      <x:c r="S131" s="18" t="str">
        <x:v>这类词不直接给主站，先用博客C教育和比较，再导流到最相关集合页。</x:v>
      </x:c>
      <x:c r="T131" s="42" t="n">
        <x:v>4</x:v>
      </x:c>
      <x:c r="U131" s="42" t="n">
        <x:v>15</x:v>
      </x:c>
      <x:c r="V131" s="42" t="n">
        <x:v>16</x:v>
      </x:c>
      <x:c r="W131" s="42" t="n">
        <x:v>15</x:v>
      </x:c>
      <x:c r="X131" s="42" t="n">
        <x:v>13</x:v>
      </x:c>
      <x:c r="Y131" s="42" t="n">
        <x:v>6</x:v>
      </x:c>
      <x:c r="Z131" s="42" t="n">
        <x:f>MAX(0,MIN(100,ROUND(((T131+U131+V131+W131+X131)-Y131)/85*100,0)))</x:f>
        <x:v>67</x:v>
      </x:c>
      <x:c r="AA131" s="18" t="str">
        <x:f>IF(L131="暂不做","P3 暂缓",IF(Z131&gt;=75,"P0 本周做",IF(Z131&gt;=60,"P1 近期做",IF(Z131&gt;=45,"P2 备选","P3 暂缓"))))</x:f>
        <x:v>P1 近期做</x:v>
      </x:c>
      <x:c r="AB131" s="18" t="str">
        <x:f>IF(Y131&gt;=15,"先做合规/相关性复核，不建议直接商业导流",IF(L131="主站","建/优化主站商业页",IF(L131="博客A-知识教程","写知识教程/FAQ文章",IF(L131="博客B-场景人群","写场景需求/选购指南文章",IF(L131="博客C-对比评测","写对比评测/榜单文章","暂不做或人工复核")))))</x:f>
        <x:v>写对比评测/榜单文章</x:v>
      </x:c>
      <x:c r="AC131" s="18" t="str">
        <x:v>Reviews - MIAMI MINT - ExDivo FLORA 40K Disposable Vape - ExDivo</x:v>
      </x:c>
      <x:c r="AD131" s="19" t="str">
        <x:v>48</x:v>
      </x:c>
    </x:row>
    <x:row r="132">
      <x:c r="A132" s="40" t="n">
        <x:v>132</x:v>
      </x:c>
      <x:c r="B132" s="18" t="str">
        <x:v>https://exdivo.com/comments/exdivo-flora-40k-disposable-vape_40f04366?writeComment=true</x:v>
      </x:c>
      <x:c r="C132" s="18" t="str">
        <x:v>miami mint disposable vape</x:v>
      </x:c>
      <x:c r="D132" s="18" t="str">
        <x:v>recommended</x:v>
      </x:c>
      <x:c r="E132" s="41" t="n">
        <x:v>0</x:v>
      </x:c>
      <x:c r="F132" s="41" t="n">
        <x:v>0</x:v>
      </x:c>
      <x:c r="G132" s="18" t="str">
        <x:v>48</x:v>
      </x:c>
      <x:c r="H132" s="18" t="str">
        <x:v>Disposable Vape</x:v>
      </x:c>
      <x:c r="I132" s="18" t="str">
        <x:v>内容词</x:v>
      </x:c>
      <x:c r="J132" s="18" t="str">
        <x:v>博客A-知识教程</x:v>
      </x:c>
      <x:c r="K132" s="18" t="str"/>
      <x:c r="L132" s="18" t="str">
        <x:f>IF(K132="",J132,K132)</x:f>
        <x:v>博客A-知识教程</x:v>
      </x:c>
      <x:c r="M132" s="18" t="str">
        <x:v>知识/教程文章</x:v>
      </x:c>
      <x:c r="N132" s="18" t="str">
        <x:v>Guide angle: explain miami mint disposable vape, answer common questions, and avoid sales-first writing</x:v>
      </x:c>
      <x:c r="O132" s="18" t="str">
        <x:v>/collections/disposable-vapes 或最接近的产品集合页</x:v>
      </x:c>
      <x:c r="P132" s="18" t="str">
        <x:v>谨慎</x:v>
      </x:c>
      <x:c r="Q132" s="18" t="str">
        <x:v>品牌词/自然句</x:v>
      </x:c>
      <x:c r="R132" s="18" t="str">
        <x:v>低风险：按常规内容质量和搜索意图校验</x:v>
      </x:c>
      <x:c r="S132" s="18" t="str">
        <x:v>先看 Google SERP：如果首页多数为产品集合页，改回主站；如果多数为教程/问答，保持博客。</x:v>
      </x:c>
      <x:c r="T132" s="42" t="n">
        <x:v>1</x:v>
      </x:c>
      <x:c r="U132" s="42" t="n">
        <x:v>15</x:v>
      </x:c>
      <x:c r="V132" s="42" t="n">
        <x:v>10</x:v>
      </x:c>
      <x:c r="W132" s="42" t="n">
        <x:v>12</x:v>
      </x:c>
      <x:c r="X132" s="42" t="n">
        <x:v>12</x:v>
      </x:c>
      <x:c r="Y132" s="42" t="n">
        <x:v>4</x:v>
      </x:c>
      <x:c r="Z132" s="42" t="n">
        <x:f>MAX(0,MIN(100,ROUND(((T132+U132+V132+W132+X132)-Y132)/85*100,0)))</x:f>
        <x:v>54</x:v>
      </x:c>
      <x:c r="AA132" s="18" t="str">
        <x:f>IF(L132="暂不做","P3 暂缓",IF(Z132&gt;=75,"P0 本周做",IF(Z132&gt;=60,"P1 近期做",IF(Z132&gt;=45,"P2 备选","P3 暂缓"))))</x:f>
        <x:v>P2 备选</x:v>
      </x:c>
      <x:c r="AB132" s="18" t="str">
        <x:f>IF(Y132&gt;=15,"先做合规/相关性复核，不建议直接商业导流",IF(L132="主站","建/优化主站商业页",IF(L132="博客A-知识教程","写知识教程/FAQ文章",IF(L132="博客B-场景人群","写场景需求/选购指南文章",IF(L132="博客C-对比评测","写对比评测/榜单文章","暂不做或人工复核")))))</x:f>
        <x:v>写知识教程/FAQ文章</x:v>
      </x:c>
      <x:c r="AC132" s="18" t="str">
        <x:v>Reviews - MIAMI MINT - ExDivo FLORA 40K Disposable Vape - ExDivo</x:v>
      </x:c>
      <x:c r="AD132" s="19" t="str">
        <x:v>48</x:v>
      </x:c>
    </x:row>
    <x:row r="133">
      <x:c r="A133" s="40" t="n">
        <x:v>133</x:v>
      </x:c>
      <x:c r="B133" s="18" t="str">
        <x:v>https://exdivo.com/comments/exdivo-flora-40k-disposable-vape_40f04366?writeComment=true</x:v>
      </x:c>
      <x:c r="C133" s="18" t="str">
        <x:v>miami mint vape review</x:v>
      </x:c>
      <x:c r="D133" s="18" t="str">
        <x:v>recommended</x:v>
      </x:c>
      <x:c r="E133" s="41" t="n">
        <x:v>0</x:v>
      </x:c>
      <x:c r="F133" s="41" t="n">
        <x:v>0</x:v>
      </x:c>
      <x:c r="G133" s="18" t="str">
        <x:v>48</x:v>
      </x:c>
      <x:c r="H133" s="18" t="str">
        <x:v>对比评测</x:v>
      </x:c>
      <x:c r="I133" s="18" t="str">
        <x:v>商业调查词</x:v>
      </x:c>
      <x:c r="J133" s="18" t="str">
        <x:v>博客C-对比评测</x:v>
      </x:c>
      <x:c r="K133" s="18" t="str"/>
      <x:c r="L133" s="18" t="str">
        <x:f>IF(K133="",J133,K133)</x:f>
        <x:v>博客C-对比评测</x:v>
      </x:c>
      <x:c r="M133" s="18" t="str">
        <x:v>Best/Top/Review/VS/替代方案文章</x:v>
      </x:c>
      <x:c r="N133" s="18" t="str">
        <x:v>Best angle: miami mint vape review - comparison, pros/cons, and which option fits different buyers</x:v>
      </x:c>
      <x:c r="O133" s="18" t="str">
        <x:v>/collections/disposable-vapes</x:v>
      </x:c>
      <x:c r="P133" s="18" t="str">
        <x:v>是</x:v>
      </x:c>
      <x:c r="Q133" s="18" t="str">
        <x:v>自然句/品类词/品牌词</x:v>
      </x:c>
      <x:c r="R133" s="18" t="str">
        <x:v>中风险：榜单和评测必须真实、中立，避免夸大</x:v>
      </x:c>
      <x:c r="S133" s="18" t="str">
        <x:v>这类词不直接给主站，先用博客C教育和比较，再导流到最相关集合页。</x:v>
      </x:c>
      <x:c r="T133" s="42" t="n">
        <x:v>1</x:v>
      </x:c>
      <x:c r="U133" s="42" t="n">
        <x:v>15</x:v>
      </x:c>
      <x:c r="V133" s="42" t="n">
        <x:v>16</x:v>
      </x:c>
      <x:c r="W133" s="42" t="n">
        <x:v>15</x:v>
      </x:c>
      <x:c r="X133" s="42" t="n">
        <x:v>13</x:v>
      </x:c>
      <x:c r="Y133" s="42" t="n">
        <x:v>6</x:v>
      </x:c>
      <x:c r="Z133" s="42" t="n">
        <x:f>MAX(0,MIN(100,ROUND(((T133+U133+V133+W133+X133)-Y133)/85*100,0)))</x:f>
        <x:v>64</x:v>
      </x:c>
      <x:c r="AA133" s="18" t="str">
        <x:f>IF(L133="暂不做","P3 暂缓",IF(Z133&gt;=75,"P0 本周做",IF(Z133&gt;=60,"P1 近期做",IF(Z133&gt;=45,"P2 备选","P3 暂缓"))))</x:f>
        <x:v>P1 近期做</x:v>
      </x:c>
      <x:c r="AB133" s="18" t="str">
        <x:f>IF(Y133&gt;=15,"先做合规/相关性复核，不建议直接商业导流",IF(L133="主站","建/优化主站商业页",IF(L133="博客A-知识教程","写知识教程/FAQ文章",IF(L133="博客B-场景人群","写场景需求/选购指南文章",IF(L133="博客C-对比评测","写对比评测/榜单文章","暂不做或人工复核")))))</x:f>
        <x:v>写对比评测/榜单文章</x:v>
      </x:c>
      <x:c r="AC133" s="18" t="str">
        <x:v>Reviews - MIAMI MINT - ExDivo FLORA 40K Disposable Vape - ExDivo</x:v>
      </x:c>
      <x:c r="AD133" s="19" t="str">
        <x:v>48</x:v>
      </x:c>
    </x:row>
    <x:row r="134">
      <x:c r="A134" s="40" t="n">
        <x:v>134</x:v>
      </x:c>
      <x:c r="B134" s="18" t="str">
        <x:v>https://exdivo.com/comments/exdivo-flora-40k-disposable-vape_40f04366?writeComment=true</x:v>
      </x:c>
      <x:c r="C134" s="18" t="str">
        <x:v>exdivo miami mint flavor</x:v>
      </x:c>
      <x:c r="D134" s="18" t="str">
        <x:v>recommended</x:v>
      </x:c>
      <x:c r="E134" s="41" t="n">
        <x:v>0</x:v>
      </x:c>
      <x:c r="F134" s="41" t="n">
        <x:v>0</x:v>
      </x:c>
      <x:c r="G134" s="18" t="str">
        <x:v>48</x:v>
      </x:c>
      <x:c r="H134" s="18" t="str">
        <x:v>Flavor / 口味</x:v>
      </x:c>
      <x:c r="I134" s="18" t="str">
        <x:v>场景/需求词</x:v>
      </x:c>
      <x:c r="J134" s="18" t="str">
        <x:v>博客B-场景人群</x:v>
      </x:c>
      <x:c r="K134" s="18" t="str"/>
      <x:c r="L134" s="18" t="str">
        <x:f>IF(K134="",J134,K134)</x:f>
        <x:v>博客B-场景人群</x:v>
      </x:c>
      <x:c r="M134" s="18" t="str">
        <x:v>场景解决方案/选购指南文章</x:v>
      </x:c>
      <x:c r="N134" s="18" t="str">
        <x:v>Scenario angle: how to choose exdivo miami mint flavor based on use case, flavor, nicotine, and budget</x:v>
      </x:c>
      <x:c r="O134" s="18" t="str">
        <x:v>/collections/flavored-disposable-vapes</x:v>
      </x:c>
      <x:c r="P134" s="18" t="str">
        <x:v>是</x:v>
      </x:c>
      <x:c r="Q134" s="18" t="str">
        <x:v>自然句/品类词</x:v>
      </x:c>
      <x:c r="R134" s="18" t="str">
        <x:v>低中风险：适合软性导流，但不要夸大效果或触碰健康疗效</x:v>
      </x:c>
      <x:c r="S134" s="18" t="str">
        <x:v>围绕使用场景、口味、尼古丁需求、便携性等写，不和主站品类页抢词。</x:v>
      </x:c>
      <x:c r="T134" s="42" t="n">
        <x:v>1</x:v>
      </x:c>
      <x:c r="U134" s="42" t="n">
        <x:v>15</x:v>
      </x:c>
      <x:c r="V134" s="42" t="n">
        <x:v>13</x:v>
      </x:c>
      <x:c r="W134" s="42" t="n">
        <x:v>14</x:v>
      </x:c>
      <x:c r="X134" s="42" t="n">
        <x:v>13</x:v>
      </x:c>
      <x:c r="Y134" s="42" t="n">
        <x:v>5</x:v>
      </x:c>
      <x:c r="Z134" s="42" t="n">
        <x:f>MAX(0,MIN(100,ROUND(((T134+U134+V134+W134+X134)-Y134)/85*100,0)))</x:f>
        <x:v>60</x:v>
      </x:c>
      <x:c r="AA134" s="18" t="str">
        <x:f>IF(L134="暂不做","P3 暂缓",IF(Z134&gt;=75,"P0 本周做",IF(Z134&gt;=60,"P1 近期做",IF(Z134&gt;=45,"P2 备选","P3 暂缓"))))</x:f>
        <x:v>P1 近期做</x:v>
      </x:c>
      <x:c r="AB134" s="18" t="str">
        <x:f>IF(Y134&gt;=15,"先做合规/相关性复核，不建议直接商业导流",IF(L134="主站","建/优化主站商业页",IF(L134="博客A-知识教程","写知识教程/FAQ文章",IF(L134="博客B-场景人群","写场景需求/选购指南文章",IF(L134="博客C-对比评测","写对比评测/榜单文章","暂不做或人工复核")))))</x:f>
        <x:v>写场景需求/选购指南文章</x:v>
      </x:c>
      <x:c r="AC134" s="18" t="str">
        <x:v>Reviews - MIAMI MINT - ExDivo FLORA 40K Disposable Vape - ExDivo</x:v>
      </x:c>
      <x:c r="AD134" s="19" t="str">
        <x:v>48</x:v>
      </x:c>
    </x:row>
    <x:row r="135">
      <x:c r="A135" s="40" t="n">
        <x:v>135</x:v>
      </x:c>
      <x:c r="B135" s="18" t="str">
        <x:v>https://exdivo.com/products/exdivo-flora-40k-disposable-vape?data_from=index_index&amp;spm=</x:v>
      </x:c>
      <x:c r="C135" s="18" t="str">
        <x:v>flora 40k disposable vape</x:v>
      </x:c>
      <x:c r="D135" s="18" t="str">
        <x:v>recommended</x:v>
      </x:c>
      <x:c r="E135" s="41" t="n">
        <x:v>0</x:v>
      </x:c>
      <x:c r="F135" s="41" t="n">
        <x:v>0</x:v>
      </x:c>
      <x:c r="G135" s="18" t="str">
        <x:v>48</x:v>
      </x:c>
      <x:c r="H135" s="18" t="str">
        <x:v>Disposable Vape</x:v>
      </x:c>
      <x:c r="I135" s="18" t="str">
        <x:v>内容词</x:v>
      </x:c>
      <x:c r="J135" s="18" t="str">
        <x:v>博客A-知识教程</x:v>
      </x:c>
      <x:c r="K135" s="18" t="str"/>
      <x:c r="L135" s="18" t="str">
        <x:f>IF(K135="",J135,K135)</x:f>
        <x:v>博客A-知识教程</x:v>
      </x:c>
      <x:c r="M135" s="18" t="str">
        <x:v>知识/教程文章</x:v>
      </x:c>
      <x:c r="N135" s="18" t="str">
        <x:v>Guide angle: explain flora 40k disposable vape, answer common questions, and avoid sales-first writing</x:v>
      </x:c>
      <x:c r="O135" s="18" t="str">
        <x:v>/collections/disposable-vapes 或最接近的产品集合页</x:v>
      </x:c>
      <x:c r="P135" s="18" t="str">
        <x:v>谨慎</x:v>
      </x:c>
      <x:c r="Q135" s="18" t="str">
        <x:v>品牌词/自然句</x:v>
      </x:c>
      <x:c r="R135" s="18" t="str">
        <x:v>低风险：按常规内容质量和搜索意图校验</x:v>
      </x:c>
      <x:c r="S135" s="18" t="str">
        <x:v>先看 Google SERP：如果首页多数为产品集合页，改回主站；如果多数为教程/问答，保持博客。</x:v>
      </x:c>
      <x:c r="T135" s="42" t="n">
        <x:v>1</x:v>
      </x:c>
      <x:c r="U135" s="42" t="n">
        <x:v>15</x:v>
      </x:c>
      <x:c r="V135" s="42" t="n">
        <x:v>10</x:v>
      </x:c>
      <x:c r="W135" s="42" t="n">
        <x:v>12</x:v>
      </x:c>
      <x:c r="X135" s="42" t="n">
        <x:v>12</x:v>
      </x:c>
      <x:c r="Y135" s="42" t="n">
        <x:v>4</x:v>
      </x:c>
      <x:c r="Z135" s="42" t="n">
        <x:f>MAX(0,MIN(100,ROUND(((T135+U135+V135+W135+X135)-Y135)/85*100,0)))</x:f>
        <x:v>54</x:v>
      </x:c>
      <x:c r="AA135" s="18" t="str">
        <x:f>IF(L135="暂不做","P3 暂缓",IF(Z135&gt;=75,"P0 本周做",IF(Z135&gt;=60,"P1 近期做",IF(Z135&gt;=45,"P2 备选","P3 暂缓"))))</x:f>
        <x:v>P2 备选</x:v>
      </x:c>
      <x:c r="AB135" s="18" t="str">
        <x:f>IF(Y135&gt;=15,"先做合规/相关性复核，不建议直接商业导流",IF(L135="主站","建/优化主站商业页",IF(L135="博客A-知识教程","写知识教程/FAQ文章",IF(L135="博客B-场景人群","写场景需求/选购指南文章",IF(L135="博客C-对比评测","写对比评测/榜单文章","暂不做或人工复核")))))</x:f>
        <x:v>写知识教程/FAQ文章</x:v>
      </x:c>
      <x:c r="AC135" s="18" t="str">
        <x:v>ExDivo FLORA 40K Disposable Vape</x:v>
      </x:c>
      <x:c r="AD135" s="19" t="str">
        <x:v>40000 puffs</x:v>
      </x:c>
    </x:row>
    <x:row r="136">
      <x:c r="A136" s="40" t="n">
        <x:v>136</x:v>
      </x:c>
      <x:c r="B136" s="18" t="str">
        <x:v>https://exdivo.com/collections/visionaura-full-screen</x:v>
      </x:c>
      <x:c r="C136" s="18" t="str">
        <x:v>exdivo space series</x:v>
      </x:c>
      <x:c r="D136" s="18" t="str">
        <x:v>recommended</x:v>
      </x:c>
      <x:c r="E136" s="41" t="n">
        <x:v>0</x:v>
      </x:c>
      <x:c r="F136" s="41" t="n">
        <x:v>0</x:v>
      </x:c>
      <x:c r="G136" s="18" t="str">
        <x:v>48</x:v>
      </x:c>
      <x:c r="H136" s="18" t="str">
        <x:v>General Vape</x:v>
      </x:c>
      <x:c r="I136" s="18" t="str">
        <x:v>弱相关词</x:v>
      </x:c>
      <x:c r="J136" s="18" t="str">
        <x:v>暂不做</x:v>
      </x:c>
      <x:c r="K136" s="18" t="str"/>
      <x:c r="L136" s="18" t="str">
        <x:f>IF(K136="",J136,K136)</x:f>
        <x:v>暂不做</x:v>
      </x:c>
      <x:c r="M136" s="18" t="str">
        <x:v>不建议建页</x:v>
      </x:c>
      <x:c r="N136" s="18" t="str">
        <x:v>不进入内容生产</x:v>
      </x:c>
      <x:c r="O136" s="18" t="str">
        <x:v>无</x:v>
      </x:c>
      <x:c r="P136" s="18" t="str">
        <x:v>否</x:v>
      </x:c>
      <x:c r="Q136" s="18" t="str">
        <x:v>不导流</x:v>
      </x:c>
      <x:c r="R136" s="18" t="str">
        <x:v>相关性弱：可能带来无效流量或偏离产品定位</x:v>
      </x:c>
      <x:c r="S136" s="18" t="str">
        <x:v>除非人工确认与核心产品强相关，否则不要进入内容排期。</x:v>
      </x:c>
      <x:c r="T136" s="42" t="n">
        <x:v>1</x:v>
      </x:c>
      <x:c r="U136" s="42" t="n">
        <x:v>15</x:v>
      </x:c>
      <x:c r="V136" s="42" t="n">
        <x:v>2</x:v>
      </x:c>
      <x:c r="W136" s="42" t="n">
        <x:v>3</x:v>
      </x:c>
      <x:c r="X136" s="42" t="n">
        <x:v>2</x:v>
      </x:c>
      <x:c r="Y136" s="42" t="n">
        <x:v>16</x:v>
      </x:c>
      <x:c r="Z136" s="42" t="n">
        <x:f>MAX(0,MIN(100,ROUND(((T136+U136+V136+W136+X136)-Y136)/85*100,0)))</x:f>
        <x:v>8</x:v>
      </x:c>
      <x:c r="AA136" s="18" t="str">
        <x:f>IF(L136="暂不做","P3 暂缓",IF(Z136&gt;=75,"P0 本周做",IF(Z136&gt;=60,"P1 近期做",IF(Z136&gt;=45,"P2 备选","P3 暂缓"))))</x:f>
        <x:v>P3 暂缓</x:v>
      </x:c>
      <x:c r="AB136" s="18" t="str">
        <x:f>IF(Y136&gt;=15,"先做合规/相关性复核，不建议直接商业导流",IF(L136="主站","建/优化主站商业页",IF(L136="博客A-知识教程","写知识教程/FAQ文章",IF(L136="博客B-场景人群","写场景需求/选购指南文章",IF(L136="博客C-对比评测","写对比评测/榜单文章","暂不做或人工复核")))))</x:f>
        <x:v>先做合规/相关性复核，不建议直接商业导流</x:v>
      </x:c>
      <x:c r="AC136" s="18" t="str">
        <x:v>SPACE - ExDivo</x:v>
      </x:c>
      <x:c r="AD136" s="19" t="str">
        <x:v>space</x:v>
      </x:c>
    </x:row>
    <x:row r="137">
      <x:c r="A137" s="40" t="n">
        <x:v>137</x:v>
      </x:c>
      <x:c r="B137" s="18" t="str">
        <x:v>https://exdivo.com/collections/visionaura-full-screen</x:v>
      </x:c>
      <x:c r="C137" s="18" t="str">
        <x:v>exdivo space collection</x:v>
      </x:c>
      <x:c r="D137" s="18" t="str">
        <x:v>recommended</x:v>
      </x:c>
      <x:c r="E137" s="41" t="n">
        <x:v>0</x:v>
      </x:c>
      <x:c r="F137" s="41" t="n">
        <x:v>0</x:v>
      </x:c>
      <x:c r="G137" s="18" t="str">
        <x:v>48</x:v>
      </x:c>
      <x:c r="H137" s="18" t="str">
        <x:v>General Vape</x:v>
      </x:c>
      <x:c r="I137" s="18" t="str">
        <x:v>弱相关词</x:v>
      </x:c>
      <x:c r="J137" s="18" t="str">
        <x:v>暂不做</x:v>
      </x:c>
      <x:c r="K137" s="18" t="str"/>
      <x:c r="L137" s="18" t="str">
        <x:f>IF(K137="",J137,K137)</x:f>
        <x:v>暂不做</x:v>
      </x:c>
      <x:c r="M137" s="18" t="str">
        <x:v>不建议建页</x:v>
      </x:c>
      <x:c r="N137" s="18" t="str">
        <x:v>不进入内容生产</x:v>
      </x:c>
      <x:c r="O137" s="18" t="str">
        <x:v>无</x:v>
      </x:c>
      <x:c r="P137" s="18" t="str">
        <x:v>否</x:v>
      </x:c>
      <x:c r="Q137" s="18" t="str">
        <x:v>不导流</x:v>
      </x:c>
      <x:c r="R137" s="18" t="str">
        <x:v>相关性弱：可能带来无效流量或偏离产品定位</x:v>
      </x:c>
      <x:c r="S137" s="18" t="str">
        <x:v>除非人工确认与核心产品强相关，否则不要进入内容排期。</x:v>
      </x:c>
      <x:c r="T137" s="42" t="n">
        <x:v>1</x:v>
      </x:c>
      <x:c r="U137" s="42" t="n">
        <x:v>15</x:v>
      </x:c>
      <x:c r="V137" s="42" t="n">
        <x:v>2</x:v>
      </x:c>
      <x:c r="W137" s="42" t="n">
        <x:v>3</x:v>
      </x:c>
      <x:c r="X137" s="42" t="n">
        <x:v>2</x:v>
      </x:c>
      <x:c r="Y137" s="42" t="n">
        <x:v>16</x:v>
      </x:c>
      <x:c r="Z137" s="42" t="n">
        <x:f>MAX(0,MIN(100,ROUND(((T137+U137+V137+W137+X137)-Y137)/85*100,0)))</x:f>
        <x:v>8</x:v>
      </x:c>
      <x:c r="AA137" s="18" t="str">
        <x:f>IF(L137="暂不做","P3 暂缓",IF(Z137&gt;=75,"P0 本周做",IF(Z137&gt;=60,"P1 近期做",IF(Z137&gt;=45,"P2 备选","P3 暂缓"))))</x:f>
        <x:v>P3 暂缓</x:v>
      </x:c>
      <x:c r="AB137" s="18" t="str">
        <x:f>IF(Y137&gt;=15,"先做合规/相关性复核，不建议直接商业导流",IF(L137="主站","建/优化主站商业页",IF(L137="博客A-知识教程","写知识教程/FAQ文章",IF(L137="博客B-场景人群","写场景需求/选购指南文章",IF(L137="博客C-对比评测","写对比评测/榜单文章","暂不做或人工复核")))))</x:f>
        <x:v>先做合规/相关性复核，不建议直接商业导流</x:v>
      </x:c>
      <x:c r="AC137" s="18" t="str">
        <x:v>SPACE - ExDivo</x:v>
      </x:c>
      <x:c r="AD137" s="19" t="str">
        <x:v>space</x:v>
      </x:c>
    </x:row>
    <x:row r="138">
      <x:c r="A138" s="40" t="n">
        <x:v>138</x:v>
      </x:c>
      <x:c r="B138" s="18" t="str">
        <x:v>https://exdivo.com/collections/brightmirror?data_from=index_index</x:v>
      </x:c>
      <x:c r="C138" s="18" t="str">
        <x:v>exdivo bright mirror collection</x:v>
      </x:c>
      <x:c r="D138" s="18" t="str">
        <x:v>recommended</x:v>
      </x:c>
      <x:c r="E138" s="41" t="n">
        <x:v>0</x:v>
      </x:c>
      <x:c r="F138" s="41" t="n">
        <x:v>0</x:v>
      </x:c>
      <x:c r="G138" s="18" t="str">
        <x:v>48</x:v>
      </x:c>
      <x:c r="H138" s="18" t="str">
        <x:v>General Vape</x:v>
      </x:c>
      <x:c r="I138" s="18" t="str">
        <x:v>弱相关词</x:v>
      </x:c>
      <x:c r="J138" s="18" t="str">
        <x:v>暂不做</x:v>
      </x:c>
      <x:c r="K138" s="18" t="str"/>
      <x:c r="L138" s="18" t="str">
        <x:f>IF(K138="",J138,K138)</x:f>
        <x:v>暂不做</x:v>
      </x:c>
      <x:c r="M138" s="18" t="str">
        <x:v>不建议建页</x:v>
      </x:c>
      <x:c r="N138" s="18" t="str">
        <x:v>不进入内容生产</x:v>
      </x:c>
      <x:c r="O138" s="18" t="str">
        <x:v>无</x:v>
      </x:c>
      <x:c r="P138" s="18" t="str">
        <x:v>否</x:v>
      </x:c>
      <x:c r="Q138" s="18" t="str">
        <x:v>不导流</x:v>
      </x:c>
      <x:c r="R138" s="18" t="str">
        <x:v>相关性弱：可能带来无效流量或偏离产品定位</x:v>
      </x:c>
      <x:c r="S138" s="18" t="str">
        <x:v>除非人工确认与核心产品强相关，否则不要进入内容排期。</x:v>
      </x:c>
      <x:c r="T138" s="42" t="n">
        <x:v>1</x:v>
      </x:c>
      <x:c r="U138" s="42" t="n">
        <x:v>15</x:v>
      </x:c>
      <x:c r="V138" s="42" t="n">
        <x:v>2</x:v>
      </x:c>
      <x:c r="W138" s="42" t="n">
        <x:v>3</x:v>
      </x:c>
      <x:c r="X138" s="42" t="n">
        <x:v>2</x:v>
      </x:c>
      <x:c r="Y138" s="42" t="n">
        <x:v>16</x:v>
      </x:c>
      <x:c r="Z138" s="42" t="n">
        <x:f>MAX(0,MIN(100,ROUND(((T138+U138+V138+W138+X138)-Y138)/85*100,0)))</x:f>
        <x:v>8</x:v>
      </x:c>
      <x:c r="AA138" s="18" t="str">
        <x:f>IF(L138="暂不做","P3 暂缓",IF(Z138&gt;=75,"P0 本周做",IF(Z138&gt;=60,"P1 近期做",IF(Z138&gt;=45,"P2 备选","P3 暂缓"))))</x:f>
        <x:v>P3 暂缓</x:v>
      </x:c>
      <x:c r="AB138" s="18" t="str">
        <x:f>IF(Y138&gt;=15,"先做合规/相关性复核，不建议直接商业导流",IF(L138="主站","建/优化主站商业页",IF(L138="博客A-知识教程","写知识教程/FAQ文章",IF(L138="博客B-场景人群","写场景需求/选购指南文章",IF(L138="博客C-对比评测","写对比评测/榜单文章","暂不做或人工复核")))))</x:f>
        <x:v>先做合规/相关性复核，不建议直接商业导流</x:v>
      </x:c>
      <x:c r="AC138" s="18" t="str">
        <x:v>exdivo collections bright mirror</x:v>
      </x:c>
      <x:c r="AD138" s="19" t="str">
        <x:v>bright mirror</x:v>
      </x:c>
    </x:row>
    <x:row r="139">
      <x:c r="A139" s="40" t="n">
        <x:v>139</x:v>
      </x:c>
      <x:c r="B139" s="18" t="str">
        <x:v>https://exdivo.com/collections/brightmirror?data_from=index_index</x:v>
      </x:c>
      <x:c r="C139" s="18" t="str">
        <x:v>exdivo bright mirror series</x:v>
      </x:c>
      <x:c r="D139" s="18" t="str">
        <x:v>recommended</x:v>
      </x:c>
      <x:c r="E139" s="41" t="n">
        <x:v>0</x:v>
      </x:c>
      <x:c r="F139" s="41" t="n">
        <x:v>0</x:v>
      </x:c>
      <x:c r="G139" s="18" t="str">
        <x:v>48</x:v>
      </x:c>
      <x:c r="H139" s="18" t="str">
        <x:v>General Vape</x:v>
      </x:c>
      <x:c r="I139" s="18" t="str">
        <x:v>弱相关词</x:v>
      </x:c>
      <x:c r="J139" s="18" t="str">
        <x:v>暂不做</x:v>
      </x:c>
      <x:c r="K139" s="18" t="str"/>
      <x:c r="L139" s="18" t="str">
        <x:f>IF(K139="",J139,K139)</x:f>
        <x:v>暂不做</x:v>
      </x:c>
      <x:c r="M139" s="18" t="str">
        <x:v>不建议建页</x:v>
      </x:c>
      <x:c r="N139" s="18" t="str">
        <x:v>不进入内容生产</x:v>
      </x:c>
      <x:c r="O139" s="18" t="str">
        <x:v>无</x:v>
      </x:c>
      <x:c r="P139" s="18" t="str">
        <x:v>否</x:v>
      </x:c>
      <x:c r="Q139" s="18" t="str">
        <x:v>不导流</x:v>
      </x:c>
      <x:c r="R139" s="18" t="str">
        <x:v>相关性弱：可能带来无效流量或偏离产品定位</x:v>
      </x:c>
      <x:c r="S139" s="18" t="str">
        <x:v>除非人工确认与核心产品强相关，否则不要进入内容排期。</x:v>
      </x:c>
      <x:c r="T139" s="42" t="n">
        <x:v>1</x:v>
      </x:c>
      <x:c r="U139" s="42" t="n">
        <x:v>15</x:v>
      </x:c>
      <x:c r="V139" s="42" t="n">
        <x:v>2</x:v>
      </x:c>
      <x:c r="W139" s="42" t="n">
        <x:v>3</x:v>
      </x:c>
      <x:c r="X139" s="42" t="n">
        <x:v>2</x:v>
      </x:c>
      <x:c r="Y139" s="42" t="n">
        <x:v>16</x:v>
      </x:c>
      <x:c r="Z139" s="42" t="n">
        <x:f>MAX(0,MIN(100,ROUND(((T139+U139+V139+W139+X139)-Y139)/85*100,0)))</x:f>
        <x:v>8</x:v>
      </x:c>
      <x:c r="AA139" s="18" t="str">
        <x:f>IF(L139="暂不做","P3 暂缓",IF(Z139&gt;=75,"P0 本周做",IF(Z139&gt;=60,"P1 近期做",IF(Z139&gt;=45,"P2 备选","P3 暂缓"))))</x:f>
        <x:v>P3 暂缓</x:v>
      </x:c>
      <x:c r="AB139" s="18" t="str">
        <x:f>IF(Y139&gt;=15,"先做合规/相关性复核，不建议直接商业导流",IF(L139="主站","建/优化主站商业页",IF(L139="博客A-知识教程","写知识教程/FAQ文章",IF(L139="博客B-场景人群","写场景需求/选购指南文章",IF(L139="博客C-对比评测","写对比评测/榜单文章","暂不做或人工复核")))))</x:f>
        <x:v>先做合规/相关性复核，不建议直接商业导流</x:v>
      </x:c>
      <x:c r="AC139" s="18" t="str">
        <x:v>exdivo collections bright mirror</x:v>
      </x:c>
      <x:c r="AD139" s="19" t="str">
        <x:v>bright mirror</x:v>
      </x:c>
    </x:row>
    <x:row r="140">
      <x:c r="A140" s="40" t="n">
        <x:v>140</x:v>
      </x:c>
      <x:c r="B140" s="18" t="str">
        <x:v>https://exdivo.com/collections/brightmirror?data_from=index_index</x:v>
      </x:c>
      <x:c r="C140" s="18" t="str">
        <x:v>exdivo bright mirror vape kit</x:v>
      </x:c>
      <x:c r="D140" s="18" t="str">
        <x:v>recommended</x:v>
      </x:c>
      <x:c r="E140" s="41" t="n">
        <x:v>0</x:v>
      </x:c>
      <x:c r="F140" s="41" t="n">
        <x:v>0</x:v>
      </x:c>
      <x:c r="G140" s="18" t="str">
        <x:v>48</x:v>
      </x:c>
      <x:c r="H140" s="18" t="str">
        <x:v>General Vape</x:v>
      </x:c>
      <x:c r="I140" s="18" t="str">
        <x:v>内容词</x:v>
      </x:c>
      <x:c r="J140" s="18" t="str">
        <x:v>博客A-知识教程</x:v>
      </x:c>
      <x:c r="K140" s="18" t="str"/>
      <x:c r="L140" s="18" t="str">
        <x:f>IF(K140="",J140,K140)</x:f>
        <x:v>博客A-知识教程</x:v>
      </x:c>
      <x:c r="M140" s="18" t="str">
        <x:v>知识/教程文章</x:v>
      </x:c>
      <x:c r="N140" s="18" t="str">
        <x:v>Guide angle: explain exdivo bright mirror vape kit, answer common questions, and avoid sales-first writing</x:v>
      </x:c>
      <x:c r="O140" s="18" t="str">
        <x:v>/collections/disposable-vapes 或最接近的产品集合页</x:v>
      </x:c>
      <x:c r="P140" s="18" t="str">
        <x:v>谨慎</x:v>
      </x:c>
      <x:c r="Q140" s="18" t="str">
        <x:v>品牌词/自然句</x:v>
      </x:c>
      <x:c r="R140" s="18" t="str">
        <x:v>低风险：按常规内容质量和搜索意图校验</x:v>
      </x:c>
      <x:c r="S140" s="18" t="str">
        <x:v>先看 Google SERP：如果首页多数为产品集合页，改回主站；如果多数为教程/问答，保持博客。</x:v>
      </x:c>
      <x:c r="T140" s="42" t="n">
        <x:v>1</x:v>
      </x:c>
      <x:c r="U140" s="42" t="n">
        <x:v>15</x:v>
      </x:c>
      <x:c r="V140" s="42" t="n">
        <x:v>10</x:v>
      </x:c>
      <x:c r="W140" s="42" t="n">
        <x:v>12</x:v>
      </x:c>
      <x:c r="X140" s="42" t="n">
        <x:v>12</x:v>
      </x:c>
      <x:c r="Y140" s="42" t="n">
        <x:v>4</x:v>
      </x:c>
      <x:c r="Z140" s="42" t="n">
        <x:f>MAX(0,MIN(100,ROUND(((T140+U140+V140+W140+X140)-Y140)/85*100,0)))</x:f>
        <x:v>54</x:v>
      </x:c>
      <x:c r="AA140" s="18" t="str">
        <x:f>IF(L140="暂不做","P3 暂缓",IF(Z140&gt;=75,"P0 本周做",IF(Z140&gt;=60,"P1 近期做",IF(Z140&gt;=45,"P2 备选","P3 暂缓"))))</x:f>
        <x:v>P2 备选</x:v>
      </x:c>
      <x:c r="AB140" s="18" t="str">
        <x:f>IF(Y140&gt;=15,"先做合规/相关性复核，不建议直接商业导流",IF(L140="主站","建/优化主站商业页",IF(L140="博客A-知识教程","写知识教程/FAQ文章",IF(L140="博客B-场景人群","写场景需求/选购指南文章",IF(L140="博客C-对比评测","写对比评测/榜单文章","暂不做或人工复核")))))</x:f>
        <x:v>写知识教程/FAQ文章</x:v>
      </x:c>
      <x:c r="AC140" s="18" t="str">
        <x:v>exdivo collections bright mirror</x:v>
      </x:c>
      <x:c r="AD140" s="19" t="str">
        <x:v>bright mirror</x:v>
      </x:c>
    </x:row>
    <x:row r="141">
      <x:c r="A141" s="40" t="n">
        <x:v>141</x:v>
      </x:c>
      <x:c r="B141" s="18" t="str">
        <x:v>https://exdivo.com/collections/brightmirror?data_from=index_index</x:v>
      </x:c>
      <x:c r="C141" s="18" t="str">
        <x:v>exdivo bright mirror 35k</x:v>
      </x:c>
      <x:c r="D141" s="18" t="str">
        <x:v>recommended</x:v>
      </x:c>
      <x:c r="E141" s="41" t="n">
        <x:v>0</x:v>
      </x:c>
      <x:c r="F141" s="41" t="n">
        <x:v>0</x:v>
      </x:c>
      <x:c r="G141" s="18" t="str">
        <x:v>48</x:v>
      </x:c>
      <x:c r="H141" s="18" t="str">
        <x:v>General Vape</x:v>
      </x:c>
      <x:c r="I141" s="18" t="str">
        <x:v>弱相关词</x:v>
      </x:c>
      <x:c r="J141" s="18" t="str">
        <x:v>暂不做</x:v>
      </x:c>
      <x:c r="K141" s="18" t="str"/>
      <x:c r="L141" s="18" t="str">
        <x:f>IF(K141="",J141,K141)</x:f>
        <x:v>暂不做</x:v>
      </x:c>
      <x:c r="M141" s="18" t="str">
        <x:v>不建议建页</x:v>
      </x:c>
      <x:c r="N141" s="18" t="str">
        <x:v>不进入内容生产</x:v>
      </x:c>
      <x:c r="O141" s="18" t="str">
        <x:v>无</x:v>
      </x:c>
      <x:c r="P141" s="18" t="str">
        <x:v>否</x:v>
      </x:c>
      <x:c r="Q141" s="18" t="str">
        <x:v>不导流</x:v>
      </x:c>
      <x:c r="R141" s="18" t="str">
        <x:v>相关性弱：可能带来无效流量或偏离产品定位</x:v>
      </x:c>
      <x:c r="S141" s="18" t="str">
        <x:v>除非人工确认与核心产品强相关，否则不要进入内容排期。</x:v>
      </x:c>
      <x:c r="T141" s="42" t="n">
        <x:v>1</x:v>
      </x:c>
      <x:c r="U141" s="42" t="n">
        <x:v>15</x:v>
      </x:c>
      <x:c r="V141" s="42" t="n">
        <x:v>2</x:v>
      </x:c>
      <x:c r="W141" s="42" t="n">
        <x:v>3</x:v>
      </x:c>
      <x:c r="X141" s="42" t="n">
        <x:v>2</x:v>
      </x:c>
      <x:c r="Y141" s="42" t="n">
        <x:v>16</x:v>
      </x:c>
      <x:c r="Z141" s="42" t="n">
        <x:f>MAX(0,MIN(100,ROUND(((T141+U141+V141+W141+X141)-Y141)/85*100,0)))</x:f>
        <x:v>8</x:v>
      </x:c>
      <x:c r="AA141" s="18" t="str">
        <x:f>IF(L141="暂不做","P3 暂缓",IF(Z141&gt;=75,"P0 本周做",IF(Z141&gt;=60,"P1 近期做",IF(Z141&gt;=45,"P2 备选","P3 暂缓"))))</x:f>
        <x:v>P3 暂缓</x:v>
      </x:c>
      <x:c r="AB141" s="18" t="str">
        <x:f>IF(Y141&gt;=15,"先做合规/相关性复核，不建议直接商业导流",IF(L141="主站","建/优化主站商业页",IF(L141="博客A-知识教程","写知识教程/FAQ文章",IF(L141="博客B-场景人群","写场景需求/选购指南文章",IF(L141="博客C-对比评测","写对比评测/榜单文章","暂不做或人工复核")))))</x:f>
        <x:v>先做合规/相关性复核，不建议直接商业导流</x:v>
      </x:c>
      <x:c r="AC141" s="18" t="str">
        <x:v>exdivo collections bright mirror</x:v>
      </x:c>
      <x:c r="AD141" s="19" t="str">
        <x:v>bright mirror</x:v>
      </x:c>
    </x:row>
    <x:row r="142">
      <x:c r="A142" s="40" t="n">
        <x:v>142</x:v>
      </x:c>
      <x:c r="B142" s="18" t="str">
        <x:v>https://exdivo.com/collections/brightmirror?data_from=index_index</x:v>
      </x:c>
      <x:c r="C142" s="18" t="str">
        <x:v>exdivo bright mirror vape review</x:v>
      </x:c>
      <x:c r="D142" s="18" t="str">
        <x:v>recommended</x:v>
      </x:c>
      <x:c r="E142" s="41" t="n">
        <x:v>0</x:v>
      </x:c>
      <x:c r="F142" s="41" t="n">
        <x:v>0</x:v>
      </x:c>
      <x:c r="G142" s="18" t="str">
        <x:v>48</x:v>
      </x:c>
      <x:c r="H142" s="18" t="str">
        <x:v>对比评测</x:v>
      </x:c>
      <x:c r="I142" s="18" t="str">
        <x:v>商业调查词</x:v>
      </x:c>
      <x:c r="J142" s="18" t="str">
        <x:v>博客C-对比评测</x:v>
      </x:c>
      <x:c r="K142" s="18" t="str"/>
      <x:c r="L142" s="18" t="str">
        <x:f>IF(K142="",J142,K142)</x:f>
        <x:v>博客C-对比评测</x:v>
      </x:c>
      <x:c r="M142" s="18" t="str">
        <x:v>Best/Top/Review/VS/替代方案文章</x:v>
      </x:c>
      <x:c r="N142" s="18" t="str">
        <x:v>Best angle: exdivo bright mirror vape review - comparison, pros/cons, and which option fits different buyers</x:v>
      </x:c>
      <x:c r="O142" s="18" t="str">
        <x:v>/collections/disposable-vapes</x:v>
      </x:c>
      <x:c r="P142" s="18" t="str">
        <x:v>是</x:v>
      </x:c>
      <x:c r="Q142" s="18" t="str">
        <x:v>自然句/品类词/品牌词</x:v>
      </x:c>
      <x:c r="R142" s="18" t="str">
        <x:v>中风险：榜单和评测必须真实、中立，避免夸大</x:v>
      </x:c>
      <x:c r="S142" s="18" t="str">
        <x:v>这类词不直接给主站，先用博客C教育和比较，再导流到最相关集合页。</x:v>
      </x:c>
      <x:c r="T142" s="42" t="n">
        <x:v>1</x:v>
      </x:c>
      <x:c r="U142" s="42" t="n">
        <x:v>15</x:v>
      </x:c>
      <x:c r="V142" s="42" t="n">
        <x:v>16</x:v>
      </x:c>
      <x:c r="W142" s="42" t="n">
        <x:v>15</x:v>
      </x:c>
      <x:c r="X142" s="42" t="n">
        <x:v>13</x:v>
      </x:c>
      <x:c r="Y142" s="42" t="n">
        <x:v>6</x:v>
      </x:c>
      <x:c r="Z142" s="42" t="n">
        <x:f>MAX(0,MIN(100,ROUND(((T142+U142+V142+W142+X142)-Y142)/85*100,0)))</x:f>
        <x:v>64</x:v>
      </x:c>
      <x:c r="AA142" s="18" t="str">
        <x:f>IF(L142="暂不做","P3 暂缓",IF(Z142&gt;=75,"P0 本周做",IF(Z142&gt;=60,"P1 近期做",IF(Z142&gt;=45,"P2 备选","P3 暂缓"))))</x:f>
        <x:v>P1 近期做</x:v>
      </x:c>
      <x:c r="AB142" s="18" t="str">
        <x:f>IF(Y142&gt;=15,"先做合规/相关性复核，不建议直接商业导流",IF(L142="主站","建/优化主站商业页",IF(L142="博客A-知识教程","写知识教程/FAQ文章",IF(L142="博客B-场景人群","写场景需求/选购指南文章",IF(L142="博客C-对比评测","写对比评测/榜单文章","暂不做或人工复核")))))</x:f>
        <x:v>写对比评测/榜单文章</x:v>
      </x:c>
      <x:c r="AC142" s="18" t="str">
        <x:v>exdivo collections bright mirror</x:v>
      </x:c>
      <x:c r="AD142" s="19" t="str">
        <x:v>bright mirror</x:v>
      </x:c>
    </x:row>
    <x:row r="143">
      <x:c r="A143" s="40" t="n">
        <x:v>143</x:v>
      </x:c>
      <x:c r="B143" s="18" t="str">
        <x:v>https://exdivo.com/collections/brightmirror?data_from=index_index</x:v>
      </x:c>
      <x:c r="C143" s="18" t="str">
        <x:v>exdivo bright mirror reviews</x:v>
      </x:c>
      <x:c r="D143" s="18" t="str">
        <x:v>recommended</x:v>
      </x:c>
      <x:c r="E143" s="41" t="n">
        <x:v>0</x:v>
      </x:c>
      <x:c r="F143" s="41" t="n">
        <x:v>0</x:v>
      </x:c>
      <x:c r="G143" s="18" t="str">
        <x:v>48</x:v>
      </x:c>
      <x:c r="H143" s="18" t="str">
        <x:v>对比评测</x:v>
      </x:c>
      <x:c r="I143" s="18" t="str">
        <x:v>商业调查词</x:v>
      </x:c>
      <x:c r="J143" s="18" t="str">
        <x:v>博客C-对比评测</x:v>
      </x:c>
      <x:c r="K143" s="18" t="str"/>
      <x:c r="L143" s="18" t="str">
        <x:f>IF(K143="",J143,K143)</x:f>
        <x:v>博客C-对比评测</x:v>
      </x:c>
      <x:c r="M143" s="18" t="str">
        <x:v>Best/Top/Review/VS/替代方案文章</x:v>
      </x:c>
      <x:c r="N143" s="18" t="str">
        <x:v>Best angle: exdivo bright mirror reviews - comparison, pros/cons, and which option fits different buyers</x:v>
      </x:c>
      <x:c r="O143" s="18" t="str">
        <x:v>/collections/disposable-vapes</x:v>
      </x:c>
      <x:c r="P143" s="18" t="str">
        <x:v>是</x:v>
      </x:c>
      <x:c r="Q143" s="18" t="str">
        <x:v>自然句/品类词/品牌词</x:v>
      </x:c>
      <x:c r="R143" s="18" t="str">
        <x:v>中风险：榜单和评测必须真实、中立，避免夸大</x:v>
      </x:c>
      <x:c r="S143" s="18" t="str">
        <x:v>这类词不直接给主站，先用博客C教育和比较，再导流到最相关集合页。</x:v>
      </x:c>
      <x:c r="T143" s="42" t="n">
        <x:v>1</x:v>
      </x:c>
      <x:c r="U143" s="42" t="n">
        <x:v>15</x:v>
      </x:c>
      <x:c r="V143" s="42" t="n">
        <x:v>16</x:v>
      </x:c>
      <x:c r="W143" s="42" t="n">
        <x:v>15</x:v>
      </x:c>
      <x:c r="X143" s="42" t="n">
        <x:v>13</x:v>
      </x:c>
      <x:c r="Y143" s="42" t="n">
        <x:v>6</x:v>
      </x:c>
      <x:c r="Z143" s="42" t="n">
        <x:f>MAX(0,MIN(100,ROUND(((T143+U143+V143+W143+X143)-Y143)/85*100,0)))</x:f>
        <x:v>64</x:v>
      </x:c>
      <x:c r="AA143" s="18" t="str">
        <x:f>IF(L143="暂不做","P3 暂缓",IF(Z143&gt;=75,"P0 本周做",IF(Z143&gt;=60,"P1 近期做",IF(Z143&gt;=45,"P2 备选","P3 暂缓"))))</x:f>
        <x:v>P1 近期做</x:v>
      </x:c>
      <x:c r="AB143" s="18" t="str">
        <x:f>IF(Y143&gt;=15,"先做合规/相关性复核，不建议直接商业导流",IF(L143="主站","建/优化主站商业页",IF(L143="博客A-知识教程","写知识教程/FAQ文章",IF(L143="博客B-场景人群","写场景需求/选购指南文章",IF(L143="博客C-对比评测","写对比评测/榜单文章","暂不做或人工复核")))))</x:f>
        <x:v>写对比评测/榜单文章</x:v>
      </x:c>
      <x:c r="AC143" s="18" t="str">
        <x:v>exdivo collections bright mirror</x:v>
      </x:c>
      <x:c r="AD143" s="19" t="str">
        <x:v>bright mirror</x:v>
      </x:c>
    </x:row>
    <x:row r="144">
      <x:c r="A144" s="40" t="n">
        <x:v>144</x:v>
      </x:c>
      <x:c r="B144" s="18" t="str">
        <x:v>https://exdivo.com/collections/brightmirror?data_from=index_index</x:v>
      </x:c>
      <x:c r="C144" s="18" t="str">
        <x:v>exdivo bright mirror kit</x:v>
      </x:c>
      <x:c r="D144" s="18" t="str">
        <x:v>recommended</x:v>
      </x:c>
      <x:c r="E144" s="41" t="n">
        <x:v>0</x:v>
      </x:c>
      <x:c r="F144" s="41" t="n">
        <x:v>0</x:v>
      </x:c>
      <x:c r="G144" s="18" t="str">
        <x:v>48</x:v>
      </x:c>
      <x:c r="H144" s="18" t="str">
        <x:v>General Vape</x:v>
      </x:c>
      <x:c r="I144" s="18" t="str">
        <x:v>弱相关词</x:v>
      </x:c>
      <x:c r="J144" s="18" t="str">
        <x:v>暂不做</x:v>
      </x:c>
      <x:c r="K144" s="18" t="str"/>
      <x:c r="L144" s="18" t="str">
        <x:f>IF(K144="",J144,K144)</x:f>
        <x:v>暂不做</x:v>
      </x:c>
      <x:c r="M144" s="18" t="str">
        <x:v>不建议建页</x:v>
      </x:c>
      <x:c r="N144" s="18" t="str">
        <x:v>不进入内容生产</x:v>
      </x:c>
      <x:c r="O144" s="18" t="str">
        <x:v>无</x:v>
      </x:c>
      <x:c r="P144" s="18" t="str">
        <x:v>否</x:v>
      </x:c>
      <x:c r="Q144" s="18" t="str">
        <x:v>不导流</x:v>
      </x:c>
      <x:c r="R144" s="18" t="str">
        <x:v>相关性弱：可能带来无效流量或偏离产品定位</x:v>
      </x:c>
      <x:c r="S144" s="18" t="str">
        <x:v>除非人工确认与核心产品强相关，否则不要进入内容排期。</x:v>
      </x:c>
      <x:c r="T144" s="42" t="n">
        <x:v>1</x:v>
      </x:c>
      <x:c r="U144" s="42" t="n">
        <x:v>15</x:v>
      </x:c>
      <x:c r="V144" s="42" t="n">
        <x:v>2</x:v>
      </x:c>
      <x:c r="W144" s="42" t="n">
        <x:v>3</x:v>
      </x:c>
      <x:c r="X144" s="42" t="n">
        <x:v>2</x:v>
      </x:c>
      <x:c r="Y144" s="42" t="n">
        <x:v>16</x:v>
      </x:c>
      <x:c r="Z144" s="42" t="n">
        <x:f>MAX(0,MIN(100,ROUND(((T144+U144+V144+W144+X144)-Y144)/85*100,0)))</x:f>
        <x:v>8</x:v>
      </x:c>
      <x:c r="AA144" s="18" t="str">
        <x:f>IF(L144="暂不做","P3 暂缓",IF(Z144&gt;=75,"P0 本周做",IF(Z144&gt;=60,"P1 近期做",IF(Z144&gt;=45,"P2 备选","P3 暂缓"))))</x:f>
        <x:v>P3 暂缓</x:v>
      </x:c>
      <x:c r="AB144" s="18" t="str">
        <x:f>IF(Y144&gt;=15,"先做合规/相关性复核，不建议直接商业导流",IF(L144="主站","建/优化主站商业页",IF(L144="博客A-知识教程","写知识教程/FAQ文章",IF(L144="博客B-场景人群","写场景需求/选购指南文章",IF(L144="博客C-对比评测","写对比评测/榜单文章","暂不做或人工复核")))))</x:f>
        <x:v>先做合规/相关性复核，不建议直接商业导流</x:v>
      </x:c>
      <x:c r="AC144" s="18" t="str">
        <x:v>exdivo collections bright mirror</x:v>
      </x:c>
      <x:c r="AD144" s="19" t="str">
        <x:v>bright mirror</x:v>
      </x:c>
    </x:row>
    <x:row r="145">
      <x:c r="A145" s="40" t="n">
        <x:v>145</x:v>
      </x:c>
      <x:c r="B145" s="18" t="str">
        <x:v>https://exdivo.com/collections/brightmirror?data_from=index_index</x:v>
      </x:c>
      <x:c r="C145" s="18" t="str">
        <x:v>exdivo bright mirror vape</x:v>
      </x:c>
      <x:c r="D145" s="18" t="str">
        <x:v>recommended</x:v>
      </x:c>
      <x:c r="E145" s="41" t="n">
        <x:v>0</x:v>
      </x:c>
      <x:c r="F145" s="41" t="n">
        <x:v>0</x:v>
      </x:c>
      <x:c r="G145" s="18" t="str">
        <x:v>48</x:v>
      </x:c>
      <x:c r="H145" s="18" t="str">
        <x:v>General Vape</x:v>
      </x:c>
      <x:c r="I145" s="18" t="str">
        <x:v>内容词</x:v>
      </x:c>
      <x:c r="J145" s="18" t="str">
        <x:v>博客A-知识教程</x:v>
      </x:c>
      <x:c r="K145" s="18" t="str"/>
      <x:c r="L145" s="18" t="str">
        <x:f>IF(K145="",J145,K145)</x:f>
        <x:v>博客A-知识教程</x:v>
      </x:c>
      <x:c r="M145" s="18" t="str">
        <x:v>知识/教程文章</x:v>
      </x:c>
      <x:c r="N145" s="18" t="str">
        <x:v>Guide angle: explain exdivo bright mirror vape, answer common questions, and avoid sales-first writing</x:v>
      </x:c>
      <x:c r="O145" s="18" t="str">
        <x:v>/collections/disposable-vapes 或最接近的产品集合页</x:v>
      </x:c>
      <x:c r="P145" s="18" t="str">
        <x:v>谨慎</x:v>
      </x:c>
      <x:c r="Q145" s="18" t="str">
        <x:v>品牌词/自然句</x:v>
      </x:c>
      <x:c r="R145" s="18" t="str">
        <x:v>低风险：按常规内容质量和搜索意图校验</x:v>
      </x:c>
      <x:c r="S145" s="18" t="str">
        <x:v>先看 Google SERP：如果首页多数为产品集合页，改回主站；如果多数为教程/问答，保持博客。</x:v>
      </x:c>
      <x:c r="T145" s="42" t="n">
        <x:v>1</x:v>
      </x:c>
      <x:c r="U145" s="42" t="n">
        <x:v>15</x:v>
      </x:c>
      <x:c r="V145" s="42" t="n">
        <x:v>10</x:v>
      </x:c>
      <x:c r="W145" s="42" t="n">
        <x:v>12</x:v>
      </x:c>
      <x:c r="X145" s="42" t="n">
        <x:v>12</x:v>
      </x:c>
      <x:c r="Y145" s="42" t="n">
        <x:v>4</x:v>
      </x:c>
      <x:c r="Z145" s="42" t="n">
        <x:f>MAX(0,MIN(100,ROUND(((T145+U145+V145+W145+X145)-Y145)/85*100,0)))</x:f>
        <x:v>54</x:v>
      </x:c>
      <x:c r="AA145" s="18" t="str">
        <x:f>IF(L145="暂不做","P3 暂缓",IF(Z145&gt;=75,"P0 本周做",IF(Z145&gt;=60,"P1 近期做",IF(Z145&gt;=45,"P2 备选","P3 暂缓"))))</x:f>
        <x:v>P2 备选</x:v>
      </x:c>
      <x:c r="AB145" s="18" t="str">
        <x:f>IF(Y145&gt;=15,"先做合规/相关性复核，不建议直接商业导流",IF(L145="主站","建/优化主站商业页",IF(L145="博客A-知识教程","写知识教程/FAQ文章",IF(L145="博客B-场景人群","写场景需求/选购指南文章",IF(L145="博客C-对比评测","写对比评测/榜单文章","暂不做或人工复核")))))</x:f>
        <x:v>写知识教程/FAQ文章</x:v>
      </x:c>
      <x:c r="AC145" s="18" t="str">
        <x:v>exdivo collections bright mirror</x:v>
      </x:c>
      <x:c r="AD145" s="19" t="str">
        <x:v>bright mirror</x:v>
      </x:c>
    </x:row>
    <x:row r="146">
      <x:c r="A146" s="40" t="n">
        <x:v>146</x:v>
      </x:c>
      <x:c r="B146" s="18" t="str">
        <x:v>https://exdivo.com/collections/brightmirror?data_from=index_index</x:v>
      </x:c>
      <x:c r="C146" s="18" t="str">
        <x:v>exdivo bright mirror replaceable</x:v>
      </x:c>
      <x:c r="D146" s="18" t="str">
        <x:v>recommended</x:v>
      </x:c>
      <x:c r="E146" s="41" t="n">
        <x:v>0</x:v>
      </x:c>
      <x:c r="F146" s="41" t="n">
        <x:v>0</x:v>
      </x:c>
      <x:c r="G146" s="18" t="str">
        <x:v>48</x:v>
      </x:c>
      <x:c r="H146" s="18" t="str">
        <x:v>General Vape</x:v>
      </x:c>
      <x:c r="I146" s="18" t="str">
        <x:v>弱相关词</x:v>
      </x:c>
      <x:c r="J146" s="18" t="str">
        <x:v>暂不做</x:v>
      </x:c>
      <x:c r="K146" s="18" t="str"/>
      <x:c r="L146" s="18" t="str">
        <x:f>IF(K146="",J146,K146)</x:f>
        <x:v>暂不做</x:v>
      </x:c>
      <x:c r="M146" s="18" t="str">
        <x:v>不建议建页</x:v>
      </x:c>
      <x:c r="N146" s="18" t="str">
        <x:v>不进入内容生产</x:v>
      </x:c>
      <x:c r="O146" s="18" t="str">
        <x:v>无</x:v>
      </x:c>
      <x:c r="P146" s="18" t="str">
        <x:v>否</x:v>
      </x:c>
      <x:c r="Q146" s="18" t="str">
        <x:v>不导流</x:v>
      </x:c>
      <x:c r="R146" s="18" t="str">
        <x:v>相关性弱：可能带来无效流量或偏离产品定位</x:v>
      </x:c>
      <x:c r="S146" s="18" t="str">
        <x:v>除非人工确认与核心产品强相关，否则不要进入内容排期。</x:v>
      </x:c>
      <x:c r="T146" s="42" t="n">
        <x:v>1</x:v>
      </x:c>
      <x:c r="U146" s="42" t="n">
        <x:v>15</x:v>
      </x:c>
      <x:c r="V146" s="42" t="n">
        <x:v>2</x:v>
      </x:c>
      <x:c r="W146" s="42" t="n">
        <x:v>3</x:v>
      </x:c>
      <x:c r="X146" s="42" t="n">
        <x:v>2</x:v>
      </x:c>
      <x:c r="Y146" s="42" t="n">
        <x:v>16</x:v>
      </x:c>
      <x:c r="Z146" s="42" t="n">
        <x:f>MAX(0,MIN(100,ROUND(((T146+U146+V146+W146+X146)-Y146)/85*100,0)))</x:f>
        <x:v>8</x:v>
      </x:c>
      <x:c r="AA146" s="18" t="str">
        <x:f>IF(L146="暂不做","P3 暂缓",IF(Z146&gt;=75,"P0 本周做",IF(Z146&gt;=60,"P1 近期做",IF(Z146&gt;=45,"P2 备选","P3 暂缓"))))</x:f>
        <x:v>P3 暂缓</x:v>
      </x:c>
      <x:c r="AB146" s="18" t="str">
        <x:f>IF(Y146&gt;=15,"先做合规/相关性复核，不建议直接商业导流",IF(L146="主站","建/优化主站商业页",IF(L146="博客A-知识教程","写知识教程/FAQ文章",IF(L146="博客B-场景人群","写场景需求/选购指南文章",IF(L146="博客C-对比评测","写对比评测/榜单文章","暂不做或人工复核")))))</x:f>
        <x:v>先做合规/相关性复核，不建议直接商业导流</x:v>
      </x:c>
      <x:c r="AC146" s="18" t="str">
        <x:v>exdivo collections bright mirror</x:v>
      </x:c>
      <x:c r="AD146" s="19" t="str">
        <x:v>bright mirror</x:v>
      </x:c>
    </x:row>
    <x:row r="147">
      <x:c r="A147" s="40" t="n">
        <x:v>147</x:v>
      </x:c>
      <x:c r="B147" s="18" t="str">
        <x:v>https://exdivo.com/comments/exdivo-flora-40k-disposable-vape_bd748695</x:v>
      </x:c>
      <x:c r="C147" s="18" t="str">
        <x:v>frozen strawberry vape</x:v>
      </x:c>
      <x:c r="D147" s="18" t="str">
        <x:v>recommended</x:v>
      </x:c>
      <x:c r="E147" s="41" t="n">
        <x:v>320</x:v>
      </x:c>
      <x:c r="F147" s="41" t="n">
        <x:v>2</x:v>
      </x:c>
      <x:c r="G147" s="18" t="str">
        <x:v>informational</x:v>
      </x:c>
      <x:c r="H147" s="18" t="str">
        <x:v>General Vape</x:v>
      </x:c>
      <x:c r="I147" s="18" t="str">
        <x:v>品类承接词</x:v>
      </x:c>
      <x:c r="J147" s="18" t="str">
        <x:v>主站</x:v>
      </x:c>
      <x:c r="K147" s="18" t="str"/>
      <x:c r="L147" s="18" t="str">
        <x:f>IF(K147="",J147,K147)</x:f>
        <x:v>主站</x:v>
      </x:c>
      <x:c r="M147" s="18" t="str">
        <x:v>品类页/集合页 + FAQ内容块</x:v>
      </x:c>
      <x:c r="N147" s="18" t="str">
        <x:v>主站品类页：用产品集合 + 选购说明承接</x:v>
      </x:c>
      <x:c r="O147" s="18" t="str">
        <x:v>/collections/disposable-vapes</x:v>
      </x:c>
      <x:c r="P147" s="18" t="str">
        <x:v>不适用</x:v>
      </x:c>
      <x:c r="Q147" s="18" t="str">
        <x:v>主站页面自身承接</x:v>
      </x:c>
      <x:c r="R147" s="18" t="str">
        <x:v>核心品类词：主站优先，博客只做长尾解释，不直接抢同一词</x:v>
      </x:c>
      <x:c r="S147" s="18" t="str">
        <x:v>如果 Google 首页产品页和指南混合，主站页要加 FAQ、选购指南、对比模块。</x:v>
      </x:c>
      <x:c r="T147" s="42" t="n">
        <x:v>7</x:v>
      </x:c>
      <x:c r="U147" s="42" t="n">
        <x:v>15</x:v>
      </x:c>
      <x:c r="V147" s="42" t="n">
        <x:v>16</x:v>
      </x:c>
      <x:c r="W147" s="42" t="n">
        <x:v>8</x:v>
      </x:c>
      <x:c r="X147" s="42" t="n">
        <x:v>15</x:v>
      </x:c>
      <x:c r="Y147" s="42" t="n">
        <x:v>4</x:v>
      </x:c>
      <x:c r="Z147" s="42" t="n">
        <x:f>MAX(0,MIN(100,ROUND(((T147+U147+V147+W147+X147)-Y147)/85*100,0)))</x:f>
        <x:v>67</x:v>
      </x:c>
      <x:c r="AA147" s="18" t="str">
        <x:f>IF(L147="暂不做","P3 暂缓",IF(Z147&gt;=75,"P0 本周做",IF(Z147&gt;=60,"P1 近期做",IF(Z147&gt;=45,"P2 备选","P3 暂缓"))))</x:f>
        <x:v>P1 近期做</x:v>
      </x:c>
      <x:c r="AB147" s="18" t="str">
        <x:f>IF(Y147&gt;=15,"先做合规/相关性复核，不建议直接商业导流",IF(L147="主站","建/优化主站商业页",IF(L147="博客A-知识教程","写知识教程/FAQ文章",IF(L147="博客B-场景人群","写场景需求/选购指南文章",IF(L147="博客C-对比评测","写对比评测/榜单文章","暂不做或人工复核")))))</x:f>
        <x:v>建/优化主站商业页</x:v>
      </x:c>
      <x:c r="AC147" s="18" t="str">
        <x:v>Reviews - STRAWBERRY ICE - ExDivo FLORA 40K Disposable Vape - ExDivo</x:v>
      </x:c>
      <x:c r="AD147" s="19" t="str">
        <x:v>48</x:v>
      </x:c>
    </x:row>
    <x:row r="148">
      <x:c r="A148" s="40" t="n">
        <x:v>148</x:v>
      </x:c>
      <x:c r="B148" s="18" t="str">
        <x:v>https://exdivo.com/comments/exdivo-flora-40k-disposable-vape_bd748695</x:v>
      </x:c>
      <x:c r="C148" s="18" t="str">
        <x:v>strawberry ice foger vape</x:v>
      </x:c>
      <x:c r="D148" s="18" t="str">
        <x:v>recommended</x:v>
      </x:c>
      <x:c r="E148" s="41" t="n">
        <x:v>70</x:v>
      </x:c>
      <x:c r="F148" s="41" t="n">
        <x:v>0</x:v>
      </x:c>
      <x:c r="G148" s="18" t="str">
        <x:v>informational</x:v>
      </x:c>
      <x:c r="H148" s="18" t="str">
        <x:v>General Vape</x:v>
      </x:c>
      <x:c r="I148" s="18" t="str">
        <x:v>知识/教程词</x:v>
      </x:c>
      <x:c r="J148" s="18" t="str">
        <x:v>博客A-知识教程</x:v>
      </x:c>
      <x:c r="K148" s="18" t="str"/>
      <x:c r="L148" s="18" t="str">
        <x:f>IF(K148="",J148,K148)</x:f>
        <x:v>博客A-知识教程</x:v>
      </x:c>
      <x:c r="M148" s="18" t="str">
        <x:v>百科/How-to/FAQ文章</x:v>
      </x:c>
      <x:c r="N148" s="18" t="str">
        <x:v>Guide angle: explain strawberry ice foger vape, answer common questions, and avoid sales-first writing</x:v>
      </x:c>
      <x:c r="O148" s="18" t="str">
        <x:v>/collections/disposable-vapes</x:v>
      </x:c>
      <x:c r="P148" s="18" t="str">
        <x:v>谨慎</x:v>
      </x:c>
      <x:c r="Q148" s="18" t="str">
        <x:v>自然句/品牌词</x:v>
      </x:c>
      <x:c r="R148" s="18" t="str">
        <x:v>低中风险：先满足信息意图，导流要克制</x:v>
      </x:c>
      <x:c r="S148" s="18" t="str">
        <x:v>如果文章能自然回答下一步购买问题，再放 1 个主站内链；否则只做知识闭环。</x:v>
      </x:c>
      <x:c r="T148" s="42" t="n">
        <x:v>4</x:v>
      </x:c>
      <x:c r="U148" s="42" t="n">
        <x:v>15</x:v>
      </x:c>
      <x:c r="V148" s="42" t="n">
        <x:v>9</x:v>
      </x:c>
      <x:c r="W148" s="42" t="n">
        <x:v>14</x:v>
      </x:c>
      <x:c r="X148" s="42" t="n">
        <x:v>12</x:v>
      </x:c>
      <x:c r="Y148" s="42" t="n">
        <x:v>5</x:v>
      </x:c>
      <x:c r="Z148" s="42" t="n">
        <x:f>MAX(0,MIN(100,ROUND(((T148+U148+V148+W148+X148)-Y148)/85*100,0)))</x:f>
        <x:v>58</x:v>
      </x:c>
      <x:c r="AA148" s="18" t="str">
        <x:f>IF(L148="暂不做","P3 暂缓",IF(Z148&gt;=75,"P0 本周做",IF(Z148&gt;=60,"P1 近期做",IF(Z148&gt;=45,"P2 备选","P3 暂缓"))))</x:f>
        <x:v>P2 备选</x:v>
      </x:c>
      <x:c r="AB148" s="18" t="str">
        <x:f>IF(Y148&gt;=15,"先做合规/相关性复核，不建议直接商业导流",IF(L148="主站","建/优化主站商业页",IF(L148="博客A-知识教程","写知识教程/FAQ文章",IF(L148="博客B-场景人群","写场景需求/选购指南文章",IF(L148="博客C-对比评测","写对比评测/榜单文章","暂不做或人工复核")))))</x:f>
        <x:v>写知识教程/FAQ文章</x:v>
      </x:c>
      <x:c r="AC148" s="18" t="str">
        <x:v>Reviews - STRAWBERRY ICE - ExDivo FLORA 40K Disposable Vape - ExDivo</x:v>
      </x:c>
      <x:c r="AD148" s="19" t="str">
        <x:v>48</x:v>
      </x:c>
    </x:row>
    <x:row r="149">
      <x:c r="A149" s="40" t="n">
        <x:v>149</x:v>
      </x:c>
      <x:c r="B149" s="18" t="str">
        <x:v>https://exdivo.com/comments/exdivo-flora-40k-disposable-vape_bd748695</x:v>
      </x:c>
      <x:c r="C149" s="18" t="str">
        <x:v>exdivo flora 40k strawberry ice</x:v>
      </x:c>
      <x:c r="D149" s="18" t="str">
        <x:v>recommended</x:v>
      </x:c>
      <x:c r="E149" s="41" t="n">
        <x:v>0</x:v>
      </x:c>
      <x:c r="F149" s="41" t="n">
        <x:v>0</x:v>
      </x:c>
      <x:c r="G149" s="18" t="str">
        <x:v>48</x:v>
      </x:c>
      <x:c r="H149" s="18" t="str">
        <x:v>General Vape</x:v>
      </x:c>
      <x:c r="I149" s="18" t="str">
        <x:v>弱相关词</x:v>
      </x:c>
      <x:c r="J149" s="18" t="str">
        <x:v>暂不做</x:v>
      </x:c>
      <x:c r="K149" s="18" t="str"/>
      <x:c r="L149" s="18" t="str">
        <x:f>IF(K149="",J149,K149)</x:f>
        <x:v>暂不做</x:v>
      </x:c>
      <x:c r="M149" s="18" t="str">
        <x:v>不建议建页</x:v>
      </x:c>
      <x:c r="N149" s="18" t="str">
        <x:v>不进入内容生产</x:v>
      </x:c>
      <x:c r="O149" s="18" t="str">
        <x:v>无</x:v>
      </x:c>
      <x:c r="P149" s="18" t="str">
        <x:v>否</x:v>
      </x:c>
      <x:c r="Q149" s="18" t="str">
        <x:v>不导流</x:v>
      </x:c>
      <x:c r="R149" s="18" t="str">
        <x:v>相关性弱：可能带来无效流量或偏离产品定位</x:v>
      </x:c>
      <x:c r="S149" s="18" t="str">
        <x:v>除非人工确认与核心产品强相关，否则不要进入内容排期。</x:v>
      </x:c>
      <x:c r="T149" s="42" t="n">
        <x:v>1</x:v>
      </x:c>
      <x:c r="U149" s="42" t="n">
        <x:v>15</x:v>
      </x:c>
      <x:c r="V149" s="42" t="n">
        <x:v>2</x:v>
      </x:c>
      <x:c r="W149" s="42" t="n">
        <x:v>3</x:v>
      </x:c>
      <x:c r="X149" s="42" t="n">
        <x:v>2</x:v>
      </x:c>
      <x:c r="Y149" s="42" t="n">
        <x:v>16</x:v>
      </x:c>
      <x:c r="Z149" s="42" t="n">
        <x:f>MAX(0,MIN(100,ROUND(((T149+U149+V149+W149+X149)-Y149)/85*100,0)))</x:f>
        <x:v>8</x:v>
      </x:c>
      <x:c r="AA149" s="18" t="str">
        <x:f>IF(L149="暂不做","P3 暂缓",IF(Z149&gt;=75,"P0 本周做",IF(Z149&gt;=60,"P1 近期做",IF(Z149&gt;=45,"P2 备选","P3 暂缓"))))</x:f>
        <x:v>P3 暂缓</x:v>
      </x:c>
      <x:c r="AB149" s="18" t="str">
        <x:f>IF(Y149&gt;=15,"先做合规/相关性复核，不建议直接商业导流",IF(L149="主站","建/优化主站商业页",IF(L149="博客A-知识教程","写知识教程/FAQ文章",IF(L149="博客B-场景人群","写场景需求/选购指南文章",IF(L149="博客C-对比评测","写对比评测/榜单文章","暂不做或人工复核")))))</x:f>
        <x:v>先做合规/相关性复核，不建议直接商业导流</x:v>
      </x:c>
      <x:c r="AC149" s="18" t="str">
        <x:v>Reviews - STRAWBERRY ICE - ExDivo FLORA 40K Disposable Vape - ExDivo</x:v>
      </x:c>
      <x:c r="AD149" s="19" t="str">
        <x:v>48</x:v>
      </x:c>
    </x:row>
    <x:row r="150">
      <x:c r="A150" s="40" t="n">
        <x:v>150</x:v>
      </x:c>
      <x:c r="B150" s="18" t="str">
        <x:v>https://exdivo.com/comments/exdivo-flora-40k-disposable-vape_bd748695</x:v>
      </x:c>
      <x:c r="C150" s="18" t="str">
        <x:v>exdivo strawberry ice flavor</x:v>
      </x:c>
      <x:c r="D150" s="18" t="str">
        <x:v>recommended</x:v>
      </x:c>
      <x:c r="E150" s="41" t="n">
        <x:v>0</x:v>
      </x:c>
      <x:c r="F150" s="41" t="n">
        <x:v>0</x:v>
      </x:c>
      <x:c r="G150" s="18" t="str">
        <x:v>48</x:v>
      </x:c>
      <x:c r="H150" s="18" t="str">
        <x:v>Flavor / 口味</x:v>
      </x:c>
      <x:c r="I150" s="18" t="str">
        <x:v>场景/需求词</x:v>
      </x:c>
      <x:c r="J150" s="18" t="str">
        <x:v>博客B-场景人群</x:v>
      </x:c>
      <x:c r="K150" s="18" t="str"/>
      <x:c r="L150" s="18" t="str">
        <x:f>IF(K150="",J150,K150)</x:f>
        <x:v>博客B-场景人群</x:v>
      </x:c>
      <x:c r="M150" s="18" t="str">
        <x:v>场景解决方案/选购指南文章</x:v>
      </x:c>
      <x:c r="N150" s="18" t="str">
        <x:v>Scenario angle: how to choose exdivo strawberry ice flavor based on use case, flavor, nicotine, and budget</x:v>
      </x:c>
      <x:c r="O150" s="18" t="str">
        <x:v>/collections/flavored-disposable-vapes</x:v>
      </x:c>
      <x:c r="P150" s="18" t="str">
        <x:v>是</x:v>
      </x:c>
      <x:c r="Q150" s="18" t="str">
        <x:v>自然句/品类词</x:v>
      </x:c>
      <x:c r="R150" s="18" t="str">
        <x:v>低中风险：适合软性导流，但不要夸大效果或触碰健康疗效</x:v>
      </x:c>
      <x:c r="S150" s="18" t="str">
        <x:v>围绕使用场景、口味、尼古丁需求、便携性等写，不和主站品类页抢词。</x:v>
      </x:c>
      <x:c r="T150" s="42" t="n">
        <x:v>1</x:v>
      </x:c>
      <x:c r="U150" s="42" t="n">
        <x:v>15</x:v>
      </x:c>
      <x:c r="V150" s="42" t="n">
        <x:v>13</x:v>
      </x:c>
      <x:c r="W150" s="42" t="n">
        <x:v>14</x:v>
      </x:c>
      <x:c r="X150" s="42" t="n">
        <x:v>13</x:v>
      </x:c>
      <x:c r="Y150" s="42" t="n">
        <x:v>5</x:v>
      </x:c>
      <x:c r="Z150" s="42" t="n">
        <x:f>MAX(0,MIN(100,ROUND(((T150+U150+V150+W150+X150)-Y150)/85*100,0)))</x:f>
        <x:v>60</x:v>
      </x:c>
      <x:c r="AA150" s="18" t="str">
        <x:f>IF(L150="暂不做","P3 暂缓",IF(Z150&gt;=75,"P0 本周做",IF(Z150&gt;=60,"P1 近期做",IF(Z150&gt;=45,"P2 备选","P3 暂缓"))))</x:f>
        <x:v>P1 近期做</x:v>
      </x:c>
      <x:c r="AB150" s="18" t="str">
        <x:f>IF(Y150&gt;=15,"先做合规/相关性复核，不建议直接商业导流",IF(L150="主站","建/优化主站商业页",IF(L150="博客A-知识教程","写知识教程/FAQ文章",IF(L150="博客B-场景人群","写场景需求/选购指南文章",IF(L150="博客C-对比评测","写对比评测/榜单文章","暂不做或人工复核")))))</x:f>
        <x:v>写场景需求/选购指南文章</x:v>
      </x:c>
      <x:c r="AC150" s="18" t="str">
        <x:v>Reviews - STRAWBERRY ICE - ExDivo FLORA 40K Disposable Vape - ExDivo</x:v>
      </x:c>
      <x:c r="AD150" s="19" t="str">
        <x:v>48</x:v>
      </x:c>
    </x:row>
    <x:row r="151">
      <x:c r="A151" s="40" t="n">
        <x:v>151</x:v>
      </x:c>
      <x:c r="B151" s="18" t="str">
        <x:v>https://exdivo.com/comments/exdivo-flora-40k-disposable-vape_bd748695</x:v>
      </x:c>
      <x:c r="C151" s="18" t="str">
        <x:v>flora 40k strawberry ice</x:v>
      </x:c>
      <x:c r="D151" s="18" t="str">
        <x:v>recommended</x:v>
      </x:c>
      <x:c r="E151" s="41" t="n">
        <x:v>0</x:v>
      </x:c>
      <x:c r="F151" s="41" t="n">
        <x:v>0</x:v>
      </x:c>
      <x:c r="G151" s="18" t="str">
        <x:v>48</x:v>
      </x:c>
      <x:c r="H151" s="18" t="str">
        <x:v>General Vape</x:v>
      </x:c>
      <x:c r="I151" s="18" t="str">
        <x:v>弱相关词</x:v>
      </x:c>
      <x:c r="J151" s="18" t="str">
        <x:v>暂不做</x:v>
      </x:c>
      <x:c r="K151" s="18" t="str"/>
      <x:c r="L151" s="18" t="str">
        <x:f>IF(K151="",J151,K151)</x:f>
        <x:v>暂不做</x:v>
      </x:c>
      <x:c r="M151" s="18" t="str">
        <x:v>不建议建页</x:v>
      </x:c>
      <x:c r="N151" s="18" t="str">
        <x:v>不进入内容生产</x:v>
      </x:c>
      <x:c r="O151" s="18" t="str">
        <x:v>无</x:v>
      </x:c>
      <x:c r="P151" s="18" t="str">
        <x:v>否</x:v>
      </x:c>
      <x:c r="Q151" s="18" t="str">
        <x:v>不导流</x:v>
      </x:c>
      <x:c r="R151" s="18" t="str">
        <x:v>相关性弱：可能带来无效流量或偏离产品定位</x:v>
      </x:c>
      <x:c r="S151" s="18" t="str">
        <x:v>除非人工确认与核心产品强相关，否则不要进入内容排期。</x:v>
      </x:c>
      <x:c r="T151" s="42" t="n">
        <x:v>1</x:v>
      </x:c>
      <x:c r="U151" s="42" t="n">
        <x:v>15</x:v>
      </x:c>
      <x:c r="V151" s="42" t="n">
        <x:v>2</x:v>
      </x:c>
      <x:c r="W151" s="42" t="n">
        <x:v>3</x:v>
      </x:c>
      <x:c r="X151" s="42" t="n">
        <x:v>2</x:v>
      </x:c>
      <x:c r="Y151" s="42" t="n">
        <x:v>16</x:v>
      </x:c>
      <x:c r="Z151" s="42" t="n">
        <x:f>MAX(0,MIN(100,ROUND(((T151+U151+V151+W151+X151)-Y151)/85*100,0)))</x:f>
        <x:v>8</x:v>
      </x:c>
      <x:c r="AA151" s="18" t="str">
        <x:f>IF(L151="暂不做","P3 暂缓",IF(Z151&gt;=75,"P0 本周做",IF(Z151&gt;=60,"P1 近期做",IF(Z151&gt;=45,"P2 备选","P3 暂缓"))))</x:f>
        <x:v>P3 暂缓</x:v>
      </x:c>
      <x:c r="AB151" s="18" t="str">
        <x:f>IF(Y151&gt;=15,"先做合规/相关性复核，不建议直接商业导流",IF(L151="主站","建/优化主站商业页",IF(L151="博客A-知识教程","写知识教程/FAQ文章",IF(L151="博客B-场景人群","写场景需求/选购指南文章",IF(L151="博客C-对比评测","写对比评测/榜单文章","暂不做或人工复核")))))</x:f>
        <x:v>先做合规/相关性复核，不建议直接商业导流</x:v>
      </x:c>
      <x:c r="AC151" s="18" t="str">
        <x:v>Reviews - STRAWBERRY ICE - ExDivo FLORA 40K Disposable Vape - ExDivo</x:v>
      </x:c>
      <x:c r="AD151" s="19" t="str">
        <x:v>48</x:v>
      </x:c>
    </x:row>
    <x:row r="152">
      <x:c r="A152" s="40" t="n">
        <x:v>152</x:v>
      </x:c>
      <x:c r="B152" s="18" t="str">
        <x:v>https://exdivo.com/comments/exdivo-flora-40k-disposable-vape_bd748695</x:v>
      </x:c>
      <x:c r="C152" s="18" t="str">
        <x:v>vape strawberry ice</x:v>
      </x:c>
      <x:c r="D152" s="18" t="str">
        <x:v>recommended</x:v>
      </x:c>
      <x:c r="E152" s="41" t="n">
        <x:v>70</x:v>
      </x:c>
      <x:c r="F152" s="41" t="n">
        <x:v>0</x:v>
      </x:c>
      <x:c r="G152" s="18" t="str">
        <x:v>informational, commercial</x:v>
      </x:c>
      <x:c r="H152" s="18" t="str">
        <x:v>General Vape</x:v>
      </x:c>
      <x:c r="I152" s="18" t="str">
        <x:v>品类承接词</x:v>
      </x:c>
      <x:c r="J152" s="18" t="str">
        <x:v>主站</x:v>
      </x:c>
      <x:c r="K152" s="18" t="str"/>
      <x:c r="L152" s="18" t="str">
        <x:f>IF(K152="",J152,K152)</x:f>
        <x:v>主站</x:v>
      </x:c>
      <x:c r="M152" s="18" t="str">
        <x:v>品类页/集合页 + FAQ内容块</x:v>
      </x:c>
      <x:c r="N152" s="18" t="str">
        <x:v>主站品类页：用产品集合 + 选购说明承接</x:v>
      </x:c>
      <x:c r="O152" s="18" t="str">
        <x:v>/collections/disposable-vapes</x:v>
      </x:c>
      <x:c r="P152" s="18" t="str">
        <x:v>不适用</x:v>
      </x:c>
      <x:c r="Q152" s="18" t="str">
        <x:v>主站页面自身承接</x:v>
      </x:c>
      <x:c r="R152" s="18" t="str">
        <x:v>核心品类词：主站优先，博客只做长尾解释，不直接抢同一词</x:v>
      </x:c>
      <x:c r="S152" s="18" t="str">
        <x:v>如果 Google 首页产品页和指南混合，主站页要加 FAQ、选购指南、对比模块。</x:v>
      </x:c>
      <x:c r="T152" s="42" t="n">
        <x:v>4</x:v>
      </x:c>
      <x:c r="U152" s="42" t="n">
        <x:v>15</x:v>
      </x:c>
      <x:c r="V152" s="42" t="n">
        <x:v>18</x:v>
      </x:c>
      <x:c r="W152" s="42" t="n">
        <x:v>8</x:v>
      </x:c>
      <x:c r="X152" s="42" t="n">
        <x:v>15</x:v>
      </x:c>
      <x:c r="Y152" s="42" t="n">
        <x:v>4</x:v>
      </x:c>
      <x:c r="Z152" s="42" t="n">
        <x:f>MAX(0,MIN(100,ROUND(((T152+U152+V152+W152+X152)-Y152)/85*100,0)))</x:f>
        <x:v>66</x:v>
      </x:c>
      <x:c r="AA152" s="18" t="str">
        <x:f>IF(L152="暂不做","P3 暂缓",IF(Z152&gt;=75,"P0 本周做",IF(Z152&gt;=60,"P1 近期做",IF(Z152&gt;=45,"P2 备选","P3 暂缓"))))</x:f>
        <x:v>P1 近期做</x:v>
      </x:c>
      <x:c r="AB152" s="18" t="str">
        <x:f>IF(Y152&gt;=15,"先做合规/相关性复核，不建议直接商业导流",IF(L152="主站","建/优化主站商业页",IF(L152="博客A-知识教程","写知识教程/FAQ文章",IF(L152="博客B-场景人群","写场景需求/选购指南文章",IF(L152="博客C-对比评测","写对比评测/榜单文章","暂不做或人工复核")))))</x:f>
        <x:v>建/优化主站商业页</x:v>
      </x:c>
      <x:c r="AC152" s="18" t="str">
        <x:v>Reviews - STRAWBERRY ICE - ExDivo FLORA 40K Disposable Vape - ExDivo</x:v>
      </x:c>
      <x:c r="AD152" s="19" t="str">
        <x:v>48</x:v>
      </x:c>
    </x:row>
    <x:row r="153">
      <x:c r="A153" s="40" t="n">
        <x:v>153</x:v>
      </x:c>
      <x:c r="B153" s="18" t="str">
        <x:v>https://exdivo.com/comments/exdivo-interstellar-35k-disposable-vape_c2dae2be</x:v>
      </x:c>
      <x:c r="C153" s="18" t="str">
        <x:v>cool mint disposable vape</x:v>
      </x:c>
      <x:c r="D153" s="18" t="str">
        <x:v>recommended</x:v>
      </x:c>
      <x:c r="E153" s="41" t="n">
        <x:v>70</x:v>
      </x:c>
      <x:c r="F153" s="41" t="n">
        <x:v>0</x:v>
      </x:c>
      <x:c r="G153" s="18" t="str">
        <x:v>commercial</x:v>
      </x:c>
      <x:c r="H153" s="18" t="str">
        <x:v>Disposable Vape</x:v>
      </x:c>
      <x:c r="I153" s="18" t="str">
        <x:v>品类承接词</x:v>
      </x:c>
      <x:c r="J153" s="18" t="str">
        <x:v>主站</x:v>
      </x:c>
      <x:c r="K153" s="18" t="str"/>
      <x:c r="L153" s="18" t="str">
        <x:f>IF(K153="",J153,K153)</x:f>
        <x:v>主站</x:v>
      </x:c>
      <x:c r="M153" s="18" t="str">
        <x:v>品类页/集合页 + FAQ内容块</x:v>
      </x:c>
      <x:c r="N153" s="18" t="str">
        <x:v>主站品类页：用产品集合 + 选购说明承接</x:v>
      </x:c>
      <x:c r="O153" s="18" t="str">
        <x:v>/collections/disposable-vapes</x:v>
      </x:c>
      <x:c r="P153" s="18" t="str">
        <x:v>不适用</x:v>
      </x:c>
      <x:c r="Q153" s="18" t="str">
        <x:v>主站页面自身承接</x:v>
      </x:c>
      <x:c r="R153" s="18" t="str">
        <x:v>核心品类词：主站优先，博客只做长尾解释，不直接抢同一词</x:v>
      </x:c>
      <x:c r="S153" s="18" t="str">
        <x:v>如果 Google 首页产品页和指南混合，主站页要加 FAQ、选购指南、对比模块。</x:v>
      </x:c>
      <x:c r="T153" s="42" t="n">
        <x:v>4</x:v>
      </x:c>
      <x:c r="U153" s="42" t="n">
        <x:v>15</x:v>
      </x:c>
      <x:c r="V153" s="42" t="n">
        <x:v>18</x:v>
      </x:c>
      <x:c r="W153" s="42" t="n">
        <x:v>8</x:v>
      </x:c>
      <x:c r="X153" s="42" t="n">
        <x:v>15</x:v>
      </x:c>
      <x:c r="Y153" s="42" t="n">
        <x:v>4</x:v>
      </x:c>
      <x:c r="Z153" s="42" t="n">
        <x:f>MAX(0,MIN(100,ROUND(((T153+U153+V153+W153+X153)-Y153)/85*100,0)))</x:f>
        <x:v>66</x:v>
      </x:c>
      <x:c r="AA153" s="18" t="str">
        <x:f>IF(L153="暂不做","P3 暂缓",IF(Z153&gt;=75,"P0 本周做",IF(Z153&gt;=60,"P1 近期做",IF(Z153&gt;=45,"P2 备选","P3 暂缓"))))</x:f>
        <x:v>P1 近期做</x:v>
      </x:c>
      <x:c r="AB153" s="18" t="str">
        <x:f>IF(Y153&gt;=15,"先做合规/相关性复核，不建议直接商业导流",IF(L153="主站","建/优化主站商业页",IF(L153="博客A-知识教程","写知识教程/FAQ文章",IF(L153="博客B-场景人群","写场景需求/选购指南文章",IF(L153="博客C-对比评测","写对比评测/榜单文章","暂不做或人工复核")))))</x:f>
        <x:v>建/优化主站商业页</x:v>
      </x:c>
      <x:c r="AC153" s="18" t="str">
        <x:v>Reviews - Cool Mint - ExDivo INTERSTELLAR 35K Disposable Vape - ExDivo</x:v>
      </x:c>
      <x:c r="AD153" s="19" t="str">
        <x:v>48</x:v>
      </x:c>
    </x:row>
    <x:row r="154">
      <x:c r="A154" s="40" t="n">
        <x:v>154</x:v>
      </x:c>
      <x:c r="B154" s="18" t="str">
        <x:v>https://exdivo.com/comments/exdivo-interstellar-35k-disposable-vape_c2dae2be</x:v>
      </x:c>
      <x:c r="C154" s="18" t="str">
        <x:v>exdivo interstellar 35k cool mint</x:v>
      </x:c>
      <x:c r="D154" s="18" t="str">
        <x:v>recommended</x:v>
      </x:c>
      <x:c r="E154" s="41" t="n">
        <x:v>0</x:v>
      </x:c>
      <x:c r="F154" s="41" t="n">
        <x:v>0</x:v>
      </x:c>
      <x:c r="G154" s="18" t="str">
        <x:v>48</x:v>
      </x:c>
      <x:c r="H154" s="18" t="str">
        <x:v>General Vape</x:v>
      </x:c>
      <x:c r="I154" s="18" t="str">
        <x:v>弱相关词</x:v>
      </x:c>
      <x:c r="J154" s="18" t="str">
        <x:v>暂不做</x:v>
      </x:c>
      <x:c r="K154" s="18" t="str"/>
      <x:c r="L154" s="18" t="str">
        <x:f>IF(K154="",J154,K154)</x:f>
        <x:v>暂不做</x:v>
      </x:c>
      <x:c r="M154" s="18" t="str">
        <x:v>不建议建页</x:v>
      </x:c>
      <x:c r="N154" s="18" t="str">
        <x:v>不进入内容生产</x:v>
      </x:c>
      <x:c r="O154" s="18" t="str">
        <x:v>无</x:v>
      </x:c>
      <x:c r="P154" s="18" t="str">
        <x:v>否</x:v>
      </x:c>
      <x:c r="Q154" s="18" t="str">
        <x:v>不导流</x:v>
      </x:c>
      <x:c r="R154" s="18" t="str">
        <x:v>相关性弱：可能带来无效流量或偏离产品定位</x:v>
      </x:c>
      <x:c r="S154" s="18" t="str">
        <x:v>除非人工确认与核心产品强相关，否则不要进入内容排期。</x:v>
      </x:c>
      <x:c r="T154" s="42" t="n">
        <x:v>1</x:v>
      </x:c>
      <x:c r="U154" s="42" t="n">
        <x:v>15</x:v>
      </x:c>
      <x:c r="V154" s="42" t="n">
        <x:v>2</x:v>
      </x:c>
      <x:c r="W154" s="42" t="n">
        <x:v>3</x:v>
      </x:c>
      <x:c r="X154" s="42" t="n">
        <x:v>2</x:v>
      </x:c>
      <x:c r="Y154" s="42" t="n">
        <x:v>16</x:v>
      </x:c>
      <x:c r="Z154" s="42" t="n">
        <x:f>MAX(0,MIN(100,ROUND(((T154+U154+V154+W154+X154)-Y154)/85*100,0)))</x:f>
        <x:v>8</x:v>
      </x:c>
      <x:c r="AA154" s="18" t="str">
        <x:f>IF(L154="暂不做","P3 暂缓",IF(Z154&gt;=75,"P0 本周做",IF(Z154&gt;=60,"P1 近期做",IF(Z154&gt;=45,"P2 备选","P3 暂缓"))))</x:f>
        <x:v>P3 暂缓</x:v>
      </x:c>
      <x:c r="AB154" s="18" t="str">
        <x:f>IF(Y154&gt;=15,"先做合规/相关性复核，不建议直接商业导流",IF(L154="主站","建/优化主站商业页",IF(L154="博客A-知识教程","写知识教程/FAQ文章",IF(L154="博客B-场景人群","写场景需求/选购指南文章",IF(L154="博客C-对比评测","写对比评测/榜单文章","暂不做或人工复核")))))</x:f>
        <x:v>先做合规/相关性复核，不建议直接商业导流</x:v>
      </x:c>
      <x:c r="AC154" s="18" t="str">
        <x:v>Reviews - Cool Mint - ExDivo INTERSTELLAR 35K Disposable Vape - ExDivo</x:v>
      </x:c>
      <x:c r="AD154" s="19" t="str">
        <x:v>48</x:v>
      </x:c>
    </x:row>
    <x:row r="155">
      <x:c r="A155" s="40" t="n">
        <x:v>155</x:v>
      </x:c>
      <x:c r="B155" s="18" t="str">
        <x:v>https://exdivo.com/comments/exdivo-interstellar-35k-disposable-vape_c2dae2be</x:v>
      </x:c>
      <x:c r="C155" s="18" t="str">
        <x:v>exdivo cool mint flavor</x:v>
      </x:c>
      <x:c r="D155" s="18" t="str">
        <x:v>recommended</x:v>
      </x:c>
      <x:c r="E155" s="41" t="n">
        <x:v>0</x:v>
      </x:c>
      <x:c r="F155" s="41" t="n">
        <x:v>0</x:v>
      </x:c>
      <x:c r="G155" s="18" t="str">
        <x:v>48</x:v>
      </x:c>
      <x:c r="H155" s="18" t="str">
        <x:v>Flavor / 口味</x:v>
      </x:c>
      <x:c r="I155" s="18" t="str">
        <x:v>场景/需求词</x:v>
      </x:c>
      <x:c r="J155" s="18" t="str">
        <x:v>博客B-场景人群</x:v>
      </x:c>
      <x:c r="K155" s="18" t="str"/>
      <x:c r="L155" s="18" t="str">
        <x:f>IF(K155="",J155,K155)</x:f>
        <x:v>博客B-场景人群</x:v>
      </x:c>
      <x:c r="M155" s="18" t="str">
        <x:v>场景解决方案/选购指南文章</x:v>
      </x:c>
      <x:c r="N155" s="18" t="str">
        <x:v>Scenario angle: how to choose exdivo cool mint flavor based on use case, flavor, nicotine, and budget</x:v>
      </x:c>
      <x:c r="O155" s="18" t="str">
        <x:v>/collections/flavored-disposable-vapes</x:v>
      </x:c>
      <x:c r="P155" s="18" t="str">
        <x:v>是</x:v>
      </x:c>
      <x:c r="Q155" s="18" t="str">
        <x:v>自然句/品类词</x:v>
      </x:c>
      <x:c r="R155" s="18" t="str">
        <x:v>低中风险：适合软性导流，但不要夸大效果或触碰健康疗效</x:v>
      </x:c>
      <x:c r="S155" s="18" t="str">
        <x:v>围绕使用场景、口味、尼古丁需求、便携性等写，不和主站品类页抢词。</x:v>
      </x:c>
      <x:c r="T155" s="42" t="n">
        <x:v>1</x:v>
      </x:c>
      <x:c r="U155" s="42" t="n">
        <x:v>15</x:v>
      </x:c>
      <x:c r="V155" s="42" t="n">
        <x:v>13</x:v>
      </x:c>
      <x:c r="W155" s="42" t="n">
        <x:v>14</x:v>
      </x:c>
      <x:c r="X155" s="42" t="n">
        <x:v>13</x:v>
      </x:c>
      <x:c r="Y155" s="42" t="n">
        <x:v>5</x:v>
      </x:c>
      <x:c r="Z155" s="42" t="n">
        <x:f>MAX(0,MIN(100,ROUND(((T155+U155+V155+W155+X155)-Y155)/85*100,0)))</x:f>
        <x:v>60</x:v>
      </x:c>
      <x:c r="AA155" s="18" t="str">
        <x:f>IF(L155="暂不做","P3 暂缓",IF(Z155&gt;=75,"P0 本周做",IF(Z155&gt;=60,"P1 近期做",IF(Z155&gt;=45,"P2 备选","P3 暂缓"))))</x:f>
        <x:v>P1 近期做</x:v>
      </x:c>
      <x:c r="AB155" s="18" t="str">
        <x:f>IF(Y155&gt;=15,"先做合规/相关性复核，不建议直接商业导流",IF(L155="主站","建/优化主站商业页",IF(L155="博客A-知识教程","写知识教程/FAQ文章",IF(L155="博客B-场景人群","写场景需求/选购指南文章",IF(L155="博客C-对比评测","写对比评测/榜单文章","暂不做或人工复核")))))</x:f>
        <x:v>写场景需求/选购指南文章</x:v>
      </x:c>
      <x:c r="AC155" s="18" t="str">
        <x:v>Reviews - Cool Mint - ExDivo INTERSTELLAR 35K Disposable Vape - ExDivo</x:v>
      </x:c>
      <x:c r="AD155" s="19" t="str">
        <x:v>48</x:v>
      </x:c>
    </x:row>
    <x:row r="156">
      <x:c r="A156" s="40" t="n">
        <x:v>156</x:v>
      </x:c>
      <x:c r="B156" s="18" t="str">
        <x:v>https://exdivo.com/comments/exdivo-interstellar-35k-disposable-vape_c2dae2be</x:v>
      </x:c>
      <x:c r="C156" s="18" t="str">
        <x:v>vape flavor reviews cool mint</x:v>
      </x:c>
      <x:c r="D156" s="18" t="str">
        <x:v>recommended</x:v>
      </x:c>
      <x:c r="E156" s="41" t="n">
        <x:v>0</x:v>
      </x:c>
      <x:c r="F156" s="41" t="n">
        <x:v>0</x:v>
      </x:c>
      <x:c r="G156" s="18" t="str">
        <x:v>48</x:v>
      </x:c>
      <x:c r="H156" s="18" t="str">
        <x:v>Flavor / 口味</x:v>
      </x:c>
      <x:c r="I156" s="18" t="str">
        <x:v>商业调查词</x:v>
      </x:c>
      <x:c r="J156" s="18" t="str">
        <x:v>博客C-对比评测</x:v>
      </x:c>
      <x:c r="K156" s="18" t="str"/>
      <x:c r="L156" s="18" t="str">
        <x:f>IF(K156="",J156,K156)</x:f>
        <x:v>博客C-对比评测</x:v>
      </x:c>
      <x:c r="M156" s="18" t="str">
        <x:v>Best/Top/Review/VS/替代方案文章</x:v>
      </x:c>
      <x:c r="N156" s="18" t="str">
        <x:v>Best angle: vape flavor reviews cool mint - comparison, pros/cons, and which option fits different buyers</x:v>
      </x:c>
      <x:c r="O156" s="18" t="str">
        <x:v>/collections/flavored-disposable-vapes</x:v>
      </x:c>
      <x:c r="P156" s="18" t="str">
        <x:v>是</x:v>
      </x:c>
      <x:c r="Q156" s="18" t="str">
        <x:v>自然句/品类词/品牌词</x:v>
      </x:c>
      <x:c r="R156" s="18" t="str">
        <x:v>中风险：榜单和评测必须真实、中立，避免夸大</x:v>
      </x:c>
      <x:c r="S156" s="18" t="str">
        <x:v>这类词不直接给主站，先用博客C教育和比较，再导流到最相关集合页。</x:v>
      </x:c>
      <x:c r="T156" s="42" t="n">
        <x:v>1</x:v>
      </x:c>
      <x:c r="U156" s="42" t="n">
        <x:v>15</x:v>
      </x:c>
      <x:c r="V156" s="42" t="n">
        <x:v>16</x:v>
      </x:c>
      <x:c r="W156" s="42" t="n">
        <x:v>15</x:v>
      </x:c>
      <x:c r="X156" s="42" t="n">
        <x:v>13</x:v>
      </x:c>
      <x:c r="Y156" s="42" t="n">
        <x:v>6</x:v>
      </x:c>
      <x:c r="Z156" s="42" t="n">
        <x:f>MAX(0,MIN(100,ROUND(((T156+U156+V156+W156+X156)-Y156)/85*100,0)))</x:f>
        <x:v>64</x:v>
      </x:c>
      <x:c r="AA156" s="18" t="str">
        <x:f>IF(L156="暂不做","P3 暂缓",IF(Z156&gt;=75,"P0 本周做",IF(Z156&gt;=60,"P1 近期做",IF(Z156&gt;=45,"P2 备选","P3 暂缓"))))</x:f>
        <x:v>P1 近期做</x:v>
      </x:c>
      <x:c r="AB156" s="18" t="str">
        <x:f>IF(Y156&gt;=15,"先做合规/相关性复核，不建议直接商业导流",IF(L156="主站","建/优化主站商业页",IF(L156="博客A-知识教程","写知识教程/FAQ文章",IF(L156="博客B-场景人群","写场景需求/选购指南文章",IF(L156="博客C-对比评测","写对比评测/榜单文章","暂不做或人工复核")))))</x:f>
        <x:v>写对比评测/榜单文章</x:v>
      </x:c>
      <x:c r="AC156" s="18" t="str">
        <x:v>Reviews - Cool Mint - ExDivo INTERSTELLAR 35K Disposable Vape - ExDivo</x:v>
      </x:c>
      <x:c r="AD156" s="19" t="str">
        <x:v>48</x:v>
      </x:c>
    </x:row>
    <x:row r="157">
      <x:c r="A157" s="40" t="n">
        <x:v>157</x:v>
      </x:c>
      <x:c r="B157" s="18" t="str">
        <x:v>https://exdivo.com/comments/exdivo-interstellar-35k-disposable-vape_c2dae2be</x:v>
      </x:c>
      <x:c r="C157" s="18" t="str">
        <x:v>cool mint vape juice</x:v>
      </x:c>
      <x:c r="D157" s="18" t="str">
        <x:v>recommended</x:v>
      </x:c>
      <x:c r="E157" s="41" t="n">
        <x:v>90</x:v>
      </x:c>
      <x:c r="F157" s="41" t="n">
        <x:v>4</x:v>
      </x:c>
      <x:c r="G157" s="18" t="str">
        <x:v>informational</x:v>
      </x:c>
      <x:c r="H157" s="18" t="str">
        <x:v>General Vape</x:v>
      </x:c>
      <x:c r="I157" s="18" t="str">
        <x:v>知识/教程词</x:v>
      </x:c>
      <x:c r="J157" s="18" t="str">
        <x:v>博客A-知识教程</x:v>
      </x:c>
      <x:c r="K157" s="18" t="str"/>
      <x:c r="L157" s="18" t="str">
        <x:f>IF(K157="",J157,K157)</x:f>
        <x:v>博客A-知识教程</x:v>
      </x:c>
      <x:c r="M157" s="18" t="str">
        <x:v>百科/How-to/FAQ文章</x:v>
      </x:c>
      <x:c r="N157" s="18" t="str">
        <x:v>Guide angle: explain cool mint vape juice, answer common questions, and avoid sales-first writing</x:v>
      </x:c>
      <x:c r="O157" s="18" t="str">
        <x:v>/collections/disposable-vapes</x:v>
      </x:c>
      <x:c r="P157" s="18" t="str">
        <x:v>谨慎</x:v>
      </x:c>
      <x:c r="Q157" s="18" t="str">
        <x:v>自然句/品牌词</x:v>
      </x:c>
      <x:c r="R157" s="18" t="str">
        <x:v>低中风险：先满足信息意图，导流要克制</x:v>
      </x:c>
      <x:c r="S157" s="18" t="str">
        <x:v>如果文章能自然回答下一步购买问题，再放 1 个主站内链；否则只做知识闭环。</x:v>
      </x:c>
      <x:c r="T157" s="42" t="n">
        <x:v>4</x:v>
      </x:c>
      <x:c r="U157" s="42" t="n">
        <x:v>15</x:v>
      </x:c>
      <x:c r="V157" s="42" t="n">
        <x:v>9</x:v>
      </x:c>
      <x:c r="W157" s="42" t="n">
        <x:v>14</x:v>
      </x:c>
      <x:c r="X157" s="42" t="n">
        <x:v>12</x:v>
      </x:c>
      <x:c r="Y157" s="42" t="n">
        <x:v>5</x:v>
      </x:c>
      <x:c r="Z157" s="42" t="n">
        <x:f>MAX(0,MIN(100,ROUND(((T157+U157+V157+W157+X157)-Y157)/85*100,0)))</x:f>
        <x:v>58</x:v>
      </x:c>
      <x:c r="AA157" s="18" t="str">
        <x:f>IF(L157="暂不做","P3 暂缓",IF(Z157&gt;=75,"P0 本周做",IF(Z157&gt;=60,"P1 近期做",IF(Z157&gt;=45,"P2 备选","P3 暂缓"))))</x:f>
        <x:v>P2 备选</x:v>
      </x:c>
      <x:c r="AB157" s="18" t="str">
        <x:f>IF(Y157&gt;=15,"先做合规/相关性复核，不建议直接商业导流",IF(L157="主站","建/优化主站商业页",IF(L157="博客A-知识教程","写知识教程/FAQ文章",IF(L157="博客B-场景人群","写场景需求/选购指南文章",IF(L157="博客C-对比评测","写对比评测/榜单文章","暂不做或人工复核")))))</x:f>
        <x:v>写知识教程/FAQ文章</x:v>
      </x:c>
      <x:c r="AC157" s="18" t="str">
        <x:v>Reviews - Cool Mint - ExDivo INTERSTELLAR 35K Disposable Vape - ExDivo</x:v>
      </x:c>
      <x:c r="AD157" s="19" t="str">
        <x:v>48</x:v>
      </x:c>
    </x:row>
    <x:row r="158">
      <x:c r="A158" s="40" t="n">
        <x:v>158</x:v>
      </x:c>
      <x:c r="B158" s="18" t="str">
        <x:v>https://exdivo.com/comments/exdivo-kuz-25k-replaceable-pod-vape_0f3c5b24</x:v>
      </x:c>
      <x:c r="C158" s="18" t="str">
        <x:v>exdivo blueberry sour raspberry flavor</x:v>
      </x:c>
      <x:c r="D158" s="18" t="str">
        <x:v>recommended</x:v>
      </x:c>
      <x:c r="E158" s="41" t="n">
        <x:v>0</x:v>
      </x:c>
      <x:c r="F158" s="41" t="n">
        <x:v>0</x:v>
      </x:c>
      <x:c r="G158" s="18" t="str">
        <x:v>48</x:v>
      </x:c>
      <x:c r="H158" s="18" t="str">
        <x:v>竞品/品牌词</x:v>
      </x:c>
      <x:c r="I158" s="18" t="str">
        <x:v>竞品品牌词</x:v>
      </x:c>
      <x:c r="J158" s="18" t="str">
        <x:v>暂不做</x:v>
      </x:c>
      <x:c r="K158" s="18" t="str"/>
      <x:c r="L158" s="18" t="str">
        <x:f>IF(K158="",J158,K158)</x:f>
        <x:v>暂不做</x:v>
      </x:c>
      <x:c r="M158" s="18" t="str">
        <x:v>人工确认后再决定</x:v>
      </x:c>
      <x:c r="N158" s="18" t="str">
        <x:v>人工确认是否可做客观对比</x:v>
      </x:c>
      <x:c r="O158" s="18" t="str">
        <x:v>无</x:v>
      </x:c>
      <x:c r="P158" s="18" t="str">
        <x:v>否</x:v>
      </x:c>
      <x:c r="Q158" s="18" t="str">
        <x:v>不导流</x:v>
      </x:c>
      <x:c r="R158" s="18" t="str">
        <x:v>中高风险：纯竞品品牌词容易产生商标/相关性问题</x:v>
      </x:c>
      <x:c r="S158" s="18" t="str">
        <x:v>只有带 alternative / vs / review / best 这类明确比较意图时，才考虑博客C。</x:v>
      </x:c>
      <x:c r="T158" s="42" t="n">
        <x:v>1</x:v>
      </x:c>
      <x:c r="U158" s="42" t="n">
        <x:v>15</x:v>
      </x:c>
      <x:c r="V158" s="42" t="n">
        <x:v>5</x:v>
      </x:c>
      <x:c r="W158" s="42" t="n">
        <x:v>7</x:v>
      </x:c>
      <x:c r="X158" s="42" t="n">
        <x:v>4</x:v>
      </x:c>
      <x:c r="Y158" s="42" t="n">
        <x:v>14</x:v>
      </x:c>
      <x:c r="Z158" s="42" t="n">
        <x:f>MAX(0,MIN(100,ROUND(((T158+U158+V158+W158+X158)-Y158)/85*100,0)))</x:f>
        <x:v>21</x:v>
      </x:c>
      <x:c r="AA158" s="18" t="str">
        <x:f>IF(L158="暂不做","P3 暂缓",IF(Z158&gt;=75,"P0 本周做",IF(Z158&gt;=60,"P1 近期做",IF(Z158&gt;=45,"P2 备选","P3 暂缓"))))</x:f>
        <x:v>P3 暂缓</x:v>
      </x:c>
      <x:c r="AB158" s="18" t="str">
        <x:f>IF(Y158&gt;=15,"先做合规/相关性复核，不建议直接商业导流",IF(L158="主站","建/优化主站商业页",IF(L158="博客A-知识教程","写知识教程/FAQ文章",IF(L158="博客B-场景人群","写场景需求/选购指南文章",IF(L158="博客C-对比评测","写对比评测/榜单文章","暂不做或人工复核")))))</x:f>
        <x:v>暂不做或人工复核</x:v>
      </x:c>
      <x:c r="AC158" s="18" t="str">
        <x:v>Reviews - BLUEBERRY SOUR RASPBERRY - ExDivo KUZ 25K Replaceable Pod Vape - ExDivo</x:v>
      </x:c>
      <x:c r="AD158" s="19" t="str">
        <x:v>48</x:v>
      </x:c>
    </x:row>
    <x:row r="159">
      <x:c r="A159" s="40" t="n">
        <x:v>159</x:v>
      </x:c>
      <x:c r="B159" s="18" t="str">
        <x:v>https://exdivo.com/comments/exdivo-kuz-25k-replaceable-pod-vape_0f3c5b24</x:v>
      </x:c>
      <x:c r="C159" s="18" t="str">
        <x:v>exdivo kuz 25k blueberry sour raspberry</x:v>
      </x:c>
      <x:c r="D159" s="18" t="str">
        <x:v>recommended</x:v>
      </x:c>
      <x:c r="E159" s="41" t="n">
        <x:v>0</x:v>
      </x:c>
      <x:c r="F159" s="41" t="n">
        <x:v>0</x:v>
      </x:c>
      <x:c r="G159" s="18" t="str">
        <x:v>48</x:v>
      </x:c>
      <x:c r="H159" s="18" t="str">
        <x:v>竞品/品牌词</x:v>
      </x:c>
      <x:c r="I159" s="18" t="str">
        <x:v>竞品品牌词</x:v>
      </x:c>
      <x:c r="J159" s="18" t="str">
        <x:v>暂不做</x:v>
      </x:c>
      <x:c r="K159" s="18" t="str"/>
      <x:c r="L159" s="18" t="str">
        <x:f>IF(K159="",J159,K159)</x:f>
        <x:v>暂不做</x:v>
      </x:c>
      <x:c r="M159" s="18" t="str">
        <x:v>人工确认后再决定</x:v>
      </x:c>
      <x:c r="N159" s="18" t="str">
        <x:v>人工确认是否可做客观对比</x:v>
      </x:c>
      <x:c r="O159" s="18" t="str">
        <x:v>无</x:v>
      </x:c>
      <x:c r="P159" s="18" t="str">
        <x:v>否</x:v>
      </x:c>
      <x:c r="Q159" s="18" t="str">
        <x:v>不导流</x:v>
      </x:c>
      <x:c r="R159" s="18" t="str">
        <x:v>中高风险：纯竞品品牌词容易产生商标/相关性问题</x:v>
      </x:c>
      <x:c r="S159" s="18" t="str">
        <x:v>只有带 alternative / vs / review / best 这类明确比较意图时，才考虑博客C。</x:v>
      </x:c>
      <x:c r="T159" s="42" t="n">
        <x:v>1</x:v>
      </x:c>
      <x:c r="U159" s="42" t="n">
        <x:v>15</x:v>
      </x:c>
      <x:c r="V159" s="42" t="n">
        <x:v>5</x:v>
      </x:c>
      <x:c r="W159" s="42" t="n">
        <x:v>7</x:v>
      </x:c>
      <x:c r="X159" s="42" t="n">
        <x:v>4</x:v>
      </x:c>
      <x:c r="Y159" s="42" t="n">
        <x:v>14</x:v>
      </x:c>
      <x:c r="Z159" s="42" t="n">
        <x:f>MAX(0,MIN(100,ROUND(((T159+U159+V159+W159+X159)-Y159)/85*100,0)))</x:f>
        <x:v>21</x:v>
      </x:c>
      <x:c r="AA159" s="18" t="str">
        <x:f>IF(L159="暂不做","P3 暂缓",IF(Z159&gt;=75,"P0 本周做",IF(Z159&gt;=60,"P1 近期做",IF(Z159&gt;=45,"P2 备选","P3 暂缓"))))</x:f>
        <x:v>P3 暂缓</x:v>
      </x:c>
      <x:c r="AB159" s="18" t="str">
        <x:f>IF(Y159&gt;=15,"先做合规/相关性复核，不建议直接商业导流",IF(L159="主站","建/优化主站商业页",IF(L159="博客A-知识教程","写知识教程/FAQ文章",IF(L159="博客B-场景人群","写场景需求/选购指南文章",IF(L159="博客C-对比评测","写对比评测/榜单文章","暂不做或人工复核")))))</x:f>
        <x:v>暂不做或人工复核</x:v>
      </x:c>
      <x:c r="AC159" s="18" t="str">
        <x:v>Reviews - BLUEBERRY SOUR RASPBERRY - ExDivo KUZ 25K Replaceable Pod Vape - ExDivo</x:v>
      </x:c>
      <x:c r="AD159" s="19" t="str">
        <x:v>48</x:v>
      </x:c>
    </x:row>
    <x:row r="160">
      <x:c r="A160" s="40" t="n">
        <x:v>160</x:v>
      </x:c>
      <x:c r="B160" s="18" t="str">
        <x:v>https://exdivo.com/comments/exdivo-kuz-25k-replaceable-pod-vape_0f3c5b24</x:v>
      </x:c>
      <x:c r="C160" s="18" t="str">
        <x:v>blueberry sour raspberry disposable vape</x:v>
      </x:c>
      <x:c r="D160" s="18" t="str">
        <x:v>recommended</x:v>
      </x:c>
      <x:c r="E160" s="41" t="n">
        <x:v>0</x:v>
      </x:c>
      <x:c r="F160" s="41" t="n">
        <x:v>0</x:v>
      </x:c>
      <x:c r="G160" s="18" t="str">
        <x:v>48</x:v>
      </x:c>
      <x:c r="H160" s="18" t="str">
        <x:v>竞品/品牌词</x:v>
      </x:c>
      <x:c r="I160" s="18" t="str">
        <x:v>竞品品牌词</x:v>
      </x:c>
      <x:c r="J160" s="18" t="str">
        <x:v>暂不做</x:v>
      </x:c>
      <x:c r="K160" s="18" t="str"/>
      <x:c r="L160" s="18" t="str">
        <x:f>IF(K160="",J160,K160)</x:f>
        <x:v>暂不做</x:v>
      </x:c>
      <x:c r="M160" s="18" t="str">
        <x:v>人工确认后再决定</x:v>
      </x:c>
      <x:c r="N160" s="18" t="str">
        <x:v>人工确认是否可做客观对比</x:v>
      </x:c>
      <x:c r="O160" s="18" t="str">
        <x:v>无</x:v>
      </x:c>
      <x:c r="P160" s="18" t="str">
        <x:v>否</x:v>
      </x:c>
      <x:c r="Q160" s="18" t="str">
        <x:v>不导流</x:v>
      </x:c>
      <x:c r="R160" s="18" t="str">
        <x:v>中高风险：纯竞品品牌词容易产生商标/相关性问题</x:v>
      </x:c>
      <x:c r="S160" s="18" t="str">
        <x:v>只有带 alternative / vs / review / best 这类明确比较意图时，才考虑博客C。</x:v>
      </x:c>
      <x:c r="T160" s="42" t="n">
        <x:v>1</x:v>
      </x:c>
      <x:c r="U160" s="42" t="n">
        <x:v>15</x:v>
      </x:c>
      <x:c r="V160" s="42" t="n">
        <x:v>5</x:v>
      </x:c>
      <x:c r="W160" s="42" t="n">
        <x:v>7</x:v>
      </x:c>
      <x:c r="X160" s="42" t="n">
        <x:v>4</x:v>
      </x:c>
      <x:c r="Y160" s="42" t="n">
        <x:v>14</x:v>
      </x:c>
      <x:c r="Z160" s="42" t="n">
        <x:f>MAX(0,MIN(100,ROUND(((T160+U160+V160+W160+X160)-Y160)/85*100,0)))</x:f>
        <x:v>21</x:v>
      </x:c>
      <x:c r="AA160" s="18" t="str">
        <x:f>IF(L160="暂不做","P3 暂缓",IF(Z160&gt;=75,"P0 本周做",IF(Z160&gt;=60,"P1 近期做",IF(Z160&gt;=45,"P2 备选","P3 暂缓"))))</x:f>
        <x:v>P3 暂缓</x:v>
      </x:c>
      <x:c r="AB160" s="18" t="str">
        <x:f>IF(Y160&gt;=15,"先做合规/相关性复核，不建议直接商业导流",IF(L160="主站","建/优化主站商业页",IF(L160="博客A-知识教程","写知识教程/FAQ文章",IF(L160="博客B-场景人群","写场景需求/选购指南文章",IF(L160="博客C-对比评测","写对比评测/榜单文章","暂不做或人工复核")))))</x:f>
        <x:v>暂不做或人工复核</x:v>
      </x:c>
      <x:c r="AC160" s="18" t="str">
        <x:v>Reviews - BLUEBERRY SOUR RASPBERRY - ExDivo KUZ 25K Replaceable Pod Vape - ExDivo</x:v>
      </x:c>
      <x:c r="AD160" s="19" t="str">
        <x:v>48</x:v>
      </x:c>
    </x:row>
    <x:row r="161">
      <x:c r="A161" s="40" t="n">
        <x:v>161</x:v>
      </x:c>
      <x:c r="B161" s="18" t="str">
        <x:v>https://exdivo.com/products/exdivo-space-45k-disposable-vape_805b9080?data_from=collection_detail&amp;spm=collection_detail..collection_detail-11702364.11.</x:v>
      </x:c>
      <x:c r="C161" s="18" t="str">
        <x:v>exdivo space 45k vape</x:v>
      </x:c>
      <x:c r="D161" s="18" t="str">
        <x:v>recommended</x:v>
      </x:c>
      <x:c r="E161" s="41" t="n">
        <x:v>0</x:v>
      </x:c>
      <x:c r="F161" s="41" t="n">
        <x:v>0</x:v>
      </x:c>
      <x:c r="G161" s="18" t="str">
        <x:v>48</x:v>
      </x:c>
      <x:c r="H161" s="18" t="str">
        <x:v>General Vape</x:v>
      </x:c>
      <x:c r="I161" s="18" t="str">
        <x:v>内容词</x:v>
      </x:c>
      <x:c r="J161" s="18" t="str">
        <x:v>博客A-知识教程</x:v>
      </x:c>
      <x:c r="K161" s="18" t="str"/>
      <x:c r="L161" s="18" t="str">
        <x:f>IF(K161="",J161,K161)</x:f>
        <x:v>博客A-知识教程</x:v>
      </x:c>
      <x:c r="M161" s="18" t="str">
        <x:v>知识/教程文章</x:v>
      </x:c>
      <x:c r="N161" s="18" t="str">
        <x:v>Guide angle: explain exdivo space 45k vape, answer common questions, and avoid sales-first writing</x:v>
      </x:c>
      <x:c r="O161" s="18" t="str">
        <x:v>/collections/disposable-vapes 或最接近的产品集合页</x:v>
      </x:c>
      <x:c r="P161" s="18" t="str">
        <x:v>谨慎</x:v>
      </x:c>
      <x:c r="Q161" s="18" t="str">
        <x:v>品牌词/自然句</x:v>
      </x:c>
      <x:c r="R161" s="18" t="str">
        <x:v>低风险：按常规内容质量和搜索意图校验</x:v>
      </x:c>
      <x:c r="S161" s="18" t="str">
        <x:v>先看 Google SERP：如果首页多数为产品集合页，改回主站；如果多数为教程/问答，保持博客。</x:v>
      </x:c>
      <x:c r="T161" s="42" t="n">
        <x:v>1</x:v>
      </x:c>
      <x:c r="U161" s="42" t="n">
        <x:v>15</x:v>
      </x:c>
      <x:c r="V161" s="42" t="n">
        <x:v>10</x:v>
      </x:c>
      <x:c r="W161" s="42" t="n">
        <x:v>12</x:v>
      </x:c>
      <x:c r="X161" s="42" t="n">
        <x:v>12</x:v>
      </x:c>
      <x:c r="Y161" s="42" t="n">
        <x:v>4</x:v>
      </x:c>
      <x:c r="Z161" s="42" t="n">
        <x:f>MAX(0,MIN(100,ROUND(((T161+U161+V161+W161+X161)-Y161)/85*100,0)))</x:f>
        <x:v>54</x:v>
      </x:c>
      <x:c r="AA161" s="18" t="str">
        <x:f>IF(L161="暂不做","P3 暂缓",IF(Z161&gt;=75,"P0 本周做",IF(Z161&gt;=60,"P1 近期做",IF(Z161&gt;=45,"P2 备选","P3 暂缓"))))</x:f>
        <x:v>P2 备选</x:v>
      </x:c>
      <x:c r="AB161" s="18" t="str">
        <x:f>IF(Y161&gt;=15,"先做合规/相关性复核，不建议直接商业导流",IF(L161="主站","建/优化主站商业页",IF(L161="博客A-知识教程","写知识教程/FAQ文章",IF(L161="博客B-场景人群","写场景需求/选购指南文章",IF(L161="博客C-对比评测","写对比评测/榜单文章","暂不做或人工复核")))))</x:f>
        <x:v>写知识教程/FAQ文章</x:v>
      </x:c>
      <x:c r="AC161" s="18" t="str">
        <x:v>ExDivo SPACE 45K Disposable Vape</x:v>
      </x:c>
      <x:c r="AD161" s="19" t="str">
        <x:v>45000 puffs</x:v>
      </x:c>
    </x:row>
    <x:row r="162">
      <x:c r="A162" s="40" t="n">
        <x:v>162</x:v>
      </x:c>
      <x:c r="B162" s="18" t="str">
        <x:v>https://exdivo.com/products/exdivo-space-45k-disposable-vape_805b9080?data_from=collection_detail&amp;spm=collection_detail..collection_detail-11702364.11.</x:v>
      </x:c>
      <x:c r="C162" s="18" t="str">
        <x:v>best disposable vape 45k</x:v>
      </x:c>
      <x:c r="D162" s="18" t="str">
        <x:v>recommended</x:v>
      </x:c>
      <x:c r="E162" s="41" t="n">
        <x:v>0</x:v>
      </x:c>
      <x:c r="F162" s="41" t="n">
        <x:v>0</x:v>
      </x:c>
      <x:c r="G162" s="18" t="str">
        <x:v>48</x:v>
      </x:c>
      <x:c r="H162" s="18" t="str">
        <x:v>Disposable Vape</x:v>
      </x:c>
      <x:c r="I162" s="18" t="str">
        <x:v>商业调查词</x:v>
      </x:c>
      <x:c r="J162" s="18" t="str">
        <x:v>博客C-对比评测</x:v>
      </x:c>
      <x:c r="K162" s="18" t="str"/>
      <x:c r="L162" s="18" t="str">
        <x:f>IF(K162="",J162,K162)</x:f>
        <x:v>博客C-对比评测</x:v>
      </x:c>
      <x:c r="M162" s="18" t="str">
        <x:v>Best/Top/Review/VS/替代方案文章</x:v>
      </x:c>
      <x:c r="N162" s="18" t="str">
        <x:v>Best angle: best disposable vape 45k - comparison, pros/cons, and which option fits different buyers</x:v>
      </x:c>
      <x:c r="O162" s="18" t="str">
        <x:v>/collections/disposable-vapes</x:v>
      </x:c>
      <x:c r="P162" s="18" t="str">
        <x:v>是</x:v>
      </x:c>
      <x:c r="Q162" s="18" t="str">
        <x:v>自然句/品类词/品牌词</x:v>
      </x:c>
      <x:c r="R162" s="18" t="str">
        <x:v>中风险：榜单和评测必须真实、中立，避免夸大</x:v>
      </x:c>
      <x:c r="S162" s="18" t="str">
        <x:v>这类词不直接给主站，先用博客C教育和比较，再导流到最相关集合页。</x:v>
      </x:c>
      <x:c r="T162" s="42" t="n">
        <x:v>1</x:v>
      </x:c>
      <x:c r="U162" s="42" t="n">
        <x:v>15</x:v>
      </x:c>
      <x:c r="V162" s="42" t="n">
        <x:v>16</x:v>
      </x:c>
      <x:c r="W162" s="42" t="n">
        <x:v>15</x:v>
      </x:c>
      <x:c r="X162" s="42" t="n">
        <x:v>13</x:v>
      </x:c>
      <x:c r="Y162" s="42" t="n">
        <x:v>6</x:v>
      </x:c>
      <x:c r="Z162" s="42" t="n">
        <x:f>MAX(0,MIN(100,ROUND(((T162+U162+V162+W162+X162)-Y162)/85*100,0)))</x:f>
        <x:v>64</x:v>
      </x:c>
      <x:c r="AA162" s="18" t="str">
        <x:f>IF(L162="暂不做","P3 暂缓",IF(Z162&gt;=75,"P0 本周做",IF(Z162&gt;=60,"P1 近期做",IF(Z162&gt;=45,"P2 备选","P3 暂缓"))))</x:f>
        <x:v>P1 近期做</x:v>
      </x:c>
      <x:c r="AB162" s="18" t="str">
        <x:f>IF(Y162&gt;=15,"先做合规/相关性复核，不建议直接商业导流",IF(L162="主站","建/优化主站商业页",IF(L162="博客A-知识教程","写知识教程/FAQ文章",IF(L162="博客B-场景人群","写场景需求/选购指南文章",IF(L162="博客C-对比评测","写对比评测/榜单文章","暂不做或人工复核")))))</x:f>
        <x:v>写对比评测/榜单文章</x:v>
      </x:c>
      <x:c r="AC162" s="18" t="str">
        <x:v>ExDivo SPACE 45K Disposable Vape</x:v>
      </x:c>
      <x:c r="AD162" s="19" t="str">
        <x:v>45000 puffs</x:v>
      </x:c>
    </x:row>
    <x:row r="163">
      <x:c r="A163" s="40" t="n">
        <x:v>163</x:v>
      </x:c>
      <x:c r="B163" s="18" t="str">
        <x:v>https://exdivo.com/products/exdivo-flora-40k-disposable-vape_d40647e8</x:v>
      </x:c>
      <x:c r="C163" s="18" t="str">
        <x:v>exdivo flora vape</x:v>
      </x:c>
      <x:c r="D163" s="18" t="str">
        <x:v>recommended</x:v>
      </x:c>
      <x:c r="E163" s="41" t="n">
        <x:v>0</x:v>
      </x:c>
      <x:c r="F163" s="41" t="n">
        <x:v>0</x:v>
      </x:c>
      <x:c r="G163" s="18" t="str">
        <x:v>48</x:v>
      </x:c>
      <x:c r="H163" s="18" t="str">
        <x:v>General Vape</x:v>
      </x:c>
      <x:c r="I163" s="18" t="str">
        <x:v>品类承接词</x:v>
      </x:c>
      <x:c r="J163" s="18" t="str">
        <x:v>主站</x:v>
      </x:c>
      <x:c r="K163" s="18" t="str"/>
      <x:c r="L163" s="18" t="str">
        <x:f>IF(K163="",J163,K163)</x:f>
        <x:v>主站</x:v>
      </x:c>
      <x:c r="M163" s="18" t="str">
        <x:v>品类页/集合页 + FAQ内容块</x:v>
      </x:c>
      <x:c r="N163" s="18" t="str">
        <x:v>主站品类页：用产品集合 + 选购说明承接</x:v>
      </x:c>
      <x:c r="O163" s="18" t="str">
        <x:v>/collections/disposable-vapes</x:v>
      </x:c>
      <x:c r="P163" s="18" t="str">
        <x:v>不适用</x:v>
      </x:c>
      <x:c r="Q163" s="18" t="str">
        <x:v>主站页面自身承接</x:v>
      </x:c>
      <x:c r="R163" s="18" t="str">
        <x:v>核心品类词：主站优先，博客只做长尾解释，不直接抢同一词</x:v>
      </x:c>
      <x:c r="S163" s="18" t="str">
        <x:v>如果 Google 首页产品页和指南混合，主站页要加 FAQ、选购指南、对比模块。</x:v>
      </x:c>
      <x:c r="T163" s="42" t="n">
        <x:v>1</x:v>
      </x:c>
      <x:c r="U163" s="42" t="n">
        <x:v>15</x:v>
      </x:c>
      <x:c r="V163" s="42" t="n">
        <x:v>16</x:v>
      </x:c>
      <x:c r="W163" s="42" t="n">
        <x:v>8</x:v>
      </x:c>
      <x:c r="X163" s="42" t="n">
        <x:v>15</x:v>
      </x:c>
      <x:c r="Y163" s="42" t="n">
        <x:v>4</x:v>
      </x:c>
      <x:c r="Z163" s="42" t="n">
        <x:f>MAX(0,MIN(100,ROUND(((T163+U163+V163+W163+X163)-Y163)/85*100,0)))</x:f>
        <x:v>60</x:v>
      </x:c>
      <x:c r="AA163" s="18" t="str">
        <x:f>IF(L163="暂不做","P3 暂缓",IF(Z163&gt;=75,"P0 本周做",IF(Z163&gt;=60,"P1 近期做",IF(Z163&gt;=45,"P2 备选","P3 暂缓"))))</x:f>
        <x:v>P1 近期做</x:v>
      </x:c>
      <x:c r="AB163" s="18" t="str">
        <x:f>IF(Y163&gt;=15,"先做合规/相关性复核，不建议直接商业导流",IF(L163="主站","建/优化主站商业页",IF(L163="博客A-知识教程","写知识教程/FAQ文章",IF(L163="博客B-场景人群","写场景需求/选购指南文章",IF(L163="博客C-对比评测","写对比评测/榜单文章","暂不做或人工复核")))))</x:f>
        <x:v>建/优化主站商业页</x:v>
      </x:c>
      <x:c r="AC163" s="18" t="str">
        <x:v>ExDivo FLORA 40K Disposable Vape</x:v>
      </x:c>
      <x:c r="AD163" s="19" t="str">
        <x:v>40000 puffs</x:v>
      </x:c>
    </x:row>
    <x:row r="164">
      <x:c r="A164" s="40" t="n">
        <x:v>164</x:v>
      </x:c>
      <x:c r="B164" s="18" t="str">
        <x:v>https://exdivo.com/products/exdivo-flora-40k-disposable-vape_d40647e8</x:v>
      </x:c>
      <x:c r="C164" s="18" t="str">
        <x:v>exdivo flora 40k vape</x:v>
      </x:c>
      <x:c r="D164" s="18" t="str">
        <x:v>recommended</x:v>
      </x:c>
      <x:c r="E164" s="41" t="n">
        <x:v>0</x:v>
      </x:c>
      <x:c r="F164" s="41" t="n">
        <x:v>0</x:v>
      </x:c>
      <x:c r="G164" s="18" t="str">
        <x:v>48</x:v>
      </x:c>
      <x:c r="H164" s="18" t="str">
        <x:v>General Vape</x:v>
      </x:c>
      <x:c r="I164" s="18" t="str">
        <x:v>内容词</x:v>
      </x:c>
      <x:c r="J164" s="18" t="str">
        <x:v>博客A-知识教程</x:v>
      </x:c>
      <x:c r="K164" s="18" t="str"/>
      <x:c r="L164" s="18" t="str">
        <x:f>IF(K164="",J164,K164)</x:f>
        <x:v>博客A-知识教程</x:v>
      </x:c>
      <x:c r="M164" s="18" t="str">
        <x:v>知识/教程文章</x:v>
      </x:c>
      <x:c r="N164" s="18" t="str">
        <x:v>Guide angle: explain exdivo flora 40k vape, answer common questions, and avoid sales-first writing</x:v>
      </x:c>
      <x:c r="O164" s="18" t="str">
        <x:v>/collections/disposable-vapes 或最接近的产品集合页</x:v>
      </x:c>
      <x:c r="P164" s="18" t="str">
        <x:v>谨慎</x:v>
      </x:c>
      <x:c r="Q164" s="18" t="str">
        <x:v>品牌词/自然句</x:v>
      </x:c>
      <x:c r="R164" s="18" t="str">
        <x:v>低风险：按常规内容质量和搜索意图校验</x:v>
      </x:c>
      <x:c r="S164" s="18" t="str">
        <x:v>先看 Google SERP：如果首页多数为产品集合页，改回主站；如果多数为教程/问答，保持博客。</x:v>
      </x:c>
      <x:c r="T164" s="42" t="n">
        <x:v>1</x:v>
      </x:c>
      <x:c r="U164" s="42" t="n">
        <x:v>15</x:v>
      </x:c>
      <x:c r="V164" s="42" t="n">
        <x:v>10</x:v>
      </x:c>
      <x:c r="W164" s="42" t="n">
        <x:v>12</x:v>
      </x:c>
      <x:c r="X164" s="42" t="n">
        <x:v>12</x:v>
      </x:c>
      <x:c r="Y164" s="42" t="n">
        <x:v>4</x:v>
      </x:c>
      <x:c r="Z164" s="42" t="n">
        <x:f>MAX(0,MIN(100,ROUND(((T164+U164+V164+W164+X164)-Y164)/85*100,0)))</x:f>
        <x:v>54</x:v>
      </x:c>
      <x:c r="AA164" s="18" t="str">
        <x:f>IF(L164="暂不做","P3 暂缓",IF(Z164&gt;=75,"P0 本周做",IF(Z164&gt;=60,"P1 近期做",IF(Z164&gt;=45,"P2 备选","P3 暂缓"))))</x:f>
        <x:v>P2 备选</x:v>
      </x:c>
      <x:c r="AB164" s="18" t="str">
        <x:f>IF(Y164&gt;=15,"先做合规/相关性复核，不建议直接商业导流",IF(L164="主站","建/优化主站商业页",IF(L164="博客A-知识教程","写知识教程/FAQ文章",IF(L164="博客B-场景人群","写场景需求/选购指南文章",IF(L164="博客C-对比评测","写对比评测/榜单文章","暂不做或人工复核")))))</x:f>
        <x:v>写知识教程/FAQ文章</x:v>
      </x:c>
      <x:c r="AC164" s="18" t="str">
        <x:v>ExDivo FLORA 40K Disposable Vape</x:v>
      </x:c>
      <x:c r="AD164" s="19" t="str">
        <x:v>40000 puffs</x:v>
      </x:c>
    </x:row>
    <x:row r="165">
      <x:c r="A165" s="40" t="n">
        <x:v>165</x:v>
      </x:c>
      <x:c r="B165" s="18" t="str">
        <x:v>https://exdivo.com/products/exdivo-flora-40k-disposable-vape_d40647e8</x:v>
      </x:c>
      <x:c r="C165" s="18" t="str">
        <x:v>exdivo flora vape review</x:v>
      </x:c>
      <x:c r="D165" s="18" t="str">
        <x:v>recommended</x:v>
      </x:c>
      <x:c r="E165" s="41" t="n">
        <x:v>0</x:v>
      </x:c>
      <x:c r="F165" s="41" t="n">
        <x:v>0</x:v>
      </x:c>
      <x:c r="G165" s="18" t="str">
        <x:v>48</x:v>
      </x:c>
      <x:c r="H165" s="18" t="str">
        <x:v>对比评测</x:v>
      </x:c>
      <x:c r="I165" s="18" t="str">
        <x:v>商业调查词</x:v>
      </x:c>
      <x:c r="J165" s="18" t="str">
        <x:v>博客C-对比评测</x:v>
      </x:c>
      <x:c r="K165" s="18" t="str"/>
      <x:c r="L165" s="18" t="str">
        <x:f>IF(K165="",J165,K165)</x:f>
        <x:v>博客C-对比评测</x:v>
      </x:c>
      <x:c r="M165" s="18" t="str">
        <x:v>Best/Top/Review/VS/替代方案文章</x:v>
      </x:c>
      <x:c r="N165" s="18" t="str">
        <x:v>Best angle: exdivo flora vape review - comparison, pros/cons, and which option fits different buyers</x:v>
      </x:c>
      <x:c r="O165" s="18" t="str">
        <x:v>/collections/disposable-vapes</x:v>
      </x:c>
      <x:c r="P165" s="18" t="str">
        <x:v>是</x:v>
      </x:c>
      <x:c r="Q165" s="18" t="str">
        <x:v>自然句/品类词/品牌词</x:v>
      </x:c>
      <x:c r="R165" s="18" t="str">
        <x:v>中风险：榜单和评测必须真实、中立，避免夸大</x:v>
      </x:c>
      <x:c r="S165" s="18" t="str">
        <x:v>这类词不直接给主站，先用博客C教育和比较，再导流到最相关集合页。</x:v>
      </x:c>
      <x:c r="T165" s="42" t="n">
        <x:v>1</x:v>
      </x:c>
      <x:c r="U165" s="42" t="n">
        <x:v>15</x:v>
      </x:c>
      <x:c r="V165" s="42" t="n">
        <x:v>16</x:v>
      </x:c>
      <x:c r="W165" s="42" t="n">
        <x:v>15</x:v>
      </x:c>
      <x:c r="X165" s="42" t="n">
        <x:v>13</x:v>
      </x:c>
      <x:c r="Y165" s="42" t="n">
        <x:v>6</x:v>
      </x:c>
      <x:c r="Z165" s="42" t="n">
        <x:f>MAX(0,MIN(100,ROUND(((T165+U165+V165+W165+X165)-Y165)/85*100,0)))</x:f>
        <x:v>64</x:v>
      </x:c>
      <x:c r="AA165" s="18" t="str">
        <x:f>IF(L165="暂不做","P3 暂缓",IF(Z165&gt;=75,"P0 本周做",IF(Z165&gt;=60,"P1 近期做",IF(Z165&gt;=45,"P2 备选","P3 暂缓"))))</x:f>
        <x:v>P1 近期做</x:v>
      </x:c>
      <x:c r="AB165" s="18" t="str">
        <x:f>IF(Y165&gt;=15,"先做合规/相关性复核，不建议直接商业导流",IF(L165="主站","建/优化主站商业页",IF(L165="博客A-知识教程","写知识教程/FAQ文章",IF(L165="博客B-场景人群","写场景需求/选购指南文章",IF(L165="博客C-对比评测","写对比评测/榜单文章","暂不做或人工复核")))))</x:f>
        <x:v>写对比评测/榜单文章</x:v>
      </x:c>
      <x:c r="AC165" s="18" t="str">
        <x:v>ExDivo FLORA 40K Disposable Vape</x:v>
      </x:c>
      <x:c r="AD165" s="19" t="str">
        <x:v>40000 puffs</x:v>
      </x:c>
    </x:row>
    <x:row r="166">
      <x:c r="A166" s="40" t="n">
        <x:v>166</x:v>
      </x:c>
      <x:c r="B166" s="18" t="str">
        <x:v>https://exdivo.com/collections/interstellar/products/exdivo-interstellar-35k-disposable-vape_c59c5d3c?data_from=collection_detail&amp;spm=collection_detail.310720.collection_detail-11702364.6.</x:v>
      </x:c>
      <x:c r="C166" s="18" t="str">
        <x:v>exdivo interstellar 35k disposable vape</x:v>
      </x:c>
      <x:c r="D166" s="18" t="str">
        <x:v>recommended</x:v>
      </x:c>
      <x:c r="E166" s="41" t="n">
        <x:v>0</x:v>
      </x:c>
      <x:c r="F166" s="41" t="n">
        <x:v>0</x:v>
      </x:c>
      <x:c r="G166" s="18" t="str">
        <x:v>48</x:v>
      </x:c>
      <x:c r="H166" s="18" t="str">
        <x:v>Disposable Vape</x:v>
      </x:c>
      <x:c r="I166" s="18" t="str">
        <x:v>内容词</x:v>
      </x:c>
      <x:c r="J166" s="18" t="str">
        <x:v>博客A-知识教程</x:v>
      </x:c>
      <x:c r="K166" s="18" t="str"/>
      <x:c r="L166" s="18" t="str">
        <x:f>IF(K166="",J166,K166)</x:f>
        <x:v>博客A-知识教程</x:v>
      </x:c>
      <x:c r="M166" s="18" t="str">
        <x:v>知识/教程文章</x:v>
      </x:c>
      <x:c r="N166" s="18" t="str">
        <x:v>Guide angle: explain exdivo interstellar 35k disposable vape, answer common questions, and avoid sales-first writing</x:v>
      </x:c>
      <x:c r="O166" s="18" t="str">
        <x:v>/collections/disposable-vapes 或最接近的产品集合页</x:v>
      </x:c>
      <x:c r="P166" s="18" t="str">
        <x:v>谨慎</x:v>
      </x:c>
      <x:c r="Q166" s="18" t="str">
        <x:v>品牌词/自然句</x:v>
      </x:c>
      <x:c r="R166" s="18" t="str">
        <x:v>低风险：按常规内容质量和搜索意图校验</x:v>
      </x:c>
      <x:c r="S166" s="18" t="str">
        <x:v>先看 Google SERP：如果首页多数为产品集合页，改回主站；如果多数为教程/问答，保持博客。</x:v>
      </x:c>
      <x:c r="T166" s="42" t="n">
        <x:v>1</x:v>
      </x:c>
      <x:c r="U166" s="42" t="n">
        <x:v>15</x:v>
      </x:c>
      <x:c r="V166" s="42" t="n">
        <x:v>10</x:v>
      </x:c>
      <x:c r="W166" s="42" t="n">
        <x:v>12</x:v>
      </x:c>
      <x:c r="X166" s="42" t="n">
        <x:v>12</x:v>
      </x:c>
      <x:c r="Y166" s="42" t="n">
        <x:v>4</x:v>
      </x:c>
      <x:c r="Z166" s="42" t="n">
        <x:f>MAX(0,MIN(100,ROUND(((T166+U166+V166+W166+X166)-Y166)/85*100,0)))</x:f>
        <x:v>54</x:v>
      </x:c>
      <x:c r="AA166" s="18" t="str">
        <x:f>IF(L166="暂不做","P3 暂缓",IF(Z166&gt;=75,"P0 本周做",IF(Z166&gt;=60,"P1 近期做",IF(Z166&gt;=45,"P2 备选","P3 暂缓"))))</x:f>
        <x:v>P2 备选</x:v>
      </x:c>
      <x:c r="AB166" s="18" t="str">
        <x:f>IF(Y166&gt;=15,"先做合规/相关性复核，不建议直接商业导流",IF(L166="主站","建/优化主站商业页",IF(L166="博客A-知识教程","写知识教程/FAQ文章",IF(L166="博客B-场景人群","写场景需求/选购指南文章",IF(L166="博客C-对比评测","写对比评测/榜单文章","暂不做或人工复核")))))</x:f>
        <x:v>写知识教程/FAQ文章</x:v>
      </x:c>
      <x:c r="AC166" s="18" t="str">
        <x:v>ExDivo INTERSTELLAR 35K Disposable Vape</x:v>
      </x:c>
      <x:c r="AD166" s="19" t="str">
        <x:v>35000 puffs</x:v>
      </x:c>
    </x:row>
    <x:row r="167">
      <x:c r="A167" s="40" t="n">
        <x:v>167</x:v>
      </x:c>
      <x:c r="B167" s="18" t="str">
        <x:v>https://exdivo.com/collections/interstellar/products/exdivo-interstellar-35k-disposable-vape_c59c5d3c?data_from=collection_detail&amp;spm=collection_detail.310720.collection_detail-11702364.6.</x:v>
      </x:c>
      <x:c r="C167" s="18" t="str">
        <x:v>exdivo interstellar vape</x:v>
      </x:c>
      <x:c r="D167" s="18" t="str">
        <x:v>recommended</x:v>
      </x:c>
      <x:c r="E167" s="41" t="n">
        <x:v>0</x:v>
      </x:c>
      <x:c r="F167" s="41" t="n">
        <x:v>0</x:v>
      </x:c>
      <x:c r="G167" s="18" t="str">
        <x:v>48</x:v>
      </x:c>
      <x:c r="H167" s="18" t="str">
        <x:v>General Vape</x:v>
      </x:c>
      <x:c r="I167" s="18" t="str">
        <x:v>品类承接词</x:v>
      </x:c>
      <x:c r="J167" s="18" t="str">
        <x:v>主站</x:v>
      </x:c>
      <x:c r="K167" s="18" t="str"/>
      <x:c r="L167" s="18" t="str">
        <x:f>IF(K167="",J167,K167)</x:f>
        <x:v>主站</x:v>
      </x:c>
      <x:c r="M167" s="18" t="str">
        <x:v>品类页/集合页 + FAQ内容块</x:v>
      </x:c>
      <x:c r="N167" s="18" t="str">
        <x:v>主站品类页：用产品集合 + 选购说明承接</x:v>
      </x:c>
      <x:c r="O167" s="18" t="str">
        <x:v>/collections/disposable-vapes</x:v>
      </x:c>
      <x:c r="P167" s="18" t="str">
        <x:v>不适用</x:v>
      </x:c>
      <x:c r="Q167" s="18" t="str">
        <x:v>主站页面自身承接</x:v>
      </x:c>
      <x:c r="R167" s="18" t="str">
        <x:v>核心品类词：主站优先，博客只做长尾解释，不直接抢同一词</x:v>
      </x:c>
      <x:c r="S167" s="18" t="str">
        <x:v>如果 Google 首页产品页和指南混合，主站页要加 FAQ、选购指南、对比模块。</x:v>
      </x:c>
      <x:c r="T167" s="42" t="n">
        <x:v>1</x:v>
      </x:c>
      <x:c r="U167" s="42" t="n">
        <x:v>15</x:v>
      </x:c>
      <x:c r="V167" s="42" t="n">
        <x:v>16</x:v>
      </x:c>
      <x:c r="W167" s="42" t="n">
        <x:v>8</x:v>
      </x:c>
      <x:c r="X167" s="42" t="n">
        <x:v>15</x:v>
      </x:c>
      <x:c r="Y167" s="42" t="n">
        <x:v>4</x:v>
      </x:c>
      <x:c r="Z167" s="42" t="n">
        <x:f>MAX(0,MIN(100,ROUND(((T167+U167+V167+W167+X167)-Y167)/85*100,0)))</x:f>
        <x:v>60</x:v>
      </x:c>
      <x:c r="AA167" s="18" t="str">
        <x:f>IF(L167="暂不做","P3 暂缓",IF(Z167&gt;=75,"P0 本周做",IF(Z167&gt;=60,"P1 近期做",IF(Z167&gt;=45,"P2 备选","P3 暂缓"))))</x:f>
        <x:v>P1 近期做</x:v>
      </x:c>
      <x:c r="AB167" s="18" t="str">
        <x:f>IF(Y167&gt;=15,"先做合规/相关性复核，不建议直接商业导流",IF(L167="主站","建/优化主站商业页",IF(L167="博客A-知识教程","写知识教程/FAQ文章",IF(L167="博客B-场景人群","写场景需求/选购指南文章",IF(L167="博客C-对比评测","写对比评测/榜单文章","暂不做或人工复核")))))</x:f>
        <x:v>建/优化主站商业页</x:v>
      </x:c>
      <x:c r="AC167" s="18" t="str">
        <x:v>ExDivo INTERSTELLAR 35K Disposable Vape</x:v>
      </x:c>
      <x:c r="AD167" s="19" t="str">
        <x:v>35000 puffs</x:v>
      </x:c>
    </x:row>
    <x:row r="168">
      <x:c r="A168" s="40" t="n">
        <x:v>168</x:v>
      </x:c>
      <x:c r="B168" s="18" t="str">
        <x:v>https://exdivo.com/collections/visionaura-full-screen?data_from=index_index</x:v>
      </x:c>
      <x:c r="C168" s="18" t="str">
        <x:v>exdivo space vape</x:v>
      </x:c>
      <x:c r="D168" s="18" t="str">
        <x:v>recommended</x:v>
      </x:c>
      <x:c r="E168" s="41" t="n">
        <x:v>0</x:v>
      </x:c>
      <x:c r="F168" s="41" t="n">
        <x:v>0</x:v>
      </x:c>
      <x:c r="G168" s="18" t="str">
        <x:v>48</x:v>
      </x:c>
      <x:c r="H168" s="18" t="str">
        <x:v>General Vape</x:v>
      </x:c>
      <x:c r="I168" s="18" t="str">
        <x:v>品类承接词</x:v>
      </x:c>
      <x:c r="J168" s="18" t="str">
        <x:v>主站</x:v>
      </x:c>
      <x:c r="K168" s="18" t="str"/>
      <x:c r="L168" s="18" t="str">
        <x:f>IF(K168="",J168,K168)</x:f>
        <x:v>主站</x:v>
      </x:c>
      <x:c r="M168" s="18" t="str">
        <x:v>品类页/集合页 + FAQ内容块</x:v>
      </x:c>
      <x:c r="N168" s="18" t="str">
        <x:v>主站品类页：用产品集合 + 选购说明承接</x:v>
      </x:c>
      <x:c r="O168" s="18" t="str">
        <x:v>/collections/disposable-vapes</x:v>
      </x:c>
      <x:c r="P168" s="18" t="str">
        <x:v>不适用</x:v>
      </x:c>
      <x:c r="Q168" s="18" t="str">
        <x:v>主站页面自身承接</x:v>
      </x:c>
      <x:c r="R168" s="18" t="str">
        <x:v>核心品类词：主站优先，博客只做长尾解释，不直接抢同一词</x:v>
      </x:c>
      <x:c r="S168" s="18" t="str">
        <x:v>如果 Google 首页产品页和指南混合，主站页要加 FAQ、选购指南、对比模块。</x:v>
      </x:c>
      <x:c r="T168" s="42" t="n">
        <x:v>1</x:v>
      </x:c>
      <x:c r="U168" s="42" t="n">
        <x:v>15</x:v>
      </x:c>
      <x:c r="V168" s="42" t="n">
        <x:v>16</x:v>
      </x:c>
      <x:c r="W168" s="42" t="n">
        <x:v>8</x:v>
      </x:c>
      <x:c r="X168" s="42" t="n">
        <x:v>15</x:v>
      </x:c>
      <x:c r="Y168" s="42" t="n">
        <x:v>4</x:v>
      </x:c>
      <x:c r="Z168" s="42" t="n">
        <x:f>MAX(0,MIN(100,ROUND(((T168+U168+V168+W168+X168)-Y168)/85*100,0)))</x:f>
        <x:v>60</x:v>
      </x:c>
      <x:c r="AA168" s="18" t="str">
        <x:f>IF(L168="暂不做","P3 暂缓",IF(Z168&gt;=75,"P0 本周做",IF(Z168&gt;=60,"P1 近期做",IF(Z168&gt;=45,"P2 备选","P3 暂缓"))))</x:f>
        <x:v>P1 近期做</x:v>
      </x:c>
      <x:c r="AB168" s="18" t="str">
        <x:f>IF(Y168&gt;=15,"先做合规/相关性复核，不建议直接商业导流",IF(L168="主站","建/优化主站商业页",IF(L168="博客A-知识教程","写知识教程/FAQ文章",IF(L168="博客B-场景人群","写场景需求/选购指南文章",IF(L168="博客C-对比评测","写对比评测/榜单文章","暂不做或人工复核")))))</x:f>
        <x:v>建/优化主站商业页</x:v>
      </x:c>
      <x:c r="AC168" s="18" t="str">
        <x:v>SPACE - ExDivo</x:v>
      </x:c>
      <x:c r="AD168" s="19" t="str">
        <x:v>space</x:v>
      </x:c>
    </x:row>
    <x:row r="169">
      <x:c r="A169" s="40" t="n">
        <x:v>169</x:v>
      </x:c>
      <x:c r="B169" s="18" t="str">
        <x:v>https://exdivo.com/collections/misty-rain/products/exdivo-kuz-25k-replaceable-pod-vape?data_from=index_index&amp;spm=index_index..block_collection_slides-11702856.1.</x:v>
      </x:c>
      <x:c r="C169" s="18" t="str">
        <x:v>raz vape 25000 puffs</x:v>
      </x:c>
      <x:c r="D169" s="18" t="str">
        <x:v>recommended</x:v>
      </x:c>
      <x:c r="E169" s="41" t="n">
        <x:v>110</x:v>
      </x:c>
      <x:c r="F169" s="41" t="n">
        <x:v>10</x:v>
      </x:c>
      <x:c r="G169" s="18" t="str">
        <x:v>informational</x:v>
      </x:c>
      <x:c r="H169" s="18" t="str">
        <x:v>竞品/品牌词</x:v>
      </x:c>
      <x:c r="I169" s="18" t="str">
        <x:v>竞品品牌词</x:v>
      </x:c>
      <x:c r="J169" s="18" t="str">
        <x:v>暂不做</x:v>
      </x:c>
      <x:c r="K169" s="18" t="str"/>
      <x:c r="L169" s="18" t="str">
        <x:f>IF(K169="",J169,K169)</x:f>
        <x:v>暂不做</x:v>
      </x:c>
      <x:c r="M169" s="18" t="str">
        <x:v>人工确认后再决定</x:v>
      </x:c>
      <x:c r="N169" s="18" t="str">
        <x:v>人工确认是否可做客观对比</x:v>
      </x:c>
      <x:c r="O169" s="18" t="str">
        <x:v>无</x:v>
      </x:c>
      <x:c r="P169" s="18" t="str">
        <x:v>否</x:v>
      </x:c>
      <x:c r="Q169" s="18" t="str">
        <x:v>不导流</x:v>
      </x:c>
      <x:c r="R169" s="18" t="str">
        <x:v>中高风险：纯竞品品牌词容易产生商标/相关性问题</x:v>
      </x:c>
      <x:c r="S169" s="18" t="str">
        <x:v>只有带 alternative / vs / review / best 这类明确比较意图时，才考虑博客C。</x:v>
      </x:c>
      <x:c r="T169" s="42" t="n">
        <x:v>7</x:v>
      </x:c>
      <x:c r="U169" s="42" t="n">
        <x:v>15</x:v>
      </x:c>
      <x:c r="V169" s="42" t="n">
        <x:v>5</x:v>
      </x:c>
      <x:c r="W169" s="42" t="n">
        <x:v>7</x:v>
      </x:c>
      <x:c r="X169" s="42" t="n">
        <x:v>4</x:v>
      </x:c>
      <x:c r="Y169" s="42" t="n">
        <x:v>14</x:v>
      </x:c>
      <x:c r="Z169" s="42" t="n">
        <x:f>MAX(0,MIN(100,ROUND(((T169+U169+V169+W169+X169)-Y169)/85*100,0)))</x:f>
        <x:v>28</x:v>
      </x:c>
      <x:c r="AA169" s="18" t="str">
        <x:f>IF(L169="暂不做","P3 暂缓",IF(Z169&gt;=75,"P0 本周做",IF(Z169&gt;=60,"P1 近期做",IF(Z169&gt;=45,"P2 备选","P3 暂缓"))))</x:f>
        <x:v>P3 暂缓</x:v>
      </x:c>
      <x:c r="AB169" s="18" t="str">
        <x:f>IF(Y169&gt;=15,"先做合规/相关性复核，不建议直接商业导流",IF(L169="主站","建/优化主站商业页",IF(L169="博客A-知识教程","写知识教程/FAQ文章",IF(L169="博客B-场景人群","写场景需求/选购指南文章",IF(L169="博客C-对比评测","写对比评测/榜单文章","暂不做或人工复核")))))</x:f>
        <x:v>暂不做或人工复核</x:v>
      </x:c>
      <x:c r="AC169" s="18" t="str">
        <x:v>ExDivo KUZ 25K Replaceable Pod Vape</x:v>
      </x:c>
      <x:c r="AD169" s="19" t="str">
        <x:v>25000 puffs</x:v>
      </x:c>
    </x:row>
    <x:row r="170">
      <x:c r="A170" s="40" t="n">
        <x:v>170</x:v>
      </x:c>
      <x:c r="B170" s="18" t="str">
        <x:v>https://exdivo.com/collections/misty-rain/products/exdivo-kuz-25k-replaceable-pod-vape?data_from=index_index&amp;spm=index_index..block_collection_slides-11702856.1.</x:v>
      </x:c>
      <x:c r="C170" s="18" t="str">
        <x:v>25000 puff pod vape</x:v>
      </x:c>
      <x:c r="D170" s="18" t="str">
        <x:v>recommended</x:v>
      </x:c>
      <x:c r="E170" s="41" t="n">
        <x:v>0</x:v>
      </x:c>
      <x:c r="F170" s="41" t="n">
        <x:v>0</x:v>
      </x:c>
      <x:c r="G170" s="18" t="str">
        <x:v>48</x:v>
      </x:c>
      <x:c r="H170" s="18" t="str">
        <x:v>Pod Kit / Pod System</x:v>
      </x:c>
      <x:c r="I170" s="18" t="str">
        <x:v>内容词</x:v>
      </x:c>
      <x:c r="J170" s="18" t="str">
        <x:v>博客A-知识教程</x:v>
      </x:c>
      <x:c r="K170" s="18" t="str"/>
      <x:c r="L170" s="18" t="str">
        <x:f>IF(K170="",J170,K170)</x:f>
        <x:v>博客A-知识教程</x:v>
      </x:c>
      <x:c r="M170" s="18" t="str">
        <x:v>知识/教程文章</x:v>
      </x:c>
      <x:c r="N170" s="18" t="str">
        <x:v>Guide angle: explain 25000 puff pod vape, answer common questions, and avoid sales-first writing</x:v>
      </x:c>
      <x:c r="O170" s="18" t="str">
        <x:v>/collections/disposable-vapes 或最接近的产品集合页</x:v>
      </x:c>
      <x:c r="P170" s="18" t="str">
        <x:v>谨慎</x:v>
      </x:c>
      <x:c r="Q170" s="18" t="str">
        <x:v>品牌词/自然句</x:v>
      </x:c>
      <x:c r="R170" s="18" t="str">
        <x:v>低风险：按常规内容质量和搜索意图校验</x:v>
      </x:c>
      <x:c r="S170" s="18" t="str">
        <x:v>先看 Google SERP：如果首页多数为产品集合页，改回主站；如果多数为教程/问答，保持博客。</x:v>
      </x:c>
      <x:c r="T170" s="42" t="n">
        <x:v>1</x:v>
      </x:c>
      <x:c r="U170" s="42" t="n">
        <x:v>15</x:v>
      </x:c>
      <x:c r="V170" s="42" t="n">
        <x:v>10</x:v>
      </x:c>
      <x:c r="W170" s="42" t="n">
        <x:v>12</x:v>
      </x:c>
      <x:c r="X170" s="42" t="n">
        <x:v>12</x:v>
      </x:c>
      <x:c r="Y170" s="42" t="n">
        <x:v>4</x:v>
      </x:c>
      <x:c r="Z170" s="42" t="n">
        <x:f>MAX(0,MIN(100,ROUND(((T170+U170+V170+W170+X170)-Y170)/85*100,0)))</x:f>
        <x:v>54</x:v>
      </x:c>
      <x:c r="AA170" s="18" t="str">
        <x:f>IF(L170="暂不做","P3 暂缓",IF(Z170&gt;=75,"P0 本周做",IF(Z170&gt;=60,"P1 近期做",IF(Z170&gt;=45,"P2 备选","P3 暂缓"))))</x:f>
        <x:v>P2 备选</x:v>
      </x:c>
      <x:c r="AB170" s="18" t="str">
        <x:f>IF(Y170&gt;=15,"先做合规/相关性复核，不建议直接商业导流",IF(L170="主站","建/优化主站商业页",IF(L170="博客A-知识教程","写知识教程/FAQ文章",IF(L170="博客B-场景人群","写场景需求/选购指南文章",IF(L170="博客C-对比评测","写对比评测/榜单文章","暂不做或人工复核")))))</x:f>
        <x:v>写知识教程/FAQ文章</x:v>
      </x:c>
      <x:c r="AC170" s="18" t="str">
        <x:v>ExDivo KUZ 25K Replaceable Pod Vape</x:v>
      </x:c>
      <x:c r="AD170" s="19" t="str">
        <x:v>25000 puffs</x:v>
      </x:c>
    </x:row>
    <x:row r="171">
      <x:c r="A171" s="40" t="n">
        <x:v>171</x:v>
      </x:c>
      <x:c r="B171" s="18" t="str">
        <x:v>https://exdivo.com/collections/misty-rain/products/exdivo-kuz-25k-replaceable-pod-vape?data_from=index_index&amp;spm=index_index..block_collection_slides-11702856.1.</x:v>
      </x:c>
      <x:c r="C171" s="18" t="str">
        <x:v>25k puffs vape pod</x:v>
      </x:c>
      <x:c r="D171" s="18" t="str">
        <x:v>recommended</x:v>
      </x:c>
      <x:c r="E171" s="41" t="n">
        <x:v>0</x:v>
      </x:c>
      <x:c r="F171" s="41" t="n">
        <x:v>0</x:v>
      </x:c>
      <x:c r="G171" s="18" t="str">
        <x:v>48</x:v>
      </x:c>
      <x:c r="H171" s="18" t="str">
        <x:v>Pod Kit / Pod System</x:v>
      </x:c>
      <x:c r="I171" s="18" t="str">
        <x:v>内容词</x:v>
      </x:c>
      <x:c r="J171" s="18" t="str">
        <x:v>博客A-知识教程</x:v>
      </x:c>
      <x:c r="K171" s="18" t="str"/>
      <x:c r="L171" s="18" t="str">
        <x:f>IF(K171="",J171,K171)</x:f>
        <x:v>博客A-知识教程</x:v>
      </x:c>
      <x:c r="M171" s="18" t="str">
        <x:v>知识/教程文章</x:v>
      </x:c>
      <x:c r="N171" s="18" t="str">
        <x:v>Guide angle: explain 25k puffs vape pod, answer common questions, and avoid sales-first writing</x:v>
      </x:c>
      <x:c r="O171" s="18" t="str">
        <x:v>/collections/disposable-vapes 或最接近的产品集合页</x:v>
      </x:c>
      <x:c r="P171" s="18" t="str">
        <x:v>谨慎</x:v>
      </x:c>
      <x:c r="Q171" s="18" t="str">
        <x:v>品牌词/自然句</x:v>
      </x:c>
      <x:c r="R171" s="18" t="str">
        <x:v>低风险：按常规内容质量和搜索意图校验</x:v>
      </x:c>
      <x:c r="S171" s="18" t="str">
        <x:v>先看 Google SERP：如果首页多数为产品集合页，改回主站；如果多数为教程/问答，保持博客。</x:v>
      </x:c>
      <x:c r="T171" s="42" t="n">
        <x:v>1</x:v>
      </x:c>
      <x:c r="U171" s="42" t="n">
        <x:v>15</x:v>
      </x:c>
      <x:c r="V171" s="42" t="n">
        <x:v>10</x:v>
      </x:c>
      <x:c r="W171" s="42" t="n">
        <x:v>12</x:v>
      </x:c>
      <x:c r="X171" s="42" t="n">
        <x:v>12</x:v>
      </x:c>
      <x:c r="Y171" s="42" t="n">
        <x:v>4</x:v>
      </x:c>
      <x:c r="Z171" s="42" t="n">
        <x:f>MAX(0,MIN(100,ROUND(((T171+U171+V171+W171+X171)-Y171)/85*100,0)))</x:f>
        <x:v>54</x:v>
      </x:c>
      <x:c r="AA171" s="18" t="str">
        <x:f>IF(L171="暂不做","P3 暂缓",IF(Z171&gt;=75,"P0 本周做",IF(Z171&gt;=60,"P1 近期做",IF(Z171&gt;=45,"P2 备选","P3 暂缓"))))</x:f>
        <x:v>P2 备选</x:v>
      </x:c>
      <x:c r="AB171" s="18" t="str">
        <x:f>IF(Y171&gt;=15,"先做合规/相关性复核，不建议直接商业导流",IF(L171="主站","建/优化主站商业页",IF(L171="博客A-知识教程","写知识教程/FAQ文章",IF(L171="博客B-场景人群","写场景需求/选购指南文章",IF(L171="博客C-对比评测","写对比评测/榜单文章","暂不做或人工复核")))))</x:f>
        <x:v>写知识教程/FAQ文章</x:v>
      </x:c>
      <x:c r="AC171" s="18" t="str">
        <x:v>ExDivo KUZ 25K Replaceable Pod Vape</x:v>
      </x:c>
      <x:c r="AD171" s="19" t="str">
        <x:v>25000 puffs</x:v>
      </x:c>
    </x:row>
    <x:row r="172">
      <x:c r="A172" s="40" t="n">
        <x:v>172</x:v>
      </x:c>
      <x:c r="B172" s="18" t="str">
        <x:v>https://exdivo.com/collections/misty-rain/products/exdivo-kuz-25k-replaceable-pod-vape?data_from=index_index&amp;spm=index_index..block_collection_slides-11702856.1.</x:v>
      </x:c>
      <x:c r="C172" s="18" t="str">
        <x:v>25k vape pod performance</x:v>
      </x:c>
      <x:c r="D172" s="18" t="str">
        <x:v>recommended</x:v>
      </x:c>
      <x:c r="E172" s="41" t="n">
        <x:v>0</x:v>
      </x:c>
      <x:c r="F172" s="41" t="n">
        <x:v>0</x:v>
      </x:c>
      <x:c r="G172" s="18" t="str">
        <x:v>48</x:v>
      </x:c>
      <x:c r="H172" s="18" t="str">
        <x:v>Pod Kit / Pod System</x:v>
      </x:c>
      <x:c r="I172" s="18" t="str">
        <x:v>内容词</x:v>
      </x:c>
      <x:c r="J172" s="18" t="str">
        <x:v>博客A-知识教程</x:v>
      </x:c>
      <x:c r="K172" s="18" t="str"/>
      <x:c r="L172" s="18" t="str">
        <x:f>IF(K172="",J172,K172)</x:f>
        <x:v>博客A-知识教程</x:v>
      </x:c>
      <x:c r="M172" s="18" t="str">
        <x:v>知识/教程文章</x:v>
      </x:c>
      <x:c r="N172" s="18" t="str">
        <x:v>Guide angle: explain 25k vape pod performance, answer common questions, and avoid sales-first writing</x:v>
      </x:c>
      <x:c r="O172" s="18" t="str">
        <x:v>/collections/disposable-vapes 或最接近的产品集合页</x:v>
      </x:c>
      <x:c r="P172" s="18" t="str">
        <x:v>谨慎</x:v>
      </x:c>
      <x:c r="Q172" s="18" t="str">
        <x:v>品牌词/自然句</x:v>
      </x:c>
      <x:c r="R172" s="18" t="str">
        <x:v>低风险：按常规内容质量和搜索意图校验</x:v>
      </x:c>
      <x:c r="S172" s="18" t="str">
        <x:v>先看 Google SERP：如果首页多数为产品集合页，改回主站；如果多数为教程/问答，保持博客。</x:v>
      </x:c>
      <x:c r="T172" s="42" t="n">
        <x:v>1</x:v>
      </x:c>
      <x:c r="U172" s="42" t="n">
        <x:v>15</x:v>
      </x:c>
      <x:c r="V172" s="42" t="n">
        <x:v>10</x:v>
      </x:c>
      <x:c r="W172" s="42" t="n">
        <x:v>12</x:v>
      </x:c>
      <x:c r="X172" s="42" t="n">
        <x:v>12</x:v>
      </x:c>
      <x:c r="Y172" s="42" t="n">
        <x:v>4</x:v>
      </x:c>
      <x:c r="Z172" s="42" t="n">
        <x:f>MAX(0,MIN(100,ROUND(((T172+U172+V172+W172+X172)-Y172)/85*100,0)))</x:f>
        <x:v>54</x:v>
      </x:c>
      <x:c r="AA172" s="18" t="str">
        <x:f>IF(L172="暂不做","P3 暂缓",IF(Z172&gt;=75,"P0 本周做",IF(Z172&gt;=60,"P1 近期做",IF(Z172&gt;=45,"P2 备选","P3 暂缓"))))</x:f>
        <x:v>P2 备选</x:v>
      </x:c>
      <x:c r="AB172" s="18" t="str">
        <x:f>IF(Y172&gt;=15,"先做合规/相关性复核，不建议直接商业导流",IF(L172="主站","建/优化主站商业页",IF(L172="博客A-知识教程","写知识教程/FAQ文章",IF(L172="博客B-场景人群","写场景需求/选购指南文章",IF(L172="博客C-对比评测","写对比评测/榜单文章","暂不做或人工复核")))))</x:f>
        <x:v>写知识教程/FAQ文章</x:v>
      </x:c>
      <x:c r="AC172" s="18" t="str">
        <x:v>ExDivo KUZ 25K Replaceable Pod Vape</x:v>
      </x:c>
      <x:c r="AD172" s="19" t="str">
        <x:v>25000 puffs</x:v>
      </x:c>
    </x:row>
    <x:row r="173">
      <x:c r="A173" s="40" t="n">
        <x:v>173</x:v>
      </x:c>
      <x:c r="B173" s="18" t="str">
        <x:v>https://exdivo.com/comments/exdivo-kuz-25k-replaceable-pod-vape_bd79f8ad</x:v>
      </x:c>
      <x:c r="C173" s="18" t="str">
        <x:v>triple mango vape review</x:v>
      </x:c>
      <x:c r="D173" s="18" t="str">
        <x:v>recommended</x:v>
      </x:c>
      <x:c r="E173" s="41" t="n">
        <x:v>0</x:v>
      </x:c>
      <x:c r="F173" s="41" t="n">
        <x:v>0</x:v>
      </x:c>
      <x:c r="G173" s="18" t="str">
        <x:v>48</x:v>
      </x:c>
      <x:c r="H173" s="18" t="str">
        <x:v>对比评测</x:v>
      </x:c>
      <x:c r="I173" s="18" t="str">
        <x:v>商业调查词</x:v>
      </x:c>
      <x:c r="J173" s="18" t="str">
        <x:v>博客C-对比评测</x:v>
      </x:c>
      <x:c r="K173" s="18" t="str"/>
      <x:c r="L173" s="18" t="str">
        <x:f>IF(K173="",J173,K173)</x:f>
        <x:v>博客C-对比评测</x:v>
      </x:c>
      <x:c r="M173" s="18" t="str">
        <x:v>Best/Top/Review/VS/替代方案文章</x:v>
      </x:c>
      <x:c r="N173" s="18" t="str">
        <x:v>Best angle: triple mango vape review - comparison, pros/cons, and which option fits different buyers</x:v>
      </x:c>
      <x:c r="O173" s="18" t="str">
        <x:v>/collections/disposable-vapes</x:v>
      </x:c>
      <x:c r="P173" s="18" t="str">
        <x:v>是</x:v>
      </x:c>
      <x:c r="Q173" s="18" t="str">
        <x:v>自然句/品类词/品牌词</x:v>
      </x:c>
      <x:c r="R173" s="18" t="str">
        <x:v>中风险：榜单和评测必须真实、中立，避免夸大</x:v>
      </x:c>
      <x:c r="S173" s="18" t="str">
        <x:v>这类词不直接给主站，先用博客C教育和比较，再导流到最相关集合页。</x:v>
      </x:c>
      <x:c r="T173" s="42" t="n">
        <x:v>1</x:v>
      </x:c>
      <x:c r="U173" s="42" t="n">
        <x:v>15</x:v>
      </x:c>
      <x:c r="V173" s="42" t="n">
        <x:v>16</x:v>
      </x:c>
      <x:c r="W173" s="42" t="n">
        <x:v>15</x:v>
      </x:c>
      <x:c r="X173" s="42" t="n">
        <x:v>13</x:v>
      </x:c>
      <x:c r="Y173" s="42" t="n">
        <x:v>6</x:v>
      </x:c>
      <x:c r="Z173" s="42" t="n">
        <x:f>MAX(0,MIN(100,ROUND(((T173+U173+V173+W173+X173)-Y173)/85*100,0)))</x:f>
        <x:v>64</x:v>
      </x:c>
      <x:c r="AA173" s="18" t="str">
        <x:f>IF(L173="暂不做","P3 暂缓",IF(Z173&gt;=75,"P0 本周做",IF(Z173&gt;=60,"P1 近期做",IF(Z173&gt;=45,"P2 备选","P3 暂缓"))))</x:f>
        <x:v>P1 近期做</x:v>
      </x:c>
      <x:c r="AB173" s="18" t="str">
        <x:f>IF(Y173&gt;=15,"先做合规/相关性复核，不建议直接商业导流",IF(L173="主站","建/优化主站商业页",IF(L173="博客A-知识教程","写知识教程/FAQ文章",IF(L173="博客B-场景人群","写场景需求/选购指南文章",IF(L173="博客C-对比评测","写对比评测/榜单文章","暂不做或人工复核")))))</x:f>
        <x:v>写对比评测/榜单文章</x:v>
      </x:c>
      <x:c r="AC173" s="18" t="str">
        <x:v>Reviews - TRIPLE MANGO - ExDivo KUZ 25K Replaceable Pod Vape - ExDivo</x:v>
      </x:c>
      <x:c r="AD173" s="19" t="str">
        <x:v>48</x:v>
      </x:c>
    </x:row>
    <x:row r="174">
      <x:c r="A174" s="40" t="n">
        <x:v>174</x:v>
      </x:c>
      <x:c r="B174" s="18" t="str">
        <x:v>https://exdivo.com/comments/exdivo-kuz-25k-replaceable-pod-vape_bd79f8ad</x:v>
      </x:c>
      <x:c r="C174" s="18" t="str">
        <x:v>triple mango vape pod review</x:v>
      </x:c>
      <x:c r="D174" s="18" t="str">
        <x:v>recommended</x:v>
      </x:c>
      <x:c r="E174" s="41" t="n">
        <x:v>0</x:v>
      </x:c>
      <x:c r="F174" s="41" t="n">
        <x:v>0</x:v>
      </x:c>
      <x:c r="G174" s="18" t="str">
        <x:v>48</x:v>
      </x:c>
      <x:c r="H174" s="18" t="str">
        <x:v>Pod Kit / Pod System</x:v>
      </x:c>
      <x:c r="I174" s="18" t="str">
        <x:v>商业调查词</x:v>
      </x:c>
      <x:c r="J174" s="18" t="str">
        <x:v>博客C-对比评测</x:v>
      </x:c>
      <x:c r="K174" s="18" t="str"/>
      <x:c r="L174" s="18" t="str">
        <x:f>IF(K174="",J174,K174)</x:f>
        <x:v>博客C-对比评测</x:v>
      </x:c>
      <x:c r="M174" s="18" t="str">
        <x:v>Best/Top/Review/VS/替代方案文章</x:v>
      </x:c>
      <x:c r="N174" s="18" t="str">
        <x:v>Best angle: triple mango vape pod review - comparison, pros/cons, and which option fits different buyers</x:v>
      </x:c>
      <x:c r="O174" s="18" t="str">
        <x:v>/collections/pod-kits</x:v>
      </x:c>
      <x:c r="P174" s="18" t="str">
        <x:v>是</x:v>
      </x:c>
      <x:c r="Q174" s="18" t="str">
        <x:v>自然句/品类词/品牌词</x:v>
      </x:c>
      <x:c r="R174" s="18" t="str">
        <x:v>中风险：榜单和评测必须真实、中立，避免夸大</x:v>
      </x:c>
      <x:c r="S174" s="18" t="str">
        <x:v>这类词不直接给主站，先用博客C教育和比较，再导流到最相关集合页。</x:v>
      </x:c>
      <x:c r="T174" s="42" t="n">
        <x:v>1</x:v>
      </x:c>
      <x:c r="U174" s="42" t="n">
        <x:v>15</x:v>
      </x:c>
      <x:c r="V174" s="42" t="n">
        <x:v>16</x:v>
      </x:c>
      <x:c r="W174" s="42" t="n">
        <x:v>15</x:v>
      </x:c>
      <x:c r="X174" s="42" t="n">
        <x:v>13</x:v>
      </x:c>
      <x:c r="Y174" s="42" t="n">
        <x:v>6</x:v>
      </x:c>
      <x:c r="Z174" s="42" t="n">
        <x:f>MAX(0,MIN(100,ROUND(((T174+U174+V174+W174+X174)-Y174)/85*100,0)))</x:f>
        <x:v>64</x:v>
      </x:c>
      <x:c r="AA174" s="18" t="str">
        <x:f>IF(L174="暂不做","P3 暂缓",IF(Z174&gt;=75,"P0 本周做",IF(Z174&gt;=60,"P1 近期做",IF(Z174&gt;=45,"P2 备选","P3 暂缓"))))</x:f>
        <x:v>P1 近期做</x:v>
      </x:c>
      <x:c r="AB174" s="18" t="str">
        <x:f>IF(Y174&gt;=15,"先做合规/相关性复核，不建议直接商业导流",IF(L174="主站","建/优化主站商业页",IF(L174="博客A-知识教程","写知识教程/FAQ文章",IF(L174="博客B-场景人群","写场景需求/选购指南文章",IF(L174="博客C-对比评测","写对比评测/榜单文章","暂不做或人工复核")))))</x:f>
        <x:v>写对比评测/榜单文章</x:v>
      </x:c>
      <x:c r="AC174" s="18" t="str">
        <x:v>Reviews - TRIPLE MANGO - ExDivo KUZ 25K Replaceable Pod Vape - ExDivo</x:v>
      </x:c>
      <x:c r="AD174" s="19" t="str">
        <x:v>48</x:v>
      </x:c>
    </x:row>
    <x:row r="175">
      <x:c r="A175" s="40" t="n">
        <x:v>175</x:v>
      </x:c>
      <x:c r="B175" s="18" t="str">
        <x:v>https://exdivo.com/comments/exdivo-kuz-25k-replaceable-pod-vape_bd79f8ad</x:v>
      </x:c>
      <x:c r="C175" s="18" t="str">
        <x:v>best mango vape flavor</x:v>
      </x:c>
      <x:c r="D175" s="18" t="str">
        <x:v>recommended</x:v>
      </x:c>
      <x:c r="E175" s="41" t="n">
        <x:v>0</x:v>
      </x:c>
      <x:c r="F175" s="41" t="n">
        <x:v>0</x:v>
      </x:c>
      <x:c r="G175" s="18" t="str">
        <x:v>48</x:v>
      </x:c>
      <x:c r="H175" s="18" t="str">
        <x:v>Flavor / 口味</x:v>
      </x:c>
      <x:c r="I175" s="18" t="str">
        <x:v>商业调查词</x:v>
      </x:c>
      <x:c r="J175" s="18" t="str">
        <x:v>博客C-对比评测</x:v>
      </x:c>
      <x:c r="K175" s="18" t="str"/>
      <x:c r="L175" s="18" t="str">
        <x:f>IF(K175="",J175,K175)</x:f>
        <x:v>博客C-对比评测</x:v>
      </x:c>
      <x:c r="M175" s="18" t="str">
        <x:v>Best/Top/Review/VS/替代方案文章</x:v>
      </x:c>
      <x:c r="N175" s="18" t="str">
        <x:v>Best angle: best mango vape flavor - comparison, pros/cons, and which option fits different buyers</x:v>
      </x:c>
      <x:c r="O175" s="18" t="str">
        <x:v>/collections/flavored-disposable-vapes</x:v>
      </x:c>
      <x:c r="P175" s="18" t="str">
        <x:v>是</x:v>
      </x:c>
      <x:c r="Q175" s="18" t="str">
        <x:v>自然句/品类词/品牌词</x:v>
      </x:c>
      <x:c r="R175" s="18" t="str">
        <x:v>中风险：榜单和评测必须真实、中立，避免夸大</x:v>
      </x:c>
      <x:c r="S175" s="18" t="str">
        <x:v>这类词不直接给主站，先用博客C教育和比较，再导流到最相关集合页。</x:v>
      </x:c>
      <x:c r="T175" s="42" t="n">
        <x:v>1</x:v>
      </x:c>
      <x:c r="U175" s="42" t="n">
        <x:v>15</x:v>
      </x:c>
      <x:c r="V175" s="42" t="n">
        <x:v>16</x:v>
      </x:c>
      <x:c r="W175" s="42" t="n">
        <x:v>15</x:v>
      </x:c>
      <x:c r="X175" s="42" t="n">
        <x:v>13</x:v>
      </x:c>
      <x:c r="Y175" s="42" t="n">
        <x:v>6</x:v>
      </x:c>
      <x:c r="Z175" s="42" t="n">
        <x:f>MAX(0,MIN(100,ROUND(((T175+U175+V175+W175+X175)-Y175)/85*100,0)))</x:f>
        <x:v>64</x:v>
      </x:c>
      <x:c r="AA175" s="18" t="str">
        <x:f>IF(L175="暂不做","P3 暂缓",IF(Z175&gt;=75,"P0 本周做",IF(Z175&gt;=60,"P1 近期做",IF(Z175&gt;=45,"P2 备选","P3 暂缓"))))</x:f>
        <x:v>P1 近期做</x:v>
      </x:c>
      <x:c r="AB175" s="18" t="str">
        <x:f>IF(Y175&gt;=15,"先做合规/相关性复核，不建议直接商业导流",IF(L175="主站","建/优化主站商业页",IF(L175="博客A-知识教程","写知识教程/FAQ文章",IF(L175="博客B-场景人群","写场景需求/选购指南文章",IF(L175="博客C-对比评测","写对比评测/榜单文章","暂不做或人工复核")))))</x:f>
        <x:v>写对比评测/榜单文章</x:v>
      </x:c>
      <x:c r="AC175" s="18" t="str">
        <x:v>Reviews - TRIPLE MANGO - ExDivo KUZ 25K Replaceable Pod Vape - ExDivo</x:v>
      </x:c>
      <x:c r="AD175" s="19" t="str">
        <x:v>48</x:v>
      </x:c>
    </x:row>
    <x:row r="176">
      <x:c r="A176" s="40" t="n">
        <x:v>176</x:v>
      </x:c>
      <x:c r="B176" s="18" t="str">
        <x:v>https://exdivo.com/comments/exdivo-kuz-25k-replaceable-pod-vape_bd79f8ad</x:v>
      </x:c>
      <x:c r="C176" s="18" t="str">
        <x:v>exdivo kuz 25k triple mango review</x:v>
      </x:c>
      <x:c r="D176" s="18" t="str">
        <x:v>recommended</x:v>
      </x:c>
      <x:c r="E176" s="41" t="n">
        <x:v>0</x:v>
      </x:c>
      <x:c r="F176" s="41" t="n">
        <x:v>0</x:v>
      </x:c>
      <x:c r="G176" s="18" t="str">
        <x:v>48</x:v>
      </x:c>
      <x:c r="H176" s="18" t="str">
        <x:v>对比评测</x:v>
      </x:c>
      <x:c r="I176" s="18" t="str">
        <x:v>商业调查词</x:v>
      </x:c>
      <x:c r="J176" s="18" t="str">
        <x:v>博客C-对比评测</x:v>
      </x:c>
      <x:c r="K176" s="18" t="str"/>
      <x:c r="L176" s="18" t="str">
        <x:f>IF(K176="",J176,K176)</x:f>
        <x:v>博客C-对比评测</x:v>
      </x:c>
      <x:c r="M176" s="18" t="str">
        <x:v>Best/Top/Review/VS/替代方案文章</x:v>
      </x:c>
      <x:c r="N176" s="18" t="str">
        <x:v>Best angle: exdivo kuz 25k triple mango review - comparison, pros/cons, and which option fits different buyers</x:v>
      </x:c>
      <x:c r="O176" s="18" t="str">
        <x:v>/collections/disposable-vapes</x:v>
      </x:c>
      <x:c r="P176" s="18" t="str">
        <x:v>是</x:v>
      </x:c>
      <x:c r="Q176" s="18" t="str">
        <x:v>自然句/品类词/品牌词</x:v>
      </x:c>
      <x:c r="R176" s="18" t="str">
        <x:v>中风险：榜单和评测必须真实、中立，避免夸大</x:v>
      </x:c>
      <x:c r="S176" s="18" t="str">
        <x:v>这类词不直接给主站，先用博客C教育和比较，再导流到最相关集合页。</x:v>
      </x:c>
      <x:c r="T176" s="42" t="n">
        <x:v>1</x:v>
      </x:c>
      <x:c r="U176" s="42" t="n">
        <x:v>15</x:v>
      </x:c>
      <x:c r="V176" s="42" t="n">
        <x:v>16</x:v>
      </x:c>
      <x:c r="W176" s="42" t="n">
        <x:v>15</x:v>
      </x:c>
      <x:c r="X176" s="42" t="n">
        <x:v>13</x:v>
      </x:c>
      <x:c r="Y176" s="42" t="n">
        <x:v>6</x:v>
      </x:c>
      <x:c r="Z176" s="42" t="n">
        <x:f>MAX(0,MIN(100,ROUND(((T176+U176+V176+W176+X176)-Y176)/85*100,0)))</x:f>
        <x:v>64</x:v>
      </x:c>
      <x:c r="AA176" s="18" t="str">
        <x:f>IF(L176="暂不做","P3 暂缓",IF(Z176&gt;=75,"P0 本周做",IF(Z176&gt;=60,"P1 近期做",IF(Z176&gt;=45,"P2 备选","P3 暂缓"))))</x:f>
        <x:v>P1 近期做</x:v>
      </x:c>
      <x:c r="AB176" s="18" t="str">
        <x:f>IF(Y176&gt;=15,"先做合规/相关性复核，不建议直接商业导流",IF(L176="主站","建/优化主站商业页",IF(L176="博客A-知识教程","写知识教程/FAQ文章",IF(L176="博客B-场景人群","写场景需求/选购指南文章",IF(L176="博客C-对比评测","写对比评测/榜单文章","暂不做或人工复核")))))</x:f>
        <x:v>写对比评测/榜单文章</x:v>
      </x:c>
      <x:c r="AC176" s="18" t="str">
        <x:v>Reviews - TRIPLE MANGO - ExDivo KUZ 25K Replaceable Pod Vape - ExDivo</x:v>
      </x:c>
      <x:c r="AD176" s="19" t="str">
        <x:v>48</x:v>
      </x:c>
    </x:row>
    <x:row r="177">
      <x:c r="A177" s="40" t="n">
        <x:v>177</x:v>
      </x:c>
      <x:c r="B177" s="18" t="str">
        <x:v>https://exdivo.com/comments/exdivo-kuz-25k-replaceable-pod-vape_bd79f8ad</x:v>
      </x:c>
      <x:c r="C177" s="18" t="str">
        <x:v>vape mango flavor</x:v>
      </x:c>
      <x:c r="D177" s="18" t="str">
        <x:v>recommended</x:v>
      </x:c>
      <x:c r="E177" s="41" t="n">
        <x:v>50</x:v>
      </x:c>
      <x:c r="F177" s="41" t="n">
        <x:v>2</x:v>
      </x:c>
      <x:c r="G177" s="18" t="str">
        <x:v>informational, commercial</x:v>
      </x:c>
      <x:c r="H177" s="18" t="str">
        <x:v>Flavor / 口味</x:v>
      </x:c>
      <x:c r="I177" s="18" t="str">
        <x:v>品类承接词</x:v>
      </x:c>
      <x:c r="J177" s="18" t="str">
        <x:v>主站</x:v>
      </x:c>
      <x:c r="K177" s="18" t="str"/>
      <x:c r="L177" s="18" t="str">
        <x:f>IF(K177="",J177,K177)</x:f>
        <x:v>主站</x:v>
      </x:c>
      <x:c r="M177" s="18" t="str">
        <x:v>品类页/集合页 + FAQ内容块</x:v>
      </x:c>
      <x:c r="N177" s="18" t="str">
        <x:v>主站品类页：用产品集合 + 选购说明承接</x:v>
      </x:c>
      <x:c r="O177" s="18" t="str">
        <x:v>/collections/flavored-disposable-vapes</x:v>
      </x:c>
      <x:c r="P177" s="18" t="str">
        <x:v>不适用</x:v>
      </x:c>
      <x:c r="Q177" s="18" t="str">
        <x:v>主站页面自身承接</x:v>
      </x:c>
      <x:c r="R177" s="18" t="str">
        <x:v>核心品类词：主站优先，博客只做长尾解释，不直接抢同一词</x:v>
      </x:c>
      <x:c r="S177" s="18" t="str">
        <x:v>如果 Google 首页产品页和指南混合，主站页要加 FAQ、选购指南、对比模块。</x:v>
      </x:c>
      <x:c r="T177" s="42" t="n">
        <x:v>4</x:v>
      </x:c>
      <x:c r="U177" s="42" t="n">
        <x:v>15</x:v>
      </x:c>
      <x:c r="V177" s="42" t="n">
        <x:v>18</x:v>
      </x:c>
      <x:c r="W177" s="42" t="n">
        <x:v>8</x:v>
      </x:c>
      <x:c r="X177" s="42" t="n">
        <x:v>15</x:v>
      </x:c>
      <x:c r="Y177" s="42" t="n">
        <x:v>4</x:v>
      </x:c>
      <x:c r="Z177" s="42" t="n">
        <x:f>MAX(0,MIN(100,ROUND(((T177+U177+V177+W177+X177)-Y177)/85*100,0)))</x:f>
        <x:v>66</x:v>
      </x:c>
      <x:c r="AA177" s="18" t="str">
        <x:f>IF(L177="暂不做","P3 暂缓",IF(Z177&gt;=75,"P0 本周做",IF(Z177&gt;=60,"P1 近期做",IF(Z177&gt;=45,"P2 备选","P3 暂缓"))))</x:f>
        <x:v>P1 近期做</x:v>
      </x:c>
      <x:c r="AB177" s="18" t="str">
        <x:f>IF(Y177&gt;=15,"先做合规/相关性复核，不建议直接商业导流",IF(L177="主站","建/优化主站商业页",IF(L177="博客A-知识教程","写知识教程/FAQ文章",IF(L177="博客B-场景人群","写场景需求/选购指南文章",IF(L177="博客C-对比评测","写对比评测/榜单文章","暂不做或人工复核")))))</x:f>
        <x:v>建/优化主站商业页</x:v>
      </x:c>
      <x:c r="AC177" s="18" t="str">
        <x:v>Reviews - TRIPLE MANGO - ExDivo KUZ 25K Replaceable Pod Vape - ExDivo</x:v>
      </x:c>
      <x:c r="AD177" s="19" t="str">
        <x:v>48</x:v>
      </x:c>
    </x:row>
    <x:row r="178">
      <x:c r="A178" s="40" t="n">
        <x:v>178</x:v>
      </x:c>
      <x:c r="B178" s="18" t="str">
        <x:v>https://exdivo.com/comments/exdivo-kuz-25k-replaceable-pod-vape_bd79f8ad</x:v>
      </x:c>
      <x:c r="C178" s="18" t="str">
        <x:v>mango vape</x:v>
      </x:c>
      <x:c r="D178" s="18" t="str">
        <x:v>recommended</x:v>
      </x:c>
      <x:c r="E178" s="41" t="n">
        <x:v>1300</x:v>
      </x:c>
      <x:c r="F178" s="41" t="n">
        <x:v>10</x:v>
      </x:c>
      <x:c r="G178" s="18" t="str">
        <x:v>commercial</x:v>
      </x:c>
      <x:c r="H178" s="18" t="str">
        <x:v>General Vape</x:v>
      </x:c>
      <x:c r="I178" s="18" t="str">
        <x:v>品类承接词</x:v>
      </x:c>
      <x:c r="J178" s="18" t="str">
        <x:v>主站</x:v>
      </x:c>
      <x:c r="K178" s="18" t="str"/>
      <x:c r="L178" s="18" t="str">
        <x:f>IF(K178="",J178,K178)</x:f>
        <x:v>主站</x:v>
      </x:c>
      <x:c r="M178" s="18" t="str">
        <x:v>品类页/集合页 + FAQ内容块</x:v>
      </x:c>
      <x:c r="N178" s="18" t="str">
        <x:v>主站品类页：用产品集合 + 选购说明承接</x:v>
      </x:c>
      <x:c r="O178" s="18" t="str">
        <x:v>/collections/disposable-vapes</x:v>
      </x:c>
      <x:c r="P178" s="18" t="str">
        <x:v>不适用</x:v>
      </x:c>
      <x:c r="Q178" s="18" t="str">
        <x:v>主站页面自身承接</x:v>
      </x:c>
      <x:c r="R178" s="18" t="str">
        <x:v>核心品类词：主站优先，博客只做长尾解释，不直接抢同一词</x:v>
      </x:c>
      <x:c r="S178" s="18" t="str">
        <x:v>如果 Google 首页产品页和指南混合，主站页要加 FAQ、选购指南、对比模块。</x:v>
      </x:c>
      <x:c r="T178" s="42" t="n">
        <x:v>13</x:v>
      </x:c>
      <x:c r="U178" s="42" t="n">
        <x:v>15</x:v>
      </x:c>
      <x:c r="V178" s="42" t="n">
        <x:v>18</x:v>
      </x:c>
      <x:c r="W178" s="42" t="n">
        <x:v>8</x:v>
      </x:c>
      <x:c r="X178" s="42" t="n">
        <x:v>15</x:v>
      </x:c>
      <x:c r="Y178" s="42" t="n">
        <x:v>4</x:v>
      </x:c>
      <x:c r="Z178" s="42" t="n">
        <x:f>MAX(0,MIN(100,ROUND(((T178+U178+V178+W178+X178)-Y178)/85*100,0)))</x:f>
        <x:v>76</x:v>
      </x:c>
      <x:c r="AA178" s="18" t="str">
        <x:f>IF(L178="暂不做","P3 暂缓",IF(Z178&gt;=75,"P0 本周做",IF(Z178&gt;=60,"P1 近期做",IF(Z178&gt;=45,"P2 备选","P3 暂缓"))))</x:f>
        <x:v>P0 本周做</x:v>
      </x:c>
      <x:c r="AB178" s="18" t="str">
        <x:f>IF(Y178&gt;=15,"先做合规/相关性复核，不建议直接商业导流",IF(L178="主站","建/优化主站商业页",IF(L178="博客A-知识教程","写知识教程/FAQ文章",IF(L178="博客B-场景人群","写场景需求/选购指南文章",IF(L178="博客C-对比评测","写对比评测/榜单文章","暂不做或人工复核")))))</x:f>
        <x:v>建/优化主站商业页</x:v>
      </x:c>
      <x:c r="AC178" s="18" t="str">
        <x:v>Reviews - TRIPLE MANGO - ExDivo KUZ 25K Replaceable Pod Vape - ExDivo</x:v>
      </x:c>
      <x:c r="AD178" s="19" t="str">
        <x:v>48</x:v>
      </x:c>
    </x:row>
    <x:row r="179">
      <x:c r="A179" s="40" t="n">
        <x:v>179</x:v>
      </x:c>
      <x:c r="B179" s="18" t="str">
        <x:v>https://exdivo.com/comments/exdivo-kuz-25k-replaceable-pod-vape_bd79f8ad</x:v>
      </x:c>
      <x:c r="C179" s="18" t="str">
        <x:v>mango flavored vape</x:v>
      </x:c>
      <x:c r="D179" s="18" t="str">
        <x:v>recommended</x:v>
      </x:c>
      <x:c r="E179" s="41" t="n">
        <x:v>90</x:v>
      </x:c>
      <x:c r="F179" s="41" t="n">
        <x:v>11</x:v>
      </x:c>
      <x:c r="G179" s="18" t="str">
        <x:v>informational, commercial</x:v>
      </x:c>
      <x:c r="H179" s="18" t="str">
        <x:v>Flavor / 口味</x:v>
      </x:c>
      <x:c r="I179" s="18" t="str">
        <x:v>品类承接词</x:v>
      </x:c>
      <x:c r="J179" s="18" t="str">
        <x:v>主站</x:v>
      </x:c>
      <x:c r="K179" s="18" t="str"/>
      <x:c r="L179" s="18" t="str">
        <x:f>IF(K179="",J179,K179)</x:f>
        <x:v>主站</x:v>
      </x:c>
      <x:c r="M179" s="18" t="str">
        <x:v>品类页/集合页 + FAQ内容块</x:v>
      </x:c>
      <x:c r="N179" s="18" t="str">
        <x:v>主站品类页：用产品集合 + 选购说明承接</x:v>
      </x:c>
      <x:c r="O179" s="18" t="str">
        <x:v>/collections/flavored-disposable-vapes</x:v>
      </x:c>
      <x:c r="P179" s="18" t="str">
        <x:v>不适用</x:v>
      </x:c>
      <x:c r="Q179" s="18" t="str">
        <x:v>主站页面自身承接</x:v>
      </x:c>
      <x:c r="R179" s="18" t="str">
        <x:v>核心品类词：主站优先，博客只做长尾解释，不直接抢同一词</x:v>
      </x:c>
      <x:c r="S179" s="18" t="str">
        <x:v>如果 Google 首页产品页和指南混合，主站页要加 FAQ、选购指南、对比模块。</x:v>
      </x:c>
      <x:c r="T179" s="42" t="n">
        <x:v>4</x:v>
      </x:c>
      <x:c r="U179" s="42" t="n">
        <x:v>15</x:v>
      </x:c>
      <x:c r="V179" s="42" t="n">
        <x:v>18</x:v>
      </x:c>
      <x:c r="W179" s="42" t="n">
        <x:v>8</x:v>
      </x:c>
      <x:c r="X179" s="42" t="n">
        <x:v>15</x:v>
      </x:c>
      <x:c r="Y179" s="42" t="n">
        <x:v>4</x:v>
      </x:c>
      <x:c r="Z179" s="42" t="n">
        <x:f>MAX(0,MIN(100,ROUND(((T179+U179+V179+W179+X179)-Y179)/85*100,0)))</x:f>
        <x:v>66</x:v>
      </x:c>
      <x:c r="AA179" s="18" t="str">
        <x:f>IF(L179="暂不做","P3 暂缓",IF(Z179&gt;=75,"P0 本周做",IF(Z179&gt;=60,"P1 近期做",IF(Z179&gt;=45,"P2 备选","P3 暂缓"))))</x:f>
        <x:v>P1 近期做</x:v>
      </x:c>
      <x:c r="AB179" s="18" t="str">
        <x:f>IF(Y179&gt;=15,"先做合规/相关性复核，不建议直接商业导流",IF(L179="主站","建/优化主站商业页",IF(L179="博客A-知识教程","写知识教程/FAQ文章",IF(L179="博客B-场景人群","写场景需求/选购指南文章",IF(L179="博客C-对比评测","写对比评测/榜单文章","暂不做或人工复核")))))</x:f>
        <x:v>建/优化主站商业页</x:v>
      </x:c>
      <x:c r="AC179" s="18" t="str">
        <x:v>Reviews - TRIPLE MANGO - ExDivo KUZ 25K Replaceable Pod Vape - ExDivo</x:v>
      </x:c>
      <x:c r="AD179" s="19" t="str">
        <x:v>48</x:v>
      </x:c>
    </x:row>
    <x:row r="180">
      <x:c r="A180" s="40" t="n">
        <x:v>180</x:v>
      </x:c>
      <x:c r="B180" s="18" t="str">
        <x:v>https://exdivo.com/comments/exdivo-kuz-25k-replaceable-pod-vape_222ebc11</x:v>
      </x:c>
      <x:c r="C180" s="18" t="str">
        <x:v>lemon lime vape review</x:v>
      </x:c>
      <x:c r="D180" s="18" t="str">
        <x:v>recommended</x:v>
      </x:c>
      <x:c r="E180" s="41" t="n">
        <x:v>0</x:v>
      </x:c>
      <x:c r="F180" s="41" t="n">
        <x:v>0</x:v>
      </x:c>
      <x:c r="G180" s="18" t="str">
        <x:v>48</x:v>
      </x:c>
      <x:c r="H180" s="18" t="str">
        <x:v>对比评测</x:v>
      </x:c>
      <x:c r="I180" s="18" t="str">
        <x:v>商业调查词</x:v>
      </x:c>
      <x:c r="J180" s="18" t="str">
        <x:v>博客C-对比评测</x:v>
      </x:c>
      <x:c r="K180" s="18" t="str"/>
      <x:c r="L180" s="18" t="str">
        <x:f>IF(K180="",J180,K180)</x:f>
        <x:v>博客C-对比评测</x:v>
      </x:c>
      <x:c r="M180" s="18" t="str">
        <x:v>Best/Top/Review/VS/替代方案文章</x:v>
      </x:c>
      <x:c r="N180" s="18" t="str">
        <x:v>Best angle: lemon lime vape review - comparison, pros/cons, and which option fits different buyers</x:v>
      </x:c>
      <x:c r="O180" s="18" t="str">
        <x:v>/collections/disposable-vapes</x:v>
      </x:c>
      <x:c r="P180" s="18" t="str">
        <x:v>是</x:v>
      </x:c>
      <x:c r="Q180" s="18" t="str">
        <x:v>自然句/品类词/品牌词</x:v>
      </x:c>
      <x:c r="R180" s="18" t="str">
        <x:v>中风险：榜单和评测必须真实、中立，避免夸大</x:v>
      </x:c>
      <x:c r="S180" s="18" t="str">
        <x:v>这类词不直接给主站，先用博客C教育和比较，再导流到最相关集合页。</x:v>
      </x:c>
      <x:c r="T180" s="42" t="n">
        <x:v>1</x:v>
      </x:c>
      <x:c r="U180" s="42" t="n">
        <x:v>15</x:v>
      </x:c>
      <x:c r="V180" s="42" t="n">
        <x:v>16</x:v>
      </x:c>
      <x:c r="W180" s="42" t="n">
        <x:v>15</x:v>
      </x:c>
      <x:c r="X180" s="42" t="n">
        <x:v>13</x:v>
      </x:c>
      <x:c r="Y180" s="42" t="n">
        <x:v>6</x:v>
      </x:c>
      <x:c r="Z180" s="42" t="n">
        <x:f>MAX(0,MIN(100,ROUND(((T180+U180+V180+W180+X180)-Y180)/85*100,0)))</x:f>
        <x:v>64</x:v>
      </x:c>
      <x:c r="AA180" s="18" t="str">
        <x:f>IF(L180="暂不做","P3 暂缓",IF(Z180&gt;=75,"P0 本周做",IF(Z180&gt;=60,"P1 近期做",IF(Z180&gt;=45,"P2 备选","P3 暂缓"))))</x:f>
        <x:v>P1 近期做</x:v>
      </x:c>
      <x:c r="AB180" s="18" t="str">
        <x:f>IF(Y180&gt;=15,"先做合规/相关性复核，不建议直接商业导流",IF(L180="主站","建/优化主站商业页",IF(L180="博客A-知识教程","写知识教程/FAQ文章",IF(L180="博客B-场景人群","写场景需求/选购指南文章",IF(L180="博客C-对比评测","写对比评测/榜单文章","暂不做或人工复核")))))</x:f>
        <x:v>写对比评测/榜单文章</x:v>
      </x:c>
      <x:c r="AC180" s="18" t="str">
        <x:v>Reviews - LEMON LIME - ExDivo KUZ 25K Replaceable Pod Vape - ExDivo</x:v>
      </x:c>
      <x:c r="AD180" s="19" t="str">
        <x:v>48</x:v>
      </x:c>
    </x:row>
    <x:row r="181">
      <x:c r="A181" s="40" t="n">
        <x:v>181</x:v>
      </x:c>
      <x:c r="B181" s="18" t="str">
        <x:v>https://exdivo.com/comments/exdivo-kuz-25k-replaceable-pod-vape_222ebc11</x:v>
      </x:c>
      <x:c r="C181" s="18" t="str">
        <x:v>citrus vape flavor reviews</x:v>
      </x:c>
      <x:c r="D181" s="18" t="str">
        <x:v>recommended</x:v>
      </x:c>
      <x:c r="E181" s="41" t="n">
        <x:v>0</x:v>
      </x:c>
      <x:c r="F181" s="41" t="n">
        <x:v>0</x:v>
      </x:c>
      <x:c r="G181" s="18" t="str">
        <x:v>48</x:v>
      </x:c>
      <x:c r="H181" s="18" t="str">
        <x:v>Flavor / 口味</x:v>
      </x:c>
      <x:c r="I181" s="18" t="str">
        <x:v>商业调查词</x:v>
      </x:c>
      <x:c r="J181" s="18" t="str">
        <x:v>博客C-对比评测</x:v>
      </x:c>
      <x:c r="K181" s="18" t="str"/>
      <x:c r="L181" s="18" t="str">
        <x:f>IF(K181="",J181,K181)</x:f>
        <x:v>博客C-对比评测</x:v>
      </x:c>
      <x:c r="M181" s="18" t="str">
        <x:v>Best/Top/Review/VS/替代方案文章</x:v>
      </x:c>
      <x:c r="N181" s="18" t="str">
        <x:v>Best angle: citrus vape flavor reviews - comparison, pros/cons, and which option fits different buyers</x:v>
      </x:c>
      <x:c r="O181" s="18" t="str">
        <x:v>/collections/flavored-disposable-vapes</x:v>
      </x:c>
      <x:c r="P181" s="18" t="str">
        <x:v>是</x:v>
      </x:c>
      <x:c r="Q181" s="18" t="str">
        <x:v>自然句/品类词/品牌词</x:v>
      </x:c>
      <x:c r="R181" s="18" t="str">
        <x:v>中风险：榜单和评测必须真实、中立，避免夸大</x:v>
      </x:c>
      <x:c r="S181" s="18" t="str">
        <x:v>这类词不直接给主站，先用博客C教育和比较，再导流到最相关集合页。</x:v>
      </x:c>
      <x:c r="T181" s="42" t="n">
        <x:v>1</x:v>
      </x:c>
      <x:c r="U181" s="42" t="n">
        <x:v>15</x:v>
      </x:c>
      <x:c r="V181" s="42" t="n">
        <x:v>16</x:v>
      </x:c>
      <x:c r="W181" s="42" t="n">
        <x:v>15</x:v>
      </x:c>
      <x:c r="X181" s="42" t="n">
        <x:v>13</x:v>
      </x:c>
      <x:c r="Y181" s="42" t="n">
        <x:v>6</x:v>
      </x:c>
      <x:c r="Z181" s="42" t="n">
        <x:f>MAX(0,MIN(100,ROUND(((T181+U181+V181+W181+X181)-Y181)/85*100,0)))</x:f>
        <x:v>64</x:v>
      </x:c>
      <x:c r="AA181" s="18" t="str">
        <x:f>IF(L181="暂不做","P3 暂缓",IF(Z181&gt;=75,"P0 本周做",IF(Z181&gt;=60,"P1 近期做",IF(Z181&gt;=45,"P2 备选","P3 暂缓"))))</x:f>
        <x:v>P1 近期做</x:v>
      </x:c>
      <x:c r="AB181" s="18" t="str">
        <x:f>IF(Y181&gt;=15,"先做合规/相关性复核，不建议直接商业导流",IF(L181="主站","建/优化主站商业页",IF(L181="博客A-知识教程","写知识教程/FAQ文章",IF(L181="博客B-场景人群","写场景需求/选购指南文章",IF(L181="博客C-对比评测","写对比评测/榜单文章","暂不做或人工复核")))))</x:f>
        <x:v>写对比评测/榜单文章</x:v>
      </x:c>
      <x:c r="AC181" s="18" t="str">
        <x:v>Reviews - LEMON LIME - ExDivo KUZ 25K Replaceable Pod Vape - ExDivo</x:v>
      </x:c>
      <x:c r="AD181" s="19" t="str">
        <x:v>48</x:v>
      </x:c>
    </x:row>
    <x:row r="182">
      <x:c r="A182" s="40" t="n">
        <x:v>182</x:v>
      </x:c>
      <x:c r="B182" s="18" t="str">
        <x:v>https://exdivo.com/comments/exdivo-bright-mirror-35k-replaceable-vape-kit_98e835ff</x:v>
      </x:c>
      <x:c r="C182" s="18" t="str">
        <x:v>exdivo bright mirror miami mint review</x:v>
      </x:c>
      <x:c r="D182" s="18" t="str">
        <x:v>recommended</x:v>
      </x:c>
      <x:c r="E182" s="41" t="n">
        <x:v>0</x:v>
      </x:c>
      <x:c r="F182" s="41" t="n">
        <x:v>0</x:v>
      </x:c>
      <x:c r="G182" s="18" t="str">
        <x:v>48</x:v>
      </x:c>
      <x:c r="H182" s="18" t="str">
        <x:v>对比评测</x:v>
      </x:c>
      <x:c r="I182" s="18" t="str">
        <x:v>商业调查词</x:v>
      </x:c>
      <x:c r="J182" s="18" t="str">
        <x:v>博客C-对比评测</x:v>
      </x:c>
      <x:c r="K182" s="18" t="str"/>
      <x:c r="L182" s="18" t="str">
        <x:f>IF(K182="",J182,K182)</x:f>
        <x:v>博客C-对比评测</x:v>
      </x:c>
      <x:c r="M182" s="18" t="str">
        <x:v>Best/Top/Review/VS/替代方案文章</x:v>
      </x:c>
      <x:c r="N182" s="18" t="str">
        <x:v>Best angle: exdivo bright mirror miami mint review - comparison, pros/cons, and which option fits different buyers</x:v>
      </x:c>
      <x:c r="O182" s="18" t="str">
        <x:v>/collections/disposable-vapes</x:v>
      </x:c>
      <x:c r="P182" s="18" t="str">
        <x:v>是</x:v>
      </x:c>
      <x:c r="Q182" s="18" t="str">
        <x:v>自然句/品类词/品牌词</x:v>
      </x:c>
      <x:c r="R182" s="18" t="str">
        <x:v>中风险：榜单和评测必须真实、中立，避免夸大</x:v>
      </x:c>
      <x:c r="S182" s="18" t="str">
        <x:v>这类词不直接给主站，先用博客C教育和比较，再导流到最相关集合页。</x:v>
      </x:c>
      <x:c r="T182" s="42" t="n">
        <x:v>1</x:v>
      </x:c>
      <x:c r="U182" s="42" t="n">
        <x:v>15</x:v>
      </x:c>
      <x:c r="V182" s="42" t="n">
        <x:v>16</x:v>
      </x:c>
      <x:c r="W182" s="42" t="n">
        <x:v>15</x:v>
      </x:c>
      <x:c r="X182" s="42" t="n">
        <x:v>13</x:v>
      </x:c>
      <x:c r="Y182" s="42" t="n">
        <x:v>6</x:v>
      </x:c>
      <x:c r="Z182" s="42" t="n">
        <x:f>MAX(0,MIN(100,ROUND(((T182+U182+V182+W182+X182)-Y182)/85*100,0)))</x:f>
        <x:v>64</x:v>
      </x:c>
      <x:c r="AA182" s="18" t="str">
        <x:f>IF(L182="暂不做","P3 暂缓",IF(Z182&gt;=75,"P0 本周做",IF(Z182&gt;=60,"P1 近期做",IF(Z182&gt;=45,"P2 备选","P3 暂缓"))))</x:f>
        <x:v>P1 近期做</x:v>
      </x:c>
      <x:c r="AB182" s="18" t="str">
        <x:f>IF(Y182&gt;=15,"先做合规/相关性复核，不建议直接商业导流",IF(L182="主站","建/优化主站商业页",IF(L182="博客A-知识教程","写知识教程/FAQ文章",IF(L182="博客B-场景人群","写场景需求/选购指南文章",IF(L182="博客C-对比评测","写对比评测/榜单文章","暂不做或人工复核")))))</x:f>
        <x:v>写对比评测/榜单文章</x:v>
      </x:c>
      <x:c r="AC182" s="18" t="str">
        <x:v>Reviews - MIAMI MINT - ExDivo BRIGHT MIRROR 35K Replaceable VAPE kit - ExDivo</x:v>
      </x:c>
      <x:c r="AD182" s="19" t="str">
        <x:v>48</x:v>
      </x:c>
    </x:row>
    <x:row r="183">
      <x:c r="A183" s="40" t="n">
        <x:v>183</x:v>
      </x:c>
      <x:c r="B183" s="18" t="str">
        <x:v>https://exdivo.com/blogs/best-disposable-vape-flavors-in-2026-top-10-most-popular-choices?data_from=index_index</x:v>
      </x:c>
      <x:c r="C183" s="18" t="str">
        <x:v>flavors of vapes</x:v>
      </x:c>
      <x:c r="D183" s="18" t="str">
        <x:v>recommended</x:v>
      </x:c>
      <x:c r="E183" s="41" t="n">
        <x:v>1000</x:v>
      </x:c>
      <x:c r="F183" s="41" t="n">
        <x:v>34</x:v>
      </x:c>
      <x:c r="G183" s="18" t="str">
        <x:v>informational</x:v>
      </x:c>
      <x:c r="H183" s="18" t="str">
        <x:v>Flavor / 口味</x:v>
      </x:c>
      <x:c r="I183" s="18" t="str">
        <x:v>场景/需求词</x:v>
      </x:c>
      <x:c r="J183" s="18" t="str">
        <x:v>博客B-场景人群</x:v>
      </x:c>
      <x:c r="K183" s="18" t="str"/>
      <x:c r="L183" s="18" t="str">
        <x:f>IF(K183="",J183,K183)</x:f>
        <x:v>博客B-场景人群</x:v>
      </x:c>
      <x:c r="M183" s="18" t="str">
        <x:v>场景解决方案/选购指南文章</x:v>
      </x:c>
      <x:c r="N183" s="18" t="str">
        <x:v>Scenario angle: how to choose flavors of vapes based on use case, flavor, nicotine, and budget</x:v>
      </x:c>
      <x:c r="O183" s="18" t="str">
        <x:v>/collections/flavored-disposable-vapes</x:v>
      </x:c>
      <x:c r="P183" s="18" t="str">
        <x:v>是</x:v>
      </x:c>
      <x:c r="Q183" s="18" t="str">
        <x:v>自然句/品类词</x:v>
      </x:c>
      <x:c r="R183" s="18" t="str">
        <x:v>低中风险：适合软性导流，但不要夸大效果或触碰健康疗效</x:v>
      </x:c>
      <x:c r="S183" s="18" t="str">
        <x:v>围绕使用场景、口味、尼古丁需求、便携性等写，不和主站品类页抢词。</x:v>
      </x:c>
      <x:c r="T183" s="42" t="n">
        <x:v>13</x:v>
      </x:c>
      <x:c r="U183" s="42" t="n">
        <x:v>9</x:v>
      </x:c>
      <x:c r="V183" s="42" t="n">
        <x:v>13</x:v>
      </x:c>
      <x:c r="W183" s="42" t="n">
        <x:v>14</x:v>
      </x:c>
      <x:c r="X183" s="42" t="n">
        <x:v>13</x:v>
      </x:c>
      <x:c r="Y183" s="42" t="n">
        <x:v>5</x:v>
      </x:c>
      <x:c r="Z183" s="42" t="n">
        <x:f>MAX(0,MIN(100,ROUND(((T183+U183+V183+W183+X183)-Y183)/85*100,0)))</x:f>
        <x:v>67</x:v>
      </x:c>
      <x:c r="AA183" s="18" t="str">
        <x:f>IF(L183="暂不做","P3 暂缓",IF(Z183&gt;=75,"P0 本周做",IF(Z183&gt;=60,"P1 近期做",IF(Z183&gt;=45,"P2 备选","P3 暂缓"))))</x:f>
        <x:v>P1 近期做</x:v>
      </x:c>
      <x:c r="AB183" s="18" t="str">
        <x:f>IF(Y183&gt;=15,"先做合规/相关性复核，不建议直接商业导流",IF(L183="主站","建/优化主站商业页",IF(L183="博客A-知识教程","写知识教程/FAQ文章",IF(L183="博客B-场景人群","写场景需求/选购指南文章",IF(L183="博客C-对比评测","写对比评测/榜单文章","暂不做或人工复核")))))</x:f>
        <x:v>写场景需求/选购指南文章</x:v>
      </x:c>
      <x:c r="AC183" s="18" t="str">
        <x:v>Best Disposable Vape Flavors in 2026: Top 10 Most Popular Choices - ExDivo</x:v>
      </x:c>
      <x:c r="AD183" s="19" t="str">
        <x:v>best disposable vape flavors in 2026: top 10 most popular choices</x:v>
      </x:c>
    </x:row>
    <x:row r="184">
      <x:c r="A184" s="40" t="n">
        <x:v>184</x:v>
      </x:c>
      <x:c r="B184" s="18" t="str">
        <x:v>https://exdivo.com/blogs/best-disposable-vape-flavors-in-2026-top-10-most-popular-choices?data_from=index_index</x:v>
      </x:c>
      <x:c r="C184" s="18" t="str">
        <x:v>best tobacco flavor disposable vape</x:v>
      </x:c>
      <x:c r="D184" s="18" t="str">
        <x:v>recommended</x:v>
      </x:c>
      <x:c r="E184" s="41" t="n">
        <x:v>320</x:v>
      </x:c>
      <x:c r="F184" s="41" t="n">
        <x:v>4</x:v>
      </x:c>
      <x:c r="G184" s="18" t="str">
        <x:v>commercial</x:v>
      </x:c>
      <x:c r="H184" s="18" t="str">
        <x:v>Disposable Vape</x:v>
      </x:c>
      <x:c r="I184" s="18" t="str">
        <x:v>商业调查词</x:v>
      </x:c>
      <x:c r="J184" s="18" t="str">
        <x:v>博客C-对比评测</x:v>
      </x:c>
      <x:c r="K184" s="18" t="str"/>
      <x:c r="L184" s="18" t="str">
        <x:f>IF(K184="",J184,K184)</x:f>
        <x:v>博客C-对比评测</x:v>
      </x:c>
      <x:c r="M184" s="18" t="str">
        <x:v>Best/Top/Review/VS/替代方案文章</x:v>
      </x:c>
      <x:c r="N184" s="18" t="str">
        <x:v>Best angle: best tobacco flavor disposable vape - comparison, pros/cons, and which option fits different buyers</x:v>
      </x:c>
      <x:c r="O184" s="18" t="str">
        <x:v>/collections/flavored-disposable-vapes</x:v>
      </x:c>
      <x:c r="P184" s="18" t="str">
        <x:v>是</x:v>
      </x:c>
      <x:c r="Q184" s="18" t="str">
        <x:v>自然句/品类词/品牌词</x:v>
      </x:c>
      <x:c r="R184" s="18" t="str">
        <x:v>中风险：榜单和评测必须真实、中立，避免夸大</x:v>
      </x:c>
      <x:c r="S184" s="18" t="str">
        <x:v>这类词不直接给主站，先用博客C教育和比较，再导流到最相关集合页。</x:v>
      </x:c>
      <x:c r="T184" s="42" t="n">
        <x:v>7</x:v>
      </x:c>
      <x:c r="U184" s="42" t="n">
        <x:v>15</x:v>
      </x:c>
      <x:c r="V184" s="42" t="n">
        <x:v>16</x:v>
      </x:c>
      <x:c r="W184" s="42" t="n">
        <x:v>15</x:v>
      </x:c>
      <x:c r="X184" s="42" t="n">
        <x:v>13</x:v>
      </x:c>
      <x:c r="Y184" s="42" t="n">
        <x:v>6</x:v>
      </x:c>
      <x:c r="Z184" s="42" t="n">
        <x:f>MAX(0,MIN(100,ROUND(((T184+U184+V184+W184+X184)-Y184)/85*100,0)))</x:f>
        <x:v>71</x:v>
      </x:c>
      <x:c r="AA184" s="18" t="str">
        <x:f>IF(L184="暂不做","P3 暂缓",IF(Z184&gt;=75,"P0 本周做",IF(Z184&gt;=60,"P1 近期做",IF(Z184&gt;=45,"P2 备选","P3 暂缓"))))</x:f>
        <x:v>P1 近期做</x:v>
      </x:c>
      <x:c r="AB184" s="18" t="str">
        <x:f>IF(Y184&gt;=15,"先做合规/相关性复核，不建议直接商业导流",IF(L184="主站","建/优化主站商业页",IF(L184="博客A-知识教程","写知识教程/FAQ文章",IF(L184="博客B-场景人群","写场景需求/选购指南文章",IF(L184="博客C-对比评测","写对比评测/榜单文章","暂不做或人工复核")))))</x:f>
        <x:v>写对比评测/榜单文章</x:v>
      </x:c>
      <x:c r="AC184" s="18" t="str">
        <x:v>Best Disposable Vape Flavors in 2026: Top 10 Most Popular Choices - ExDivo</x:v>
      </x:c>
      <x:c r="AD184" s="19" t="str">
        <x:v>best disposable vape flavors in 2026: top 10 most popular choices</x:v>
      </x:c>
    </x:row>
    <x:row r="185">
      <x:c r="A185" s="40" t="n">
        <x:v>185</x:v>
      </x:c>
      <x:c r="B185" s="18" t="str">
        <x:v>https://exdivo.com/blogs/best-disposable-vape-flavors-in-2026-top-10-most-popular-choices?data_from=index_index</x:v>
      </x:c>
      <x:c r="C185" s="18" t="str">
        <x:v>flavours for vape</x:v>
      </x:c>
      <x:c r="D185" s="18" t="str">
        <x:v>recommended</x:v>
      </x:c>
      <x:c r="E185" s="41" t="n">
        <x:v>480</x:v>
      </x:c>
      <x:c r="F185" s="41" t="n">
        <x:v>24</x:v>
      </x:c>
      <x:c r="G185" s="18" t="str">
        <x:v>informational</x:v>
      </x:c>
      <x:c r="H185" s="18" t="str">
        <x:v>General Vape</x:v>
      </x:c>
      <x:c r="I185" s="18" t="str">
        <x:v>场景/需求词</x:v>
      </x:c>
      <x:c r="J185" s="18" t="str">
        <x:v>博客B-场景人群</x:v>
      </x:c>
      <x:c r="K185" s="18" t="str"/>
      <x:c r="L185" s="18" t="str">
        <x:f>IF(K185="",J185,K185)</x:f>
        <x:v>博客B-场景人群</x:v>
      </x:c>
      <x:c r="M185" s="18" t="str">
        <x:v>场景解决方案/选购指南文章</x:v>
      </x:c>
      <x:c r="N185" s="18" t="str">
        <x:v>Scenario angle: how to choose flavours for vape based on use case, flavor, nicotine, and budget</x:v>
      </x:c>
      <x:c r="O185" s="18" t="str">
        <x:v>/collections/disposable-vapes</x:v>
      </x:c>
      <x:c r="P185" s="18" t="str">
        <x:v>是</x:v>
      </x:c>
      <x:c r="Q185" s="18" t="str">
        <x:v>自然句/品类词</x:v>
      </x:c>
      <x:c r="R185" s="18" t="str">
        <x:v>低中风险：适合软性导流，但不要夸大效果或触碰健康疗效</x:v>
      </x:c>
      <x:c r="S185" s="18" t="str">
        <x:v>围绕使用场景、口味、尼古丁需求、便携性等写，不和主站品类页抢词。</x:v>
      </x:c>
      <x:c r="T185" s="42" t="n">
        <x:v>7</x:v>
      </x:c>
      <x:c r="U185" s="42" t="n">
        <x:v>12</x:v>
      </x:c>
      <x:c r="V185" s="42" t="n">
        <x:v>13</x:v>
      </x:c>
      <x:c r="W185" s="42" t="n">
        <x:v>14</x:v>
      </x:c>
      <x:c r="X185" s="42" t="n">
        <x:v>13</x:v>
      </x:c>
      <x:c r="Y185" s="42" t="n">
        <x:v>5</x:v>
      </x:c>
      <x:c r="Z185" s="42" t="n">
        <x:f>MAX(0,MIN(100,ROUND(((T185+U185+V185+W185+X185)-Y185)/85*100,0)))</x:f>
        <x:v>64</x:v>
      </x:c>
      <x:c r="AA185" s="18" t="str">
        <x:f>IF(L185="暂不做","P3 暂缓",IF(Z185&gt;=75,"P0 本周做",IF(Z185&gt;=60,"P1 近期做",IF(Z185&gt;=45,"P2 备选","P3 暂缓"))))</x:f>
        <x:v>P1 近期做</x:v>
      </x:c>
      <x:c r="AB185" s="18" t="str">
        <x:f>IF(Y185&gt;=15,"先做合规/相关性复核，不建议直接商业导流",IF(L185="主站","建/优化主站商业页",IF(L185="博客A-知识教程","写知识教程/FAQ文章",IF(L185="博客B-场景人群","写场景需求/选购指南文章",IF(L185="博客C-对比评测","写对比评测/榜单文章","暂不做或人工复核")))))</x:f>
        <x:v>写场景需求/选购指南文章</x:v>
      </x:c>
      <x:c r="AC185" s="18" t="str">
        <x:v>Best Disposable Vape Flavors in 2026: Top 10 Most Popular Choices - ExDivo</x:v>
      </x:c>
      <x:c r="AD185" s="19" t="str">
        <x:v>best disposable vape flavors in 2026: top 10 most popular choices</x:v>
      </x:c>
    </x:row>
    <x:row r="186">
      <x:c r="A186" s="40" t="n">
        <x:v>186</x:v>
      </x:c>
      <x:c r="B186" s="18" t="str">
        <x:v>https://exdivo.com/blogs/best-disposable-vape-flavors-in-2026-top-10-most-popular-choices?data_from=index_index</x:v>
      </x:c>
      <x:c r="C186" s="18" t="str">
        <x:v>vape flavor</x:v>
      </x:c>
      <x:c r="D186" s="18" t="str">
        <x:v>recommended</x:v>
      </x:c>
      <x:c r="E186" s="41" t="n">
        <x:v>1000</x:v>
      </x:c>
      <x:c r="F186" s="41" t="n">
        <x:v>50</x:v>
      </x:c>
      <x:c r="G186" s="18" t="str">
        <x:v>informational</x:v>
      </x:c>
      <x:c r="H186" s="18" t="str">
        <x:v>Flavor / 口味</x:v>
      </x:c>
      <x:c r="I186" s="18" t="str">
        <x:v>场景/需求词</x:v>
      </x:c>
      <x:c r="J186" s="18" t="str">
        <x:v>博客B-场景人群</x:v>
      </x:c>
      <x:c r="K186" s="18" t="str"/>
      <x:c r="L186" s="18" t="str">
        <x:f>IF(K186="",J186,K186)</x:f>
        <x:v>博客B-场景人群</x:v>
      </x:c>
      <x:c r="M186" s="18" t="str">
        <x:v>场景解决方案/选购指南文章</x:v>
      </x:c>
      <x:c r="N186" s="18" t="str">
        <x:v>Scenario angle: how to choose vape flavor based on use case, flavor, nicotine, and budget</x:v>
      </x:c>
      <x:c r="O186" s="18" t="str">
        <x:v>/collections/flavored-disposable-vapes</x:v>
      </x:c>
      <x:c r="P186" s="18" t="str">
        <x:v>是</x:v>
      </x:c>
      <x:c r="Q186" s="18" t="str">
        <x:v>自然句/品类词</x:v>
      </x:c>
      <x:c r="R186" s="18" t="str">
        <x:v>低中风险：适合软性导流，但不要夸大效果或触碰健康疗效</x:v>
      </x:c>
      <x:c r="S186" s="18" t="str">
        <x:v>围绕使用场景、口味、尼古丁需求、便携性等写，不和主站品类页抢词。</x:v>
      </x:c>
      <x:c r="T186" s="42" t="n">
        <x:v>13</x:v>
      </x:c>
      <x:c r="U186" s="42" t="n">
        <x:v>6</x:v>
      </x:c>
      <x:c r="V186" s="42" t="n">
        <x:v>13</x:v>
      </x:c>
      <x:c r="W186" s="42" t="n">
        <x:v>14</x:v>
      </x:c>
      <x:c r="X186" s="42" t="n">
        <x:v>13</x:v>
      </x:c>
      <x:c r="Y186" s="42" t="n">
        <x:v>5</x:v>
      </x:c>
      <x:c r="Z186" s="42" t="n">
        <x:f>MAX(0,MIN(100,ROUND(((T186+U186+V186+W186+X186)-Y186)/85*100,0)))</x:f>
        <x:v>64</x:v>
      </x:c>
      <x:c r="AA186" s="18" t="str">
        <x:f>IF(L186="暂不做","P3 暂缓",IF(Z186&gt;=75,"P0 本周做",IF(Z186&gt;=60,"P1 近期做",IF(Z186&gt;=45,"P2 备选","P3 暂缓"))))</x:f>
        <x:v>P1 近期做</x:v>
      </x:c>
      <x:c r="AB186" s="18" t="str">
        <x:f>IF(Y186&gt;=15,"先做合规/相关性复核，不建议直接商业导流",IF(L186="主站","建/优化主站商业页",IF(L186="博客A-知识教程","写知识教程/FAQ文章",IF(L186="博客B-场景人群","写场景需求/选购指南文章",IF(L186="博客C-对比评测","写对比评测/榜单文章","暂不做或人工复核")))))</x:f>
        <x:v>写场景需求/选购指南文章</x:v>
      </x:c>
      <x:c r="AC186" s="18" t="str">
        <x:v>Best Disposable Vape Flavors in 2026: Top 10 Most Popular Choices - ExDivo</x:v>
      </x:c>
      <x:c r="AD186" s="19" t="str">
        <x:v>best disposable vape flavors in 2026: top 10 most popular choices</x:v>
      </x:c>
    </x:row>
    <x:row r="187">
      <x:c r="A187" s="40" t="n">
        <x:v>187</x:v>
      </x:c>
      <x:c r="B187" s="18" t="str">
        <x:v>https://exdivo.com/blogs/best-disposable-vape-flavors-in-2026-top-10-most-popular-choices?data_from=index_index</x:v>
      </x:c>
      <x:c r="C187" s="18" t="str">
        <x:v>disposable vapes flavours</x:v>
      </x:c>
      <x:c r="D187" s="18" t="str">
        <x:v>recommended</x:v>
      </x:c>
      <x:c r="E187" s="41" t="n">
        <x:v>480</x:v>
      </x:c>
      <x:c r="F187" s="41" t="n">
        <x:v>28</x:v>
      </x:c>
      <x:c r="G187" s="18" t="str">
        <x:v>informational</x:v>
      </x:c>
      <x:c r="H187" s="18" t="str">
        <x:v>Disposable Vape</x:v>
      </x:c>
      <x:c r="I187" s="18" t="str">
        <x:v>品类承接词</x:v>
      </x:c>
      <x:c r="J187" s="18" t="str">
        <x:v>主站</x:v>
      </x:c>
      <x:c r="K187" s="18" t="str"/>
      <x:c r="L187" s="18" t="str">
        <x:f>IF(K187="",J187,K187)</x:f>
        <x:v>主站</x:v>
      </x:c>
      <x:c r="M187" s="18" t="str">
        <x:v>品类页/集合页 + FAQ内容块</x:v>
      </x:c>
      <x:c r="N187" s="18" t="str">
        <x:v>主站品类页：用产品集合 + 选购说明承接</x:v>
      </x:c>
      <x:c r="O187" s="18" t="str">
        <x:v>/collections/disposable-vapes</x:v>
      </x:c>
      <x:c r="P187" s="18" t="str">
        <x:v>不适用</x:v>
      </x:c>
      <x:c r="Q187" s="18" t="str">
        <x:v>主站页面自身承接</x:v>
      </x:c>
      <x:c r="R187" s="18" t="str">
        <x:v>核心品类词：主站优先，博客只做长尾解释，不直接抢同一词</x:v>
      </x:c>
      <x:c r="S187" s="18" t="str">
        <x:v>如果 Google 首页产品页和指南混合，主站页要加 FAQ、选购指南、对比模块。</x:v>
      </x:c>
      <x:c r="T187" s="42" t="n">
        <x:v>7</x:v>
      </x:c>
      <x:c r="U187" s="42" t="n">
        <x:v>12</x:v>
      </x:c>
      <x:c r="V187" s="42" t="n">
        <x:v>16</x:v>
      </x:c>
      <x:c r="W187" s="42" t="n">
        <x:v>8</x:v>
      </x:c>
      <x:c r="X187" s="42" t="n">
        <x:v>15</x:v>
      </x:c>
      <x:c r="Y187" s="42" t="n">
        <x:v>4</x:v>
      </x:c>
      <x:c r="Z187" s="42" t="n">
        <x:f>MAX(0,MIN(100,ROUND(((T187+U187+V187+W187+X187)-Y187)/85*100,0)))</x:f>
        <x:v>64</x:v>
      </x:c>
      <x:c r="AA187" s="18" t="str">
        <x:f>IF(L187="暂不做","P3 暂缓",IF(Z187&gt;=75,"P0 本周做",IF(Z187&gt;=60,"P1 近期做",IF(Z187&gt;=45,"P2 备选","P3 暂缓"))))</x:f>
        <x:v>P1 近期做</x:v>
      </x:c>
      <x:c r="AB187" s="18" t="str">
        <x:f>IF(Y187&gt;=15,"先做合规/相关性复核，不建议直接商业导流",IF(L187="主站","建/优化主站商业页",IF(L187="博客A-知识教程","写知识教程/FAQ文章",IF(L187="博客B-场景人群","写场景需求/选购指南文章",IF(L187="博客C-对比评测","写对比评测/榜单文章","暂不做或人工复核")))))</x:f>
        <x:v>建/优化主站商业页</x:v>
      </x:c>
      <x:c r="AC187" s="18" t="str">
        <x:v>Best Disposable Vape Flavors in 2026: Top 10 Most Popular Choices - ExDivo</x:v>
      </x:c>
      <x:c r="AD187" s="19" t="str">
        <x:v>best disposable vape flavors in 2026: top 10 most popular choices</x:v>
      </x:c>
    </x:row>
    <x:row r="188">
      <x:c r="A188" s="40" t="n">
        <x:v>188</x:v>
      </x:c>
      <x:c r="B188" s="18" t="str">
        <x:v>https://exdivo.com/blogs/best-disposable-vape-flavors-in-2026-top-10-most-popular-choices?data_from=index_index</x:v>
      </x:c>
      <x:c r="C188" s="18" t="str">
        <x:v>disposable vape tobacco flavor</x:v>
      </x:c>
      <x:c r="D188" s="18" t="str">
        <x:v>recommended</x:v>
      </x:c>
      <x:c r="E188" s="41" t="n">
        <x:v>140</x:v>
      </x:c>
      <x:c r="F188" s="41" t="n">
        <x:v>1</x:v>
      </x:c>
      <x:c r="G188" s="18" t="str">
        <x:v>commercial</x:v>
      </x:c>
      <x:c r="H188" s="18" t="str">
        <x:v>Disposable Vape</x:v>
      </x:c>
      <x:c r="I188" s="18" t="str">
        <x:v>品类承接词</x:v>
      </x:c>
      <x:c r="J188" s="18" t="str">
        <x:v>主站</x:v>
      </x:c>
      <x:c r="K188" s="18" t="str"/>
      <x:c r="L188" s="18" t="str">
        <x:f>IF(K188="",J188,K188)</x:f>
        <x:v>主站</x:v>
      </x:c>
      <x:c r="M188" s="18" t="str">
        <x:v>品类页/集合页 + FAQ内容块</x:v>
      </x:c>
      <x:c r="N188" s="18" t="str">
        <x:v>主站品类页：用产品集合 + 选购说明承接</x:v>
      </x:c>
      <x:c r="O188" s="18" t="str">
        <x:v>/collections/flavored-disposable-vapes</x:v>
      </x:c>
      <x:c r="P188" s="18" t="str">
        <x:v>不适用</x:v>
      </x:c>
      <x:c r="Q188" s="18" t="str">
        <x:v>主站页面自身承接</x:v>
      </x:c>
      <x:c r="R188" s="18" t="str">
        <x:v>核心品类词：主站优先，博客只做长尾解释，不直接抢同一词</x:v>
      </x:c>
      <x:c r="S188" s="18" t="str">
        <x:v>如果 Google 首页产品页和指南混合，主站页要加 FAQ、选购指南、对比模块。</x:v>
      </x:c>
      <x:c r="T188" s="42" t="n">
        <x:v>7</x:v>
      </x:c>
      <x:c r="U188" s="42" t="n">
        <x:v>15</x:v>
      </x:c>
      <x:c r="V188" s="42" t="n">
        <x:v>18</x:v>
      </x:c>
      <x:c r="W188" s="42" t="n">
        <x:v>8</x:v>
      </x:c>
      <x:c r="X188" s="42" t="n">
        <x:v>15</x:v>
      </x:c>
      <x:c r="Y188" s="42" t="n">
        <x:v>4</x:v>
      </x:c>
      <x:c r="Z188" s="42" t="n">
        <x:f>MAX(0,MIN(100,ROUND(((T188+U188+V188+W188+X188)-Y188)/85*100,0)))</x:f>
        <x:v>69</x:v>
      </x:c>
      <x:c r="AA188" s="18" t="str">
        <x:f>IF(L188="暂不做","P3 暂缓",IF(Z188&gt;=75,"P0 本周做",IF(Z188&gt;=60,"P1 近期做",IF(Z188&gt;=45,"P2 备选","P3 暂缓"))))</x:f>
        <x:v>P1 近期做</x:v>
      </x:c>
      <x:c r="AB188" s="18" t="str">
        <x:f>IF(Y188&gt;=15,"先做合规/相关性复核，不建议直接商业导流",IF(L188="主站","建/优化主站商业页",IF(L188="博客A-知识教程","写知识教程/FAQ文章",IF(L188="博客B-场景人群","写场景需求/选购指南文章",IF(L188="博客C-对比评测","写对比评测/榜单文章","暂不做或人工复核")))))</x:f>
        <x:v>建/优化主站商业页</x:v>
      </x:c>
      <x:c r="AC188" s="18" t="str">
        <x:v>Best Disposable Vape Flavors in 2026: Top 10 Most Popular Choices - ExDivo</x:v>
      </x:c>
      <x:c r="AD188" s="19" t="str">
        <x:v>best disposable vape flavors in 2026: top 10 most popular choices</x:v>
      </x:c>
    </x:row>
    <x:row r="189">
      <x:c r="A189" s="40" t="n">
        <x:v>189</x:v>
      </x:c>
      <x:c r="B189" s="18" t="str">
        <x:v>https://exdivo.com/blogs/best-disposable-vape-flavors-in-2026-top-10-most-popular-choices?data_from=index_index</x:v>
      </x:c>
      <x:c r="C189" s="18" t="str">
        <x:v>best vape flavours disposable</x:v>
      </x:c>
      <x:c r="D189" s="18" t="str">
        <x:v>recommended</x:v>
      </x:c>
      <x:c r="E189" s="41" t="n">
        <x:v>320</x:v>
      </x:c>
      <x:c r="F189" s="41" t="n">
        <x:v>29</x:v>
      </x:c>
      <x:c r="G189" s="18" t="str">
        <x:v>commercial</x:v>
      </x:c>
      <x:c r="H189" s="18" t="str">
        <x:v>Disposable Vape</x:v>
      </x:c>
      <x:c r="I189" s="18" t="str">
        <x:v>商业调查词</x:v>
      </x:c>
      <x:c r="J189" s="18" t="str">
        <x:v>博客C-对比评测</x:v>
      </x:c>
      <x:c r="K189" s="18" t="str"/>
      <x:c r="L189" s="18" t="str">
        <x:f>IF(K189="",J189,K189)</x:f>
        <x:v>博客C-对比评测</x:v>
      </x:c>
      <x:c r="M189" s="18" t="str">
        <x:v>Best/Top/Review/VS/替代方案文章</x:v>
      </x:c>
      <x:c r="N189" s="18" t="str">
        <x:v>Best angle: best vape flavours disposable - comparison, pros/cons, and which option fits different buyers</x:v>
      </x:c>
      <x:c r="O189" s="18" t="str">
        <x:v>/collections/disposable-vapes</x:v>
      </x:c>
      <x:c r="P189" s="18" t="str">
        <x:v>是</x:v>
      </x:c>
      <x:c r="Q189" s="18" t="str">
        <x:v>自然句/品类词/品牌词</x:v>
      </x:c>
      <x:c r="R189" s="18" t="str">
        <x:v>中风险：榜单和评测必须真实、中立，避免夸大</x:v>
      </x:c>
      <x:c r="S189" s="18" t="str">
        <x:v>这类词不直接给主站，先用博客C教育和比较，再导流到最相关集合页。</x:v>
      </x:c>
      <x:c r="T189" s="42" t="n">
        <x:v>7</x:v>
      </x:c>
      <x:c r="U189" s="42" t="n">
        <x:v>12</x:v>
      </x:c>
      <x:c r="V189" s="42" t="n">
        <x:v>16</x:v>
      </x:c>
      <x:c r="W189" s="42" t="n">
        <x:v>15</x:v>
      </x:c>
      <x:c r="X189" s="42" t="n">
        <x:v>13</x:v>
      </x:c>
      <x:c r="Y189" s="42" t="n">
        <x:v>6</x:v>
      </x:c>
      <x:c r="Z189" s="42" t="n">
        <x:f>MAX(0,MIN(100,ROUND(((T189+U189+V189+W189+X189)-Y189)/85*100,0)))</x:f>
        <x:v>67</x:v>
      </x:c>
      <x:c r="AA189" s="18" t="str">
        <x:f>IF(L189="暂不做","P3 暂缓",IF(Z189&gt;=75,"P0 本周做",IF(Z189&gt;=60,"P1 近期做",IF(Z189&gt;=45,"P2 备选","P3 暂缓"))))</x:f>
        <x:v>P1 近期做</x:v>
      </x:c>
      <x:c r="AB189" s="18" t="str">
        <x:f>IF(Y189&gt;=15,"先做合规/相关性复核，不建议直接商业导流",IF(L189="主站","建/优化主站商业页",IF(L189="博客A-知识教程","写知识教程/FAQ文章",IF(L189="博客B-场景人群","写场景需求/选购指南文章",IF(L189="博客C-对比评测","写对比评测/榜单文章","暂不做或人工复核")))))</x:f>
        <x:v>写对比评测/榜单文章</x:v>
      </x:c>
      <x:c r="AC189" s="18" t="str">
        <x:v>Best Disposable Vape Flavors in 2026: Top 10 Most Popular Choices - ExDivo</x:v>
      </x:c>
      <x:c r="AD189" s="19" t="str">
        <x:v>best disposable vape flavors in 2026: top 10 most popular choices</x:v>
      </x:c>
    </x:row>
    <x:row r="190">
      <x:c r="A190" s="40" t="n">
        <x:v>190</x:v>
      </x:c>
      <x:c r="B190" s="18" t="str">
        <x:v>https://exdivo.com/blogs/best-disposable-vape-flavors-in-2026-top-10-most-popular-choices?data_from=index_index</x:v>
      </x:c>
      <x:c r="C190" s="18" t="str">
        <x:v>disposable vape flavours</x:v>
      </x:c>
      <x:c r="D190" s="18" t="str">
        <x:v>recommended</x:v>
      </x:c>
      <x:c r="E190" s="41" t="n">
        <x:v>110</x:v>
      </x:c>
      <x:c r="F190" s="41" t="n">
        <x:v>28</x:v>
      </x:c>
      <x:c r="G190" s="18" t="str">
        <x:v>informational</x:v>
      </x:c>
      <x:c r="H190" s="18" t="str">
        <x:v>Disposable Vape</x:v>
      </x:c>
      <x:c r="I190" s="18" t="str">
        <x:v>品类承接词</x:v>
      </x:c>
      <x:c r="J190" s="18" t="str">
        <x:v>主站</x:v>
      </x:c>
      <x:c r="K190" s="18" t="str"/>
      <x:c r="L190" s="18" t="str">
        <x:f>IF(K190="",J190,K190)</x:f>
        <x:v>主站</x:v>
      </x:c>
      <x:c r="M190" s="18" t="str">
        <x:v>品类页/集合页 + FAQ内容块</x:v>
      </x:c>
      <x:c r="N190" s="18" t="str">
        <x:v>主站品类页：用产品集合 + 选购说明承接</x:v>
      </x:c>
      <x:c r="O190" s="18" t="str">
        <x:v>/collections/disposable-vapes</x:v>
      </x:c>
      <x:c r="P190" s="18" t="str">
        <x:v>不适用</x:v>
      </x:c>
      <x:c r="Q190" s="18" t="str">
        <x:v>主站页面自身承接</x:v>
      </x:c>
      <x:c r="R190" s="18" t="str">
        <x:v>核心品类词：主站优先，博客只做长尾解释，不直接抢同一词</x:v>
      </x:c>
      <x:c r="S190" s="18" t="str">
        <x:v>如果 Google 首页产品页和指南混合，主站页要加 FAQ、选购指南、对比模块。</x:v>
      </x:c>
      <x:c r="T190" s="42" t="n">
        <x:v>7</x:v>
      </x:c>
      <x:c r="U190" s="42" t="n">
        <x:v>12</x:v>
      </x:c>
      <x:c r="V190" s="42" t="n">
        <x:v>16</x:v>
      </x:c>
      <x:c r="W190" s="42" t="n">
        <x:v>8</x:v>
      </x:c>
      <x:c r="X190" s="42" t="n">
        <x:v>15</x:v>
      </x:c>
      <x:c r="Y190" s="42" t="n">
        <x:v>4</x:v>
      </x:c>
      <x:c r="Z190" s="42" t="n">
        <x:f>MAX(0,MIN(100,ROUND(((T190+U190+V190+W190+X190)-Y190)/85*100,0)))</x:f>
        <x:v>64</x:v>
      </x:c>
      <x:c r="AA190" s="18" t="str">
        <x:f>IF(L190="暂不做","P3 暂缓",IF(Z190&gt;=75,"P0 本周做",IF(Z190&gt;=60,"P1 近期做",IF(Z190&gt;=45,"P2 备选","P3 暂缓"))))</x:f>
        <x:v>P1 近期做</x:v>
      </x:c>
      <x:c r="AB190" s="18" t="str">
        <x:f>IF(Y190&gt;=15,"先做合规/相关性复核，不建议直接商业导流",IF(L190="主站","建/优化主站商业页",IF(L190="博客A-知识教程","写知识教程/FAQ文章",IF(L190="博客B-场景人群","写场景需求/选购指南文章",IF(L190="博客C-对比评测","写对比评测/榜单文章","暂不做或人工复核")))))</x:f>
        <x:v>建/优化主站商业页</x:v>
      </x:c>
      <x:c r="AC190" s="18" t="str">
        <x:v>Best Disposable Vape Flavors in 2026: Top 10 Most Popular Choices - ExDivo</x:v>
      </x:c>
      <x:c r="AD190" s="19" t="str">
        <x:v>best disposable vape flavors in 2026: top 10 most popular choices</x:v>
      </x:c>
    </x:row>
    <x:row r="191">
      <x:c r="A191" s="40" t="n">
        <x:v>191</x:v>
      </x:c>
      <x:c r="B191" s="18" t="str">
        <x:v>https://exdivo.com/blogs/best-disposable-vape-flavors-in-2026-top-10-most-popular-choices?data_from=index_index</x:v>
      </x:c>
      <x:c r="C191" s="18" t="str">
        <x:v>vape liquid flavors</x:v>
      </x:c>
      <x:c r="D191" s="18" t="str">
        <x:v>recommended</x:v>
      </x:c>
      <x:c r="E191" s="41" t="n">
        <x:v>110</x:v>
      </x:c>
      <x:c r="F191" s="41" t="n">
        <x:v>40</x:v>
      </x:c>
      <x:c r="G191" s="18" t="str">
        <x:v>commercial</x:v>
      </x:c>
      <x:c r="H191" s="18" t="str">
        <x:v>Flavor / 口味</x:v>
      </x:c>
      <x:c r="I191" s="18" t="str">
        <x:v>品类承接词</x:v>
      </x:c>
      <x:c r="J191" s="18" t="str">
        <x:v>主站</x:v>
      </x:c>
      <x:c r="K191" s="18" t="str"/>
      <x:c r="L191" s="18" t="str">
        <x:f>IF(K191="",J191,K191)</x:f>
        <x:v>主站</x:v>
      </x:c>
      <x:c r="M191" s="18" t="str">
        <x:v>品类页/集合页 + FAQ内容块</x:v>
      </x:c>
      <x:c r="N191" s="18" t="str">
        <x:v>主站品类页：用产品集合 + 选购说明承接</x:v>
      </x:c>
      <x:c r="O191" s="18" t="str">
        <x:v>/collections/flavored-disposable-vapes</x:v>
      </x:c>
      <x:c r="P191" s="18" t="str">
        <x:v>不适用</x:v>
      </x:c>
      <x:c r="Q191" s="18" t="str">
        <x:v>主站页面自身承接</x:v>
      </x:c>
      <x:c r="R191" s="18" t="str">
        <x:v>核心品类词：主站优先，博客只做长尾解释，不直接抢同一词</x:v>
      </x:c>
      <x:c r="S191" s="18" t="str">
        <x:v>如果 Google 首页产品页和指南混合，主站页要加 FAQ、选购指南、对比模块。</x:v>
      </x:c>
      <x:c r="T191" s="42" t="n">
        <x:v>7</x:v>
      </x:c>
      <x:c r="U191" s="42" t="n">
        <x:v>9</x:v>
      </x:c>
      <x:c r="V191" s="42" t="n">
        <x:v>18</x:v>
      </x:c>
      <x:c r="W191" s="42" t="n">
        <x:v>8</x:v>
      </x:c>
      <x:c r="X191" s="42" t="n">
        <x:v>15</x:v>
      </x:c>
      <x:c r="Y191" s="42" t="n">
        <x:v>4</x:v>
      </x:c>
      <x:c r="Z191" s="42" t="n">
        <x:f>MAX(0,MIN(100,ROUND(((T191+U191+V191+W191+X191)-Y191)/85*100,0)))</x:f>
        <x:v>62</x:v>
      </x:c>
      <x:c r="AA191" s="18" t="str">
        <x:f>IF(L191="暂不做","P3 暂缓",IF(Z191&gt;=75,"P0 本周做",IF(Z191&gt;=60,"P1 近期做",IF(Z191&gt;=45,"P2 备选","P3 暂缓"))))</x:f>
        <x:v>P1 近期做</x:v>
      </x:c>
      <x:c r="AB191" s="18" t="str">
        <x:f>IF(Y191&gt;=15,"先做合规/相关性复核，不建议直接商业导流",IF(L191="主站","建/优化主站商业页",IF(L191="博客A-知识教程","写知识教程/FAQ文章",IF(L191="博客B-场景人群","写场景需求/选购指南文章",IF(L191="博客C-对比评测","写对比评测/榜单文章","暂不做或人工复核")))))</x:f>
        <x:v>建/优化主站商业页</x:v>
      </x:c>
      <x:c r="AC191" s="18" t="str">
        <x:v>Best Disposable Vape Flavors in 2026: Top 10 Most Popular Choices - ExDivo</x:v>
      </x:c>
      <x:c r="AD191" s="19" t="str">
        <x:v>best disposable vape flavors in 2026: top 10 most popular choices</x:v>
      </x:c>
    </x:row>
    <x:row r="192">
      <x:c r="A192" s="40" t="n">
        <x:v>192</x:v>
      </x:c>
      <x:c r="B192" s="18" t="str">
        <x:v>https://exdivo.com/blogs/best-disposable-vape-flavors-in-2026-top-10-most-popular-choices?data_from=index_index</x:v>
      </x:c>
      <x:c r="C192" s="18" t="str">
        <x:v>geekvape disposable flavors</x:v>
      </x:c>
      <x:c r="D192" s="18" t="str">
        <x:v>recommended</x:v>
      </x:c>
      <x:c r="E192" s="41" t="n">
        <x:v>70</x:v>
      </x:c>
      <x:c r="F192" s="41" t="n">
        <x:v>25</x:v>
      </x:c>
      <x:c r="G192" s="18" t="str">
        <x:v>commercial</x:v>
      </x:c>
      <x:c r="H192" s="18" t="str">
        <x:v>Disposable Vape</x:v>
      </x:c>
      <x:c r="I192" s="18" t="str">
        <x:v>品类承接词</x:v>
      </x:c>
      <x:c r="J192" s="18" t="str">
        <x:v>主站</x:v>
      </x:c>
      <x:c r="K192" s="18" t="str"/>
      <x:c r="L192" s="18" t="str">
        <x:f>IF(K192="",J192,K192)</x:f>
        <x:v>主站</x:v>
      </x:c>
      <x:c r="M192" s="18" t="str">
        <x:v>品类页/集合页 + FAQ内容块</x:v>
      </x:c>
      <x:c r="N192" s="18" t="str">
        <x:v>主站品类页：用产品集合 + 选购说明承接</x:v>
      </x:c>
      <x:c r="O192" s="18" t="str">
        <x:v>/collections/flavored-disposable-vapes</x:v>
      </x:c>
      <x:c r="P192" s="18" t="str">
        <x:v>不适用</x:v>
      </x:c>
      <x:c r="Q192" s="18" t="str">
        <x:v>主站页面自身承接</x:v>
      </x:c>
      <x:c r="R192" s="18" t="str">
        <x:v>核心品类词：主站优先，博客只做长尾解释，不直接抢同一词</x:v>
      </x:c>
      <x:c r="S192" s="18" t="str">
        <x:v>如果 Google 首页产品页和指南混合，主站页要加 FAQ、选购指南、对比模块。</x:v>
      </x:c>
      <x:c r="T192" s="42" t="n">
        <x:v>4</x:v>
      </x:c>
      <x:c r="U192" s="42" t="n">
        <x:v>12</x:v>
      </x:c>
      <x:c r="V192" s="42" t="n">
        <x:v>18</x:v>
      </x:c>
      <x:c r="W192" s="42" t="n">
        <x:v>8</x:v>
      </x:c>
      <x:c r="X192" s="42" t="n">
        <x:v>15</x:v>
      </x:c>
      <x:c r="Y192" s="42" t="n">
        <x:v>4</x:v>
      </x:c>
      <x:c r="Z192" s="42" t="n">
        <x:f>MAX(0,MIN(100,ROUND(((T192+U192+V192+W192+X192)-Y192)/85*100,0)))</x:f>
        <x:v>62</x:v>
      </x:c>
      <x:c r="AA192" s="18" t="str">
        <x:f>IF(L192="暂不做","P3 暂缓",IF(Z192&gt;=75,"P0 本周做",IF(Z192&gt;=60,"P1 近期做",IF(Z192&gt;=45,"P2 备选","P3 暂缓"))))</x:f>
        <x:v>P1 近期做</x:v>
      </x:c>
      <x:c r="AB192" s="18" t="str">
        <x:f>IF(Y192&gt;=15,"先做合规/相关性复核，不建议直接商业导流",IF(L192="主站","建/优化主站商业页",IF(L192="博客A-知识教程","写知识教程/FAQ文章",IF(L192="博客B-场景人群","写场景需求/选购指南文章",IF(L192="博客C-对比评测","写对比评测/榜单文章","暂不做或人工复核")))))</x:f>
        <x:v>建/优化主站商业页</x:v>
      </x:c>
      <x:c r="AC192" s="18" t="str">
        <x:v>Best Disposable Vape Flavors in 2026: Top 10 Most Popular Choices - ExDivo</x:v>
      </x:c>
      <x:c r="AD192" s="19" t="str">
        <x:v>best disposable vape flavors in 2026: top 10 most popular choices</x:v>
      </x:c>
    </x:row>
    <x:row r="193">
      <x:c r="A193" s="40" t="n">
        <x:v>193</x:v>
      </x:c>
      <x:c r="B193" s="18" t="str">
        <x:v>https://exdivo.com/blogs/best-disposable-vape-flavors-in-2026-top-10-most-popular-choices?data_from=index_index</x:v>
      </x:c>
      <x:c r="C193" s="18" t="str">
        <x:v>vape flavored</x:v>
      </x:c>
      <x:c r="D193" s="18" t="str">
        <x:v>recommended</x:v>
      </x:c>
      <x:c r="E193" s="41" t="n">
        <x:v>40</x:v>
      </x:c>
      <x:c r="F193" s="41" t="n">
        <x:v>24</x:v>
      </x:c>
      <x:c r="G193" s="18" t="str">
        <x:v>commercial</x:v>
      </x:c>
      <x:c r="H193" s="18" t="str">
        <x:v>Flavor / 口味</x:v>
      </x:c>
      <x:c r="I193" s="18" t="str">
        <x:v>品类承接词</x:v>
      </x:c>
      <x:c r="J193" s="18" t="str">
        <x:v>主站</x:v>
      </x:c>
      <x:c r="K193" s="18" t="str"/>
      <x:c r="L193" s="18" t="str">
        <x:f>IF(K193="",J193,K193)</x:f>
        <x:v>主站</x:v>
      </x:c>
      <x:c r="M193" s="18" t="str">
        <x:v>品类页/集合页 + FAQ内容块</x:v>
      </x:c>
      <x:c r="N193" s="18" t="str">
        <x:v>主站品类页：用产品集合 + 选购说明承接</x:v>
      </x:c>
      <x:c r="O193" s="18" t="str">
        <x:v>/collections/flavored-disposable-vapes</x:v>
      </x:c>
      <x:c r="P193" s="18" t="str">
        <x:v>不适用</x:v>
      </x:c>
      <x:c r="Q193" s="18" t="str">
        <x:v>主站页面自身承接</x:v>
      </x:c>
      <x:c r="R193" s="18" t="str">
        <x:v>核心品类词：主站优先，博客只做长尾解释，不直接抢同一词</x:v>
      </x:c>
      <x:c r="S193" s="18" t="str">
        <x:v>如果 Google 首页产品页和指南混合，主站页要加 FAQ、选购指南、对比模块。</x:v>
      </x:c>
      <x:c r="T193" s="42" t="n">
        <x:v>4</x:v>
      </x:c>
      <x:c r="U193" s="42" t="n">
        <x:v>12</x:v>
      </x:c>
      <x:c r="V193" s="42" t="n">
        <x:v>18</x:v>
      </x:c>
      <x:c r="W193" s="42" t="n">
        <x:v>8</x:v>
      </x:c>
      <x:c r="X193" s="42" t="n">
        <x:v>15</x:v>
      </x:c>
      <x:c r="Y193" s="42" t="n">
        <x:v>4</x:v>
      </x:c>
      <x:c r="Z193" s="42" t="n">
        <x:f>MAX(0,MIN(100,ROUND(((T193+U193+V193+W193+X193)-Y193)/85*100,0)))</x:f>
        <x:v>62</x:v>
      </x:c>
      <x:c r="AA193" s="18" t="str">
        <x:f>IF(L193="暂不做","P3 暂缓",IF(Z193&gt;=75,"P0 本周做",IF(Z193&gt;=60,"P1 近期做",IF(Z193&gt;=45,"P2 备选","P3 暂缓"))))</x:f>
        <x:v>P1 近期做</x:v>
      </x:c>
      <x:c r="AB193" s="18" t="str">
        <x:f>IF(Y193&gt;=15,"先做合规/相关性复核，不建议直接商业导流",IF(L193="主站","建/优化主站商业页",IF(L193="博客A-知识教程","写知识教程/FAQ文章",IF(L193="博客B-场景人群","写场景需求/选购指南文章",IF(L193="博客C-对比评测","写对比评测/榜单文章","暂不做或人工复核")))))</x:f>
        <x:v>建/优化主站商业页</x:v>
      </x:c>
      <x:c r="AC193" s="18" t="str">
        <x:v>Best Disposable Vape Flavors in 2026: Top 10 Most Popular Choices - ExDivo</x:v>
      </x:c>
      <x:c r="AD193" s="19" t="str">
        <x:v>best disposable vape flavors in 2026: top 10 most popular choices</x:v>
      </x:c>
    </x:row>
    <x:row r="194">
      <x:c r="A194" s="40" t="n">
        <x:v>194</x:v>
      </x:c>
      <x:c r="B194" s="18" t="str">
        <x:v>https://exdivo.com/blogs/best-disposable-vape-flavors-in-2026-top-10-most-popular-choices?data_from=index_index</x:v>
      </x:c>
      <x:c r="C194" s="18" t="str">
        <x:v>vape brands and flavors</x:v>
      </x:c>
      <x:c r="D194" s="18" t="str">
        <x:v>recommended</x:v>
      </x:c>
      <x:c r="E194" s="41" t="n">
        <x:v>50</x:v>
      </x:c>
      <x:c r="F194" s="41" t="n">
        <x:v>29</x:v>
      </x:c>
      <x:c r="G194" s="18" t="str">
        <x:v>commercial</x:v>
      </x:c>
      <x:c r="H194" s="18" t="str">
        <x:v>Flavor / 口味</x:v>
      </x:c>
      <x:c r="I194" s="18" t="str">
        <x:v>商业调查词</x:v>
      </x:c>
      <x:c r="J194" s="18" t="str">
        <x:v>博客C-对比评测</x:v>
      </x:c>
      <x:c r="K194" s="18" t="str"/>
      <x:c r="L194" s="18" t="str">
        <x:f>IF(K194="",J194,K194)</x:f>
        <x:v>博客C-对比评测</x:v>
      </x:c>
      <x:c r="M194" s="18" t="str">
        <x:v>Best/Top/Review/VS/替代方案文章</x:v>
      </x:c>
      <x:c r="N194" s="18" t="str">
        <x:v>Best angle: vape brands and flavors - comparison, pros/cons, and which option fits different buyers</x:v>
      </x:c>
      <x:c r="O194" s="18" t="str">
        <x:v>/collections/flavored-disposable-vapes</x:v>
      </x:c>
      <x:c r="P194" s="18" t="str">
        <x:v>是</x:v>
      </x:c>
      <x:c r="Q194" s="18" t="str">
        <x:v>自然句/品类词/品牌词</x:v>
      </x:c>
      <x:c r="R194" s="18" t="str">
        <x:v>中风险：榜单和评测必须真实、中立，避免夸大</x:v>
      </x:c>
      <x:c r="S194" s="18" t="str">
        <x:v>这类词不直接给主站，先用博客C教育和比较，再导流到最相关集合页。</x:v>
      </x:c>
      <x:c r="T194" s="42" t="n">
        <x:v>4</x:v>
      </x:c>
      <x:c r="U194" s="42" t="n">
        <x:v>12</x:v>
      </x:c>
      <x:c r="V194" s="42" t="n">
        <x:v>16</x:v>
      </x:c>
      <x:c r="W194" s="42" t="n">
        <x:v>15</x:v>
      </x:c>
      <x:c r="X194" s="42" t="n">
        <x:v>13</x:v>
      </x:c>
      <x:c r="Y194" s="42" t="n">
        <x:v>6</x:v>
      </x:c>
      <x:c r="Z194" s="42" t="n">
        <x:f>MAX(0,MIN(100,ROUND(((T194+U194+V194+W194+X194)-Y194)/85*100,0)))</x:f>
        <x:v>64</x:v>
      </x:c>
      <x:c r="AA194" s="18" t="str">
        <x:f>IF(L194="暂不做","P3 暂缓",IF(Z194&gt;=75,"P0 本周做",IF(Z194&gt;=60,"P1 近期做",IF(Z194&gt;=45,"P2 备选","P3 暂缓"))))</x:f>
        <x:v>P1 近期做</x:v>
      </x:c>
      <x:c r="AB194" s="18" t="str">
        <x:f>IF(Y194&gt;=15,"先做合规/相关性复核，不建议直接商业导流",IF(L194="主站","建/优化主站商业页",IF(L194="博客A-知识教程","写知识教程/FAQ文章",IF(L194="博客B-场景人群","写场景需求/选购指南文章",IF(L194="博客C-对比评测","写对比评测/榜单文章","暂不做或人工复核")))))</x:f>
        <x:v>写对比评测/榜单文章</x:v>
      </x:c>
      <x:c r="AC194" s="18" t="str">
        <x:v>Best Disposable Vape Flavors in 2026: Top 10 Most Popular Choices - ExDivo</x:v>
      </x:c>
      <x:c r="AD194" s="19" t="str">
        <x:v>best disposable vape flavors in 2026: top 10 most popular choices</x:v>
      </x:c>
    </x:row>
    <x:row r="195">
      <x:c r="A195" s="40" t="n">
        <x:v>195</x:v>
      </x:c>
      <x:c r="B195" s="18" t="str">
        <x:v>https://exdivo.com/blogs/best-disposable-vape-flavors-in-2026-top-10-most-popular-choices?data_from=index_index</x:v>
      </x:c>
      <x:c r="C195" s="18" t="str">
        <x:v>different flavors of vapes</x:v>
      </x:c>
      <x:c r="D195" s="18" t="str">
        <x:v>recommended</x:v>
      </x:c>
      <x:c r="E195" s="41" t="n">
        <x:v>50</x:v>
      </x:c>
      <x:c r="F195" s="41" t="n">
        <x:v>26</x:v>
      </x:c>
      <x:c r="G195" s="18" t="str">
        <x:v>informational</x:v>
      </x:c>
      <x:c r="H195" s="18" t="str">
        <x:v>Flavor / 口味</x:v>
      </x:c>
      <x:c r="I195" s="18" t="str">
        <x:v>场景/需求词</x:v>
      </x:c>
      <x:c r="J195" s="18" t="str">
        <x:v>博客B-场景人群</x:v>
      </x:c>
      <x:c r="K195" s="18" t="str"/>
      <x:c r="L195" s="18" t="str">
        <x:f>IF(K195="",J195,K195)</x:f>
        <x:v>博客B-场景人群</x:v>
      </x:c>
      <x:c r="M195" s="18" t="str">
        <x:v>场景解决方案/选购指南文章</x:v>
      </x:c>
      <x:c r="N195" s="18" t="str">
        <x:v>Scenario angle: how to choose different flavors of vapes based on use case, flavor, nicotine, and budget</x:v>
      </x:c>
      <x:c r="O195" s="18" t="str">
        <x:v>/collections/flavored-disposable-vapes</x:v>
      </x:c>
      <x:c r="P195" s="18" t="str">
        <x:v>是</x:v>
      </x:c>
      <x:c r="Q195" s="18" t="str">
        <x:v>自然句/品类词</x:v>
      </x:c>
      <x:c r="R195" s="18" t="str">
        <x:v>低中风险：适合软性导流，但不要夸大效果或触碰健康疗效</x:v>
      </x:c>
      <x:c r="S195" s="18" t="str">
        <x:v>围绕使用场景、口味、尼古丁需求、便携性等写，不和主站品类页抢词。</x:v>
      </x:c>
      <x:c r="T195" s="42" t="n">
        <x:v>4</x:v>
      </x:c>
      <x:c r="U195" s="42" t="n">
        <x:v>12</x:v>
      </x:c>
      <x:c r="V195" s="42" t="n">
        <x:v>13</x:v>
      </x:c>
      <x:c r="W195" s="42" t="n">
        <x:v>14</x:v>
      </x:c>
      <x:c r="X195" s="42" t="n">
        <x:v>13</x:v>
      </x:c>
      <x:c r="Y195" s="42" t="n">
        <x:v>5</x:v>
      </x:c>
      <x:c r="Z195" s="42" t="n">
        <x:f>MAX(0,MIN(100,ROUND(((T195+U195+V195+W195+X195)-Y195)/85*100,0)))</x:f>
        <x:v>60</x:v>
      </x:c>
      <x:c r="AA195" s="18" t="str">
        <x:f>IF(L195="暂不做","P3 暂缓",IF(Z195&gt;=75,"P0 本周做",IF(Z195&gt;=60,"P1 近期做",IF(Z195&gt;=45,"P2 备选","P3 暂缓"))))</x:f>
        <x:v>P1 近期做</x:v>
      </x:c>
      <x:c r="AB195" s="18" t="str">
        <x:f>IF(Y195&gt;=15,"先做合规/相关性复核，不建议直接商业导流",IF(L195="主站","建/优化主站商业页",IF(L195="博客A-知识教程","写知识教程/FAQ文章",IF(L195="博客B-场景人群","写场景需求/选购指南文章",IF(L195="博客C-对比评测","写对比评测/榜单文章","暂不做或人工复核")))))</x:f>
        <x:v>写场景需求/选购指南文章</x:v>
      </x:c>
      <x:c r="AC195" s="18" t="str">
        <x:v>Best Disposable Vape Flavors in 2026: Top 10 Most Popular Choices - ExDivo</x:v>
      </x:c>
      <x:c r="AD195" s="19" t="str">
        <x:v>best disposable vape flavors in 2026: top 10 most popular choices</x:v>
      </x:c>
    </x:row>
    <x:row r="196">
      <x:c r="A196" s="40" t="n">
        <x:v>196</x:v>
      </x:c>
      <x:c r="B196" s="18" t="str">
        <x:v>https://exdivo.com/blogs/best-disposable-vape-flavors-in-2026-top-10-most-popular-choices?data_from=index_index</x:v>
      </x:c>
      <x:c r="C196" s="18" t="str">
        <x:v>disposable vapes flavors</x:v>
      </x:c>
      <x:c r="D196" s="18" t="str">
        <x:v>recommended</x:v>
      </x:c>
      <x:c r="E196" s="41" t="n">
        <x:v>50</x:v>
      </x:c>
      <x:c r="F196" s="41" t="n">
        <x:v>34</x:v>
      </x:c>
      <x:c r="G196" s="18" t="str">
        <x:v>informational</x:v>
      </x:c>
      <x:c r="H196" s="18" t="str">
        <x:v>Disposable Vape</x:v>
      </x:c>
      <x:c r="I196" s="18" t="str">
        <x:v>场景/需求词</x:v>
      </x:c>
      <x:c r="J196" s="18" t="str">
        <x:v>博客B-场景人群</x:v>
      </x:c>
      <x:c r="K196" s="18" t="str"/>
      <x:c r="L196" s="18" t="str">
        <x:f>IF(K196="",J196,K196)</x:f>
        <x:v>博客B-场景人群</x:v>
      </x:c>
      <x:c r="M196" s="18" t="str">
        <x:v>场景解决方案/选购指南文章</x:v>
      </x:c>
      <x:c r="N196" s="18" t="str">
        <x:v>Scenario angle: how to choose disposable vapes flavors based on use case, flavor, nicotine, and budget</x:v>
      </x:c>
      <x:c r="O196" s="18" t="str">
        <x:v>/collections/flavored-disposable-vapes</x:v>
      </x:c>
      <x:c r="P196" s="18" t="str">
        <x:v>是</x:v>
      </x:c>
      <x:c r="Q196" s="18" t="str">
        <x:v>自然句/品类词</x:v>
      </x:c>
      <x:c r="R196" s="18" t="str">
        <x:v>低中风险：适合软性导流，但不要夸大效果或触碰健康疗效</x:v>
      </x:c>
      <x:c r="S196" s="18" t="str">
        <x:v>围绕使用场景、口味、尼古丁需求、便携性等写，不和主站品类页抢词。</x:v>
      </x:c>
      <x:c r="T196" s="42" t="n">
        <x:v>4</x:v>
      </x:c>
      <x:c r="U196" s="42" t="n">
        <x:v>9</x:v>
      </x:c>
      <x:c r="V196" s="42" t="n">
        <x:v>13</x:v>
      </x:c>
      <x:c r="W196" s="42" t="n">
        <x:v>14</x:v>
      </x:c>
      <x:c r="X196" s="42" t="n">
        <x:v>13</x:v>
      </x:c>
      <x:c r="Y196" s="42" t="n">
        <x:v>5</x:v>
      </x:c>
      <x:c r="Z196" s="42" t="n">
        <x:f>MAX(0,MIN(100,ROUND(((T196+U196+V196+W196+X196)-Y196)/85*100,0)))</x:f>
        <x:v>56</x:v>
      </x:c>
      <x:c r="AA196" s="18" t="str">
        <x:f>IF(L196="暂不做","P3 暂缓",IF(Z196&gt;=75,"P0 本周做",IF(Z196&gt;=60,"P1 近期做",IF(Z196&gt;=45,"P2 备选","P3 暂缓"))))</x:f>
        <x:v>P2 备选</x:v>
      </x:c>
      <x:c r="AB196" s="18" t="str">
        <x:f>IF(Y196&gt;=15,"先做合规/相关性复核，不建议直接商业导流",IF(L196="主站","建/优化主站商业页",IF(L196="博客A-知识教程","写知识教程/FAQ文章",IF(L196="博客B-场景人群","写场景需求/选购指南文章",IF(L196="博客C-对比评测","写对比评测/榜单文章","暂不做或人工复核")))))</x:f>
        <x:v>写场景需求/选购指南文章</x:v>
      </x:c>
      <x:c r="AC196" s="18" t="str">
        <x:v>Best Disposable Vape Flavors in 2026: Top 10 Most Popular Choices - ExDivo</x:v>
      </x:c>
      <x:c r="AD196" s="19" t="str">
        <x:v>best disposable vape flavors in 2026: top 10 most popular choices</x:v>
      </x:c>
    </x:row>
    <x:row r="197">
      <x:c r="A197" s="40" t="n">
        <x:v>197</x:v>
      </x:c>
      <x:c r="B197" s="18" t="str">
        <x:v>https://exdivo.com/blogs/best-disposable-vape-flavors-in-2026-top-10-most-popular-choices?data_from=index_index</x:v>
      </x:c>
      <x:c r="C197" s="18" t="str">
        <x:v>vape flavors disposable</x:v>
      </x:c>
      <x:c r="D197" s="18" t="str">
        <x:v>recommended</x:v>
      </x:c>
      <x:c r="E197" s="41" t="n">
        <x:v>50</x:v>
      </x:c>
      <x:c r="F197" s="41" t="n">
        <x:v>36</x:v>
      </x:c>
      <x:c r="G197" s="18" t="str">
        <x:v>informational</x:v>
      </x:c>
      <x:c r="H197" s="18" t="str">
        <x:v>Disposable Vape</x:v>
      </x:c>
      <x:c r="I197" s="18" t="str">
        <x:v>场景/需求词</x:v>
      </x:c>
      <x:c r="J197" s="18" t="str">
        <x:v>博客B-场景人群</x:v>
      </x:c>
      <x:c r="K197" s="18" t="str"/>
      <x:c r="L197" s="18" t="str">
        <x:f>IF(K197="",J197,K197)</x:f>
        <x:v>博客B-场景人群</x:v>
      </x:c>
      <x:c r="M197" s="18" t="str">
        <x:v>场景解决方案/选购指南文章</x:v>
      </x:c>
      <x:c r="N197" s="18" t="str">
        <x:v>Scenario angle: how to choose vape flavors disposable based on use case, flavor, nicotine, and budget</x:v>
      </x:c>
      <x:c r="O197" s="18" t="str">
        <x:v>/collections/flavored-disposable-vapes</x:v>
      </x:c>
      <x:c r="P197" s="18" t="str">
        <x:v>是</x:v>
      </x:c>
      <x:c r="Q197" s="18" t="str">
        <x:v>自然句/品类词</x:v>
      </x:c>
      <x:c r="R197" s="18" t="str">
        <x:v>低中风险：适合软性导流，但不要夸大效果或触碰健康疗效</x:v>
      </x:c>
      <x:c r="S197" s="18" t="str">
        <x:v>围绕使用场景、口味、尼古丁需求、便携性等写，不和主站品类页抢词。</x:v>
      </x:c>
      <x:c r="T197" s="42" t="n">
        <x:v>4</x:v>
      </x:c>
      <x:c r="U197" s="42" t="n">
        <x:v>9</x:v>
      </x:c>
      <x:c r="V197" s="42" t="n">
        <x:v>13</x:v>
      </x:c>
      <x:c r="W197" s="42" t="n">
        <x:v>14</x:v>
      </x:c>
      <x:c r="X197" s="42" t="n">
        <x:v>13</x:v>
      </x:c>
      <x:c r="Y197" s="42" t="n">
        <x:v>5</x:v>
      </x:c>
      <x:c r="Z197" s="42" t="n">
        <x:f>MAX(0,MIN(100,ROUND(((T197+U197+V197+W197+X197)-Y197)/85*100,0)))</x:f>
        <x:v>56</x:v>
      </x:c>
      <x:c r="AA197" s="18" t="str">
        <x:f>IF(L197="暂不做","P3 暂缓",IF(Z197&gt;=75,"P0 本周做",IF(Z197&gt;=60,"P1 近期做",IF(Z197&gt;=45,"P2 备选","P3 暂缓"))))</x:f>
        <x:v>P2 备选</x:v>
      </x:c>
      <x:c r="AB197" s="18" t="str">
        <x:f>IF(Y197&gt;=15,"先做合规/相关性复核，不建议直接商业导流",IF(L197="主站","建/优化主站商业页",IF(L197="博客A-知识教程","写知识教程/FAQ文章",IF(L197="博客B-场景人群","写场景需求/选购指南文章",IF(L197="博客C-对比评测","写对比评测/榜单文章","暂不做或人工复核")))))</x:f>
        <x:v>写场景需求/选购指南文章</x:v>
      </x:c>
      <x:c r="AC197" s="18" t="str">
        <x:v>Best Disposable Vape Flavors in 2026: Top 10 Most Popular Choices - ExDivo</x:v>
      </x:c>
      <x:c r="AD197" s="19" t="str">
        <x:v>best disposable vape flavors in 2026: top 10 most popular choices</x:v>
      </x:c>
    </x:row>
    <x:row r="198">
      <x:c r="A198" s="40" t="n">
        <x:v>198</x:v>
      </x:c>
      <x:c r="B198" s="18" t="str">
        <x:v>https://exdivo.com/blogs/best-disposable-vape-flavors-in-2026-top-10-most-popular-choices?data_from=index_index</x:v>
      </x:c>
      <x:c r="C198" s="18" t="str">
        <x:v>nicotine vape flavors</x:v>
      </x:c>
      <x:c r="D198" s="18" t="str">
        <x:v>recommended</x:v>
      </x:c>
      <x:c r="E198" s="41" t="n">
        <x:v>70</x:v>
      </x:c>
      <x:c r="F198" s="41" t="n">
        <x:v>42</x:v>
      </x:c>
      <x:c r="G198" s="18" t="str">
        <x:v>informational, transactional</x:v>
      </x:c>
      <x:c r="H198" s="18" t="str">
        <x:v>Flavor / 口味</x:v>
      </x:c>
      <x:c r="I198" s="18" t="str">
        <x:v>交易词</x:v>
      </x:c>
      <x:c r="J198" s="18" t="str">
        <x:v>主站</x:v>
      </x:c>
      <x:c r="K198" s="18" t="str"/>
      <x:c r="L198" s="18" t="str">
        <x:f>IF(K198="",J198,K198)</x:f>
        <x:v>主站</x:v>
      </x:c>
      <x:c r="M198" s="18" t="str">
        <x:v>产品集合页/分类页/购买页</x:v>
      </x:c>
      <x:c r="N198" s="18" t="str">
        <x:v>主站商业页：标题围绕购买意图 + 品类 + 关键卖点</x:v>
      </x:c>
      <x:c r="O198" s="18" t="str">
        <x:v>/collections/flavored-disposable-vapes</x:v>
      </x:c>
      <x:c r="P198" s="18" t="str">
        <x:v>不适用</x:v>
      </x:c>
      <x:c r="Q198" s="18" t="str">
        <x:v>主站页面自身承接</x:v>
      </x:c>
      <x:c r="R198" s="18" t="str">
        <x:v>商业词：优先给主站，避免博客抢主站排名</x:v>
      </x:c>
      <x:c r="S198" s="18" t="str">
        <x:v>SERP 如为商品列表/品牌站/电商集合页，就建主站页面；若 SERP 全是教程，再拆支持文章。</x:v>
      </x:c>
      <x:c r="T198" s="42" t="n">
        <x:v>4</x:v>
      </x:c>
      <x:c r="U198" s="42" t="n">
        <x:v>9</x:v>
      </x:c>
      <x:c r="V198" s="42" t="n">
        <x:v>20</x:v>
      </x:c>
      <x:c r="W198" s="42" t="n">
        <x:v>7</x:v>
      </x:c>
      <x:c r="X198" s="42" t="n">
        <x:v>15</x:v>
      </x:c>
      <x:c r="Y198" s="42" t="n">
        <x:v>4</x:v>
      </x:c>
      <x:c r="Z198" s="42" t="n">
        <x:f>MAX(0,MIN(100,ROUND(((T198+U198+V198+W198+X198)-Y198)/85*100,0)))</x:f>
        <x:v>60</x:v>
      </x:c>
      <x:c r="AA198" s="18" t="str">
        <x:f>IF(L198="暂不做","P3 暂缓",IF(Z198&gt;=75,"P0 本周做",IF(Z198&gt;=60,"P1 近期做",IF(Z198&gt;=45,"P2 备选","P3 暂缓"))))</x:f>
        <x:v>P1 近期做</x:v>
      </x:c>
      <x:c r="AB198" s="18" t="str">
        <x:f>IF(Y198&gt;=15,"先做合规/相关性复核，不建议直接商业导流",IF(L198="主站","建/优化主站商业页",IF(L198="博客A-知识教程","写知识教程/FAQ文章",IF(L198="博客B-场景人群","写场景需求/选购指南文章",IF(L198="博客C-对比评测","写对比评测/榜单文章","暂不做或人工复核")))))</x:f>
        <x:v>建/优化主站商业页</x:v>
      </x:c>
      <x:c r="AC198" s="18" t="str">
        <x:v>Best Disposable Vape Flavors in 2026: Top 10 Most Popular Choices - ExDivo</x:v>
      </x:c>
      <x:c r="AD198" s="19" t="str">
        <x:v>best disposable vape flavors in 2026: top 10 most popular choices</x:v>
      </x:c>
    </x:row>
    <x:row r="199">
      <x:c r="A199" s="40" t="n">
        <x:v>199</x:v>
      </x:c>
      <x:c r="B199" s="18" t="str">
        <x:v>https://exdivo.com/blogs/best-disposable-vape-flavors-in-2026-top-10-most-popular-choices?data_from=index_index</x:v>
      </x:c>
      <x:c r="C199" s="18" t="str">
        <x:v>tobacco vape flavors</x:v>
      </x:c>
      <x:c r="D199" s="18" t="str">
        <x:v>recommended</x:v>
      </x:c>
      <x:c r="E199" s="41" t="n">
        <x:v>40</x:v>
      </x:c>
      <x:c r="F199" s="41" t="n">
        <x:v>4</x:v>
      </x:c>
      <x:c r="G199" s="18" t="str">
        <x:v>informational</x:v>
      </x:c>
      <x:c r="H199" s="18" t="str">
        <x:v>Flavor / 口味</x:v>
      </x:c>
      <x:c r="I199" s="18" t="str">
        <x:v>场景/需求词</x:v>
      </x:c>
      <x:c r="J199" s="18" t="str">
        <x:v>博客B-场景人群</x:v>
      </x:c>
      <x:c r="K199" s="18" t="str"/>
      <x:c r="L199" s="18" t="str">
        <x:f>IF(K199="",J199,K199)</x:f>
        <x:v>博客B-场景人群</x:v>
      </x:c>
      <x:c r="M199" s="18" t="str">
        <x:v>场景解决方案/选购指南文章</x:v>
      </x:c>
      <x:c r="N199" s="18" t="str">
        <x:v>Scenario angle: how to choose tobacco vape flavors based on use case, flavor, nicotine, and budget</x:v>
      </x:c>
      <x:c r="O199" s="18" t="str">
        <x:v>/collections/flavored-disposable-vapes</x:v>
      </x:c>
      <x:c r="P199" s="18" t="str">
        <x:v>是</x:v>
      </x:c>
      <x:c r="Q199" s="18" t="str">
        <x:v>自然句/品类词</x:v>
      </x:c>
      <x:c r="R199" s="18" t="str">
        <x:v>低中风险：适合软性导流，但不要夸大效果或触碰健康疗效</x:v>
      </x:c>
      <x:c r="S199" s="18" t="str">
        <x:v>围绕使用场景、口味、尼古丁需求、便携性等写，不和主站品类页抢词。</x:v>
      </x:c>
      <x:c r="T199" s="42" t="n">
        <x:v>4</x:v>
      </x:c>
      <x:c r="U199" s="42" t="n">
        <x:v>15</x:v>
      </x:c>
      <x:c r="V199" s="42" t="n">
        <x:v>13</x:v>
      </x:c>
      <x:c r="W199" s="42" t="n">
        <x:v>14</x:v>
      </x:c>
      <x:c r="X199" s="42" t="n">
        <x:v>13</x:v>
      </x:c>
      <x:c r="Y199" s="42" t="n">
        <x:v>5</x:v>
      </x:c>
      <x:c r="Z199" s="42" t="n">
        <x:f>MAX(0,MIN(100,ROUND(((T199+U199+V199+W199+X199)-Y199)/85*100,0)))</x:f>
        <x:v>64</x:v>
      </x:c>
      <x:c r="AA199" s="18" t="str">
        <x:f>IF(L199="暂不做","P3 暂缓",IF(Z199&gt;=75,"P0 本周做",IF(Z199&gt;=60,"P1 近期做",IF(Z199&gt;=45,"P2 备选","P3 暂缓"))))</x:f>
        <x:v>P1 近期做</x:v>
      </x:c>
      <x:c r="AB199" s="18" t="str">
        <x:f>IF(Y199&gt;=15,"先做合规/相关性复核，不建议直接商业导流",IF(L199="主站","建/优化主站商业页",IF(L199="博客A-知识教程","写知识教程/FAQ文章",IF(L199="博客B-场景人群","写场景需求/选购指南文章",IF(L199="博客C-对比评测","写对比评测/榜单文章","暂不做或人工复核")))))</x:f>
        <x:v>写场景需求/选购指南文章</x:v>
      </x:c>
      <x:c r="AC199" s="18" t="str">
        <x:v>Best Disposable Vape Flavors in 2026: Top 10 Most Popular Choices - ExDivo</x:v>
      </x:c>
      <x:c r="AD199" s="19" t="str">
        <x:v>best disposable vape flavors in 2026: top 10 most popular choices</x:v>
      </x:c>
    </x:row>
    <x:row r="200">
      <x:c r="A200" s="40" t="n">
        <x:v>200</x:v>
      </x:c>
      <x:c r="B200" s="18" t="str">
        <x:v>https://exdivo.com/blogs/best-disposable-vape-flavors-in-2026-top-10-most-popular-choices?data_from=index_index</x:v>
      </x:c>
      <x:c r="C200" s="18" t="str">
        <x:v>different vape flavors</x:v>
      </x:c>
      <x:c r="D200" s="18" t="str">
        <x:v>recommended</x:v>
      </x:c>
      <x:c r="E200" s="41" t="n">
        <x:v>140</x:v>
      </x:c>
      <x:c r="F200" s="41" t="n">
        <x:v>29</x:v>
      </x:c>
      <x:c r="G200" s="18" t="str">
        <x:v>informational</x:v>
      </x:c>
      <x:c r="H200" s="18" t="str">
        <x:v>Flavor / 口味</x:v>
      </x:c>
      <x:c r="I200" s="18" t="str">
        <x:v>场景/需求词</x:v>
      </x:c>
      <x:c r="J200" s="18" t="str">
        <x:v>博客B-场景人群</x:v>
      </x:c>
      <x:c r="K200" s="18" t="str"/>
      <x:c r="L200" s="18" t="str">
        <x:f>IF(K200="",J200,K200)</x:f>
        <x:v>博客B-场景人群</x:v>
      </x:c>
      <x:c r="M200" s="18" t="str">
        <x:v>场景解决方案/选购指南文章</x:v>
      </x:c>
      <x:c r="N200" s="18" t="str">
        <x:v>Scenario angle: how to choose different vape flavors based on use case, flavor, nicotine, and budget</x:v>
      </x:c>
      <x:c r="O200" s="18" t="str">
        <x:v>/collections/flavored-disposable-vapes</x:v>
      </x:c>
      <x:c r="P200" s="18" t="str">
        <x:v>是</x:v>
      </x:c>
      <x:c r="Q200" s="18" t="str">
        <x:v>自然句/品类词</x:v>
      </x:c>
      <x:c r="R200" s="18" t="str">
        <x:v>低中风险：适合软性导流，但不要夸大效果或触碰健康疗效</x:v>
      </x:c>
      <x:c r="S200" s="18" t="str">
        <x:v>围绕使用场景、口味、尼古丁需求、便携性等写，不和主站品类页抢词。</x:v>
      </x:c>
      <x:c r="T200" s="42" t="n">
        <x:v>7</x:v>
      </x:c>
      <x:c r="U200" s="42" t="n">
        <x:v>12</x:v>
      </x:c>
      <x:c r="V200" s="42" t="n">
        <x:v>13</x:v>
      </x:c>
      <x:c r="W200" s="42" t="n">
        <x:v>14</x:v>
      </x:c>
      <x:c r="X200" s="42" t="n">
        <x:v>13</x:v>
      </x:c>
      <x:c r="Y200" s="42" t="n">
        <x:v>5</x:v>
      </x:c>
      <x:c r="Z200" s="42" t="n">
        <x:f>MAX(0,MIN(100,ROUND(((T200+U200+V200+W200+X200)-Y200)/85*100,0)))</x:f>
        <x:v>64</x:v>
      </x:c>
      <x:c r="AA200" s="18" t="str">
        <x:f>IF(L200="暂不做","P3 暂缓",IF(Z200&gt;=75,"P0 本周做",IF(Z200&gt;=60,"P1 近期做",IF(Z200&gt;=45,"P2 备选","P3 暂缓"))))</x:f>
        <x:v>P1 近期做</x:v>
      </x:c>
      <x:c r="AB200" s="18" t="str">
        <x:f>IF(Y200&gt;=15,"先做合规/相关性复核，不建议直接商业导流",IF(L200="主站","建/优化主站商业页",IF(L200="博客A-知识教程","写知识教程/FAQ文章",IF(L200="博客B-场景人群","写场景需求/选购指南文章",IF(L200="博客C-对比评测","写对比评测/榜单文章","暂不做或人工复核")))))</x:f>
        <x:v>写场景需求/选购指南文章</x:v>
      </x:c>
      <x:c r="AC200" s="18" t="str">
        <x:v>Best Disposable Vape Flavors in 2026: Top 10 Most Popular Choices - ExDivo</x:v>
      </x:c>
      <x:c r="AD200" s="19" t="str">
        <x:v>best disposable vape flavors in 2026: top 10 most popular choices</x:v>
      </x:c>
    </x:row>
    <x:row r="201">
      <x:c r="A201" s="40" t="n">
        <x:v>201</x:v>
      </x:c>
      <x:c r="B201" s="18" t="str">
        <x:v>https://exdivo.com/blogs/best-disposable-vape-flavors-in-2026-top-10-most-popular-choices?data_from=index_index</x:v>
      </x:c>
      <x:c r="C201" s="18" t="str">
        <x:v>flavors vape</x:v>
      </x:c>
      <x:c r="D201" s="18" t="str">
        <x:v>recommended</x:v>
      </x:c>
      <x:c r="E201" s="41" t="n">
        <x:v>70</x:v>
      </x:c>
      <x:c r="F201" s="41" t="n">
        <x:v>54</x:v>
      </x:c>
      <x:c r="G201" s="18" t="str">
        <x:v>informational</x:v>
      </x:c>
      <x:c r="H201" s="18" t="str">
        <x:v>Flavor / 口味</x:v>
      </x:c>
      <x:c r="I201" s="18" t="str">
        <x:v>场景/需求词</x:v>
      </x:c>
      <x:c r="J201" s="18" t="str">
        <x:v>博客B-场景人群</x:v>
      </x:c>
      <x:c r="K201" s="18" t="str"/>
      <x:c r="L201" s="18" t="str">
        <x:f>IF(K201="",J201,K201)</x:f>
        <x:v>博客B-场景人群</x:v>
      </x:c>
      <x:c r="M201" s="18" t="str">
        <x:v>场景解决方案/选购指南文章</x:v>
      </x:c>
      <x:c r="N201" s="18" t="str">
        <x:v>Scenario angle: how to choose flavors vape based on use case, flavor, nicotine, and budget</x:v>
      </x:c>
      <x:c r="O201" s="18" t="str">
        <x:v>/collections/flavored-disposable-vapes</x:v>
      </x:c>
      <x:c r="P201" s="18" t="str">
        <x:v>是</x:v>
      </x:c>
      <x:c r="Q201" s="18" t="str">
        <x:v>自然句/品类词</x:v>
      </x:c>
      <x:c r="R201" s="18" t="str">
        <x:v>低中风险：适合软性导流，但不要夸大效果或触碰健康疗效</x:v>
      </x:c>
      <x:c r="S201" s="18" t="str">
        <x:v>围绕使用场景、口味、尼古丁需求、便携性等写，不和主站品类页抢词。</x:v>
      </x:c>
      <x:c r="T201" s="42" t="n">
        <x:v>4</x:v>
      </x:c>
      <x:c r="U201" s="42" t="n">
        <x:v>6</x:v>
      </x:c>
      <x:c r="V201" s="42" t="n">
        <x:v>13</x:v>
      </x:c>
      <x:c r="W201" s="42" t="n">
        <x:v>14</x:v>
      </x:c>
      <x:c r="X201" s="42" t="n">
        <x:v>13</x:v>
      </x:c>
      <x:c r="Y201" s="42" t="n">
        <x:v>5</x:v>
      </x:c>
      <x:c r="Z201" s="42" t="n">
        <x:f>MAX(0,MIN(100,ROUND(((T201+U201+V201+W201+X201)-Y201)/85*100,0)))</x:f>
        <x:v>53</x:v>
      </x:c>
      <x:c r="AA201" s="18" t="str">
        <x:f>IF(L201="暂不做","P3 暂缓",IF(Z201&gt;=75,"P0 本周做",IF(Z201&gt;=60,"P1 近期做",IF(Z201&gt;=45,"P2 备选","P3 暂缓"))))</x:f>
        <x:v>P2 备选</x:v>
      </x:c>
      <x:c r="AB201" s="18" t="str">
        <x:f>IF(Y201&gt;=15,"先做合规/相关性复核，不建议直接商业导流",IF(L201="主站","建/优化主站商业页",IF(L201="博客A-知识教程","写知识教程/FAQ文章",IF(L201="博客B-场景人群","写场景需求/选购指南文章",IF(L201="博客C-对比评测","写对比评测/榜单文章","暂不做或人工复核")))))</x:f>
        <x:v>写场景需求/选购指南文章</x:v>
      </x:c>
      <x:c r="AC201" s="18" t="str">
        <x:v>Best Disposable Vape Flavors in 2026: Top 10 Most Popular Choices - ExDivo</x:v>
      </x:c>
      <x:c r="AD201" s="19" t="str">
        <x:v>best disposable vape flavors in 2026: top 10 most popular choices</x:v>
      </x:c>
    </x:row>
    <x:row r="202">
      <x:c r="A202" s="40" t="n">
        <x:v>202</x:v>
      </x:c>
      <x:c r="B202" s="18" t="str">
        <x:v>https://exdivo.com/blogs/best-disposable-vape-flavors-in-2026-top-10-most-popular-choices?data_from=index_index</x:v>
      </x:c>
      <x:c r="C202" s="18" t="str">
        <x:v>vape juice flavours</x:v>
      </x:c>
      <x:c r="D202" s="18" t="str">
        <x:v>recommended</x:v>
      </x:c>
      <x:c r="E202" s="41" t="n">
        <x:v>50</x:v>
      </x:c>
      <x:c r="F202" s="41" t="n">
        <x:v>22</x:v>
      </x:c>
      <x:c r="G202" s="18" t="str">
        <x:v>commercial</x:v>
      </x:c>
      <x:c r="H202" s="18" t="str">
        <x:v>General Vape</x:v>
      </x:c>
      <x:c r="I202" s="18" t="str">
        <x:v>品类承接词</x:v>
      </x:c>
      <x:c r="J202" s="18" t="str">
        <x:v>主站</x:v>
      </x:c>
      <x:c r="K202" s="18" t="str"/>
      <x:c r="L202" s="18" t="str">
        <x:f>IF(K202="",J202,K202)</x:f>
        <x:v>主站</x:v>
      </x:c>
      <x:c r="M202" s="18" t="str">
        <x:v>品类页/集合页 + FAQ内容块</x:v>
      </x:c>
      <x:c r="N202" s="18" t="str">
        <x:v>主站品类页：用产品集合 + 选购说明承接</x:v>
      </x:c>
      <x:c r="O202" s="18" t="str">
        <x:v>/collections/disposable-vapes</x:v>
      </x:c>
      <x:c r="P202" s="18" t="str">
        <x:v>不适用</x:v>
      </x:c>
      <x:c r="Q202" s="18" t="str">
        <x:v>主站页面自身承接</x:v>
      </x:c>
      <x:c r="R202" s="18" t="str">
        <x:v>核心品类词：主站优先，博客只做长尾解释，不直接抢同一词</x:v>
      </x:c>
      <x:c r="S202" s="18" t="str">
        <x:v>如果 Google 首页产品页和指南混合，主站页要加 FAQ、选购指南、对比模块。</x:v>
      </x:c>
      <x:c r="T202" s="42" t="n">
        <x:v>4</x:v>
      </x:c>
      <x:c r="U202" s="42" t="n">
        <x:v>12</x:v>
      </x:c>
      <x:c r="V202" s="42" t="n">
        <x:v>18</x:v>
      </x:c>
      <x:c r="W202" s="42" t="n">
        <x:v>8</x:v>
      </x:c>
      <x:c r="X202" s="42" t="n">
        <x:v>15</x:v>
      </x:c>
      <x:c r="Y202" s="42" t="n">
        <x:v>4</x:v>
      </x:c>
      <x:c r="Z202" s="42" t="n">
        <x:f>MAX(0,MIN(100,ROUND(((T202+U202+V202+W202+X202)-Y202)/85*100,0)))</x:f>
        <x:v>62</x:v>
      </x:c>
      <x:c r="AA202" s="18" t="str">
        <x:f>IF(L202="暂不做","P3 暂缓",IF(Z202&gt;=75,"P0 本周做",IF(Z202&gt;=60,"P1 近期做",IF(Z202&gt;=45,"P2 备选","P3 暂缓"))))</x:f>
        <x:v>P1 近期做</x:v>
      </x:c>
      <x:c r="AB202" s="18" t="str">
        <x:f>IF(Y202&gt;=15,"先做合规/相关性复核，不建议直接商业导流",IF(L202="主站","建/优化主站商业页",IF(L202="博客A-知识教程","写知识教程/FAQ文章",IF(L202="博客B-场景人群","写场景需求/选购指南文章",IF(L202="博客C-对比评测","写对比评测/榜单文章","暂不做或人工复核")))))</x:f>
        <x:v>建/优化主站商业页</x:v>
      </x:c>
      <x:c r="AC202" s="18" t="str">
        <x:v>Best Disposable Vape Flavors in 2026: Top 10 Most Popular Choices - ExDivo</x:v>
      </x:c>
      <x:c r="AD202" s="19" t="str">
        <x:v>best disposable vape flavors in 2026: top 10 most popular choices</x:v>
      </x:c>
    </x:row>
    <x:row r="203">
      <x:c r="A203" s="40" t="n">
        <x:v>203</x:v>
      </x:c>
      <x:c r="B203" s="18" t="str">
        <x:v>https://exdivo.com/blogs/best-disposable-vape-flavors-in-2026-top-10-most-popular-choices?data_from=index_index</x:v>
      </x:c>
      <x:c r="C203" s="18" t="str">
        <x:v>flavoured vape</x:v>
      </x:c>
      <x:c r="D203" s="18" t="str">
        <x:v>recommended</x:v>
      </x:c>
      <x:c r="E203" s="41" t="n">
        <x:v>40</x:v>
      </x:c>
      <x:c r="F203" s="41" t="n">
        <x:v>50</x:v>
      </x:c>
      <x:c r="G203" s="18" t="str">
        <x:v>informational, commercial</x:v>
      </x:c>
      <x:c r="H203" s="18" t="str">
        <x:v>Flavor / 口味</x:v>
      </x:c>
      <x:c r="I203" s="18" t="str">
        <x:v>品类承接词</x:v>
      </x:c>
      <x:c r="J203" s="18" t="str">
        <x:v>主站</x:v>
      </x:c>
      <x:c r="K203" s="18" t="str"/>
      <x:c r="L203" s="18" t="str">
        <x:f>IF(K203="",J203,K203)</x:f>
        <x:v>主站</x:v>
      </x:c>
      <x:c r="M203" s="18" t="str">
        <x:v>品类页/集合页 + FAQ内容块</x:v>
      </x:c>
      <x:c r="N203" s="18" t="str">
        <x:v>主站品类页：用产品集合 + 选购说明承接</x:v>
      </x:c>
      <x:c r="O203" s="18" t="str">
        <x:v>/collections/flavored-disposable-vapes</x:v>
      </x:c>
      <x:c r="P203" s="18" t="str">
        <x:v>不适用</x:v>
      </x:c>
      <x:c r="Q203" s="18" t="str">
        <x:v>主站页面自身承接</x:v>
      </x:c>
      <x:c r="R203" s="18" t="str">
        <x:v>核心品类词：主站优先，博客只做长尾解释，不直接抢同一词</x:v>
      </x:c>
      <x:c r="S203" s="18" t="str">
        <x:v>如果 Google 首页产品页和指南混合，主站页要加 FAQ、选购指南、对比模块。</x:v>
      </x:c>
      <x:c r="T203" s="42" t="n">
        <x:v>4</x:v>
      </x:c>
      <x:c r="U203" s="42" t="n">
        <x:v>6</x:v>
      </x:c>
      <x:c r="V203" s="42" t="n">
        <x:v>18</x:v>
      </x:c>
      <x:c r="W203" s="42" t="n">
        <x:v>8</x:v>
      </x:c>
      <x:c r="X203" s="42" t="n">
        <x:v>15</x:v>
      </x:c>
      <x:c r="Y203" s="42" t="n">
        <x:v>4</x:v>
      </x:c>
      <x:c r="Z203" s="42" t="n">
        <x:f>MAX(0,MIN(100,ROUND(((T203+U203+V203+W203+X203)-Y203)/85*100,0)))</x:f>
        <x:v>55</x:v>
      </x:c>
      <x:c r="AA203" s="18" t="str">
        <x:f>IF(L203="暂不做","P3 暂缓",IF(Z203&gt;=75,"P0 本周做",IF(Z203&gt;=60,"P1 近期做",IF(Z203&gt;=45,"P2 备选","P3 暂缓"))))</x:f>
        <x:v>P2 备选</x:v>
      </x:c>
      <x:c r="AB203" s="18" t="str">
        <x:f>IF(Y203&gt;=15,"先做合规/相关性复核，不建议直接商业导流",IF(L203="主站","建/优化主站商业页",IF(L203="博客A-知识教程","写知识教程/FAQ文章",IF(L203="博客B-场景人群","写场景需求/选购指南文章",IF(L203="博客C-对比评测","写对比评测/榜单文章","暂不做或人工复核")))))</x:f>
        <x:v>建/优化主站商业页</x:v>
      </x:c>
      <x:c r="AC203" s="18" t="str">
        <x:v>Best Disposable Vape Flavors in 2026: Top 10 Most Popular Choices - ExDivo</x:v>
      </x:c>
      <x:c r="AD203" s="19" t="str">
        <x:v>best disposable vape flavors in 2026: top 10 most popular choices</x:v>
      </x:c>
    </x:row>
    <x:row r="204">
      <x:c r="A204" s="40" t="n">
        <x:v>204</x:v>
      </x:c>
      <x:c r="B204" s="18" t="str">
        <x:v>https://exdivo.com/blogs/best-disposable-vape-flavors-in-2026-top-10-most-popular-choices?data_from=index_index</x:v>
      </x:c>
      <x:c r="C204" s="18" t="str">
        <x:v>top disposable vape flavors</x:v>
      </x:c>
      <x:c r="D204" s="18" t="str">
        <x:v>recommended</x:v>
      </x:c>
      <x:c r="E204" s="41" t="n">
        <x:v>0</x:v>
      </x:c>
      <x:c r="F204" s="41" t="n">
        <x:v>0</x:v>
      </x:c>
      <x:c r="G204" s="18" t="str">
        <x:v>48</x:v>
      </x:c>
      <x:c r="H204" s="18" t="str">
        <x:v>Disposable Vape</x:v>
      </x:c>
      <x:c r="I204" s="18" t="str">
        <x:v>商业调查词</x:v>
      </x:c>
      <x:c r="J204" s="18" t="str">
        <x:v>博客C-对比评测</x:v>
      </x:c>
      <x:c r="K204" s="18" t="str"/>
      <x:c r="L204" s="18" t="str">
        <x:f>IF(K204="",J204,K204)</x:f>
        <x:v>博客C-对比评测</x:v>
      </x:c>
      <x:c r="M204" s="18" t="str">
        <x:v>Best/Top/Review/VS/替代方案文章</x:v>
      </x:c>
      <x:c r="N204" s="18" t="str">
        <x:v>Best angle: top disposable vape flavors - comparison, pros/cons, and which option fits different buyers</x:v>
      </x:c>
      <x:c r="O204" s="18" t="str">
        <x:v>/collections/flavored-disposable-vapes</x:v>
      </x:c>
      <x:c r="P204" s="18" t="str">
        <x:v>是</x:v>
      </x:c>
      <x:c r="Q204" s="18" t="str">
        <x:v>自然句/品类词/品牌词</x:v>
      </x:c>
      <x:c r="R204" s="18" t="str">
        <x:v>中风险：榜单和评测必须真实、中立，避免夸大</x:v>
      </x:c>
      <x:c r="S204" s="18" t="str">
        <x:v>这类词不直接给主站，先用博客C教育和比较，再导流到最相关集合页。</x:v>
      </x:c>
      <x:c r="T204" s="42" t="n">
        <x:v>1</x:v>
      </x:c>
      <x:c r="U204" s="42" t="n">
        <x:v>15</x:v>
      </x:c>
      <x:c r="V204" s="42" t="n">
        <x:v>16</x:v>
      </x:c>
      <x:c r="W204" s="42" t="n">
        <x:v>15</x:v>
      </x:c>
      <x:c r="X204" s="42" t="n">
        <x:v>13</x:v>
      </x:c>
      <x:c r="Y204" s="42" t="n">
        <x:v>6</x:v>
      </x:c>
      <x:c r="Z204" s="42" t="n">
        <x:f>MAX(0,MIN(100,ROUND(((T204+U204+V204+W204+X204)-Y204)/85*100,0)))</x:f>
        <x:v>64</x:v>
      </x:c>
      <x:c r="AA204" s="18" t="str">
        <x:f>IF(L204="暂不做","P3 暂缓",IF(Z204&gt;=75,"P0 本周做",IF(Z204&gt;=60,"P1 近期做",IF(Z204&gt;=45,"P2 备选","P3 暂缓"))))</x:f>
        <x:v>P1 近期做</x:v>
      </x:c>
      <x:c r="AB204" s="18" t="str">
        <x:f>IF(Y204&gt;=15,"先做合规/相关性复核，不建议直接商业导流",IF(L204="主站","建/优化主站商业页",IF(L204="博客A-知识教程","写知识教程/FAQ文章",IF(L204="博客B-场景人群","写场景需求/选购指南文章",IF(L204="博客C-对比评测","写对比评测/榜单文章","暂不做或人工复核")))))</x:f>
        <x:v>写对比评测/榜单文章</x:v>
      </x:c>
      <x:c r="AC204" s="18" t="str">
        <x:v>Best Disposable Vape Flavors in 2026: Top 10 Most Popular Choices - ExDivo</x:v>
      </x:c>
      <x:c r="AD204" s="19" t="str">
        <x:v>best disposable vape flavors in 2026: top 10 most popular choices</x:v>
      </x:c>
    </x:row>
    <x:row r="205">
      <x:c r="A205" s="40" t="n">
        <x:v>205</x:v>
      </x:c>
      <x:c r="B205" s="18" t="str">
        <x:v>https://exdivo.com/blogs/best-disposable-vape-flavors-in-2026-top-10-most-popular-choices?data_from=index_index</x:v>
      </x:c>
      <x:c r="C205" s="18" t="str">
        <x:v>popular disposable vape flavors</x:v>
      </x:c>
      <x:c r="D205" s="18" t="str">
        <x:v>recommended</x:v>
      </x:c>
      <x:c r="E205" s="41" t="n">
        <x:v>0</x:v>
      </x:c>
      <x:c r="F205" s="41" t="n">
        <x:v>0</x:v>
      </x:c>
      <x:c r="G205" s="18" t="str">
        <x:v>48</x:v>
      </x:c>
      <x:c r="H205" s="18" t="str">
        <x:v>Disposable Vape</x:v>
      </x:c>
      <x:c r="I205" s="18" t="str">
        <x:v>商业调查词</x:v>
      </x:c>
      <x:c r="J205" s="18" t="str">
        <x:v>博客C-对比评测</x:v>
      </x:c>
      <x:c r="K205" s="18" t="str"/>
      <x:c r="L205" s="18" t="str">
        <x:f>IF(K205="",J205,K205)</x:f>
        <x:v>博客C-对比评测</x:v>
      </x:c>
      <x:c r="M205" s="18" t="str">
        <x:v>Best/Top/Review/VS/替代方案文章</x:v>
      </x:c>
      <x:c r="N205" s="18" t="str">
        <x:v>Best angle: popular disposable vape flavors - comparison, pros/cons, and which option fits different buyers</x:v>
      </x:c>
      <x:c r="O205" s="18" t="str">
        <x:v>/collections/flavored-disposable-vapes</x:v>
      </x:c>
      <x:c r="P205" s="18" t="str">
        <x:v>是</x:v>
      </x:c>
      <x:c r="Q205" s="18" t="str">
        <x:v>自然句/品类词/品牌词</x:v>
      </x:c>
      <x:c r="R205" s="18" t="str">
        <x:v>中风险：榜单和评测必须真实、中立，避免夸大</x:v>
      </x:c>
      <x:c r="S205" s="18" t="str">
        <x:v>这类词不直接给主站，先用博客C教育和比较，再导流到最相关集合页。</x:v>
      </x:c>
      <x:c r="T205" s="42" t="n">
        <x:v>1</x:v>
      </x:c>
      <x:c r="U205" s="42" t="n">
        <x:v>15</x:v>
      </x:c>
      <x:c r="V205" s="42" t="n">
        <x:v>16</x:v>
      </x:c>
      <x:c r="W205" s="42" t="n">
        <x:v>15</x:v>
      </x:c>
      <x:c r="X205" s="42" t="n">
        <x:v>13</x:v>
      </x:c>
      <x:c r="Y205" s="42" t="n">
        <x:v>6</x:v>
      </x:c>
      <x:c r="Z205" s="42" t="n">
        <x:f>MAX(0,MIN(100,ROUND(((T205+U205+V205+W205+X205)-Y205)/85*100,0)))</x:f>
        <x:v>64</x:v>
      </x:c>
      <x:c r="AA205" s="18" t="str">
        <x:f>IF(L205="暂不做","P3 暂缓",IF(Z205&gt;=75,"P0 本周做",IF(Z205&gt;=60,"P1 近期做",IF(Z205&gt;=45,"P2 备选","P3 暂缓"))))</x:f>
        <x:v>P1 近期做</x:v>
      </x:c>
      <x:c r="AB205" s="18" t="str">
        <x:f>IF(Y205&gt;=15,"先做合规/相关性复核，不建议直接商业导流",IF(L205="主站","建/优化主站商业页",IF(L205="博客A-知识教程","写知识教程/FAQ文章",IF(L205="博客B-场景人群","写场景需求/选购指南文章",IF(L205="博客C-对比评测","写对比评测/榜单文章","暂不做或人工复核")))))</x:f>
        <x:v>写对比评测/榜单文章</x:v>
      </x:c>
      <x:c r="AC205" s="18" t="str">
        <x:v>Best Disposable Vape Flavors in 2026: Top 10 Most Popular Choices - ExDivo</x:v>
      </x:c>
      <x:c r="AD205" s="19" t="str">
        <x:v>best disposable vape flavors in 2026: top 10 most popular choices</x:v>
      </x:c>
    </x:row>
    <x:row r="206">
      <x:c r="A206" s="40" t="n">
        <x:v>206</x:v>
      </x:c>
      <x:c r="B206" s="18" t="str">
        <x:v>https://exdivo.com/blogs/best-disposable-vape-flavors-in-2026-top-10-most-popular-choices?data_from=index_index</x:v>
      </x:c>
      <x:c r="C206" s="18" t="str">
        <x:v>best disposable vape flavors 2026</x:v>
      </x:c>
      <x:c r="D206" s="18" t="str">
        <x:v>recommended</x:v>
      </x:c>
      <x:c r="E206" s="41" t="n">
        <x:v>0</x:v>
      </x:c>
      <x:c r="F206" s="41" t="n">
        <x:v>0</x:v>
      </x:c>
      <x:c r="G206" s="18" t="str">
        <x:v>48</x:v>
      </x:c>
      <x:c r="H206" s="18" t="str">
        <x:v>Disposable Vape</x:v>
      </x:c>
      <x:c r="I206" s="18" t="str">
        <x:v>商业调查词</x:v>
      </x:c>
      <x:c r="J206" s="18" t="str">
        <x:v>博客C-对比评测</x:v>
      </x:c>
      <x:c r="K206" s="18" t="str"/>
      <x:c r="L206" s="18" t="str">
        <x:f>IF(K206="",J206,K206)</x:f>
        <x:v>博客C-对比评测</x:v>
      </x:c>
      <x:c r="M206" s="18" t="str">
        <x:v>Best/Top/Review/VS/替代方案文章</x:v>
      </x:c>
      <x:c r="N206" s="18" t="str">
        <x:v>Best angle: best disposable vape flavors 2026 - comparison, pros/cons, and which option fits different buyers</x:v>
      </x:c>
      <x:c r="O206" s="18" t="str">
        <x:v>/collections/flavored-disposable-vapes</x:v>
      </x:c>
      <x:c r="P206" s="18" t="str">
        <x:v>是</x:v>
      </x:c>
      <x:c r="Q206" s="18" t="str">
        <x:v>自然句/品类词/品牌词</x:v>
      </x:c>
      <x:c r="R206" s="18" t="str">
        <x:v>中风险：榜单和评测必须真实、中立，避免夸大</x:v>
      </x:c>
      <x:c r="S206" s="18" t="str">
        <x:v>这类词不直接给主站，先用博客C教育和比较，再导流到最相关集合页。</x:v>
      </x:c>
      <x:c r="T206" s="42" t="n">
        <x:v>1</x:v>
      </x:c>
      <x:c r="U206" s="42" t="n">
        <x:v>15</x:v>
      </x:c>
      <x:c r="V206" s="42" t="n">
        <x:v>16</x:v>
      </x:c>
      <x:c r="W206" s="42" t="n">
        <x:v>15</x:v>
      </x:c>
      <x:c r="X206" s="42" t="n">
        <x:v>13</x:v>
      </x:c>
      <x:c r="Y206" s="42" t="n">
        <x:v>6</x:v>
      </x:c>
      <x:c r="Z206" s="42" t="n">
        <x:f>MAX(0,MIN(100,ROUND(((T206+U206+V206+W206+X206)-Y206)/85*100,0)))</x:f>
        <x:v>64</x:v>
      </x:c>
      <x:c r="AA206" s="18" t="str">
        <x:f>IF(L206="暂不做","P3 暂缓",IF(Z206&gt;=75,"P0 本周做",IF(Z206&gt;=60,"P1 近期做",IF(Z206&gt;=45,"P2 备选","P3 暂缓"))))</x:f>
        <x:v>P1 近期做</x:v>
      </x:c>
      <x:c r="AB206" s="18" t="str">
        <x:f>IF(Y206&gt;=15,"先做合规/相关性复核，不建议直接商业导流",IF(L206="主站","建/优化主站商业页",IF(L206="博客A-知识教程","写知识教程/FAQ文章",IF(L206="博客B-场景人群","写场景需求/选购指南文章",IF(L206="博客C-对比评测","写对比评测/榜单文章","暂不做或人工复核")))))</x:f>
        <x:v>写对比评测/榜单文章</x:v>
      </x:c>
      <x:c r="AC206" s="18" t="str">
        <x:v>Best Disposable Vape Flavors in 2026: Top 10 Most Popular Choices - ExDivo</x:v>
      </x:c>
      <x:c r="AD206" s="19" t="str">
        <x:v>best disposable vape flavors in 2026: top 10 most popular choices</x:v>
      </x:c>
    </x:row>
    <x:row r="207">
      <x:c r="A207" s="40" t="n">
        <x:v>207</x:v>
      </x:c>
      <x:c r="B207" s="18" t="str">
        <x:v>https://exdivo.com/blogs/best-disposable-vape-flavors-in-2026-top-10-most-popular-choices?data_from=index_index</x:v>
      </x:c>
      <x:c r="C207" s="18" t="str">
        <x:v>disposable vape flavor trends</x:v>
      </x:c>
      <x:c r="D207" s="18" t="str">
        <x:v>recommended</x:v>
      </x:c>
      <x:c r="E207" s="41" t="n">
        <x:v>0</x:v>
      </x:c>
      <x:c r="F207" s="41" t="n">
        <x:v>0</x:v>
      </x:c>
      <x:c r="G207" s="18" t="str">
        <x:v>48</x:v>
      </x:c>
      <x:c r="H207" s="18" t="str">
        <x:v>Disposable Vape</x:v>
      </x:c>
      <x:c r="I207" s="18" t="str">
        <x:v>场景/需求词</x:v>
      </x:c>
      <x:c r="J207" s="18" t="str">
        <x:v>博客B-场景人群</x:v>
      </x:c>
      <x:c r="K207" s="18" t="str"/>
      <x:c r="L207" s="18" t="str">
        <x:f>IF(K207="",J207,K207)</x:f>
        <x:v>博客B-场景人群</x:v>
      </x:c>
      <x:c r="M207" s="18" t="str">
        <x:v>场景解决方案/选购指南文章</x:v>
      </x:c>
      <x:c r="N207" s="18" t="str">
        <x:v>Scenario angle: how to choose disposable vape flavor trends based on use case, flavor, nicotine, and budget</x:v>
      </x:c>
      <x:c r="O207" s="18" t="str">
        <x:v>/collections/flavored-disposable-vapes</x:v>
      </x:c>
      <x:c r="P207" s="18" t="str">
        <x:v>是</x:v>
      </x:c>
      <x:c r="Q207" s="18" t="str">
        <x:v>自然句/品类词</x:v>
      </x:c>
      <x:c r="R207" s="18" t="str">
        <x:v>低中风险：适合软性导流，但不要夸大效果或触碰健康疗效</x:v>
      </x:c>
      <x:c r="S207" s="18" t="str">
        <x:v>围绕使用场景、口味、尼古丁需求、便携性等写，不和主站品类页抢词。</x:v>
      </x:c>
      <x:c r="T207" s="42" t="n">
        <x:v>1</x:v>
      </x:c>
      <x:c r="U207" s="42" t="n">
        <x:v>15</x:v>
      </x:c>
      <x:c r="V207" s="42" t="n">
        <x:v>13</x:v>
      </x:c>
      <x:c r="W207" s="42" t="n">
        <x:v>14</x:v>
      </x:c>
      <x:c r="X207" s="42" t="n">
        <x:v>13</x:v>
      </x:c>
      <x:c r="Y207" s="42" t="n">
        <x:v>5</x:v>
      </x:c>
      <x:c r="Z207" s="42" t="n">
        <x:f>MAX(0,MIN(100,ROUND(((T207+U207+V207+W207+X207)-Y207)/85*100,0)))</x:f>
        <x:v>60</x:v>
      </x:c>
      <x:c r="AA207" s="18" t="str">
        <x:f>IF(L207="暂不做","P3 暂缓",IF(Z207&gt;=75,"P0 本周做",IF(Z207&gt;=60,"P1 近期做",IF(Z207&gt;=45,"P2 备选","P3 暂缓"))))</x:f>
        <x:v>P1 近期做</x:v>
      </x:c>
      <x:c r="AB207" s="18" t="str">
        <x:f>IF(Y207&gt;=15,"先做合规/相关性复核，不建议直接商业导流",IF(L207="主站","建/优化主站商业页",IF(L207="博客A-知识教程","写知识教程/FAQ文章",IF(L207="博客B-场景人群","写场景需求/选购指南文章",IF(L207="博客C-对比评测","写对比评测/榜单文章","暂不做或人工复核")))))</x:f>
        <x:v>写场景需求/选购指南文章</x:v>
      </x:c>
      <x:c r="AC207" s="18" t="str">
        <x:v>Best Disposable Vape Flavors in 2026: Top 10 Most Popular Choices - ExDivo</x:v>
      </x:c>
      <x:c r="AD207" s="19" t="str">
        <x:v>best disposable vape flavors in 2026: top 10 most popular choices</x:v>
      </x:c>
    </x:row>
    <x:row r="208">
      <x:c r="A208" s="40" t="n">
        <x:v>208</x:v>
      </x:c>
      <x:c r="B208" s="18" t="str">
        <x:v>https://exdivo.com/blogs/best-disposable-vape-flavors-in-2026-top-10-most-popular-choices?data_from=index_index</x:v>
      </x:c>
      <x:c r="C208" s="18" t="str">
        <x:v>best disposable vape flavors</x:v>
      </x:c>
      <x:c r="D208" s="18" t="str">
        <x:v>recommended</x:v>
      </x:c>
      <x:c r="E208" s="41" t="n">
        <x:v>0</x:v>
      </x:c>
      <x:c r="F208" s="41" t="n">
        <x:v>0</x:v>
      </x:c>
      <x:c r="G208" s="18" t="str">
        <x:v>48</x:v>
      </x:c>
      <x:c r="H208" s="18" t="str">
        <x:v>Disposable Vape</x:v>
      </x:c>
      <x:c r="I208" s="18" t="str">
        <x:v>商业调查词</x:v>
      </x:c>
      <x:c r="J208" s="18" t="str">
        <x:v>博客C-对比评测</x:v>
      </x:c>
      <x:c r="K208" s="18" t="str"/>
      <x:c r="L208" s="18" t="str">
        <x:f>IF(K208="",J208,K208)</x:f>
        <x:v>博客C-对比评测</x:v>
      </x:c>
      <x:c r="M208" s="18" t="str">
        <x:v>Best/Top/Review/VS/替代方案文章</x:v>
      </x:c>
      <x:c r="N208" s="18" t="str">
        <x:v>Best angle: best disposable vape flavors - comparison, pros/cons, and which option fits different buyers</x:v>
      </x:c>
      <x:c r="O208" s="18" t="str">
        <x:v>/collections/flavored-disposable-vapes</x:v>
      </x:c>
      <x:c r="P208" s="18" t="str">
        <x:v>是</x:v>
      </x:c>
      <x:c r="Q208" s="18" t="str">
        <x:v>自然句/品类词/品牌词</x:v>
      </x:c>
      <x:c r="R208" s="18" t="str">
        <x:v>中风险：榜单和评测必须真实、中立，避免夸大</x:v>
      </x:c>
      <x:c r="S208" s="18" t="str">
        <x:v>这类词不直接给主站，先用博客C教育和比较，再导流到最相关集合页。</x:v>
      </x:c>
      <x:c r="T208" s="42" t="n">
        <x:v>1</x:v>
      </x:c>
      <x:c r="U208" s="42" t="n">
        <x:v>15</x:v>
      </x:c>
      <x:c r="V208" s="42" t="n">
        <x:v>16</x:v>
      </x:c>
      <x:c r="W208" s="42" t="n">
        <x:v>15</x:v>
      </x:c>
      <x:c r="X208" s="42" t="n">
        <x:v>13</x:v>
      </x:c>
      <x:c r="Y208" s="42" t="n">
        <x:v>6</x:v>
      </x:c>
      <x:c r="Z208" s="42" t="n">
        <x:f>MAX(0,MIN(100,ROUND(((T208+U208+V208+W208+X208)-Y208)/85*100,0)))</x:f>
        <x:v>64</x:v>
      </x:c>
      <x:c r="AA208" s="18" t="str">
        <x:f>IF(L208="暂不做","P3 暂缓",IF(Z208&gt;=75,"P0 本周做",IF(Z208&gt;=60,"P1 近期做",IF(Z208&gt;=45,"P2 备选","P3 暂缓"))))</x:f>
        <x:v>P1 近期做</x:v>
      </x:c>
      <x:c r="AB208" s="18" t="str">
        <x:f>IF(Y208&gt;=15,"先做合规/相关性复核，不建议直接商业导流",IF(L208="主站","建/优化主站商业页",IF(L208="博客A-知识教程","写知识教程/FAQ文章",IF(L208="博客B-场景人群","写场景需求/选购指南文章",IF(L208="博客C-对比评测","写对比评测/榜单文章","暂不做或人工复核")))))</x:f>
        <x:v>写对比评测/榜单文章</x:v>
      </x:c>
      <x:c r="AC208" s="18" t="str">
        <x:v>Best Disposable Vape Flavors in 2026: Top 10 Most Popular Choices - ExDivo</x:v>
      </x:c>
      <x:c r="AD208" s="19" t="str">
        <x:v>best disposable vape flavors in 2026: top 10 most popular choices</x:v>
      </x:c>
    </x:row>
    <x:row r="209">
      <x:c r="A209" s="40" t="n">
        <x:v>209</x:v>
      </x:c>
      <x:c r="B209" s="18" t="str">
        <x:v>https://exdivo.com/blogs/best-disposable-vape-flavors-in-2026-top-10-most-popular-choices?data_from=index_index</x:v>
      </x:c>
      <x:c r="C209" s="18" t="str">
        <x:v>vape flavor guide</x:v>
      </x:c>
      <x:c r="D209" s="18" t="str">
        <x:v>recommended</x:v>
      </x:c>
      <x:c r="E209" s="41" t="n">
        <x:v>0</x:v>
      </x:c>
      <x:c r="F209" s="41" t="n">
        <x:v>0</x:v>
      </x:c>
      <x:c r="G209" s="18" t="str">
        <x:v>48</x:v>
      </x:c>
      <x:c r="H209" s="18" t="str">
        <x:v>Flavor / 口味</x:v>
      </x:c>
      <x:c r="I209" s="18" t="str">
        <x:v>场景/需求词</x:v>
      </x:c>
      <x:c r="J209" s="18" t="str">
        <x:v>博客B-场景人群</x:v>
      </x:c>
      <x:c r="K209" s="18" t="str"/>
      <x:c r="L209" s="18" t="str">
        <x:f>IF(K209="",J209,K209)</x:f>
        <x:v>博客B-场景人群</x:v>
      </x:c>
      <x:c r="M209" s="18" t="str">
        <x:v>场景解决方案/选购指南文章</x:v>
      </x:c>
      <x:c r="N209" s="18" t="str">
        <x:v>Scenario angle: how to choose vape flavor guide based on use case, flavor, nicotine, and budget</x:v>
      </x:c>
      <x:c r="O209" s="18" t="str">
        <x:v>/collections/flavored-disposable-vapes</x:v>
      </x:c>
      <x:c r="P209" s="18" t="str">
        <x:v>是</x:v>
      </x:c>
      <x:c r="Q209" s="18" t="str">
        <x:v>自然句/品类词</x:v>
      </x:c>
      <x:c r="R209" s="18" t="str">
        <x:v>低中风险：适合软性导流，但不要夸大效果或触碰健康疗效</x:v>
      </x:c>
      <x:c r="S209" s="18" t="str">
        <x:v>围绕使用场景、口味、尼古丁需求、便携性等写，不和主站品类页抢词。</x:v>
      </x:c>
      <x:c r="T209" s="42" t="n">
        <x:v>1</x:v>
      </x:c>
      <x:c r="U209" s="42" t="n">
        <x:v>15</x:v>
      </x:c>
      <x:c r="V209" s="42" t="n">
        <x:v>13</x:v>
      </x:c>
      <x:c r="W209" s="42" t="n">
        <x:v>14</x:v>
      </x:c>
      <x:c r="X209" s="42" t="n">
        <x:v>13</x:v>
      </x:c>
      <x:c r="Y209" s="42" t="n">
        <x:v>5</x:v>
      </x:c>
      <x:c r="Z209" s="42" t="n">
        <x:f>MAX(0,MIN(100,ROUND(((T209+U209+V209+W209+X209)-Y209)/85*100,0)))</x:f>
        <x:v>60</x:v>
      </x:c>
      <x:c r="AA209" s="18" t="str">
        <x:f>IF(L209="暂不做","P3 暂缓",IF(Z209&gt;=75,"P0 本周做",IF(Z209&gt;=60,"P1 近期做",IF(Z209&gt;=45,"P2 备选","P3 暂缓"))))</x:f>
        <x:v>P1 近期做</x:v>
      </x:c>
      <x:c r="AB209" s="18" t="str">
        <x:f>IF(Y209&gt;=15,"先做合规/相关性复核，不建议直接商业导流",IF(L209="主站","建/优化主站商业页",IF(L209="博客A-知识教程","写知识教程/FAQ文章",IF(L209="博客B-场景人群","写场景需求/选购指南文章",IF(L209="博客C-对比评测","写对比评测/榜单文章","暂不做或人工复核")))))</x:f>
        <x:v>写场景需求/选购指南文章</x:v>
      </x:c>
      <x:c r="AC209" s="18" t="str">
        <x:v>Best Disposable Vape Flavors in 2026: Top 10 Most Popular Choices - ExDivo</x:v>
      </x:c>
      <x:c r="AD209" s="19" t="str">
        <x:v>best disposable vape flavors in 2026: top 10 most popular choices</x:v>
      </x:c>
    </x:row>
    <x:row r="210">
      <x:c r="A210" s="40" t="n">
        <x:v>210</x:v>
      </x:c>
      <x:c r="B210" s="18" t="str">
        <x:v>https://exdivo.com/blogs/best-disposable-vape-flavors-in-2026-top-10-most-popular-choices?data_from=index_index</x:v>
      </x:c>
      <x:c r="C210" s="18" t="str">
        <x:v>unique vape flavors</x:v>
      </x:c>
      <x:c r="D210" s="18" t="str">
        <x:v>recommended</x:v>
      </x:c>
      <x:c r="E210" s="41" t="n">
        <x:v>0</x:v>
      </x:c>
      <x:c r="F210" s="41" t="n">
        <x:v>0</x:v>
      </x:c>
      <x:c r="G210" s="18" t="str">
        <x:v>48</x:v>
      </x:c>
      <x:c r="H210" s="18" t="str">
        <x:v>Flavor / 口味</x:v>
      </x:c>
      <x:c r="I210" s="18" t="str">
        <x:v>场景/需求词</x:v>
      </x:c>
      <x:c r="J210" s="18" t="str">
        <x:v>博客B-场景人群</x:v>
      </x:c>
      <x:c r="K210" s="18" t="str"/>
      <x:c r="L210" s="18" t="str">
        <x:f>IF(K210="",J210,K210)</x:f>
        <x:v>博客B-场景人群</x:v>
      </x:c>
      <x:c r="M210" s="18" t="str">
        <x:v>场景解决方案/选购指南文章</x:v>
      </x:c>
      <x:c r="N210" s="18" t="str">
        <x:v>Scenario angle: how to choose unique vape flavors based on use case, flavor, nicotine, and budget</x:v>
      </x:c>
      <x:c r="O210" s="18" t="str">
        <x:v>/collections/flavored-disposable-vapes</x:v>
      </x:c>
      <x:c r="P210" s="18" t="str">
        <x:v>是</x:v>
      </x:c>
      <x:c r="Q210" s="18" t="str">
        <x:v>自然句/品类词</x:v>
      </x:c>
      <x:c r="R210" s="18" t="str">
        <x:v>低中风险：适合软性导流，但不要夸大效果或触碰健康疗效</x:v>
      </x:c>
      <x:c r="S210" s="18" t="str">
        <x:v>围绕使用场景、口味、尼古丁需求、便携性等写，不和主站品类页抢词。</x:v>
      </x:c>
      <x:c r="T210" s="42" t="n">
        <x:v>1</x:v>
      </x:c>
      <x:c r="U210" s="42" t="n">
        <x:v>15</x:v>
      </x:c>
      <x:c r="V210" s="42" t="n">
        <x:v>13</x:v>
      </x:c>
      <x:c r="W210" s="42" t="n">
        <x:v>14</x:v>
      </x:c>
      <x:c r="X210" s="42" t="n">
        <x:v>13</x:v>
      </x:c>
      <x:c r="Y210" s="42" t="n">
        <x:v>5</x:v>
      </x:c>
      <x:c r="Z210" s="42" t="n">
        <x:f>MAX(0,MIN(100,ROUND(((T210+U210+V210+W210+X210)-Y210)/85*100,0)))</x:f>
        <x:v>60</x:v>
      </x:c>
      <x:c r="AA210" s="18" t="str">
        <x:f>IF(L210="暂不做","P3 暂缓",IF(Z210&gt;=75,"P0 本周做",IF(Z210&gt;=60,"P1 近期做",IF(Z210&gt;=45,"P2 备选","P3 暂缓"))))</x:f>
        <x:v>P1 近期做</x:v>
      </x:c>
      <x:c r="AB210" s="18" t="str">
        <x:f>IF(Y210&gt;=15,"先做合规/相关性复核，不建议直接商业导流",IF(L210="主站","建/优化主站商业页",IF(L210="博客A-知识教程","写知识教程/FAQ文章",IF(L210="博客B-场景人群","写场景需求/选购指南文章",IF(L210="博客C-对比评测","写对比评测/榜单文章","暂不做或人工复核")))))</x:f>
        <x:v>写场景需求/选购指南文章</x:v>
      </x:c>
      <x:c r="AC210" s="18" t="str">
        <x:v>Best Disposable Vape Flavors in 2026: Top 10 Most Popular Choices - ExDivo</x:v>
      </x:c>
      <x:c r="AD210" s="19" t="str">
        <x:v>best disposable vape flavors in 2026: top 10 most popular choices</x:v>
      </x:c>
    </x:row>
    <x:row r="211">
      <x:c r="A211" s="40" t="n">
        <x:v>211</x:v>
      </x:c>
      <x:c r="B211" s="18" t="str">
        <x:v>https://exdivo.com/blogs/best-disposable-vape-flavors-in-2026-top-10-most-popular-choices?data_from=index_index</x:v>
      </x:c>
      <x:c r="C211" s="18" t="str">
        <x:v>sweet vape flavors disposable</x:v>
      </x:c>
      <x:c r="D211" s="18" t="str">
        <x:v>recommended</x:v>
      </x:c>
      <x:c r="E211" s="41" t="n">
        <x:v>40</x:v>
      </x:c>
      <x:c r="F211" s="41" t="n">
        <x:v>1</x:v>
      </x:c>
      <x:c r="G211" s="18" t="str">
        <x:v>informational</x:v>
      </x:c>
      <x:c r="H211" s="18" t="str">
        <x:v>Disposable Vape</x:v>
      </x:c>
      <x:c r="I211" s="18" t="str">
        <x:v>场景/需求词</x:v>
      </x:c>
      <x:c r="J211" s="18" t="str">
        <x:v>博客B-场景人群</x:v>
      </x:c>
      <x:c r="K211" s="18" t="str"/>
      <x:c r="L211" s="18" t="str">
        <x:f>IF(K211="",J211,K211)</x:f>
        <x:v>博客B-场景人群</x:v>
      </x:c>
      <x:c r="M211" s="18" t="str">
        <x:v>场景解决方案/选购指南文章</x:v>
      </x:c>
      <x:c r="N211" s="18" t="str">
        <x:v>Scenario angle: how to choose sweet vape flavors disposable based on use case, flavor, nicotine, and budget</x:v>
      </x:c>
      <x:c r="O211" s="18" t="str">
        <x:v>/collections/flavored-disposable-vapes</x:v>
      </x:c>
      <x:c r="P211" s="18" t="str">
        <x:v>是</x:v>
      </x:c>
      <x:c r="Q211" s="18" t="str">
        <x:v>自然句/品类词</x:v>
      </x:c>
      <x:c r="R211" s="18" t="str">
        <x:v>低中风险：适合软性导流，但不要夸大效果或触碰健康疗效</x:v>
      </x:c>
      <x:c r="S211" s="18" t="str">
        <x:v>围绕使用场景、口味、尼古丁需求、便携性等写，不和主站品类页抢词。</x:v>
      </x:c>
      <x:c r="T211" s="42" t="n">
        <x:v>4</x:v>
      </x:c>
      <x:c r="U211" s="42" t="n">
        <x:v>15</x:v>
      </x:c>
      <x:c r="V211" s="42" t="n">
        <x:v>13</x:v>
      </x:c>
      <x:c r="W211" s="42" t="n">
        <x:v>14</x:v>
      </x:c>
      <x:c r="X211" s="42" t="n">
        <x:v>13</x:v>
      </x:c>
      <x:c r="Y211" s="42" t="n">
        <x:v>5</x:v>
      </x:c>
      <x:c r="Z211" s="42" t="n">
        <x:f>MAX(0,MIN(100,ROUND(((T211+U211+V211+W211+X211)-Y211)/85*100,0)))</x:f>
        <x:v>64</x:v>
      </x:c>
      <x:c r="AA211" s="18" t="str">
        <x:f>IF(L211="暂不做","P3 暂缓",IF(Z211&gt;=75,"P0 本周做",IF(Z211&gt;=60,"P1 近期做",IF(Z211&gt;=45,"P2 备选","P3 暂缓"))))</x:f>
        <x:v>P1 近期做</x:v>
      </x:c>
      <x:c r="AB211" s="18" t="str">
        <x:f>IF(Y211&gt;=15,"先做合规/相关性复核，不建议直接商业导流",IF(L211="主站","建/优化主站商业页",IF(L211="博客A-知识教程","写知识教程/FAQ文章",IF(L211="博客B-场景人群","写场景需求/选购指南文章",IF(L211="博客C-对比评测","写对比评测/榜单文章","暂不做或人工复核")))))</x:f>
        <x:v>写场景需求/选购指南文章</x:v>
      </x:c>
      <x:c r="AC211" s="18" t="str">
        <x:v>Best Disposable Vape Flavors in 2026: Top 10 Most Popular Choices - ExDivo</x:v>
      </x:c>
      <x:c r="AD211" s="19" t="str">
        <x:v>best disposable vape flavors in 2026: top 10 most popular choices</x:v>
      </x:c>
    </x:row>
    <x:row r="212">
      <x:c r="A212" s="40" t="n">
        <x:v>212</x:v>
      </x:c>
      <x:c r="B212" s="18" t="str">
        <x:v>https://exdivo.com/blogs/best-disposable-vape-flavors-in-2026-top-10-most-popular-choices?data_from=index_index</x:v>
      </x:c>
      <x:c r="C212" s="18" t="str">
        <x:v>best disposable vape 2024</x:v>
      </x:c>
      <x:c r="D212" s="18" t="str">
        <x:v>recommended</x:v>
      </x:c>
      <x:c r="E212" s="41" t="n">
        <x:v>1600</x:v>
      </x:c>
      <x:c r="F212" s="41" t="n">
        <x:v>29</x:v>
      </x:c>
      <x:c r="G212" s="18" t="str">
        <x:v>commercial</x:v>
      </x:c>
      <x:c r="H212" s="18" t="str">
        <x:v>Disposable Vape</x:v>
      </x:c>
      <x:c r="I212" s="18" t="str">
        <x:v>商业调查词</x:v>
      </x:c>
      <x:c r="J212" s="18" t="str">
        <x:v>博客C-对比评测</x:v>
      </x:c>
      <x:c r="K212" s="18" t="str"/>
      <x:c r="L212" s="18" t="str">
        <x:f>IF(K212="",J212,K212)</x:f>
        <x:v>博客C-对比评测</x:v>
      </x:c>
      <x:c r="M212" s="18" t="str">
        <x:v>Best/Top/Review/VS/替代方案文章</x:v>
      </x:c>
      <x:c r="N212" s="18" t="str">
        <x:v>Best angle: best disposable vape 2024 - comparison, pros/cons, and which option fits different buyers</x:v>
      </x:c>
      <x:c r="O212" s="18" t="str">
        <x:v>/collections/disposable-vapes</x:v>
      </x:c>
      <x:c r="P212" s="18" t="str">
        <x:v>是</x:v>
      </x:c>
      <x:c r="Q212" s="18" t="str">
        <x:v>自然句/品类词/品牌词</x:v>
      </x:c>
      <x:c r="R212" s="18" t="str">
        <x:v>中风险：榜单和评测必须真实、中立，避免夸大</x:v>
      </x:c>
      <x:c r="S212" s="18" t="str">
        <x:v>这类词不直接给主站，先用博客C教育和比较，再导流到最相关集合页。</x:v>
      </x:c>
      <x:c r="T212" s="42" t="n">
        <x:v>13</x:v>
      </x:c>
      <x:c r="U212" s="42" t="n">
        <x:v>12</x:v>
      </x:c>
      <x:c r="V212" s="42" t="n">
        <x:v>16</x:v>
      </x:c>
      <x:c r="W212" s="42" t="n">
        <x:v>15</x:v>
      </x:c>
      <x:c r="X212" s="42" t="n">
        <x:v>13</x:v>
      </x:c>
      <x:c r="Y212" s="42" t="n">
        <x:v>6</x:v>
      </x:c>
      <x:c r="Z212" s="42" t="n">
        <x:f>MAX(0,MIN(100,ROUND(((T212+U212+V212+W212+X212)-Y212)/85*100,0)))</x:f>
        <x:v>74</x:v>
      </x:c>
      <x:c r="AA212" s="18" t="str">
        <x:f>IF(L212="暂不做","P3 暂缓",IF(Z212&gt;=75,"P0 本周做",IF(Z212&gt;=60,"P1 近期做",IF(Z212&gt;=45,"P2 备选","P3 暂缓"))))</x:f>
        <x:v>P1 近期做</x:v>
      </x:c>
      <x:c r="AB212" s="18" t="str">
        <x:f>IF(Y212&gt;=15,"先做合规/相关性复核，不建议直接商业导流",IF(L212="主站","建/优化主站商业页",IF(L212="博客A-知识教程","写知识教程/FAQ文章",IF(L212="博客B-场景人群","写场景需求/选购指南文章",IF(L212="博客C-对比评测","写对比评测/榜单文章","暂不做或人工复核")))))</x:f>
        <x:v>写对比评测/榜单文章</x:v>
      </x:c>
      <x:c r="AC212" s="18" t="str">
        <x:v>Best Disposable Vape Flavors in 2026: Top 10 Most Popular Choices - ExDivo</x:v>
      </x:c>
      <x:c r="AD212" s="19" t="str">
        <x:v>best disposable vape flavors in 2026: top 10 most popular choices</x:v>
      </x:c>
    </x:row>
    <x:row r="213">
      <x:c r="A213" s="40" t="n">
        <x:v>213</x:v>
      </x:c>
      <x:c r="B213" s="18" t="str">
        <x:v>https://exdivo.com/collections/misty-rain?data_from=index_index</x:v>
      </x:c>
      <x:c r="C213" s="18" t="str">
        <x:v>kuz vape series</x:v>
      </x:c>
      <x:c r="D213" s="18" t="str">
        <x:v>recommended</x:v>
      </x:c>
      <x:c r="E213" s="41" t="n">
        <x:v>0</x:v>
      </x:c>
      <x:c r="F213" s="41" t="n">
        <x:v>0</x:v>
      </x:c>
      <x:c r="G213" s="18" t="str">
        <x:v>48</x:v>
      </x:c>
      <x:c r="H213" s="18" t="str">
        <x:v>General Vape</x:v>
      </x:c>
      <x:c r="I213" s="18" t="str">
        <x:v>品类承接词</x:v>
      </x:c>
      <x:c r="J213" s="18" t="str">
        <x:v>主站</x:v>
      </x:c>
      <x:c r="K213" s="18" t="str"/>
      <x:c r="L213" s="18" t="str">
        <x:f>IF(K213="",J213,K213)</x:f>
        <x:v>主站</x:v>
      </x:c>
      <x:c r="M213" s="18" t="str">
        <x:v>品类页/集合页 + FAQ内容块</x:v>
      </x:c>
      <x:c r="N213" s="18" t="str">
        <x:v>主站品类页：用产品集合 + 选购说明承接</x:v>
      </x:c>
      <x:c r="O213" s="18" t="str">
        <x:v>/collections/disposable-vapes</x:v>
      </x:c>
      <x:c r="P213" s="18" t="str">
        <x:v>不适用</x:v>
      </x:c>
      <x:c r="Q213" s="18" t="str">
        <x:v>主站页面自身承接</x:v>
      </x:c>
      <x:c r="R213" s="18" t="str">
        <x:v>核心品类词：主站优先，博客只做长尾解释，不直接抢同一词</x:v>
      </x:c>
      <x:c r="S213" s="18" t="str">
        <x:v>如果 Google 首页产品页和指南混合，主站页要加 FAQ、选购指南、对比模块。</x:v>
      </x:c>
      <x:c r="T213" s="42" t="n">
        <x:v>1</x:v>
      </x:c>
      <x:c r="U213" s="42" t="n">
        <x:v>15</x:v>
      </x:c>
      <x:c r="V213" s="42" t="n">
        <x:v>16</x:v>
      </x:c>
      <x:c r="W213" s="42" t="n">
        <x:v>8</x:v>
      </x:c>
      <x:c r="X213" s="42" t="n">
        <x:v>15</x:v>
      </x:c>
      <x:c r="Y213" s="42" t="n">
        <x:v>4</x:v>
      </x:c>
      <x:c r="Z213" s="42" t="n">
        <x:f>MAX(0,MIN(100,ROUND(((T213+U213+V213+W213+X213)-Y213)/85*100,0)))</x:f>
        <x:v>60</x:v>
      </x:c>
      <x:c r="AA213" s="18" t="str">
        <x:f>IF(L213="暂不做","P3 暂缓",IF(Z213&gt;=75,"P0 本周做",IF(Z213&gt;=60,"P1 近期做",IF(Z213&gt;=45,"P2 备选","P3 暂缓"))))</x:f>
        <x:v>P1 近期做</x:v>
      </x:c>
      <x:c r="AB213" s="18" t="str">
        <x:f>IF(Y213&gt;=15,"先做合规/相关性复核，不建议直接商业导流",IF(L213="主站","建/优化主站商业页",IF(L213="博客A-知识教程","写知识教程/FAQ文章",IF(L213="博客B-场景人群","写场景需求/选购指南文章",IF(L213="博客C-对比评测","写对比评测/榜单文章","暂不做或人工复核")))))</x:f>
        <x:v>建/优化主站商业页</x:v>
      </x:c>
      <x:c r="AC213" s="18" t="str">
        <x:v>KUZ - ExDivo</x:v>
      </x:c>
      <x:c r="AD213" s="19" t="str">
        <x:v>kuz</x:v>
      </x:c>
    </x:row>
    <x:row r="214">
      <x:c r="A214" s="40" t="n">
        <x:v>214</x:v>
      </x:c>
      <x:c r="B214" s="18" t="str">
        <x:v>https://exdivo.com/collections/misty-rain?data_from=index_index</x:v>
      </x:c>
      <x:c r="C214" s="18" t="str">
        <x:v>exdivo pod vapes</x:v>
      </x:c>
      <x:c r="D214" s="18" t="str">
        <x:v>recommended</x:v>
      </x:c>
      <x:c r="E214" s="41" t="n">
        <x:v>0</x:v>
      </x:c>
      <x:c r="F214" s="41" t="n">
        <x:v>0</x:v>
      </x:c>
      <x:c r="G214" s="18" t="str">
        <x:v>48</x:v>
      </x:c>
      <x:c r="H214" s="18" t="str">
        <x:v>Pod Kit / Pod System</x:v>
      </x:c>
      <x:c r="I214" s="18" t="str">
        <x:v>品类承接词</x:v>
      </x:c>
      <x:c r="J214" s="18" t="str">
        <x:v>主站</x:v>
      </x:c>
      <x:c r="K214" s="18" t="str"/>
      <x:c r="L214" s="18" t="str">
        <x:f>IF(K214="",J214,K214)</x:f>
        <x:v>主站</x:v>
      </x:c>
      <x:c r="M214" s="18" t="str">
        <x:v>品类页/集合页 + FAQ内容块</x:v>
      </x:c>
      <x:c r="N214" s="18" t="str">
        <x:v>主站品类页：用产品集合 + 选购说明承接</x:v>
      </x:c>
      <x:c r="O214" s="18" t="str">
        <x:v>/collections/pod-kits</x:v>
      </x:c>
      <x:c r="P214" s="18" t="str">
        <x:v>不适用</x:v>
      </x:c>
      <x:c r="Q214" s="18" t="str">
        <x:v>主站页面自身承接</x:v>
      </x:c>
      <x:c r="R214" s="18" t="str">
        <x:v>核心品类词：主站优先，博客只做长尾解释，不直接抢同一词</x:v>
      </x:c>
      <x:c r="S214" s="18" t="str">
        <x:v>如果 Google 首页产品页和指南混合，主站页要加 FAQ、选购指南、对比模块。</x:v>
      </x:c>
      <x:c r="T214" s="42" t="n">
        <x:v>1</x:v>
      </x:c>
      <x:c r="U214" s="42" t="n">
        <x:v>15</x:v>
      </x:c>
      <x:c r="V214" s="42" t="n">
        <x:v>16</x:v>
      </x:c>
      <x:c r="W214" s="42" t="n">
        <x:v>8</x:v>
      </x:c>
      <x:c r="X214" s="42" t="n">
        <x:v>15</x:v>
      </x:c>
      <x:c r="Y214" s="42" t="n">
        <x:v>4</x:v>
      </x:c>
      <x:c r="Z214" s="42" t="n">
        <x:f>MAX(0,MIN(100,ROUND(((T214+U214+V214+W214+X214)-Y214)/85*100,0)))</x:f>
        <x:v>60</x:v>
      </x:c>
      <x:c r="AA214" s="18" t="str">
        <x:f>IF(L214="暂不做","P3 暂缓",IF(Z214&gt;=75,"P0 本周做",IF(Z214&gt;=60,"P1 近期做",IF(Z214&gt;=45,"P2 备选","P3 暂缓"))))</x:f>
        <x:v>P1 近期做</x:v>
      </x:c>
      <x:c r="AB214" s="18" t="str">
        <x:f>IF(Y214&gt;=15,"先做合规/相关性复核，不建议直接商业导流",IF(L214="主站","建/优化主站商业页",IF(L214="博客A-知识教程","写知识教程/FAQ文章",IF(L214="博客B-场景人群","写场景需求/选购指南文章",IF(L214="博客C-对比评测","写对比评测/榜单文章","暂不做或人工复核")))))</x:f>
        <x:v>建/优化主站商业页</x:v>
      </x:c>
      <x:c r="AC214" s="18" t="str">
        <x:v>KUZ - ExDivo</x:v>
      </x:c>
      <x:c r="AD214" s="19" t="str">
        <x:v>kuz</x:v>
      </x:c>
    </x:row>
    <x:row r="215">
      <x:c r="A215" s="40" t="n">
        <x:v>215</x:v>
      </x:c>
      <x:c r="B215" s="18" t="str">
        <x:v>https://exdivo.com/collections/</x:v>
      </x:c>
      <x:c r="C215" s="18" t="str">
        <x:v>vape collection</x:v>
      </x:c>
      <x:c r="D215" s="18" t="str">
        <x:v>recommended</x:v>
      </x:c>
      <x:c r="E215" s="41" t="n">
        <x:v>50</x:v>
      </x:c>
      <x:c r="F215" s="41" t="n">
        <x:v>52</x:v>
      </x:c>
      <x:c r="G215" s="18" t="str">
        <x:v>informational</x:v>
      </x:c>
      <x:c r="H215" s="18" t="str">
        <x:v>General Vape</x:v>
      </x:c>
      <x:c r="I215" s="18" t="str">
        <x:v>品类承接词</x:v>
      </x:c>
      <x:c r="J215" s="18" t="str">
        <x:v>主站</x:v>
      </x:c>
      <x:c r="K215" s="18" t="str"/>
      <x:c r="L215" s="18" t="str">
        <x:f>IF(K215="",J215,K215)</x:f>
        <x:v>主站</x:v>
      </x:c>
      <x:c r="M215" s="18" t="str">
        <x:v>品类页/集合页 + FAQ内容块</x:v>
      </x:c>
      <x:c r="N215" s="18" t="str">
        <x:v>主站品类页：用产品集合 + 选购说明承接</x:v>
      </x:c>
      <x:c r="O215" s="18" t="str">
        <x:v>/collections/disposable-vapes</x:v>
      </x:c>
      <x:c r="P215" s="18" t="str">
        <x:v>不适用</x:v>
      </x:c>
      <x:c r="Q215" s="18" t="str">
        <x:v>主站页面自身承接</x:v>
      </x:c>
      <x:c r="R215" s="18" t="str">
        <x:v>核心品类词：主站优先，博客只做长尾解释，不直接抢同一词</x:v>
      </x:c>
      <x:c r="S215" s="18" t="str">
        <x:v>如果 Google 首页产品页和指南混合，主站页要加 FAQ、选购指南、对比模块。</x:v>
      </x:c>
      <x:c r="T215" s="42" t="n">
        <x:v>4</x:v>
      </x:c>
      <x:c r="U215" s="42" t="n">
        <x:v>6</x:v>
      </x:c>
      <x:c r="V215" s="42" t="n">
        <x:v>16</x:v>
      </x:c>
      <x:c r="W215" s="42" t="n">
        <x:v>8</x:v>
      </x:c>
      <x:c r="X215" s="42" t="n">
        <x:v>15</x:v>
      </x:c>
      <x:c r="Y215" s="42" t="n">
        <x:v>4</x:v>
      </x:c>
      <x:c r="Z215" s="42" t="n">
        <x:f>MAX(0,MIN(100,ROUND(((T215+U215+V215+W215+X215)-Y215)/85*100,0)))</x:f>
        <x:v>53</x:v>
      </x:c>
      <x:c r="AA215" s="18" t="str">
        <x:f>IF(L215="暂不做","P3 暂缓",IF(Z215&gt;=75,"P0 本周做",IF(Z215&gt;=60,"P1 近期做",IF(Z215&gt;=45,"P2 备选","P3 暂缓"))))</x:f>
        <x:v>P2 备选</x:v>
      </x:c>
      <x:c r="AB215" s="18" t="str">
        <x:f>IF(Y215&gt;=15,"先做合规/相关性复核，不建议直接商业导流",IF(L215="主站","建/优化主站商业页",IF(L215="博客A-知识教程","写知识教程/FAQ文章",IF(L215="博客B-场景人群","写场景需求/选购指南文章",IF(L215="博客C-对比评测","写对比评测/榜单文章","暂不做或人工复核")))))</x:f>
        <x:v>建/优化主站商业页</x:v>
      </x:c>
      <x:c r="AC215" s="18" t="str">
        <x:v>Collections - ExDivo</x:v>
      </x:c>
      <x:c r="AD215" s="19" t="str">
        <x:v>48</x:v>
      </x:c>
    </x:row>
    <x:row r="216">
      <x:c r="A216" s="40" t="n">
        <x:v>216</x:v>
      </x:c>
      <x:c r="B216" s="18" t="str">
        <x:v>https://exdivo.com/collections/</x:v>
      </x:c>
      <x:c r="C216" s="18" t="str">
        <x:v>exdivo vape collections</x:v>
      </x:c>
      <x:c r="D216" s="18" t="str">
        <x:v>recommended</x:v>
      </x:c>
      <x:c r="E216" s="41" t="n">
        <x:v>0</x:v>
      </x:c>
      <x:c r="F216" s="41" t="n">
        <x:v>0</x:v>
      </x:c>
      <x:c r="G216" s="18" t="str">
        <x:v>48</x:v>
      </x:c>
      <x:c r="H216" s="18" t="str">
        <x:v>General Vape</x:v>
      </x:c>
      <x:c r="I216" s="18" t="str">
        <x:v>品类承接词</x:v>
      </x:c>
      <x:c r="J216" s="18" t="str">
        <x:v>主站</x:v>
      </x:c>
      <x:c r="K216" s="18" t="str"/>
      <x:c r="L216" s="18" t="str">
        <x:f>IF(K216="",J216,K216)</x:f>
        <x:v>主站</x:v>
      </x:c>
      <x:c r="M216" s="18" t="str">
        <x:v>品类页/集合页 + FAQ内容块</x:v>
      </x:c>
      <x:c r="N216" s="18" t="str">
        <x:v>主站品类页：用产品集合 + 选购说明承接</x:v>
      </x:c>
      <x:c r="O216" s="18" t="str">
        <x:v>/collections/disposable-vapes</x:v>
      </x:c>
      <x:c r="P216" s="18" t="str">
        <x:v>不适用</x:v>
      </x:c>
      <x:c r="Q216" s="18" t="str">
        <x:v>主站页面自身承接</x:v>
      </x:c>
      <x:c r="R216" s="18" t="str">
        <x:v>核心品类词：主站优先，博客只做长尾解释，不直接抢同一词</x:v>
      </x:c>
      <x:c r="S216" s="18" t="str">
        <x:v>如果 Google 首页产品页和指南混合，主站页要加 FAQ、选购指南、对比模块。</x:v>
      </x:c>
      <x:c r="T216" s="42" t="n">
        <x:v>1</x:v>
      </x:c>
      <x:c r="U216" s="42" t="n">
        <x:v>15</x:v>
      </x:c>
      <x:c r="V216" s="42" t="n">
        <x:v>16</x:v>
      </x:c>
      <x:c r="W216" s="42" t="n">
        <x:v>8</x:v>
      </x:c>
      <x:c r="X216" s="42" t="n">
        <x:v>15</x:v>
      </x:c>
      <x:c r="Y216" s="42" t="n">
        <x:v>4</x:v>
      </x:c>
      <x:c r="Z216" s="42" t="n">
        <x:f>MAX(0,MIN(100,ROUND(((T216+U216+V216+W216+X216)-Y216)/85*100,0)))</x:f>
        <x:v>60</x:v>
      </x:c>
      <x:c r="AA216" s="18" t="str">
        <x:f>IF(L216="暂不做","P3 暂缓",IF(Z216&gt;=75,"P0 本周做",IF(Z216&gt;=60,"P1 近期做",IF(Z216&gt;=45,"P2 备选","P3 暂缓"))))</x:f>
        <x:v>P1 近期做</x:v>
      </x:c>
      <x:c r="AB216" s="18" t="str">
        <x:f>IF(Y216&gt;=15,"先做合规/相关性复核，不建议直接商业导流",IF(L216="主站","建/优化主站商业页",IF(L216="博客A-知识教程","写知识教程/FAQ文章",IF(L216="博客B-场景人群","写场景需求/选购指南文章",IF(L216="博客C-对比评测","写对比评测/榜单文章","暂不做或人工复核")))))</x:f>
        <x:v>建/优化主站商业页</x:v>
      </x:c>
      <x:c r="AC216" s="18" t="str">
        <x:v>Collections - ExDivo</x:v>
      </x:c>
      <x:c r="AD216" s="19" t="str">
        <x:v>48</x:v>
      </x:c>
    </x:row>
    <x:row r="217">
      <x:c r="A217" s="40" t="n">
        <x:v>217</x:v>
      </x:c>
      <x:c r="B217" s="18" t="str">
        <x:v>https://exdivo.com/collections/</x:v>
      </x:c>
      <x:c r="C217" s="18" t="str">
        <x:v>exdivo vape range</x:v>
      </x:c>
      <x:c r="D217" s="18" t="str">
        <x:v>recommended</x:v>
      </x:c>
      <x:c r="E217" s="41" t="n">
        <x:v>0</x:v>
      </x:c>
      <x:c r="F217" s="41" t="n">
        <x:v>0</x:v>
      </x:c>
      <x:c r="G217" s="18" t="str">
        <x:v>48</x:v>
      </x:c>
      <x:c r="H217" s="18" t="str">
        <x:v>General Vape</x:v>
      </x:c>
      <x:c r="I217" s="18" t="str">
        <x:v>品类承接词</x:v>
      </x:c>
      <x:c r="J217" s="18" t="str">
        <x:v>主站</x:v>
      </x:c>
      <x:c r="K217" s="18" t="str"/>
      <x:c r="L217" s="18" t="str">
        <x:f>IF(K217="",J217,K217)</x:f>
        <x:v>主站</x:v>
      </x:c>
      <x:c r="M217" s="18" t="str">
        <x:v>品类页/集合页 + FAQ内容块</x:v>
      </x:c>
      <x:c r="N217" s="18" t="str">
        <x:v>主站品类页：用产品集合 + 选购说明承接</x:v>
      </x:c>
      <x:c r="O217" s="18" t="str">
        <x:v>/collections/disposable-vapes</x:v>
      </x:c>
      <x:c r="P217" s="18" t="str">
        <x:v>不适用</x:v>
      </x:c>
      <x:c r="Q217" s="18" t="str">
        <x:v>主站页面自身承接</x:v>
      </x:c>
      <x:c r="R217" s="18" t="str">
        <x:v>核心品类词：主站优先，博客只做长尾解释，不直接抢同一词</x:v>
      </x:c>
      <x:c r="S217" s="18" t="str">
        <x:v>如果 Google 首页产品页和指南混合，主站页要加 FAQ、选购指南、对比模块。</x:v>
      </x:c>
      <x:c r="T217" s="42" t="n">
        <x:v>1</x:v>
      </x:c>
      <x:c r="U217" s="42" t="n">
        <x:v>15</x:v>
      </x:c>
      <x:c r="V217" s="42" t="n">
        <x:v>16</x:v>
      </x:c>
      <x:c r="W217" s="42" t="n">
        <x:v>8</x:v>
      </x:c>
      <x:c r="X217" s="42" t="n">
        <x:v>15</x:v>
      </x:c>
      <x:c r="Y217" s="42" t="n">
        <x:v>4</x:v>
      </x:c>
      <x:c r="Z217" s="42" t="n">
        <x:f>MAX(0,MIN(100,ROUND(((T217+U217+V217+W217+X217)-Y217)/85*100,0)))</x:f>
        <x:v>60</x:v>
      </x:c>
      <x:c r="AA217" s="18" t="str">
        <x:f>IF(L217="暂不做","P3 暂缓",IF(Z217&gt;=75,"P0 本周做",IF(Z217&gt;=60,"P1 近期做",IF(Z217&gt;=45,"P2 备选","P3 暂缓"))))</x:f>
        <x:v>P1 近期做</x:v>
      </x:c>
      <x:c r="AB217" s="18" t="str">
        <x:f>IF(Y217&gt;=15,"先做合规/相关性复核，不建议直接商业导流",IF(L217="主站","建/优化主站商业页",IF(L217="博客A-知识教程","写知识教程/FAQ文章",IF(L217="博客B-场景人群","写场景需求/选购指南文章",IF(L217="博客C-对比评测","写对比评测/榜单文章","暂不做或人工复核")))))</x:f>
        <x:v>建/优化主站商业页</x:v>
      </x:c>
      <x:c r="AC217" s="18" t="str">
        <x:v>Collections - ExDivo</x:v>
      </x:c>
      <x:c r="AD217" s="19" t="str">
        <x:v>48</x:v>
      </x:c>
    </x:row>
    <x:row r="218">
      <x:c r="A218" s="40" t="n">
        <x:v>218</x:v>
      </x:c>
      <x:c r="B218" s="18" t="str">
        <x:v>https://exdivo.com/collections/</x:v>
      </x:c>
      <x:c r="C218" s="18" t="str">
        <x:v>disposable vape collections</x:v>
      </x:c>
      <x:c r="D218" s="18" t="str">
        <x:v>recommended</x:v>
      </x:c>
      <x:c r="E218" s="41" t="n">
        <x:v>0</x:v>
      </x:c>
      <x:c r="F218" s="41" t="n">
        <x:v>0</x:v>
      </x:c>
      <x:c r="G218" s="18" t="str">
        <x:v>48</x:v>
      </x:c>
      <x:c r="H218" s="18" t="str">
        <x:v>Disposable Vape</x:v>
      </x:c>
      <x:c r="I218" s="18" t="str">
        <x:v>品类承接词</x:v>
      </x:c>
      <x:c r="J218" s="18" t="str">
        <x:v>主站</x:v>
      </x:c>
      <x:c r="K218" s="18" t="str"/>
      <x:c r="L218" s="18" t="str">
        <x:f>IF(K218="",J218,K218)</x:f>
        <x:v>主站</x:v>
      </x:c>
      <x:c r="M218" s="18" t="str">
        <x:v>品类页/集合页 + FAQ内容块</x:v>
      </x:c>
      <x:c r="N218" s="18" t="str">
        <x:v>主站品类页：用产品集合 + 选购说明承接</x:v>
      </x:c>
      <x:c r="O218" s="18" t="str">
        <x:v>/collections/disposable-vapes</x:v>
      </x:c>
      <x:c r="P218" s="18" t="str">
        <x:v>不适用</x:v>
      </x:c>
      <x:c r="Q218" s="18" t="str">
        <x:v>主站页面自身承接</x:v>
      </x:c>
      <x:c r="R218" s="18" t="str">
        <x:v>核心品类词：主站优先，博客只做长尾解释，不直接抢同一词</x:v>
      </x:c>
      <x:c r="S218" s="18" t="str">
        <x:v>如果 Google 首页产品页和指南混合，主站页要加 FAQ、选购指南、对比模块。</x:v>
      </x:c>
      <x:c r="T218" s="42" t="n">
        <x:v>1</x:v>
      </x:c>
      <x:c r="U218" s="42" t="n">
        <x:v>15</x:v>
      </x:c>
      <x:c r="V218" s="42" t="n">
        <x:v>16</x:v>
      </x:c>
      <x:c r="W218" s="42" t="n">
        <x:v>8</x:v>
      </x:c>
      <x:c r="X218" s="42" t="n">
        <x:v>15</x:v>
      </x:c>
      <x:c r="Y218" s="42" t="n">
        <x:v>4</x:v>
      </x:c>
      <x:c r="Z218" s="42" t="n">
        <x:f>MAX(0,MIN(100,ROUND(((T218+U218+V218+W218+X218)-Y218)/85*100,0)))</x:f>
        <x:v>60</x:v>
      </x:c>
      <x:c r="AA218" s="18" t="str">
        <x:f>IF(L218="暂不做","P3 暂缓",IF(Z218&gt;=75,"P0 本周做",IF(Z218&gt;=60,"P1 近期做",IF(Z218&gt;=45,"P2 备选","P3 暂缓"))))</x:f>
        <x:v>P1 近期做</x:v>
      </x:c>
      <x:c r="AB218" s="18" t="str">
        <x:f>IF(Y218&gt;=15,"先做合规/相关性复核，不建议直接商业导流",IF(L218="主站","建/优化主站商业页",IF(L218="博客A-知识教程","写知识教程/FAQ文章",IF(L218="博客B-场景人群","写场景需求/选购指南文章",IF(L218="博客C-对比评测","写对比评测/榜单文章","暂不做或人工复核")))))</x:f>
        <x:v>建/优化主站商业页</x:v>
      </x:c>
      <x:c r="AC218" s="18" t="str">
        <x:v>Collections - ExDivo</x:v>
      </x:c>
      <x:c r="AD218" s="19" t="str">
        <x:v>48</x:v>
      </x:c>
    </x:row>
    <x:row r="219">
      <x:c r="A219" s="40" t="n">
        <x:v>219</x:v>
      </x:c>
      <x:c r="B219" s="18" t="str">
        <x:v>https://exdivo.com/collections/</x:v>
      </x:c>
      <x:c r="C219" s="18" t="str">
        <x:v>exdivo vape catalog</x:v>
      </x:c>
      <x:c r="D219" s="18" t="str">
        <x:v>recommended</x:v>
      </x:c>
      <x:c r="E219" s="41" t="n">
        <x:v>0</x:v>
      </x:c>
      <x:c r="F219" s="41" t="n">
        <x:v>0</x:v>
      </x:c>
      <x:c r="G219" s="18" t="str">
        <x:v>48</x:v>
      </x:c>
      <x:c r="H219" s="18" t="str">
        <x:v>General Vape</x:v>
      </x:c>
      <x:c r="I219" s="18" t="str">
        <x:v>品类承接词</x:v>
      </x:c>
      <x:c r="J219" s="18" t="str">
        <x:v>主站</x:v>
      </x:c>
      <x:c r="K219" s="18" t="str"/>
      <x:c r="L219" s="18" t="str">
        <x:f>IF(K219="",J219,K219)</x:f>
        <x:v>主站</x:v>
      </x:c>
      <x:c r="M219" s="18" t="str">
        <x:v>品类页/集合页 + FAQ内容块</x:v>
      </x:c>
      <x:c r="N219" s="18" t="str">
        <x:v>主站品类页：用产品集合 + 选购说明承接</x:v>
      </x:c>
      <x:c r="O219" s="18" t="str">
        <x:v>/collections/disposable-vapes</x:v>
      </x:c>
      <x:c r="P219" s="18" t="str">
        <x:v>不适用</x:v>
      </x:c>
      <x:c r="Q219" s="18" t="str">
        <x:v>主站页面自身承接</x:v>
      </x:c>
      <x:c r="R219" s="18" t="str">
        <x:v>核心品类词：主站优先，博客只做长尾解释，不直接抢同一词</x:v>
      </x:c>
      <x:c r="S219" s="18" t="str">
        <x:v>如果 Google 首页产品页和指南混合，主站页要加 FAQ、选购指南、对比模块。</x:v>
      </x:c>
      <x:c r="T219" s="42" t="n">
        <x:v>1</x:v>
      </x:c>
      <x:c r="U219" s="42" t="n">
        <x:v>15</x:v>
      </x:c>
      <x:c r="V219" s="42" t="n">
        <x:v>16</x:v>
      </x:c>
      <x:c r="W219" s="42" t="n">
        <x:v>8</x:v>
      </x:c>
      <x:c r="X219" s="42" t="n">
        <x:v>15</x:v>
      </x:c>
      <x:c r="Y219" s="42" t="n">
        <x:v>4</x:v>
      </x:c>
      <x:c r="Z219" s="42" t="n">
        <x:f>MAX(0,MIN(100,ROUND(((T219+U219+V219+W219+X219)-Y219)/85*100,0)))</x:f>
        <x:v>60</x:v>
      </x:c>
      <x:c r="AA219" s="18" t="str">
        <x:f>IF(L219="暂不做","P3 暂缓",IF(Z219&gt;=75,"P0 本周做",IF(Z219&gt;=60,"P1 近期做",IF(Z219&gt;=45,"P2 备选","P3 暂缓"))))</x:f>
        <x:v>P1 近期做</x:v>
      </x:c>
      <x:c r="AB219" s="18" t="str">
        <x:f>IF(Y219&gt;=15,"先做合规/相关性复核，不建议直接商业导流",IF(L219="主站","建/优化主站商业页",IF(L219="博客A-知识教程","写知识教程/FAQ文章",IF(L219="博客B-场景人群","写场景需求/选购指南文章",IF(L219="博客C-对比评测","写对比评测/榜单文章","暂不做或人工复核")))))</x:f>
        <x:v>建/优化主站商业页</x:v>
      </x:c>
      <x:c r="AC219" s="18" t="str">
        <x:v>Collections - ExDivo</x:v>
      </x:c>
      <x:c r="AD219" s="19" t="str">
        <x:v>48</x:v>
      </x:c>
    </x:row>
    <x:row r="220">
      <x:c r="A220" s="40" t="n">
        <x:v>220</x:v>
      </x:c>
      <x:c r="B220" s="18" t="str">
        <x:v>https://exdivo.com/collections/</x:v>
      </x:c>
      <x:c r="C220" s="18" t="str">
        <x:v>vape product catalog</x:v>
      </x:c>
      <x:c r="D220" s="18" t="str">
        <x:v>recommended</x:v>
      </x:c>
      <x:c r="E220" s="41" t="n">
        <x:v>0</x:v>
      </x:c>
      <x:c r="F220" s="41" t="n">
        <x:v>0</x:v>
      </x:c>
      <x:c r="G220" s="18" t="str">
        <x:v>48</x:v>
      </x:c>
      <x:c r="H220" s="18" t="str">
        <x:v>General Vape</x:v>
      </x:c>
      <x:c r="I220" s="18" t="str">
        <x:v>品类承接词</x:v>
      </x:c>
      <x:c r="J220" s="18" t="str">
        <x:v>主站</x:v>
      </x:c>
      <x:c r="K220" s="18" t="str"/>
      <x:c r="L220" s="18" t="str">
        <x:f>IF(K220="",J220,K220)</x:f>
        <x:v>主站</x:v>
      </x:c>
      <x:c r="M220" s="18" t="str">
        <x:v>品类页/集合页 + FAQ内容块</x:v>
      </x:c>
      <x:c r="N220" s="18" t="str">
        <x:v>主站品类页：用产品集合 + 选购说明承接</x:v>
      </x:c>
      <x:c r="O220" s="18" t="str">
        <x:v>/collections/disposable-vapes</x:v>
      </x:c>
      <x:c r="P220" s="18" t="str">
        <x:v>不适用</x:v>
      </x:c>
      <x:c r="Q220" s="18" t="str">
        <x:v>主站页面自身承接</x:v>
      </x:c>
      <x:c r="R220" s="18" t="str">
        <x:v>核心品类词：主站优先，博客只做长尾解释，不直接抢同一词</x:v>
      </x:c>
      <x:c r="S220" s="18" t="str">
        <x:v>如果 Google 首页产品页和指南混合，主站页要加 FAQ、选购指南、对比模块。</x:v>
      </x:c>
      <x:c r="T220" s="42" t="n">
        <x:v>1</x:v>
      </x:c>
      <x:c r="U220" s="42" t="n">
        <x:v>15</x:v>
      </x:c>
      <x:c r="V220" s="42" t="n">
        <x:v>16</x:v>
      </x:c>
      <x:c r="W220" s="42" t="n">
        <x:v>8</x:v>
      </x:c>
      <x:c r="X220" s="42" t="n">
        <x:v>15</x:v>
      </x:c>
      <x:c r="Y220" s="42" t="n">
        <x:v>4</x:v>
      </x:c>
      <x:c r="Z220" s="42" t="n">
        <x:f>MAX(0,MIN(100,ROUND(((T220+U220+V220+W220+X220)-Y220)/85*100,0)))</x:f>
        <x:v>60</x:v>
      </x:c>
      <x:c r="AA220" s="18" t="str">
        <x:f>IF(L220="暂不做","P3 暂缓",IF(Z220&gt;=75,"P0 本周做",IF(Z220&gt;=60,"P1 近期做",IF(Z220&gt;=45,"P2 备选","P3 暂缓"))))</x:f>
        <x:v>P1 近期做</x:v>
      </x:c>
      <x:c r="AB220" s="18" t="str">
        <x:f>IF(Y220&gt;=15,"先做合规/相关性复核，不建议直接商业导流",IF(L220="主站","建/优化主站商业页",IF(L220="博客A-知识教程","写知识教程/FAQ文章",IF(L220="博客B-场景人群","写场景需求/选购指南文章",IF(L220="博客C-对比评测","写对比评测/榜单文章","暂不做或人工复核")))))</x:f>
        <x:v>建/优化主站商业页</x:v>
      </x:c>
      <x:c r="AC220" s="18" t="str">
        <x:v>Collections - ExDivo</x:v>
      </x:c>
      <x:c r="AD220" s="19" t="str">
        <x:v>48</x:v>
      </x:c>
    </x:row>
    <x:row r="221">
      <x:c r="A221" s="34" t="n">
        <x:v>221</x:v>
      </x:c>
      <x:c r="B221" s="9" t="str">
        <x:v>https://exdivo.com/collections/</x:v>
      </x:c>
      <x:c r="C221" s="9" t="str">
        <x:v>disposable vape collection</x:v>
      </x:c>
      <x:c r="D221" s="9" t="str">
        <x:v>recommended</x:v>
      </x:c>
      <x:c r="E221" s="36" t="n">
        <x:v>140</x:v>
      </x:c>
      <x:c r="F221" s="36" t="n">
        <x:v>20</x:v>
      </x:c>
      <x:c r="G221" s="9" t="str">
        <x:v>informational</x:v>
      </x:c>
      <x:c r="H221" s="9" t="str">
        <x:v>Disposable Vape</x:v>
      </x:c>
      <x:c r="I221" s="9" t="str">
        <x:v>品类承接词</x:v>
      </x:c>
      <x:c r="J221" s="9" t="str">
        <x:v>主站</x:v>
      </x:c>
      <x:c r="K221" s="9" t="str"/>
      <x:c r="L221" s="9" t="str">
        <x:f>IF(K221="",J221,K221)</x:f>
        <x:v>主站</x:v>
      </x:c>
      <x:c r="M221" s="9" t="str">
        <x:v>品类页/集合页 + FAQ内容块</x:v>
      </x:c>
      <x:c r="N221" s="9" t="str">
        <x:v>主站品类页：用产品集合 + 选购说明承接</x:v>
      </x:c>
      <x:c r="O221" s="9" t="str">
        <x:v>/collections/disposable-vapes</x:v>
      </x:c>
      <x:c r="P221" s="9" t="str">
        <x:v>不适用</x:v>
      </x:c>
      <x:c r="Q221" s="9" t="str">
        <x:v>主站页面自身承接</x:v>
      </x:c>
      <x:c r="R221" s="9" t="str">
        <x:v>核心品类词：主站优先，博客只做长尾解释，不直接抢同一词</x:v>
      </x:c>
      <x:c r="S221" s="9" t="str">
        <x:v>如果 Google 首页产品页和指南混合，主站页要加 FAQ、选购指南、对比模块。</x:v>
      </x:c>
      <x:c r="T221" s="38" t="n">
        <x:v>7</x:v>
      </x:c>
      <x:c r="U221" s="38" t="n">
        <x:v>12</x:v>
      </x:c>
      <x:c r="V221" s="38" t="n">
        <x:v>16</x:v>
      </x:c>
      <x:c r="W221" s="38" t="n">
        <x:v>8</x:v>
      </x:c>
      <x:c r="X221" s="38" t="n">
        <x:v>15</x:v>
      </x:c>
      <x:c r="Y221" s="38" t="n">
        <x:v>4</x:v>
      </x:c>
      <x:c r="Z221" s="38" t="n">
        <x:f>MAX(0,MIN(100,ROUND(((T221+U221+V221+W221+X221)-Y221)/85*100,0)))</x:f>
        <x:v>64</x:v>
      </x:c>
      <x:c r="AA221" s="9" t="str">
        <x:f>IF(L221="暂不做","P3 暂缓",IF(Z221&gt;=75,"P0 本周做",IF(Z221&gt;=60,"P1 近期做",IF(Z221&gt;=45,"P2 备选","P3 暂缓"))))</x:f>
        <x:v>P1 近期做</x:v>
      </x:c>
      <x:c r="AB221" s="9" t="str">
        <x:f>IF(Y221&gt;=15,"先做合规/相关性复核，不建议直接商业导流",IF(L221="主站","建/优化主站商业页",IF(L221="博客A-知识教程","写知识教程/FAQ文章",IF(L221="博客B-场景人群","写场景需求/选购指南文章",IF(L221="博客C-对比评测","写对比评测/榜单文章","暂不做或人工复核")))))</x:f>
        <x:v>建/优化主站商业页</x:v>
      </x:c>
      <x:c r="AC221" s="9" t="str">
        <x:v>Collections - ExDivo</x:v>
      </x:c>
      <x:c r="AD221" s="10" t="str">
        <x:v>48</x:v>
      </x:c>
    </x:row>
    <x:row r="222">
      <x:c r="A222" s="34" t="n">
        <x:v>222</x:v>
      </x:c>
      <x:c r="B222" s="9" t="str">
        <x:v>https://exdivo.com/collections/meifu</x:v>
      </x:c>
      <x:c r="C222" s="9" t="str">
        <x:v>flora vape series</x:v>
      </x:c>
      <x:c r="D222" s="9" t="str">
        <x:v>recommended</x:v>
      </x:c>
      <x:c r="E222" s="36" t="n">
        <x:v>0</x:v>
      </x:c>
      <x:c r="F222" s="36" t="n">
        <x:v>0</x:v>
      </x:c>
      <x:c r="G222" s="9" t="str">
        <x:v>48</x:v>
      </x:c>
      <x:c r="H222" s="9" t="str">
        <x:v>General Vape</x:v>
      </x:c>
      <x:c r="I222" s="9" t="str">
        <x:v>品类承接词</x:v>
      </x:c>
      <x:c r="J222" s="9" t="str">
        <x:v>主站</x:v>
      </x:c>
      <x:c r="K222" s="9" t="str"/>
      <x:c r="L222" s="9" t="str">
        <x:f>IF(K222="",J222,K222)</x:f>
        <x:v>主站</x:v>
      </x:c>
      <x:c r="M222" s="9" t="str">
        <x:v>品类页/集合页 + FAQ内容块</x:v>
      </x:c>
      <x:c r="N222" s="9" t="str">
        <x:v>主站品类页：用产品集合 + 选购说明承接</x:v>
      </x:c>
      <x:c r="O222" s="9" t="str">
        <x:v>/collections/disposable-vapes</x:v>
      </x:c>
      <x:c r="P222" s="9" t="str">
        <x:v>不适用</x:v>
      </x:c>
      <x:c r="Q222" s="9" t="str">
        <x:v>主站页面自身承接</x:v>
      </x:c>
      <x:c r="R222" s="9" t="str">
        <x:v>核心品类词：主站优先，博客只做长尾解释，不直接抢同一词</x:v>
      </x:c>
      <x:c r="S222" s="9" t="str">
        <x:v>如果 Google 首页产品页和指南混合，主站页要加 FAQ、选购指南、对比模块。</x:v>
      </x:c>
      <x:c r="T222" s="38" t="n">
        <x:v>1</x:v>
      </x:c>
      <x:c r="U222" s="38" t="n">
        <x:v>15</x:v>
      </x:c>
      <x:c r="V222" s="38" t="n">
        <x:v>16</x:v>
      </x:c>
      <x:c r="W222" s="38" t="n">
        <x:v>8</x:v>
      </x:c>
      <x:c r="X222" s="38" t="n">
        <x:v>15</x:v>
      </x:c>
      <x:c r="Y222" s="38" t="n">
        <x:v>4</x:v>
      </x:c>
      <x:c r="Z222" s="38" t="n">
        <x:f>MAX(0,MIN(100,ROUND(((T222+U222+V222+W222+X222)-Y222)/85*100,0)))</x:f>
        <x:v>60</x:v>
      </x:c>
      <x:c r="AA222" s="9" t="str">
        <x:f>IF(L222="暂不做","P3 暂缓",IF(Z222&gt;=75,"P0 本周做",IF(Z222&gt;=60,"P1 近期做",IF(Z222&gt;=45,"P2 备选","P3 暂缓"))))</x:f>
        <x:v>P1 近期做</x:v>
      </x:c>
      <x:c r="AB222" s="9" t="str">
        <x:f>IF(Y222&gt;=15,"先做合规/相关性复核，不建议直接商业导流",IF(L222="主站","建/优化主站商业页",IF(L222="博客A-知识教程","写知识教程/FAQ文章",IF(L222="博客B-场景人群","写场景需求/选购指南文章",IF(L222="博客C-对比评测","写对比评测/榜单文章","暂不做或人工复核")))))</x:f>
        <x:v>建/优化主站商业页</x:v>
      </x:c>
      <x:c r="AC222" s="9" t="str">
        <x:v>FLORA - ExDivo</x:v>
      </x:c>
      <x:c r="AD222" s="10" t="str">
        <x:v>flora</x:v>
      </x:c>
    </x:row>
    <x:row r="223">
      <x:c r="A223" s="34" t="n">
        <x:v>223</x:v>
      </x:c>
      <x:c r="B223" s="9" t="str">
        <x:v>https://exdivo.com/collections/meifu</x:v>
      </x:c>
      <x:c r="C223" s="9" t="str">
        <x:v>floral vape flavors</x:v>
      </x:c>
      <x:c r="D223" s="9" t="str">
        <x:v>recommended</x:v>
      </x:c>
      <x:c r="E223" s="36" t="n">
        <x:v>0</x:v>
      </x:c>
      <x:c r="F223" s="36" t="n">
        <x:v>0</x:v>
      </x:c>
      <x:c r="G223" s="9" t="str">
        <x:v>48</x:v>
      </x:c>
      <x:c r="H223" s="9" t="str">
        <x:v>Flavor / 口味</x:v>
      </x:c>
      <x:c r="I223" s="9" t="str">
        <x:v>场景/需求词</x:v>
      </x:c>
      <x:c r="J223" s="9" t="str">
        <x:v>博客B-场景人群</x:v>
      </x:c>
      <x:c r="K223" s="9" t="str"/>
      <x:c r="L223" s="9" t="str">
        <x:f>IF(K223="",J223,K223)</x:f>
        <x:v>博客B-场景人群</x:v>
      </x:c>
      <x:c r="M223" s="9" t="str">
        <x:v>场景解决方案/选购指南文章</x:v>
      </x:c>
      <x:c r="N223" s="9" t="str">
        <x:v>Scenario angle: how to choose floral vape flavors based on use case, flavor, nicotine, and budget</x:v>
      </x:c>
      <x:c r="O223" s="9" t="str">
        <x:v>/collections/flavored-disposable-vapes</x:v>
      </x:c>
      <x:c r="P223" s="9" t="str">
        <x:v>是</x:v>
      </x:c>
      <x:c r="Q223" s="9" t="str">
        <x:v>自然句/品类词</x:v>
      </x:c>
      <x:c r="R223" s="9" t="str">
        <x:v>低中风险：适合软性导流，但不要夸大效果或触碰健康疗效</x:v>
      </x:c>
      <x:c r="S223" s="9" t="str">
        <x:v>围绕使用场景、口味、尼古丁需求、便携性等写，不和主站品类页抢词。</x:v>
      </x:c>
      <x:c r="T223" s="38" t="n">
        <x:v>1</x:v>
      </x:c>
      <x:c r="U223" s="38" t="n">
        <x:v>15</x:v>
      </x:c>
      <x:c r="V223" s="38" t="n">
        <x:v>13</x:v>
      </x:c>
      <x:c r="W223" s="38" t="n">
        <x:v>14</x:v>
      </x:c>
      <x:c r="X223" s="38" t="n">
        <x:v>13</x:v>
      </x:c>
      <x:c r="Y223" s="38" t="n">
        <x:v>5</x:v>
      </x:c>
      <x:c r="Z223" s="38" t="n">
        <x:f>MAX(0,MIN(100,ROUND(((T223+U223+V223+W223+X223)-Y223)/85*100,0)))</x:f>
        <x:v>60</x:v>
      </x:c>
      <x:c r="AA223" s="9" t="str">
        <x:f>IF(L223="暂不做","P3 暂缓",IF(Z223&gt;=75,"P0 本周做",IF(Z223&gt;=60,"P1 近期做",IF(Z223&gt;=45,"P2 备选","P3 暂缓"))))</x:f>
        <x:v>P1 近期做</x:v>
      </x:c>
      <x:c r="AB223" s="9" t="str">
        <x:f>IF(Y223&gt;=15,"先做合规/相关性复核，不建议直接商业导流",IF(L223="主站","建/优化主站商业页",IF(L223="博客A-知识教程","写知识教程/FAQ文章",IF(L223="博客B-场景人群","写场景需求/选购指南文章",IF(L223="博客C-对比评测","写对比评测/榜单文章","暂不做或人工复核")))))</x:f>
        <x:v>写场景需求/选购指南文章</x:v>
      </x:c>
      <x:c r="AC223" s="9" t="str">
        <x:v>FLORA - ExDivo</x:v>
      </x:c>
      <x:c r="AD223" s="10" t="str">
        <x:v>flora</x:v>
      </x:c>
    </x:row>
    <x:row r="224">
      <x:c r="A224" s="34" t="n">
        <x:v>224</x:v>
      </x:c>
      <x:c r="B224" s="9" t="str">
        <x:v>https://exdivo.com/comments/exdivo-interstellar-35k-disposable-vape_2c06745d?writeComment=true</x:v>
      </x:c>
      <x:c r="C224" s="9" t="str">
        <x:v>mexican mango vape</x:v>
      </x:c>
      <x:c r="D224" s="9" t="str">
        <x:v>recommended</x:v>
      </x:c>
      <x:c r="E224" s="36" t="n">
        <x:v>880</x:v>
      </x:c>
      <x:c r="F224" s="36" t="n">
        <x:v>4</x:v>
      </x:c>
      <x:c r="G224" s="9" t="str">
        <x:v>informational</x:v>
      </x:c>
      <x:c r="H224" s="9" t="str">
        <x:v>知识教程</x:v>
      </x:c>
      <x:c r="I224" s="9" t="str">
        <x:v>品类承接词</x:v>
      </x:c>
      <x:c r="J224" s="9" t="str">
        <x:v>主站</x:v>
      </x:c>
      <x:c r="K224" s="9" t="str"/>
      <x:c r="L224" s="9" t="str">
        <x:f>IF(K224="",J224,K224)</x:f>
        <x:v>主站</x:v>
      </x:c>
      <x:c r="M224" s="9" t="str">
        <x:v>品类页/集合页 + FAQ内容块</x:v>
      </x:c>
      <x:c r="N224" s="9" t="str">
        <x:v>主站品类页：用产品集合 + 选购说明承接</x:v>
      </x:c>
      <x:c r="O224" s="9" t="str">
        <x:v>/collections/disposable-vapes</x:v>
      </x:c>
      <x:c r="P224" s="9" t="str">
        <x:v>不适用</x:v>
      </x:c>
      <x:c r="Q224" s="9" t="str">
        <x:v>主站页面自身承接</x:v>
      </x:c>
      <x:c r="R224" s="9" t="str">
        <x:v>核心品类词：主站优先，博客只做长尾解释，不直接抢同一词</x:v>
      </x:c>
      <x:c r="S224" s="9" t="str">
        <x:v>如果 Google 首页产品页和指南混合，主站页要加 FAQ、选购指南、对比模块。</x:v>
      </x:c>
      <x:c r="T224" s="38" t="n">
        <x:v>10</x:v>
      </x:c>
      <x:c r="U224" s="38" t="n">
        <x:v>15</x:v>
      </x:c>
      <x:c r="V224" s="38" t="n">
        <x:v>16</x:v>
      </x:c>
      <x:c r="W224" s="38" t="n">
        <x:v>8</x:v>
      </x:c>
      <x:c r="X224" s="38" t="n">
        <x:v>15</x:v>
      </x:c>
      <x:c r="Y224" s="38" t="n">
        <x:v>4</x:v>
      </x:c>
      <x:c r="Z224" s="38" t="n">
        <x:f>MAX(0,MIN(100,ROUND(((T224+U224+V224+W224+X224)-Y224)/85*100,0)))</x:f>
        <x:v>71</x:v>
      </x:c>
      <x:c r="AA224" s="9" t="str">
        <x:f>IF(L224="暂不做","P3 暂缓",IF(Z224&gt;=75,"P0 本周做",IF(Z224&gt;=60,"P1 近期做",IF(Z224&gt;=45,"P2 备选","P3 暂缓"))))</x:f>
        <x:v>P1 近期做</x:v>
      </x:c>
      <x:c r="AB224" s="9" t="str">
        <x:f>IF(Y224&gt;=15,"先做合规/相关性复核，不建议直接商业导流",IF(L224="主站","建/优化主站商业页",IF(L224="博客A-知识教程","写知识教程/FAQ文章",IF(L224="博客B-场景人群","写场景需求/选购指南文章",IF(L224="博客C-对比评测","写对比评测/榜单文章","暂不做或人工复核")))))</x:f>
        <x:v>建/优化主站商业页</x:v>
      </x:c>
      <x:c r="AC224" s="9" t="str">
        <x:v>Reviews - Mexican Mango - ExDivo INTERSTELLAR 35K Disposable Vape - ExDivo</x:v>
      </x:c>
      <x:c r="AD224" s="10" t="str">
        <x:v>48</x:v>
      </x:c>
    </x:row>
    <x:row r="225">
      <x:c r="A225" s="34" t="n">
        <x:v>225</x:v>
      </x:c>
      <x:c r="B225" s="9" t="str">
        <x:v>https://exdivo.com/comments/exdivo-interstellar-35k-disposable-vape_2c06745d?writeComment=true</x:v>
      </x:c>
      <x:c r="C225" s="9" t="str">
        <x:v>mexico mango vape</x:v>
      </x:c>
      <x:c r="D225" s="9" t="str">
        <x:v>recommended</x:v>
      </x:c>
      <x:c r="E225" s="36" t="n">
        <x:v>390</x:v>
      </x:c>
      <x:c r="F225" s="36" t="n">
        <x:v>9</x:v>
      </x:c>
      <x:c r="G225" s="9" t="str">
        <x:v>informational</x:v>
      </x:c>
      <x:c r="H225" s="9" t="str">
        <x:v>General Vape</x:v>
      </x:c>
      <x:c r="I225" s="9" t="str">
        <x:v>品类承接词</x:v>
      </x:c>
      <x:c r="J225" s="9" t="str">
        <x:v>主站</x:v>
      </x:c>
      <x:c r="K225" s="9" t="str"/>
      <x:c r="L225" s="9" t="str">
        <x:f>IF(K225="",J225,K225)</x:f>
        <x:v>主站</x:v>
      </x:c>
      <x:c r="M225" s="9" t="str">
        <x:v>品类页/集合页 + FAQ内容块</x:v>
      </x:c>
      <x:c r="N225" s="9" t="str">
        <x:v>主站品类页：用产品集合 + 选购说明承接</x:v>
      </x:c>
      <x:c r="O225" s="9" t="str">
        <x:v>/collections/disposable-vapes</x:v>
      </x:c>
      <x:c r="P225" s="9" t="str">
        <x:v>不适用</x:v>
      </x:c>
      <x:c r="Q225" s="9" t="str">
        <x:v>主站页面自身承接</x:v>
      </x:c>
      <x:c r="R225" s="9" t="str">
        <x:v>核心品类词：主站优先，博客只做长尾解释，不直接抢同一词</x:v>
      </x:c>
      <x:c r="S225" s="9" t="str">
        <x:v>如果 Google 首页产品页和指南混合，主站页要加 FAQ、选购指南、对比模块。</x:v>
      </x:c>
      <x:c r="T225" s="38" t="n">
        <x:v>7</x:v>
      </x:c>
      <x:c r="U225" s="38" t="n">
        <x:v>15</x:v>
      </x:c>
      <x:c r="V225" s="38" t="n">
        <x:v>16</x:v>
      </x:c>
      <x:c r="W225" s="38" t="n">
        <x:v>8</x:v>
      </x:c>
      <x:c r="X225" s="38" t="n">
        <x:v>15</x:v>
      </x:c>
      <x:c r="Y225" s="38" t="n">
        <x:v>4</x:v>
      </x:c>
      <x:c r="Z225" s="38" t="n">
        <x:f>MAX(0,MIN(100,ROUND(((T225+U225+V225+W225+X225)-Y225)/85*100,0)))</x:f>
        <x:v>67</x:v>
      </x:c>
      <x:c r="AA225" s="9" t="str">
        <x:f>IF(L225="暂不做","P3 暂缓",IF(Z225&gt;=75,"P0 本周做",IF(Z225&gt;=60,"P1 近期做",IF(Z225&gt;=45,"P2 备选","P3 暂缓"))))</x:f>
        <x:v>P1 近期做</x:v>
      </x:c>
      <x:c r="AB225" s="9" t="str">
        <x:f>IF(Y225&gt;=15,"先做合规/相关性复核，不建议直接商业导流",IF(L225="主站","建/优化主站商业页",IF(L225="博客A-知识教程","写知识教程/FAQ文章",IF(L225="博客B-场景人群","写场景需求/选购指南文章",IF(L225="博客C-对比评测","写对比评测/榜单文章","暂不做或人工复核")))))</x:f>
        <x:v>建/优化主站商业页</x:v>
      </x:c>
      <x:c r="AC225" s="9" t="str">
        <x:v>Reviews - Mexican Mango - ExDivo INTERSTELLAR 35K Disposable Vape - ExDivo</x:v>
      </x:c>
      <x:c r="AD225" s="10" t="str">
        <x:v>48</x:v>
      </x:c>
    </x:row>
    <x:row r="226">
      <x:c r="A226" s="34" t="n">
        <x:v>226</x:v>
      </x:c>
      <x:c r="B226" s="9" t="str">
        <x:v>https://exdivo.com/comments/exdivo-interstellar-35k-disposable-vape_2c06745d?writeComment=true</x:v>
      </x:c>
      <x:c r="C226" s="9" t="str">
        <x:v>exdivo interstellar 35k mexican mango review</x:v>
      </x:c>
      <x:c r="D226" s="9" t="str">
        <x:v>recommended</x:v>
      </x:c>
      <x:c r="E226" s="36" t="n">
        <x:v>0</x:v>
      </x:c>
      <x:c r="F226" s="36" t="n">
        <x:v>0</x:v>
      </x:c>
      <x:c r="G226" s="9" t="str">
        <x:v>48</x:v>
      </x:c>
      <x:c r="H226" s="9" t="str">
        <x:v>对比评测</x:v>
      </x:c>
      <x:c r="I226" s="9" t="str">
        <x:v>商业调查词</x:v>
      </x:c>
      <x:c r="J226" s="9" t="str">
        <x:v>博客C-对比评测</x:v>
      </x:c>
      <x:c r="K226" s="9" t="str"/>
      <x:c r="L226" s="9" t="str">
        <x:f>IF(K226="",J226,K226)</x:f>
        <x:v>博客C-对比评测</x:v>
      </x:c>
      <x:c r="M226" s="9" t="str">
        <x:v>Best/Top/Review/VS/替代方案文章</x:v>
      </x:c>
      <x:c r="N226" s="9" t="str">
        <x:v>Best angle: exdivo interstellar 35k mexican mango review - comparison, pros/cons, and which option fits different buyers</x:v>
      </x:c>
      <x:c r="O226" s="9" t="str">
        <x:v>/collections/disposable-vapes</x:v>
      </x:c>
      <x:c r="P226" s="9" t="str">
        <x:v>是</x:v>
      </x:c>
      <x:c r="Q226" s="9" t="str">
        <x:v>自然句/品类词/品牌词</x:v>
      </x:c>
      <x:c r="R226" s="9" t="str">
        <x:v>中风险：榜单和评测必须真实、中立，避免夸大</x:v>
      </x:c>
      <x:c r="S226" s="9" t="str">
        <x:v>这类词不直接给主站，先用博客C教育和比较，再导流到最相关集合页。</x:v>
      </x:c>
      <x:c r="T226" s="38" t="n">
        <x:v>1</x:v>
      </x:c>
      <x:c r="U226" s="38" t="n">
        <x:v>15</x:v>
      </x:c>
      <x:c r="V226" s="38" t="n">
        <x:v>16</x:v>
      </x:c>
      <x:c r="W226" s="38" t="n">
        <x:v>15</x:v>
      </x:c>
      <x:c r="X226" s="38" t="n">
        <x:v>13</x:v>
      </x:c>
      <x:c r="Y226" s="38" t="n">
        <x:v>6</x:v>
      </x:c>
      <x:c r="Z226" s="38" t="n">
        <x:f>MAX(0,MIN(100,ROUND(((T226+U226+V226+W226+X226)-Y226)/85*100,0)))</x:f>
        <x:v>64</x:v>
      </x:c>
      <x:c r="AA226" s="9" t="str">
        <x:f>IF(L226="暂不做","P3 暂缓",IF(Z226&gt;=75,"P0 本周做",IF(Z226&gt;=60,"P1 近期做",IF(Z226&gt;=45,"P2 备选","P3 暂缓"))))</x:f>
        <x:v>P1 近期做</x:v>
      </x:c>
      <x:c r="AB226" s="9" t="str">
        <x:f>IF(Y226&gt;=15,"先做合规/相关性复核，不建议直接商业导流",IF(L226="主站","建/优化主站商业页",IF(L226="博客A-知识教程","写知识教程/FAQ文章",IF(L226="博客B-场景人群","写场景需求/选购指南文章",IF(L226="博客C-对比评测","写对比评测/榜单文章","暂不做或人工复核")))))</x:f>
        <x:v>写对比评测/榜单文章</x:v>
      </x:c>
      <x:c r="AC226" s="9" t="str">
        <x:v>Reviews - Mexican Mango - ExDivo INTERSTELLAR 35K Disposable Vape - ExDivo</x:v>
      </x:c>
      <x:c r="AD226" s="10" t="str">
        <x:v>48</x:v>
      </x:c>
    </x:row>
    <x:row r="227">
      <x:c r="A227" s="34" t="n">
        <x:v>227</x:v>
      </x:c>
      <x:c r="B227" s="9" t="str">
        <x:v>https://exdivo.com/comments/exdivo-interstellar-35k-disposable-vape_2c06745d?writeComment=true</x:v>
      </x:c>
      <x:c r="C227" s="9" t="str">
        <x:v>tropical mango vape flavor</x:v>
      </x:c>
      <x:c r="D227" s="9" t="str">
        <x:v>recommended</x:v>
      </x:c>
      <x:c r="E227" s="36" t="n">
        <x:v>0</x:v>
      </x:c>
      <x:c r="F227" s="36" t="n">
        <x:v>0</x:v>
      </x:c>
      <x:c r="G227" s="9" t="str">
        <x:v>48</x:v>
      </x:c>
      <x:c r="H227" s="9" t="str">
        <x:v>Flavor / 口味</x:v>
      </x:c>
      <x:c r="I227" s="9" t="str">
        <x:v>场景/需求词</x:v>
      </x:c>
      <x:c r="J227" s="9" t="str">
        <x:v>博客B-场景人群</x:v>
      </x:c>
      <x:c r="K227" s="9" t="str"/>
      <x:c r="L227" s="9" t="str">
        <x:f>IF(K227="",J227,K227)</x:f>
        <x:v>博客B-场景人群</x:v>
      </x:c>
      <x:c r="M227" s="9" t="str">
        <x:v>场景解决方案/选购指南文章</x:v>
      </x:c>
      <x:c r="N227" s="9" t="str">
        <x:v>Scenario angle: how to choose tropical mango vape flavor based on use case, flavor, nicotine, and budget</x:v>
      </x:c>
      <x:c r="O227" s="9" t="str">
        <x:v>/collections/flavored-disposable-vapes</x:v>
      </x:c>
      <x:c r="P227" s="9" t="str">
        <x:v>是</x:v>
      </x:c>
      <x:c r="Q227" s="9" t="str">
        <x:v>自然句/品类词</x:v>
      </x:c>
      <x:c r="R227" s="9" t="str">
        <x:v>低中风险：适合软性导流，但不要夸大效果或触碰健康疗效</x:v>
      </x:c>
      <x:c r="S227" s="9" t="str">
        <x:v>围绕使用场景、口味、尼古丁需求、便携性等写，不和主站品类页抢词。</x:v>
      </x:c>
      <x:c r="T227" s="38" t="n">
        <x:v>1</x:v>
      </x:c>
      <x:c r="U227" s="38" t="n">
        <x:v>15</x:v>
      </x:c>
      <x:c r="V227" s="38" t="n">
        <x:v>13</x:v>
      </x:c>
      <x:c r="W227" s="38" t="n">
        <x:v>14</x:v>
      </x:c>
      <x:c r="X227" s="38" t="n">
        <x:v>13</x:v>
      </x:c>
      <x:c r="Y227" s="38" t="n">
        <x:v>5</x:v>
      </x:c>
      <x:c r="Z227" s="38" t="n">
        <x:f>MAX(0,MIN(100,ROUND(((T227+U227+V227+W227+X227)-Y227)/85*100,0)))</x:f>
        <x:v>60</x:v>
      </x:c>
      <x:c r="AA227" s="9" t="str">
        <x:f>IF(L227="暂不做","P3 暂缓",IF(Z227&gt;=75,"P0 本周做",IF(Z227&gt;=60,"P1 近期做",IF(Z227&gt;=45,"P2 备选","P3 暂缓"))))</x:f>
        <x:v>P1 近期做</x:v>
      </x:c>
      <x:c r="AB227" s="9" t="str">
        <x:f>IF(Y227&gt;=15,"先做合规/相关性复核，不建议直接商业导流",IF(L227="主站","建/优化主站商业页",IF(L227="博客A-知识教程","写知识教程/FAQ文章",IF(L227="博客B-场景人群","写场景需求/选购指南文章",IF(L227="博客C-对比评测","写对比评测/榜单文章","暂不做或人工复核")))))</x:f>
        <x:v>写场景需求/选购指南文章</x:v>
      </x:c>
      <x:c r="AC227" s="9" t="str">
        <x:v>Reviews - Mexican Mango - ExDivo INTERSTELLAR 35K Disposable Vape - ExDivo</x:v>
      </x:c>
      <x:c r="AD227" s="10" t="str">
        <x:v>48</x:v>
      </x:c>
    </x:row>
    <x:row r="228">
      <x:c r="A228" s="34" t="n">
        <x:v>228</x:v>
      </x:c>
      <x:c r="B228" s="9" t="str">
        <x:v>https://exdivo.com/products/exdivo-bright-mirror-35k-replaceable-vape-kit_25244789</x:v>
      </x:c>
      <x:c r="C228" s="9" t="str">
        <x:v>refillable vape</x:v>
      </x:c>
      <x:c r="D228" s="9" t="str">
        <x:v>recommended</x:v>
      </x:c>
      <x:c r="E228" s="36" t="n">
        <x:v>9900</x:v>
      </x:c>
      <x:c r="F228" s="36" t="n">
        <x:v>35</x:v>
      </x:c>
      <x:c r="G228" s="9" t="str">
        <x:v>informational</x:v>
      </x:c>
      <x:c r="H228" s="9" t="str">
        <x:v>Reusable / Rechargeable</x:v>
      </x:c>
      <x:c r="I228" s="9" t="str">
        <x:v>场景/需求词</x:v>
      </x:c>
      <x:c r="J228" s="9" t="str">
        <x:v>博客B-场景人群</x:v>
      </x:c>
      <x:c r="K228" s="9" t="str"/>
      <x:c r="L228" s="9" t="str">
        <x:f>IF(K228="",J228,K228)</x:f>
        <x:v>博客B-场景人群</x:v>
      </x:c>
      <x:c r="M228" s="9" t="str">
        <x:v>场景解决方案/选购指南文章</x:v>
      </x:c>
      <x:c r="N228" s="9" t="str">
        <x:v>Scenario angle: how to choose refillable vape based on use case, flavor, nicotine, and budget</x:v>
      </x:c>
      <x:c r="O228" s="9" t="str">
        <x:v>/collections/rechargeable-vapes</x:v>
      </x:c>
      <x:c r="P228" s="9" t="str">
        <x:v>是</x:v>
      </x:c>
      <x:c r="Q228" s="9" t="str">
        <x:v>自然句/品类词</x:v>
      </x:c>
      <x:c r="R228" s="9" t="str">
        <x:v>低中风险：适合软性导流，但不要夸大效果或触碰健康疗效</x:v>
      </x:c>
      <x:c r="S228" s="9" t="str">
        <x:v>围绕使用场景、口味、尼古丁需求、便携性等写，不和主站品类页抢词。</x:v>
      </x:c>
      <x:c r="T228" s="38" t="n">
        <x:v>16</x:v>
      </x:c>
      <x:c r="U228" s="38" t="n">
        <x:v>9</x:v>
      </x:c>
      <x:c r="V228" s="38" t="n">
        <x:v>13</x:v>
      </x:c>
      <x:c r="W228" s="38" t="n">
        <x:v>14</x:v>
      </x:c>
      <x:c r="X228" s="38" t="n">
        <x:v>13</x:v>
      </x:c>
      <x:c r="Y228" s="38" t="n">
        <x:v>5</x:v>
      </x:c>
      <x:c r="Z228" s="38" t="n">
        <x:f>MAX(0,MIN(100,ROUND(((T228+U228+V228+W228+X228)-Y228)/85*100,0)))</x:f>
        <x:v>71</x:v>
      </x:c>
      <x:c r="AA228" s="9" t="str">
        <x:f>IF(L228="暂不做","P3 暂缓",IF(Z228&gt;=75,"P0 本周做",IF(Z228&gt;=60,"P1 近期做",IF(Z228&gt;=45,"P2 备选","P3 暂缓"))))</x:f>
        <x:v>P1 近期做</x:v>
      </x:c>
      <x:c r="AB228" s="9" t="str">
        <x:f>IF(Y228&gt;=15,"先做合规/相关性复核，不建议直接商业导流",IF(L228="主站","建/优化主站商业页",IF(L228="博客A-知识教程","写知识教程/FAQ文章",IF(L228="博客B-场景人群","写场景需求/选购指南文章",IF(L228="博客C-对比评测","写对比评测/榜单文章","暂不做或人工复核")))))</x:f>
        <x:v>写场景需求/选购指南文章</x:v>
      </x:c>
      <x:c r="AC228" s="9" t="str">
        <x:v>ExDivo BRIGHT MIRROR 35K Replaceable VAPE kit</x:v>
      </x:c>
      <x:c r="AD228" s="10" t="str">
        <x:v>40000 puffs</x:v>
      </x:c>
    </x:row>
    <x:row r="229">
      <x:c r="A229" s="34" t="n">
        <x:v>229</x:v>
      </x:c>
      <x:c r="B229" s="9" t="str">
        <x:v>https://exdivo.com/products/exdivo-bright-mirror-35k-replaceable-vape-kit_25244789</x:v>
      </x:c>
      <x:c r="C229" s="9" t="str">
        <x:v>replaceable vape kit 40000 puffs</x:v>
      </x:c>
      <x:c r="D229" s="9" t="str">
        <x:v>recommended</x:v>
      </x:c>
      <x:c r="E229" s="36" t="n">
        <x:v>0</x:v>
      </x:c>
      <x:c r="F229" s="36" t="n">
        <x:v>0</x:v>
      </x:c>
      <x:c r="G229" s="9" t="str">
        <x:v>48</x:v>
      </x:c>
      <x:c r="H229" s="9" t="str">
        <x:v>General Vape</x:v>
      </x:c>
      <x:c r="I229" s="9" t="str">
        <x:v>内容词</x:v>
      </x:c>
      <x:c r="J229" s="9" t="str">
        <x:v>博客A-知识教程</x:v>
      </x:c>
      <x:c r="K229" s="9" t="str"/>
      <x:c r="L229" s="9" t="str">
        <x:f>IF(K229="",J229,K229)</x:f>
        <x:v>博客A-知识教程</x:v>
      </x:c>
      <x:c r="M229" s="9" t="str">
        <x:v>知识/教程文章</x:v>
      </x:c>
      <x:c r="N229" s="9" t="str">
        <x:v>Guide angle: explain replaceable vape kit 40000 puffs, answer common questions, and avoid sales-first writing</x:v>
      </x:c>
      <x:c r="O229" s="9" t="str">
        <x:v>/collections/disposable-vapes 或最接近的产品集合页</x:v>
      </x:c>
      <x:c r="P229" s="9" t="str">
        <x:v>谨慎</x:v>
      </x:c>
      <x:c r="Q229" s="9" t="str">
        <x:v>品牌词/自然句</x:v>
      </x:c>
      <x:c r="R229" s="9" t="str">
        <x:v>低风险：按常规内容质量和搜索意图校验</x:v>
      </x:c>
      <x:c r="S229" s="9" t="str">
        <x:v>先看 Google SERP：如果首页多数为产品集合页，改回主站；如果多数为教程/问答，保持博客。</x:v>
      </x:c>
      <x:c r="T229" s="38" t="n">
        <x:v>1</x:v>
      </x:c>
      <x:c r="U229" s="38" t="n">
        <x:v>15</x:v>
      </x:c>
      <x:c r="V229" s="38" t="n">
        <x:v>10</x:v>
      </x:c>
      <x:c r="W229" s="38" t="n">
        <x:v>12</x:v>
      </x:c>
      <x:c r="X229" s="38" t="n">
        <x:v>12</x:v>
      </x:c>
      <x:c r="Y229" s="38" t="n">
        <x:v>4</x:v>
      </x:c>
      <x:c r="Z229" s="38" t="n">
        <x:f>MAX(0,MIN(100,ROUND(((T229+U229+V229+W229+X229)-Y229)/85*100,0)))</x:f>
        <x:v>54</x:v>
      </x:c>
      <x:c r="AA229" s="9" t="str">
        <x:f>IF(L229="暂不做","P3 暂缓",IF(Z229&gt;=75,"P0 本周做",IF(Z229&gt;=60,"P1 近期做",IF(Z229&gt;=45,"P2 备选","P3 暂缓"))))</x:f>
        <x:v>P2 备选</x:v>
      </x:c>
      <x:c r="AB229" s="9" t="str">
        <x:f>IF(Y229&gt;=15,"先做合规/相关性复核，不建议直接商业导流",IF(L229="主站","建/优化主站商业页",IF(L229="博客A-知识教程","写知识教程/FAQ文章",IF(L229="博客B-场景人群","写场景需求/选购指南文章",IF(L229="博客C-对比评测","写对比评测/榜单文章","暂不做或人工复核")))))</x:f>
        <x:v>写知识教程/FAQ文章</x:v>
      </x:c>
      <x:c r="AC229" s="9" t="str">
        <x:v>ExDivo BRIGHT MIRROR 35K Replaceable VAPE kit</x:v>
      </x:c>
      <x:c r="AD229" s="10" t="str">
        <x:v>40000 puffs</x:v>
      </x:c>
    </x:row>
    <x:row r="230">
      <x:c r="A230" s="34" t="n">
        <x:v>230</x:v>
      </x:c>
      <x:c r="B230" s="9" t="str">
        <x:v>https://exdivo.com/products/exdivo-bright-mirror-35k-replaceable-vape-kit_25244789</x:v>
      </x:c>
      <x:c r="C230" s="9" t="str">
        <x:v>vape kit with large puff capacity</x:v>
      </x:c>
      <x:c r="D230" s="9" t="str">
        <x:v>recommended</x:v>
      </x:c>
      <x:c r="E230" s="36" t="n">
        <x:v>0</x:v>
      </x:c>
      <x:c r="F230" s="36" t="n">
        <x:v>0</x:v>
      </x:c>
      <x:c r="G230" s="9" t="str">
        <x:v>48</x:v>
      </x:c>
      <x:c r="H230" s="9" t="str">
        <x:v>General Vape</x:v>
      </x:c>
      <x:c r="I230" s="9" t="str">
        <x:v>场景/需求词</x:v>
      </x:c>
      <x:c r="J230" s="9" t="str">
        <x:v>博客B-场景人群</x:v>
      </x:c>
      <x:c r="K230" s="9" t="str"/>
      <x:c r="L230" s="9" t="str">
        <x:f>IF(K230="",J230,K230)</x:f>
        <x:v>博客B-场景人群</x:v>
      </x:c>
      <x:c r="M230" s="9" t="str">
        <x:v>场景解决方案/选购指南文章</x:v>
      </x:c>
      <x:c r="N230" s="9" t="str">
        <x:v>Scenario angle: how to choose vape kit with large puff capacity based on use case, flavor, nicotine, and budget</x:v>
      </x:c>
      <x:c r="O230" s="9" t="str">
        <x:v>/collections/disposable-vapes</x:v>
      </x:c>
      <x:c r="P230" s="9" t="str">
        <x:v>是</x:v>
      </x:c>
      <x:c r="Q230" s="9" t="str">
        <x:v>自然句/品类词</x:v>
      </x:c>
      <x:c r="R230" s="9" t="str">
        <x:v>低中风险：适合软性导流，但不要夸大效果或触碰健康疗效</x:v>
      </x:c>
      <x:c r="S230" s="9" t="str">
        <x:v>围绕使用场景、口味、尼古丁需求、便携性等写，不和主站品类页抢词。</x:v>
      </x:c>
      <x:c r="T230" s="38" t="n">
        <x:v>1</x:v>
      </x:c>
      <x:c r="U230" s="38" t="n">
        <x:v>15</x:v>
      </x:c>
      <x:c r="V230" s="38" t="n">
        <x:v>13</x:v>
      </x:c>
      <x:c r="W230" s="38" t="n">
        <x:v>14</x:v>
      </x:c>
      <x:c r="X230" s="38" t="n">
        <x:v>13</x:v>
      </x:c>
      <x:c r="Y230" s="38" t="n">
        <x:v>5</x:v>
      </x:c>
      <x:c r="Z230" s="38" t="n">
        <x:f>MAX(0,MIN(100,ROUND(((T230+U230+V230+W230+X230)-Y230)/85*100,0)))</x:f>
        <x:v>60</x:v>
      </x:c>
      <x:c r="AA230" s="9" t="str">
        <x:f>IF(L230="暂不做","P3 暂缓",IF(Z230&gt;=75,"P0 本周做",IF(Z230&gt;=60,"P1 近期做",IF(Z230&gt;=45,"P2 备选","P3 暂缓"))))</x:f>
        <x:v>P1 近期做</x:v>
      </x:c>
      <x:c r="AB230" s="9" t="str">
        <x:f>IF(Y230&gt;=15,"先做合规/相关性复核，不建议直接商业导流",IF(L230="主站","建/优化主站商业页",IF(L230="博客A-知识教程","写知识教程/FAQ文章",IF(L230="博客B-场景人群","写场景需求/选购指南文章",IF(L230="博客C-对比评测","写对比评测/榜单文章","暂不做或人工复核")))))</x:f>
        <x:v>写场景需求/选购指南文章</x:v>
      </x:c>
      <x:c r="AC230" s="9" t="str">
        <x:v>ExDivo BRIGHT MIRROR 35K Replaceable VAPE kit</x:v>
      </x:c>
      <x:c r="AD230" s="10" t="str">
        <x:v>40000 puffs</x:v>
      </x:c>
    </x:row>
    <x:row r="231">
      <x:c r="A231" s="34" t="n">
        <x:v>231</x:v>
      </x:c>
      <x:c r="B231" s="9" t="str">
        <x:v>https://exdivo.com/products/exdivo-bright-mirror-35k-replaceable-vape-kit_25244789</x:v>
      </x:c>
      <x:c r="C231" s="9" t="str">
        <x:v>rechargeable vape kit high puffs</x:v>
      </x:c>
      <x:c r="D231" s="9" t="str">
        <x:v>recommended</x:v>
      </x:c>
      <x:c r="E231" s="36" t="n">
        <x:v>0</x:v>
      </x:c>
      <x:c r="F231" s="36" t="n">
        <x:v>0</x:v>
      </x:c>
      <x:c r="G231" s="9" t="str">
        <x:v>48</x:v>
      </x:c>
      <x:c r="H231" s="9" t="str">
        <x:v>Reusable / Rechargeable</x:v>
      </x:c>
      <x:c r="I231" s="9" t="str">
        <x:v>场景/需求词</x:v>
      </x:c>
      <x:c r="J231" s="9" t="str">
        <x:v>博客B-场景人群</x:v>
      </x:c>
      <x:c r="K231" s="9" t="str"/>
      <x:c r="L231" s="9" t="str">
        <x:f>IF(K231="",J231,K231)</x:f>
        <x:v>博客B-场景人群</x:v>
      </x:c>
      <x:c r="M231" s="9" t="str">
        <x:v>场景解决方案/选购指南文章</x:v>
      </x:c>
      <x:c r="N231" s="9" t="str">
        <x:v>Scenario angle: how to choose rechargeable vape kit high puffs based on use case, flavor, nicotine, and budget</x:v>
      </x:c>
      <x:c r="O231" s="9" t="str">
        <x:v>/collections/rechargeable-vapes</x:v>
      </x:c>
      <x:c r="P231" s="9" t="str">
        <x:v>是</x:v>
      </x:c>
      <x:c r="Q231" s="9" t="str">
        <x:v>自然句/品类词</x:v>
      </x:c>
      <x:c r="R231" s="9" t="str">
        <x:v>低中风险：适合软性导流，但不要夸大效果或触碰健康疗效</x:v>
      </x:c>
      <x:c r="S231" s="9" t="str">
        <x:v>围绕使用场景、口味、尼古丁需求、便携性等写，不和主站品类页抢词。</x:v>
      </x:c>
      <x:c r="T231" s="38" t="n">
        <x:v>1</x:v>
      </x:c>
      <x:c r="U231" s="38" t="n">
        <x:v>15</x:v>
      </x:c>
      <x:c r="V231" s="38" t="n">
        <x:v>13</x:v>
      </x:c>
      <x:c r="W231" s="38" t="n">
        <x:v>14</x:v>
      </x:c>
      <x:c r="X231" s="38" t="n">
        <x:v>13</x:v>
      </x:c>
      <x:c r="Y231" s="38" t="n">
        <x:v>5</x:v>
      </x:c>
      <x:c r="Z231" s="38" t="n">
        <x:f>MAX(0,MIN(100,ROUND(((T231+U231+V231+W231+X231)-Y231)/85*100,0)))</x:f>
        <x:v>60</x:v>
      </x:c>
      <x:c r="AA231" s="9" t="str">
        <x:f>IF(L231="暂不做","P3 暂缓",IF(Z231&gt;=75,"P0 本周做",IF(Z231&gt;=60,"P1 近期做",IF(Z231&gt;=45,"P2 备选","P3 暂缓"))))</x:f>
        <x:v>P1 近期做</x:v>
      </x:c>
      <x:c r="AB231" s="9" t="str">
        <x:f>IF(Y231&gt;=15,"先做合规/相关性复核，不建议直接商业导流",IF(L231="主站","建/优化主站商业页",IF(L231="博客A-知识教程","写知识教程/FAQ文章",IF(L231="博客B-场景人群","写场景需求/选购指南文章",IF(L231="博客C-对比评测","写对比评测/榜单文章","暂不做或人工复核")))))</x:f>
        <x:v>写场景需求/选购指南文章</x:v>
      </x:c>
      <x:c r="AC231" s="9" t="str">
        <x:v>ExDivo BRIGHT MIRROR 35K Replaceable VAPE kit</x:v>
      </x:c>
      <x:c r="AD231" s="10" t="str">
        <x:v>40000 puffs</x:v>
      </x:c>
    </x:row>
    <x:row r="232">
      <x:c r="A232" s="34" t="n">
        <x:v>232</x:v>
      </x:c>
      <x:c r="B232" s="9" t="str">
        <x:v>https://exdivo.com/products/exdivo-bright-mirror-35k-replaceable-vape-kit_25244789</x:v>
      </x:c>
      <x:c r="C232" s="9" t="str">
        <x:v>high capacity replaceable vape</x:v>
      </x:c>
      <x:c r="D232" s="9" t="str">
        <x:v>recommended</x:v>
      </x:c>
      <x:c r="E232" s="36" t="n">
        <x:v>0</x:v>
      </x:c>
      <x:c r="F232" s="36" t="n">
        <x:v>0</x:v>
      </x:c>
      <x:c r="G232" s="9" t="str">
        <x:v>48</x:v>
      </x:c>
      <x:c r="H232" s="9" t="str">
        <x:v>General Vape</x:v>
      </x:c>
      <x:c r="I232" s="9" t="str">
        <x:v>内容词</x:v>
      </x:c>
      <x:c r="J232" s="9" t="str">
        <x:v>博客A-知识教程</x:v>
      </x:c>
      <x:c r="K232" s="9" t="str"/>
      <x:c r="L232" s="9" t="str">
        <x:f>IF(K232="",J232,K232)</x:f>
        <x:v>博客A-知识教程</x:v>
      </x:c>
      <x:c r="M232" s="9" t="str">
        <x:v>知识/教程文章</x:v>
      </x:c>
      <x:c r="N232" s="9" t="str">
        <x:v>Guide angle: explain high capacity replaceable vape, answer common questions, and avoid sales-first writing</x:v>
      </x:c>
      <x:c r="O232" s="9" t="str">
        <x:v>/collections/disposable-vapes 或最接近的产品集合页</x:v>
      </x:c>
      <x:c r="P232" s="9" t="str">
        <x:v>谨慎</x:v>
      </x:c>
      <x:c r="Q232" s="9" t="str">
        <x:v>品牌词/自然句</x:v>
      </x:c>
      <x:c r="R232" s="9" t="str">
        <x:v>低风险：按常规内容质量和搜索意图校验</x:v>
      </x:c>
      <x:c r="S232" s="9" t="str">
        <x:v>先看 Google SERP：如果首页多数为产品集合页，改回主站；如果多数为教程/问答，保持博客。</x:v>
      </x:c>
      <x:c r="T232" s="38" t="n">
        <x:v>1</x:v>
      </x:c>
      <x:c r="U232" s="38" t="n">
        <x:v>15</x:v>
      </x:c>
      <x:c r="V232" s="38" t="n">
        <x:v>10</x:v>
      </x:c>
      <x:c r="W232" s="38" t="n">
        <x:v>12</x:v>
      </x:c>
      <x:c r="X232" s="38" t="n">
        <x:v>12</x:v>
      </x:c>
      <x:c r="Y232" s="38" t="n">
        <x:v>4</x:v>
      </x:c>
      <x:c r="Z232" s="38" t="n">
        <x:f>MAX(0,MIN(100,ROUND(((T232+U232+V232+W232+X232)-Y232)/85*100,0)))</x:f>
        <x:v>54</x:v>
      </x:c>
      <x:c r="AA232" s="9" t="str">
        <x:f>IF(L232="暂不做","P3 暂缓",IF(Z232&gt;=75,"P0 本周做",IF(Z232&gt;=60,"P1 近期做",IF(Z232&gt;=45,"P2 备选","P3 暂缓"))))</x:f>
        <x:v>P2 备选</x:v>
      </x:c>
      <x:c r="AB232" s="9" t="str">
        <x:f>IF(Y232&gt;=15,"先做合规/相关性复核，不建议直接商业导流",IF(L232="主站","建/优化主站商业页",IF(L232="博客A-知识教程","写知识教程/FAQ文章",IF(L232="博客B-场景人群","写场景需求/选购指南文章",IF(L232="博客C-对比评测","写对比评测/榜单文章","暂不做或人工复核")))))</x:f>
        <x:v>写知识教程/FAQ文章</x:v>
      </x:c>
      <x:c r="AC232" s="9" t="str">
        <x:v>ExDivo BRIGHT MIRROR 35K Replaceable VAPE kit</x:v>
      </x:c>
      <x:c r="AD232" s="10" t="str">
        <x:v>40000 puffs</x:v>
      </x:c>
    </x:row>
    <x:row r="233">
      <x:c r="A233" s="34" t="n">
        <x:v>233</x:v>
      </x:c>
      <x:c r="B233" s="9" t="str">
        <x:v>https://exdivo.com/products/exdivo-bright-mirror-35k-replaceable-vape-kit_25244789</x:v>
      </x:c>
      <x:c r="C233" s="9" t="str">
        <x:v>best replaceable vape kit</x:v>
      </x:c>
      <x:c r="D233" s="9" t="str">
        <x:v>recommended</x:v>
      </x:c>
      <x:c r="E233" s="36" t="n">
        <x:v>0</x:v>
      </x:c>
      <x:c r="F233" s="36" t="n">
        <x:v>0</x:v>
      </x:c>
      <x:c r="G233" s="9" t="str">
        <x:v>48</x:v>
      </x:c>
      <x:c r="H233" s="9" t="str">
        <x:v>对比评测</x:v>
      </x:c>
      <x:c r="I233" s="9" t="str">
        <x:v>商业调查词</x:v>
      </x:c>
      <x:c r="J233" s="9" t="str">
        <x:v>博客C-对比评测</x:v>
      </x:c>
      <x:c r="K233" s="9" t="str"/>
      <x:c r="L233" s="9" t="str">
        <x:f>IF(K233="",J233,K233)</x:f>
        <x:v>博客C-对比评测</x:v>
      </x:c>
      <x:c r="M233" s="9" t="str">
        <x:v>Best/Top/Review/VS/替代方案文章</x:v>
      </x:c>
      <x:c r="N233" s="9" t="str">
        <x:v>Best angle: best replaceable vape kit - comparison, pros/cons, and which option fits different buyers</x:v>
      </x:c>
      <x:c r="O233" s="9" t="str">
        <x:v>/collections/disposable-vapes</x:v>
      </x:c>
      <x:c r="P233" s="9" t="str">
        <x:v>是</x:v>
      </x:c>
      <x:c r="Q233" s="9" t="str">
        <x:v>自然句/品类词/品牌词</x:v>
      </x:c>
      <x:c r="R233" s="9" t="str">
        <x:v>中风险：榜单和评测必须真实、中立，避免夸大</x:v>
      </x:c>
      <x:c r="S233" s="9" t="str">
        <x:v>这类词不直接给主站，先用博客C教育和比较，再导流到最相关集合页。</x:v>
      </x:c>
      <x:c r="T233" s="38" t="n">
        <x:v>1</x:v>
      </x:c>
      <x:c r="U233" s="38" t="n">
        <x:v>15</x:v>
      </x:c>
      <x:c r="V233" s="38" t="n">
        <x:v>16</x:v>
      </x:c>
      <x:c r="W233" s="38" t="n">
        <x:v>15</x:v>
      </x:c>
      <x:c r="X233" s="38" t="n">
        <x:v>13</x:v>
      </x:c>
      <x:c r="Y233" s="38" t="n">
        <x:v>6</x:v>
      </x:c>
      <x:c r="Z233" s="38" t="n">
        <x:f>MAX(0,MIN(100,ROUND(((T233+U233+V233+W233+X233)-Y233)/85*100,0)))</x:f>
        <x:v>64</x:v>
      </x:c>
      <x:c r="AA233" s="9" t="str">
        <x:f>IF(L233="暂不做","P3 暂缓",IF(Z233&gt;=75,"P0 本周做",IF(Z233&gt;=60,"P1 近期做",IF(Z233&gt;=45,"P2 备选","P3 暂缓"))))</x:f>
        <x:v>P1 近期做</x:v>
      </x:c>
      <x:c r="AB233" s="9" t="str">
        <x:f>IF(Y233&gt;=15,"先做合规/相关性复核，不建议直接商业导流",IF(L233="主站","建/优化主站商业页",IF(L233="博客A-知识教程","写知识教程/FAQ文章",IF(L233="博客B-场景人群","写场景需求/选购指南文章",IF(L233="博客C-对比评测","写对比评测/榜单文章","暂不做或人工复核")))))</x:f>
        <x:v>写对比评测/榜单文章</x:v>
      </x:c>
      <x:c r="AC233" s="9" t="str">
        <x:v>ExDivo BRIGHT MIRROR 35K Replaceable VAPE kit</x:v>
      </x:c>
      <x:c r="AD233" s="10" t="str">
        <x:v>40000 puffs</x:v>
      </x:c>
    </x:row>
    <x:row r="234">
      <x:c r="A234" s="34" t="n">
        <x:v>234</x:v>
      </x:c>
      <x:c r="B234" s="9" t="str">
        <x:v>https://exdivo.com/products/exdivo-bright-mirror-35k-replaceable-vape-kit_25244789</x:v>
      </x:c>
      <x:c r="C234" s="9" t="str">
        <x:v>vape kit with high puff count</x:v>
      </x:c>
      <x:c r="D234" s="9" t="str">
        <x:v>recommended</x:v>
      </x:c>
      <x:c r="E234" s="36" t="n">
        <x:v>0</x:v>
      </x:c>
      <x:c r="F234" s="36" t="n">
        <x:v>0</x:v>
      </x:c>
      <x:c r="G234" s="9" t="str">
        <x:v>48</x:v>
      </x:c>
      <x:c r="H234" s="9" t="str">
        <x:v>General Vape</x:v>
      </x:c>
      <x:c r="I234" s="9" t="str">
        <x:v>场景/需求词</x:v>
      </x:c>
      <x:c r="J234" s="9" t="str">
        <x:v>博客B-场景人群</x:v>
      </x:c>
      <x:c r="K234" s="9" t="str"/>
      <x:c r="L234" s="9" t="str">
        <x:f>IF(K234="",J234,K234)</x:f>
        <x:v>博客B-场景人群</x:v>
      </x:c>
      <x:c r="M234" s="9" t="str">
        <x:v>场景解决方案/选购指南文章</x:v>
      </x:c>
      <x:c r="N234" s="9" t="str">
        <x:v>Scenario angle: how to choose vape kit with high puff count based on use case, flavor, nicotine, and budget</x:v>
      </x:c>
      <x:c r="O234" s="9" t="str">
        <x:v>/collections/disposable-vapes</x:v>
      </x:c>
      <x:c r="P234" s="9" t="str">
        <x:v>是</x:v>
      </x:c>
      <x:c r="Q234" s="9" t="str">
        <x:v>自然句/品类词</x:v>
      </x:c>
      <x:c r="R234" s="9" t="str">
        <x:v>低中风险：适合软性导流，但不要夸大效果或触碰健康疗效</x:v>
      </x:c>
      <x:c r="S234" s="9" t="str">
        <x:v>围绕使用场景、口味、尼古丁需求、便携性等写，不和主站品类页抢词。</x:v>
      </x:c>
      <x:c r="T234" s="38" t="n">
        <x:v>1</x:v>
      </x:c>
      <x:c r="U234" s="38" t="n">
        <x:v>15</x:v>
      </x:c>
      <x:c r="V234" s="38" t="n">
        <x:v>13</x:v>
      </x:c>
      <x:c r="W234" s="38" t="n">
        <x:v>14</x:v>
      </x:c>
      <x:c r="X234" s="38" t="n">
        <x:v>13</x:v>
      </x:c>
      <x:c r="Y234" s="38" t="n">
        <x:v>5</x:v>
      </x:c>
      <x:c r="Z234" s="38" t="n">
        <x:f>MAX(0,MIN(100,ROUND(((T234+U234+V234+W234+X234)-Y234)/85*100,0)))</x:f>
        <x:v>60</x:v>
      </x:c>
      <x:c r="AA234" s="9" t="str">
        <x:f>IF(L234="暂不做","P3 暂缓",IF(Z234&gt;=75,"P0 本周做",IF(Z234&gt;=60,"P1 近期做",IF(Z234&gt;=45,"P2 备选","P3 暂缓"))))</x:f>
        <x:v>P1 近期做</x:v>
      </x:c>
      <x:c r="AB234" s="9" t="str">
        <x:f>IF(Y234&gt;=15,"先做合规/相关性复核，不建议直接商业导流",IF(L234="主站","建/优化主站商业页",IF(L234="博客A-知识教程","写知识教程/FAQ文章",IF(L234="博客B-场景人群","写场景需求/选购指南文章",IF(L234="博客C-对比评测","写对比评测/榜单文章","暂不做或人工复核")))))</x:f>
        <x:v>写场景需求/选购指南文章</x:v>
      </x:c>
      <x:c r="AC234" s="9" t="str">
        <x:v>ExDivo BRIGHT MIRROR 35K Replaceable VAPE kit</x:v>
      </x:c>
      <x:c r="AD234" s="10" t="str">
        <x:v>40000 puffs</x:v>
      </x:c>
    </x:row>
    <x:row r="235">
      <x:c r="A235" s="34" t="n">
        <x:v>235</x:v>
      </x:c>
      <x:c r="B235" s="9" t="str">
        <x:v>https://exdivo.com/products/exdivo-bright-mirror-35k-replaceable-vape-kit_25244789</x:v>
      </x:c>
      <x:c r="C235" s="9" t="str">
        <x:v>high puff count vape kit</x:v>
      </x:c>
      <x:c r="D235" s="9" t="str">
        <x:v>recommended</x:v>
      </x:c>
      <x:c r="E235" s="36" t="n">
        <x:v>0</x:v>
      </x:c>
      <x:c r="F235" s="36" t="n">
        <x:v>0</x:v>
      </x:c>
      <x:c r="G235" s="9" t="str">
        <x:v>48</x:v>
      </x:c>
      <x:c r="H235" s="9" t="str">
        <x:v>General Vape</x:v>
      </x:c>
      <x:c r="I235" s="9" t="str">
        <x:v>内容词</x:v>
      </x:c>
      <x:c r="J235" s="9" t="str">
        <x:v>博客A-知识教程</x:v>
      </x:c>
      <x:c r="K235" s="9" t="str"/>
      <x:c r="L235" s="9" t="str">
        <x:f>IF(K235="",J235,K235)</x:f>
        <x:v>博客A-知识教程</x:v>
      </x:c>
      <x:c r="M235" s="9" t="str">
        <x:v>知识/教程文章</x:v>
      </x:c>
      <x:c r="N235" s="9" t="str">
        <x:v>Guide angle: explain high puff count vape kit, answer common questions, and avoid sales-first writing</x:v>
      </x:c>
      <x:c r="O235" s="9" t="str">
        <x:v>/collections/disposable-vapes 或最接近的产品集合页</x:v>
      </x:c>
      <x:c r="P235" s="9" t="str">
        <x:v>谨慎</x:v>
      </x:c>
      <x:c r="Q235" s="9" t="str">
        <x:v>品牌词/自然句</x:v>
      </x:c>
      <x:c r="R235" s="9" t="str">
        <x:v>低风险：按常规内容质量和搜索意图校验</x:v>
      </x:c>
      <x:c r="S235" s="9" t="str">
        <x:v>先看 Google SERP：如果首页多数为产品集合页，改回主站；如果多数为教程/问答，保持博客。</x:v>
      </x:c>
      <x:c r="T235" s="38" t="n">
        <x:v>1</x:v>
      </x:c>
      <x:c r="U235" s="38" t="n">
        <x:v>15</x:v>
      </x:c>
      <x:c r="V235" s="38" t="n">
        <x:v>10</x:v>
      </x:c>
      <x:c r="W235" s="38" t="n">
        <x:v>12</x:v>
      </x:c>
      <x:c r="X235" s="38" t="n">
        <x:v>12</x:v>
      </x:c>
      <x:c r="Y235" s="38" t="n">
        <x:v>4</x:v>
      </x:c>
      <x:c r="Z235" s="38" t="n">
        <x:f>MAX(0,MIN(100,ROUND(((T235+U235+V235+W235+X235)-Y235)/85*100,0)))</x:f>
        <x:v>54</x:v>
      </x:c>
      <x:c r="AA235" s="9" t="str">
        <x:f>IF(L235="暂不做","P3 暂缓",IF(Z235&gt;=75,"P0 本周做",IF(Z235&gt;=60,"P1 近期做",IF(Z235&gt;=45,"P2 备选","P3 暂缓"))))</x:f>
        <x:v>P2 备选</x:v>
      </x:c>
      <x:c r="AB235" s="9" t="str">
        <x:f>IF(Y235&gt;=15,"先做合规/相关性复核，不建议直接商业导流",IF(L235="主站","建/优化主站商业页",IF(L235="博客A-知识教程","写知识教程/FAQ文章",IF(L235="博客B-场景人群","写场景需求/选购指南文章",IF(L235="博客C-对比评测","写对比评测/榜单文章","暂不做或人工复核")))))</x:f>
        <x:v>写知识教程/FAQ文章</x:v>
      </x:c>
      <x:c r="AC235" s="9" t="str">
        <x:v>ExDivo BRIGHT MIRROR 35K Replaceable VAPE kit</x:v>
      </x:c>
      <x:c r="AD235" s="10" t="str">
        <x:v>40000 puffs</x:v>
      </x:c>
    </x:row>
    <x:row r="236">
      <x:c r="A236" s="34" t="n">
        <x:v>236</x:v>
      </x:c>
      <x:c r="B236" s="9" t="str">
        <x:v>https://exdivo.com/products/exdivo-space-45k-disposable-vape_30b9ed8e?data_from=collection_detail&amp;spm=collection_detail..collection_detail-11702364.6.</x:v>
      </x:c>
      <x:c r="C236" s="9" t="str">
        <x:v>what vape has the most puffs</x:v>
      </x:c>
      <x:c r="D236" s="9" t="str">
        <x:v>recommended</x:v>
      </x:c>
      <x:c r="E236" s="36" t="n">
        <x:v>390</x:v>
      </x:c>
      <x:c r="F236" s="36" t="n">
        <x:v>13</x:v>
      </x:c>
      <x:c r="G236" s="9" t="str">
        <x:v>informational, commercial</x:v>
      </x:c>
      <x:c r="H236" s="9" t="str">
        <x:v>知识教程</x:v>
      </x:c>
      <x:c r="I236" s="9" t="str">
        <x:v>知识/教程词</x:v>
      </x:c>
      <x:c r="J236" s="9" t="str">
        <x:v>博客A-知识教程</x:v>
      </x:c>
      <x:c r="K236" s="9" t="str"/>
      <x:c r="L236" s="9" t="str">
        <x:f>IF(K236="",J236,K236)</x:f>
        <x:v>博客A-知识教程</x:v>
      </x:c>
      <x:c r="M236" s="9" t="str">
        <x:v>百科/How-to/FAQ文章</x:v>
      </x:c>
      <x:c r="N236" s="9" t="str">
        <x:v>Guide angle: explain what vape has the most puffs, answer common questions, and avoid sales-first writing</x:v>
      </x:c>
      <x:c r="O236" s="9" t="str">
        <x:v>/collections/disposable-vapes</x:v>
      </x:c>
      <x:c r="P236" s="9" t="str">
        <x:v>谨慎</x:v>
      </x:c>
      <x:c r="Q236" s="9" t="str">
        <x:v>自然句/品牌词</x:v>
      </x:c>
      <x:c r="R236" s="9" t="str">
        <x:v>低中风险：先满足信息意图，导流要克制</x:v>
      </x:c>
      <x:c r="S236" s="9" t="str">
        <x:v>如果文章能自然回答下一步购买问题，再放 1 个主站内链；否则只做知识闭环。</x:v>
      </x:c>
      <x:c r="T236" s="38" t="n">
        <x:v>7</x:v>
      </x:c>
      <x:c r="U236" s="38" t="n">
        <x:v>15</x:v>
      </x:c>
      <x:c r="V236" s="38" t="n">
        <x:v>9</x:v>
      </x:c>
      <x:c r="W236" s="38" t="n">
        <x:v>14</x:v>
      </x:c>
      <x:c r="X236" s="38" t="n">
        <x:v>12</x:v>
      </x:c>
      <x:c r="Y236" s="38" t="n">
        <x:v>5</x:v>
      </x:c>
      <x:c r="Z236" s="38" t="n">
        <x:f>MAX(0,MIN(100,ROUND(((T236+U236+V236+W236+X236)-Y236)/85*100,0)))</x:f>
        <x:v>61</x:v>
      </x:c>
      <x:c r="AA236" s="9" t="str">
        <x:f>IF(L236="暂不做","P3 暂缓",IF(Z236&gt;=75,"P0 本周做",IF(Z236&gt;=60,"P1 近期做",IF(Z236&gt;=45,"P2 备选","P3 暂缓"))))</x:f>
        <x:v>P1 近期做</x:v>
      </x:c>
      <x:c r="AB236" s="9" t="str">
        <x:f>IF(Y236&gt;=15,"先做合规/相关性复核，不建议直接商业导流",IF(L236="主站","建/优化主站商业页",IF(L236="博客A-知识教程","写知识教程/FAQ文章",IF(L236="博客B-场景人群","写场景需求/选购指南文章",IF(L236="博客C-对比评测","写对比评测/榜单文章","暂不做或人工复核")))))</x:f>
        <x:v>写知识教程/FAQ文章</x:v>
      </x:c>
      <x:c r="AC236" s="9" t="str">
        <x:v>ExDivo SPACE 45K Disposable Vape</x:v>
      </x:c>
      <x:c r="AD236" s="10" t="str">
        <x:v>45000 puffs</x:v>
      </x:c>
    </x:row>
    <x:row r="237">
      <x:c r="A237" s="34" t="n">
        <x:v>237</x:v>
      </x:c>
      <x:c r="B237" s="9" t="str">
        <x:v>https://exdivo.com/products/exdivo-space-45k-disposable-vape_30b9ed8e?data_from=collection_detail&amp;spm=collection_detail..collection_detail-11702364.6.</x:v>
      </x:c>
      <x:c r="C237" s="9" t="str">
        <x:v>50000 puff vape</x:v>
      </x:c>
      <x:c r="D237" s="9" t="str">
        <x:v>recommended</x:v>
      </x:c>
      <x:c r="E237" s="36" t="n">
        <x:v>140</x:v>
      </x:c>
      <x:c r="F237" s="36" t="n">
        <x:v>13</x:v>
      </x:c>
      <x:c r="G237" s="9" t="str">
        <x:v>commercial</x:v>
      </x:c>
      <x:c r="H237" s="9" t="str">
        <x:v>General Vape</x:v>
      </x:c>
      <x:c r="I237" s="9" t="str">
        <x:v>品类承接词</x:v>
      </x:c>
      <x:c r="J237" s="9" t="str">
        <x:v>主站</x:v>
      </x:c>
      <x:c r="K237" s="9" t="str"/>
      <x:c r="L237" s="9" t="str">
        <x:f>IF(K237="",J237,K237)</x:f>
        <x:v>主站</x:v>
      </x:c>
      <x:c r="M237" s="9" t="str">
        <x:v>品类页/集合页 + FAQ内容块</x:v>
      </x:c>
      <x:c r="N237" s="9" t="str">
        <x:v>主站品类页：用产品集合 + 选购说明承接</x:v>
      </x:c>
      <x:c r="O237" s="9" t="str">
        <x:v>/collections/disposable-vapes</x:v>
      </x:c>
      <x:c r="P237" s="9" t="str">
        <x:v>不适用</x:v>
      </x:c>
      <x:c r="Q237" s="9" t="str">
        <x:v>主站页面自身承接</x:v>
      </x:c>
      <x:c r="R237" s="9" t="str">
        <x:v>核心品类词：主站优先，博客只做长尾解释，不直接抢同一词</x:v>
      </x:c>
      <x:c r="S237" s="9" t="str">
        <x:v>如果 Google 首页产品页和指南混合，主站页要加 FAQ、选购指南、对比模块。</x:v>
      </x:c>
      <x:c r="T237" s="38" t="n">
        <x:v>7</x:v>
      </x:c>
      <x:c r="U237" s="38" t="n">
        <x:v>15</x:v>
      </x:c>
      <x:c r="V237" s="38" t="n">
        <x:v>18</x:v>
      </x:c>
      <x:c r="W237" s="38" t="n">
        <x:v>8</x:v>
      </x:c>
      <x:c r="X237" s="38" t="n">
        <x:v>15</x:v>
      </x:c>
      <x:c r="Y237" s="38" t="n">
        <x:v>4</x:v>
      </x:c>
      <x:c r="Z237" s="38" t="n">
        <x:f>MAX(0,MIN(100,ROUND(((T237+U237+V237+W237+X237)-Y237)/85*100,0)))</x:f>
        <x:v>69</x:v>
      </x:c>
      <x:c r="AA237" s="9" t="str">
        <x:f>IF(L237="暂不做","P3 暂缓",IF(Z237&gt;=75,"P0 本周做",IF(Z237&gt;=60,"P1 近期做",IF(Z237&gt;=45,"P2 备选","P3 暂缓"))))</x:f>
        <x:v>P1 近期做</x:v>
      </x:c>
      <x:c r="AB237" s="9" t="str">
        <x:f>IF(Y237&gt;=15,"先做合规/相关性复核，不建议直接商业导流",IF(L237="主站","建/优化主站商业页",IF(L237="博客A-知识教程","写知识教程/FAQ文章",IF(L237="博客B-场景人群","写场景需求/选购指南文章",IF(L237="博客C-对比评测","写对比评测/榜单文章","暂不做或人工复核")))))</x:f>
        <x:v>建/优化主站商业页</x:v>
      </x:c>
      <x:c r="AC237" s="9" t="str">
        <x:v>ExDivo SPACE 45K Disposable Vape</x:v>
      </x:c>
      <x:c r="AD237" s="10" t="str">
        <x:v>45000 puffs</x:v>
      </x:c>
    </x:row>
    <x:row r="238">
      <x:c r="A238" s="34" t="n">
        <x:v>238</x:v>
      </x:c>
      <x:c r="B238" s="9" t="str">
        <x:v>https://exdivo.com/products/exdivo-space-45k-disposable-vape_30b9ed8e?data_from=collection_detail&amp;spm=collection_detail..collection_detail-11702364.6.</x:v>
      </x:c>
      <x:c r="C238" s="9" t="str">
        <x:v>vape 30000 puffs</x:v>
      </x:c>
      <x:c r="D238" s="9" t="str">
        <x:v>recommended</x:v>
      </x:c>
      <x:c r="E238" s="36" t="n">
        <x:v>50</x:v>
      </x:c>
      <x:c r="F238" s="36" t="n">
        <x:v>3</x:v>
      </x:c>
      <x:c r="G238" s="9" t="str">
        <x:v>commercial</x:v>
      </x:c>
      <x:c r="H238" s="9" t="str">
        <x:v>General Vape</x:v>
      </x:c>
      <x:c r="I238" s="9" t="str">
        <x:v>品类承接词</x:v>
      </x:c>
      <x:c r="J238" s="9" t="str">
        <x:v>主站</x:v>
      </x:c>
      <x:c r="K238" s="9" t="str"/>
      <x:c r="L238" s="9" t="str">
        <x:f>IF(K238="",J238,K238)</x:f>
        <x:v>主站</x:v>
      </x:c>
      <x:c r="M238" s="9" t="str">
        <x:v>品类页/集合页 + FAQ内容块</x:v>
      </x:c>
      <x:c r="N238" s="9" t="str">
        <x:v>主站品类页：用产品集合 + 选购说明承接</x:v>
      </x:c>
      <x:c r="O238" s="9" t="str">
        <x:v>/collections/disposable-vapes</x:v>
      </x:c>
      <x:c r="P238" s="9" t="str">
        <x:v>不适用</x:v>
      </x:c>
      <x:c r="Q238" s="9" t="str">
        <x:v>主站页面自身承接</x:v>
      </x:c>
      <x:c r="R238" s="9" t="str">
        <x:v>核心品类词：主站优先，博客只做长尾解释，不直接抢同一词</x:v>
      </x:c>
      <x:c r="S238" s="9" t="str">
        <x:v>如果 Google 首页产品页和指南混合，主站页要加 FAQ、选购指南、对比模块。</x:v>
      </x:c>
      <x:c r="T238" s="38" t="n">
        <x:v>4</x:v>
      </x:c>
      <x:c r="U238" s="38" t="n">
        <x:v>15</x:v>
      </x:c>
      <x:c r="V238" s="38" t="n">
        <x:v>18</x:v>
      </x:c>
      <x:c r="W238" s="38" t="n">
        <x:v>8</x:v>
      </x:c>
      <x:c r="X238" s="38" t="n">
        <x:v>15</x:v>
      </x:c>
      <x:c r="Y238" s="38" t="n">
        <x:v>4</x:v>
      </x:c>
      <x:c r="Z238" s="38" t="n">
        <x:f>MAX(0,MIN(100,ROUND(((T238+U238+V238+W238+X238)-Y238)/85*100,0)))</x:f>
        <x:v>66</x:v>
      </x:c>
      <x:c r="AA238" s="9" t="str">
        <x:f>IF(L238="暂不做","P3 暂缓",IF(Z238&gt;=75,"P0 本周做",IF(Z238&gt;=60,"P1 近期做",IF(Z238&gt;=45,"P2 备选","P3 暂缓"))))</x:f>
        <x:v>P1 近期做</x:v>
      </x:c>
      <x:c r="AB238" s="9" t="str">
        <x:f>IF(Y238&gt;=15,"先做合规/相关性复核，不建议直接商业导流",IF(L238="主站","建/优化主站商业页",IF(L238="博客A-知识教程","写知识教程/FAQ文章",IF(L238="博客B-场景人群","写场景需求/选购指南文章",IF(L238="博客C-对比评测","写对比评测/榜单文章","暂不做或人工复核")))))</x:f>
        <x:v>建/优化主站商业页</x:v>
      </x:c>
      <x:c r="AC238" s="9" t="str">
        <x:v>ExDivo SPACE 45K Disposable Vape</x:v>
      </x:c>
      <x:c r="AD238" s="10" t="str">
        <x:v>45000 puffs</x:v>
      </x:c>
    </x:row>
    <x:row r="239">
      <x:c r="A239" s="34" t="n">
        <x:v>239</x:v>
      </x:c>
      <x:c r="B239" s="9" t="str">
        <x:v>https://exdivo.com/products/exdivo-space-45k-disposable-vape_30b9ed8e?data_from=collection_detail&amp;spm=collection_detail..collection_detail-11702364.6.</x:v>
      </x:c>
      <x:c r="C239" s="9" t="str">
        <x:v>25000 puff vape</x:v>
      </x:c>
      <x:c r="D239" s="9" t="str">
        <x:v>recommended</x:v>
      </x:c>
      <x:c r="E239" s="36" t="n">
        <x:v>70</x:v>
      </x:c>
      <x:c r="F239" s="36" t="n">
        <x:v>4</x:v>
      </x:c>
      <x:c r="G239" s="9" t="str">
        <x:v>informational</x:v>
      </x:c>
      <x:c r="H239" s="9" t="str">
        <x:v>General Vape</x:v>
      </x:c>
      <x:c r="I239" s="9" t="str">
        <x:v>品类承接词</x:v>
      </x:c>
      <x:c r="J239" s="9" t="str">
        <x:v>主站</x:v>
      </x:c>
      <x:c r="K239" s="9" t="str"/>
      <x:c r="L239" s="9" t="str">
        <x:f>IF(K239="",J239,K239)</x:f>
        <x:v>主站</x:v>
      </x:c>
      <x:c r="M239" s="9" t="str">
        <x:v>品类页/集合页 + FAQ内容块</x:v>
      </x:c>
      <x:c r="N239" s="9" t="str">
        <x:v>主站品类页：用产品集合 + 选购说明承接</x:v>
      </x:c>
      <x:c r="O239" s="9" t="str">
        <x:v>/collections/disposable-vapes</x:v>
      </x:c>
      <x:c r="P239" s="9" t="str">
        <x:v>不适用</x:v>
      </x:c>
      <x:c r="Q239" s="9" t="str">
        <x:v>主站页面自身承接</x:v>
      </x:c>
      <x:c r="R239" s="9" t="str">
        <x:v>核心品类词：主站优先，博客只做长尾解释，不直接抢同一词</x:v>
      </x:c>
      <x:c r="S239" s="9" t="str">
        <x:v>如果 Google 首页产品页和指南混合，主站页要加 FAQ、选购指南、对比模块。</x:v>
      </x:c>
      <x:c r="T239" s="38" t="n">
        <x:v>4</x:v>
      </x:c>
      <x:c r="U239" s="38" t="n">
        <x:v>15</x:v>
      </x:c>
      <x:c r="V239" s="38" t="n">
        <x:v>16</x:v>
      </x:c>
      <x:c r="W239" s="38" t="n">
        <x:v>8</x:v>
      </x:c>
      <x:c r="X239" s="38" t="n">
        <x:v>15</x:v>
      </x:c>
      <x:c r="Y239" s="38" t="n">
        <x:v>4</x:v>
      </x:c>
      <x:c r="Z239" s="38" t="n">
        <x:f>MAX(0,MIN(100,ROUND(((T239+U239+V239+W239+X239)-Y239)/85*100,0)))</x:f>
        <x:v>64</x:v>
      </x:c>
      <x:c r="AA239" s="9" t="str">
        <x:f>IF(L239="暂不做","P3 暂缓",IF(Z239&gt;=75,"P0 本周做",IF(Z239&gt;=60,"P1 近期做",IF(Z239&gt;=45,"P2 备选","P3 暂缓"))))</x:f>
        <x:v>P1 近期做</x:v>
      </x:c>
      <x:c r="AB239" s="9" t="str">
        <x:f>IF(Y239&gt;=15,"先做合规/相关性复核，不建议直接商业导流",IF(L239="主站","建/优化主站商业页",IF(L239="博客A-知识教程","写知识教程/FAQ文章",IF(L239="博客B-场景人群","写场景需求/选购指南文章",IF(L239="博客C-对比评测","写对比评测/榜单文章","暂不做或人工复核")))))</x:f>
        <x:v>建/优化主站商业页</x:v>
      </x:c>
      <x:c r="AC239" s="9" t="str">
        <x:v>ExDivo SPACE 45K Disposable Vape</x:v>
      </x:c>
      <x:c r="AD239" s="10" t="str">
        <x:v>45000 puffs</x:v>
      </x:c>
    </x:row>
    <x:row r="240">
      <x:c r="A240" s="34" t="n">
        <x:v>240</x:v>
      </x:c>
      <x:c r="B240" s="9" t="str">
        <x:v>https://exdivo.com/products/exdivo-space-45k-disposable-vape_30b9ed8e?data_from=collection_detail&amp;spm=collection_detail..collection_detail-11702364.6.</x:v>
      </x:c>
      <x:c r="C240" s="9" t="str">
        <x:v>vape puffs</x:v>
      </x:c>
      <x:c r="D240" s="9" t="str">
        <x:v>recommended</x:v>
      </x:c>
      <x:c r="E240" s="36" t="n">
        <x:v>90</x:v>
      </x:c>
      <x:c r="F240" s="36" t="n">
        <x:v>40</x:v>
      </x:c>
      <x:c r="G240" s="9" t="str">
        <x:v>informational</x:v>
      </x:c>
      <x:c r="H240" s="9" t="str">
        <x:v>General Vape</x:v>
      </x:c>
      <x:c r="I240" s="9" t="str">
        <x:v>品类承接词</x:v>
      </x:c>
      <x:c r="J240" s="9" t="str">
        <x:v>主站</x:v>
      </x:c>
      <x:c r="K240" s="9" t="str"/>
      <x:c r="L240" s="9" t="str">
        <x:f>IF(K240="",J240,K240)</x:f>
        <x:v>主站</x:v>
      </x:c>
      <x:c r="M240" s="9" t="str">
        <x:v>品类页/集合页 + FAQ内容块</x:v>
      </x:c>
      <x:c r="N240" s="9" t="str">
        <x:v>主站品类页：用产品集合 + 选购说明承接</x:v>
      </x:c>
      <x:c r="O240" s="9" t="str">
        <x:v>/collections/disposable-vapes</x:v>
      </x:c>
      <x:c r="P240" s="9" t="str">
        <x:v>不适用</x:v>
      </x:c>
      <x:c r="Q240" s="9" t="str">
        <x:v>主站页面自身承接</x:v>
      </x:c>
      <x:c r="R240" s="9" t="str">
        <x:v>核心品类词：主站优先，博客只做长尾解释，不直接抢同一词</x:v>
      </x:c>
      <x:c r="S240" s="9" t="str">
        <x:v>如果 Google 首页产品页和指南混合，主站页要加 FAQ、选购指南、对比模块。</x:v>
      </x:c>
      <x:c r="T240" s="38" t="n">
        <x:v>4</x:v>
      </x:c>
      <x:c r="U240" s="38" t="n">
        <x:v>9</x:v>
      </x:c>
      <x:c r="V240" s="38" t="n">
        <x:v>16</x:v>
      </x:c>
      <x:c r="W240" s="38" t="n">
        <x:v>8</x:v>
      </x:c>
      <x:c r="X240" s="38" t="n">
        <x:v>15</x:v>
      </x:c>
      <x:c r="Y240" s="38" t="n">
        <x:v>4</x:v>
      </x:c>
      <x:c r="Z240" s="38" t="n">
        <x:f>MAX(0,MIN(100,ROUND(((T240+U240+V240+W240+X240)-Y240)/85*100,0)))</x:f>
        <x:v>56</x:v>
      </x:c>
      <x:c r="AA240" s="9" t="str">
        <x:f>IF(L240="暂不做","P3 暂缓",IF(Z240&gt;=75,"P0 本周做",IF(Z240&gt;=60,"P1 近期做",IF(Z240&gt;=45,"P2 备选","P3 暂缓"))))</x:f>
        <x:v>P2 备选</x:v>
      </x:c>
      <x:c r="AB240" s="9" t="str">
        <x:f>IF(Y240&gt;=15,"先做合规/相关性复核，不建议直接商业导流",IF(L240="主站","建/优化主站商业页",IF(L240="博客A-知识教程","写知识教程/FAQ文章",IF(L240="博客B-场景人群","写场景需求/选购指南文章",IF(L240="博客C-对比评测","写对比评测/榜单文章","暂不做或人工复核")))))</x:f>
        <x:v>建/优化主站商业页</x:v>
      </x:c>
      <x:c r="AC240" s="9" t="str">
        <x:v>ExDivo SPACE 45K Disposable Vape</x:v>
      </x:c>
      <x:c r="AD240" s="10" t="str">
        <x:v>45000 puffs</x:v>
      </x:c>
    </x:row>
    <x:row r="241">
      <x:c r="A241" s="34" t="n">
        <x:v>241</x:v>
      </x:c>
      <x:c r="B241" s="9" t="str">
        <x:v>https://exdivo.com/products/exdivo-space-45k-disposable-vape_30b9ed8e?data_from=collection_detail&amp;spm=collection_detail..collection_detail-11702364.6.</x:v>
      </x:c>
      <x:c r="C241" s="9" t="str">
        <x:v>disposable vape 45k puffs</x:v>
      </x:c>
      <x:c r="D241" s="9" t="str">
        <x:v>recommended</x:v>
      </x:c>
      <x:c r="E241" s="36" t="n">
        <x:v>0</x:v>
      </x:c>
      <x:c r="F241" s="36" t="n">
        <x:v>0</x:v>
      </x:c>
      <x:c r="G241" s="9" t="str">
        <x:v>48</x:v>
      </x:c>
      <x:c r="H241" s="9" t="str">
        <x:v>Disposable Vape</x:v>
      </x:c>
      <x:c r="I241" s="9" t="str">
        <x:v>内容词</x:v>
      </x:c>
      <x:c r="J241" s="9" t="str">
        <x:v>博客A-知识教程</x:v>
      </x:c>
      <x:c r="K241" s="9" t="str"/>
      <x:c r="L241" s="9" t="str">
        <x:f>IF(K241="",J241,K241)</x:f>
        <x:v>博客A-知识教程</x:v>
      </x:c>
      <x:c r="M241" s="9" t="str">
        <x:v>知识/教程文章</x:v>
      </x:c>
      <x:c r="N241" s="9" t="str">
        <x:v>Guide angle: explain disposable vape 45k puffs, answer common questions, and avoid sales-first writing</x:v>
      </x:c>
      <x:c r="O241" s="9" t="str">
        <x:v>/collections/disposable-vapes 或最接近的产品集合页</x:v>
      </x:c>
      <x:c r="P241" s="9" t="str">
        <x:v>谨慎</x:v>
      </x:c>
      <x:c r="Q241" s="9" t="str">
        <x:v>品牌词/自然句</x:v>
      </x:c>
      <x:c r="R241" s="9" t="str">
        <x:v>低风险：按常规内容质量和搜索意图校验</x:v>
      </x:c>
      <x:c r="S241" s="9" t="str">
        <x:v>先看 Google SERP：如果首页多数为产品集合页，改回主站；如果多数为教程/问答，保持博客。</x:v>
      </x:c>
      <x:c r="T241" s="38" t="n">
        <x:v>1</x:v>
      </x:c>
      <x:c r="U241" s="38" t="n">
        <x:v>15</x:v>
      </x:c>
      <x:c r="V241" s="38" t="n">
        <x:v>10</x:v>
      </x:c>
      <x:c r="W241" s="38" t="n">
        <x:v>12</x:v>
      </x:c>
      <x:c r="X241" s="38" t="n">
        <x:v>12</x:v>
      </x:c>
      <x:c r="Y241" s="38" t="n">
        <x:v>4</x:v>
      </x:c>
      <x:c r="Z241" s="38" t="n">
        <x:f>MAX(0,MIN(100,ROUND(((T241+U241+V241+W241+X241)-Y241)/85*100,0)))</x:f>
        <x:v>54</x:v>
      </x:c>
      <x:c r="AA241" s="9" t="str">
        <x:f>IF(L241="暂不做","P3 暂缓",IF(Z241&gt;=75,"P0 本周做",IF(Z241&gt;=60,"P1 近期做",IF(Z241&gt;=45,"P2 备选","P3 暂缓"))))</x:f>
        <x:v>P2 备选</x:v>
      </x:c>
      <x:c r="AB241" s="9" t="str">
        <x:f>IF(Y241&gt;=15,"先做合规/相关性复核，不建议直接商业导流",IF(L241="主站","建/优化主站商业页",IF(L241="博客A-知识教程","写知识教程/FAQ文章",IF(L241="博客B-场景人群","写场景需求/选购指南文章",IF(L241="博客C-对比评测","写对比评测/榜单文章","暂不做或人工复核")))))</x:f>
        <x:v>写知识教程/FAQ文章</x:v>
      </x:c>
      <x:c r="AC241" s="9" t="str">
        <x:v>ExDivo SPACE 45K Disposable Vape</x:v>
      </x:c>
      <x:c r="AD241" s="10" t="str">
        <x:v>45000 puffs</x:v>
      </x:c>
    </x:row>
    <x:row r="242">
      <x:c r="A242" s="34" t="n">
        <x:v>242</x:v>
      </x:c>
      <x:c r="B242" s="9" t="str">
        <x:v>https://exdivo.com/products/exdivo-space-45k-disposable-vape_30b9ed8e?data_from=collection_detail&amp;spm=collection_detail..collection_detail-11702364.6.</x:v>
      </x:c>
      <x:c r="C242" s="9" t="str">
        <x:v>45000 puff disposable vape</x:v>
      </x:c>
      <x:c r="D242" s="9" t="str">
        <x:v>recommended</x:v>
      </x:c>
      <x:c r="E242" s="36" t="n">
        <x:v>0</x:v>
      </x:c>
      <x:c r="F242" s="36" t="n">
        <x:v>0</x:v>
      </x:c>
      <x:c r="G242" s="9" t="str">
        <x:v>48</x:v>
      </x:c>
      <x:c r="H242" s="9" t="str">
        <x:v>Disposable Vape</x:v>
      </x:c>
      <x:c r="I242" s="9" t="str">
        <x:v>内容词</x:v>
      </x:c>
      <x:c r="J242" s="9" t="str">
        <x:v>博客A-知识教程</x:v>
      </x:c>
      <x:c r="K242" s="9" t="str"/>
      <x:c r="L242" s="9" t="str">
        <x:f>IF(K242="",J242,K242)</x:f>
        <x:v>博客A-知识教程</x:v>
      </x:c>
      <x:c r="M242" s="9" t="str">
        <x:v>知识/教程文章</x:v>
      </x:c>
      <x:c r="N242" s="9" t="str">
        <x:v>Guide angle: explain 45000 puff disposable vape, answer common questions, and avoid sales-first writing</x:v>
      </x:c>
      <x:c r="O242" s="9" t="str">
        <x:v>/collections/disposable-vapes 或最接近的产品集合页</x:v>
      </x:c>
      <x:c r="P242" s="9" t="str">
        <x:v>谨慎</x:v>
      </x:c>
      <x:c r="Q242" s="9" t="str">
        <x:v>品牌词/自然句</x:v>
      </x:c>
      <x:c r="R242" s="9" t="str">
        <x:v>低风险：按常规内容质量和搜索意图校验</x:v>
      </x:c>
      <x:c r="S242" s="9" t="str">
        <x:v>先看 Google SERP：如果首页多数为产品集合页，改回主站；如果多数为教程/问答，保持博客。</x:v>
      </x:c>
      <x:c r="T242" s="38" t="n">
        <x:v>1</x:v>
      </x:c>
      <x:c r="U242" s="38" t="n">
        <x:v>15</x:v>
      </x:c>
      <x:c r="V242" s="38" t="n">
        <x:v>10</x:v>
      </x:c>
      <x:c r="W242" s="38" t="n">
        <x:v>12</x:v>
      </x:c>
      <x:c r="X242" s="38" t="n">
        <x:v>12</x:v>
      </x:c>
      <x:c r="Y242" s="38" t="n">
        <x:v>4</x:v>
      </x:c>
      <x:c r="Z242" s="38" t="n">
        <x:f>MAX(0,MIN(100,ROUND(((T242+U242+V242+W242+X242)-Y242)/85*100,0)))</x:f>
        <x:v>54</x:v>
      </x:c>
      <x:c r="AA242" s="9" t="str">
        <x:f>IF(L242="暂不做","P3 暂缓",IF(Z242&gt;=75,"P0 本周做",IF(Z242&gt;=60,"P1 近期做",IF(Z242&gt;=45,"P2 备选","P3 暂缓"))))</x:f>
        <x:v>P2 备选</x:v>
      </x:c>
      <x:c r="AB242" s="9" t="str">
        <x:f>IF(Y242&gt;=15,"先做合规/相关性复核，不建议直接商业导流",IF(L242="主站","建/优化主站商业页",IF(L242="博客A-知识教程","写知识教程/FAQ文章",IF(L242="博客B-场景人群","写场景需求/选购指南文章",IF(L242="博客C-对比评测","写对比评测/榜单文章","暂不做或人工复核")))))</x:f>
        <x:v>写知识教程/FAQ文章</x:v>
      </x:c>
      <x:c r="AC242" s="9" t="str">
        <x:v>ExDivo SPACE 45K Disposable Vape</x:v>
      </x:c>
      <x:c r="AD242" s="10" t="str">
        <x:v>45000 puffs</x:v>
      </x:c>
    </x:row>
    <x:row r="243">
      <x:c r="A243" s="34" t="n">
        <x:v>243</x:v>
      </x:c>
      <x:c r="B243" s="9" t="str">
        <x:v>https://exdivo.com/products/exdivo-space-45k-disposable-vape_30b9ed8e?data_from=collection_detail&amp;spm=collection_detail..collection_detail-11702364.6.</x:v>
      </x:c>
      <x:c r="C243" s="9" t="str">
        <x:v>45000 puffs vape</x:v>
      </x:c>
      <x:c r="D243" s="9" t="str">
        <x:v>recommended</x:v>
      </x:c>
      <x:c r="E243" s="36" t="n">
        <x:v>0</x:v>
      </x:c>
      <x:c r="F243" s="36" t="n">
        <x:v>0</x:v>
      </x:c>
      <x:c r="G243" s="9" t="str">
        <x:v>48</x:v>
      </x:c>
      <x:c r="H243" s="9" t="str">
        <x:v>General Vape</x:v>
      </x:c>
      <x:c r="I243" s="9" t="str">
        <x:v>品类承接词</x:v>
      </x:c>
      <x:c r="J243" s="9" t="str">
        <x:v>主站</x:v>
      </x:c>
      <x:c r="K243" s="9" t="str"/>
      <x:c r="L243" s="9" t="str">
        <x:f>IF(K243="",J243,K243)</x:f>
        <x:v>主站</x:v>
      </x:c>
      <x:c r="M243" s="9" t="str">
        <x:v>品类页/集合页 + FAQ内容块</x:v>
      </x:c>
      <x:c r="N243" s="9" t="str">
        <x:v>主站品类页：用产品集合 + 选购说明承接</x:v>
      </x:c>
      <x:c r="O243" s="9" t="str">
        <x:v>/collections/disposable-vapes</x:v>
      </x:c>
      <x:c r="P243" s="9" t="str">
        <x:v>不适用</x:v>
      </x:c>
      <x:c r="Q243" s="9" t="str">
        <x:v>主站页面自身承接</x:v>
      </x:c>
      <x:c r="R243" s="9" t="str">
        <x:v>核心品类词：主站优先，博客只做长尾解释，不直接抢同一词</x:v>
      </x:c>
      <x:c r="S243" s="9" t="str">
        <x:v>如果 Google 首页产品页和指南混合，主站页要加 FAQ、选购指南、对比模块。</x:v>
      </x:c>
      <x:c r="T243" s="38" t="n">
        <x:v>1</x:v>
      </x:c>
      <x:c r="U243" s="38" t="n">
        <x:v>15</x:v>
      </x:c>
      <x:c r="V243" s="38" t="n">
        <x:v>16</x:v>
      </x:c>
      <x:c r="W243" s="38" t="n">
        <x:v>8</x:v>
      </x:c>
      <x:c r="X243" s="38" t="n">
        <x:v>15</x:v>
      </x:c>
      <x:c r="Y243" s="38" t="n">
        <x:v>4</x:v>
      </x:c>
      <x:c r="Z243" s="38" t="n">
        <x:f>MAX(0,MIN(100,ROUND(((T243+U243+V243+W243+X243)-Y243)/85*100,0)))</x:f>
        <x:v>60</x:v>
      </x:c>
      <x:c r="AA243" s="9" t="str">
        <x:f>IF(L243="暂不做","P3 暂缓",IF(Z243&gt;=75,"P0 本周做",IF(Z243&gt;=60,"P1 近期做",IF(Z243&gt;=45,"P2 备选","P3 暂缓"))))</x:f>
        <x:v>P1 近期做</x:v>
      </x:c>
      <x:c r="AB243" s="9" t="str">
        <x:f>IF(Y243&gt;=15,"先做合规/相关性复核，不建议直接商业导流",IF(L243="主站","建/优化主站商业页",IF(L243="博客A-知识教程","写知识教程/FAQ文章",IF(L243="博客B-场景人群","写场景需求/选购指南文章",IF(L243="博客C-对比评测","写对比评测/榜单文章","暂不做或人工复核")))))</x:f>
        <x:v>建/优化主站商业页</x:v>
      </x:c>
      <x:c r="AC243" s="9" t="str">
        <x:v>ExDivo SPACE 45K Disposable Vape</x:v>
      </x:c>
      <x:c r="AD243" s="10" t="str">
        <x:v>45000 puffs</x:v>
      </x:c>
    </x:row>
    <x:row r="244">
      <x:c r="A244" s="34" t="n">
        <x:v>244</x:v>
      </x:c>
      <x:c r="B244" s="9" t="str">
        <x:v>https://exdivo.com/products/exdivo-space-45k-disposable-vape_30b9ed8e?data_from=collection_detail&amp;spm=collection_detail..collection_detail-11702364.6.</x:v>
      </x:c>
      <x:c r="C244" s="9" t="str">
        <x:v>high puff count vape</x:v>
      </x:c>
      <x:c r="D244" s="9" t="str">
        <x:v>recommended</x:v>
      </x:c>
      <x:c r="E244" s="36" t="n">
        <x:v>0</x:v>
      </x:c>
      <x:c r="F244" s="36" t="n">
        <x:v>0</x:v>
      </x:c>
      <x:c r="G244" s="9" t="str">
        <x:v>48</x:v>
      </x:c>
      <x:c r="H244" s="9" t="str">
        <x:v>General Vape</x:v>
      </x:c>
      <x:c r="I244" s="9" t="str">
        <x:v>内容词</x:v>
      </x:c>
      <x:c r="J244" s="9" t="str">
        <x:v>博客A-知识教程</x:v>
      </x:c>
      <x:c r="K244" s="9" t="str"/>
      <x:c r="L244" s="9" t="str">
        <x:f>IF(K244="",J244,K244)</x:f>
        <x:v>博客A-知识教程</x:v>
      </x:c>
      <x:c r="M244" s="9" t="str">
        <x:v>知识/教程文章</x:v>
      </x:c>
      <x:c r="N244" s="9" t="str">
        <x:v>Guide angle: explain high puff count vape, answer common questions, and avoid sales-first writing</x:v>
      </x:c>
      <x:c r="O244" s="9" t="str">
        <x:v>/collections/disposable-vapes 或最接近的产品集合页</x:v>
      </x:c>
      <x:c r="P244" s="9" t="str">
        <x:v>谨慎</x:v>
      </x:c>
      <x:c r="Q244" s="9" t="str">
        <x:v>品牌词/自然句</x:v>
      </x:c>
      <x:c r="R244" s="9" t="str">
        <x:v>低风险：按常规内容质量和搜索意图校验</x:v>
      </x:c>
      <x:c r="S244" s="9" t="str">
        <x:v>先看 Google SERP：如果首页多数为产品集合页，改回主站；如果多数为教程/问答，保持博客。</x:v>
      </x:c>
      <x:c r="T244" s="38" t="n">
        <x:v>1</x:v>
      </x:c>
      <x:c r="U244" s="38" t="n">
        <x:v>15</x:v>
      </x:c>
      <x:c r="V244" s="38" t="n">
        <x:v>10</x:v>
      </x:c>
      <x:c r="W244" s="38" t="n">
        <x:v>12</x:v>
      </x:c>
      <x:c r="X244" s="38" t="n">
        <x:v>12</x:v>
      </x:c>
      <x:c r="Y244" s="38" t="n">
        <x:v>4</x:v>
      </x:c>
      <x:c r="Z244" s="38" t="n">
        <x:f>MAX(0,MIN(100,ROUND(((T244+U244+V244+W244+X244)-Y244)/85*100,0)))</x:f>
        <x:v>54</x:v>
      </x:c>
      <x:c r="AA244" s="9" t="str">
        <x:f>IF(L244="暂不做","P3 暂缓",IF(Z244&gt;=75,"P0 本周做",IF(Z244&gt;=60,"P1 近期做",IF(Z244&gt;=45,"P2 备选","P3 暂缓"))))</x:f>
        <x:v>P2 备选</x:v>
      </x:c>
      <x:c r="AB244" s="9" t="str">
        <x:f>IF(Y244&gt;=15,"先做合规/相关性复核，不建议直接商业导流",IF(L244="主站","建/优化主站商业页",IF(L244="博客A-知识教程","写知识教程/FAQ文章",IF(L244="博客B-场景人群","写场景需求/选购指南文章",IF(L244="博客C-对比评测","写对比评测/榜单文章","暂不做或人工复核")))))</x:f>
        <x:v>写知识教程/FAQ文章</x:v>
      </x:c>
      <x:c r="AC244" s="9" t="str">
        <x:v>ExDivo SPACE 45K Disposable Vape</x:v>
      </x:c>
      <x:c r="AD244" s="10" t="str">
        <x:v>45000 puffs</x:v>
      </x:c>
    </x:row>
    <x:row r="245">
      <x:c r="A245" s="34" t="n">
        <x:v>245</x:v>
      </x:c>
      <x:c r="B245" s="9" t="str">
        <x:v>https://exdivo.com/products/exdivo-space-45k-disposable-vape_30b9ed8e?data_from=collection_detail&amp;spm=collection_detail..collection_detail-11702364.6.</x:v>
      </x:c>
      <x:c r="C245" s="9" t="str">
        <x:v>50k puff vape</x:v>
      </x:c>
      <x:c r="D245" s="9" t="str">
        <x:v>recommended</x:v>
      </x:c>
      <x:c r="E245" s="36" t="n">
        <x:v>170</x:v>
      </x:c>
      <x:c r="F245" s="36" t="n">
        <x:v>5</x:v>
      </x:c>
      <x:c r="G245" s="9" t="str">
        <x:v>commercial</x:v>
      </x:c>
      <x:c r="H245" s="9" t="str">
        <x:v>General Vape</x:v>
      </x:c>
      <x:c r="I245" s="9" t="str">
        <x:v>品类承接词</x:v>
      </x:c>
      <x:c r="J245" s="9" t="str">
        <x:v>主站</x:v>
      </x:c>
      <x:c r="K245" s="9" t="str"/>
      <x:c r="L245" s="9" t="str">
        <x:f>IF(K245="",J245,K245)</x:f>
        <x:v>主站</x:v>
      </x:c>
      <x:c r="M245" s="9" t="str">
        <x:v>品类页/集合页 + FAQ内容块</x:v>
      </x:c>
      <x:c r="N245" s="9" t="str">
        <x:v>主站品类页：用产品集合 + 选购说明承接</x:v>
      </x:c>
      <x:c r="O245" s="9" t="str">
        <x:v>/collections/disposable-vapes</x:v>
      </x:c>
      <x:c r="P245" s="9" t="str">
        <x:v>不适用</x:v>
      </x:c>
      <x:c r="Q245" s="9" t="str">
        <x:v>主站页面自身承接</x:v>
      </x:c>
      <x:c r="R245" s="9" t="str">
        <x:v>核心品类词：主站优先，博客只做长尾解释，不直接抢同一词</x:v>
      </x:c>
      <x:c r="S245" s="9" t="str">
        <x:v>如果 Google 首页产品页和指南混合，主站页要加 FAQ、选购指南、对比模块。</x:v>
      </x:c>
      <x:c r="T245" s="38" t="n">
        <x:v>7</x:v>
      </x:c>
      <x:c r="U245" s="38" t="n">
        <x:v>15</x:v>
      </x:c>
      <x:c r="V245" s="38" t="n">
        <x:v>18</x:v>
      </x:c>
      <x:c r="W245" s="38" t="n">
        <x:v>8</x:v>
      </x:c>
      <x:c r="X245" s="38" t="n">
        <x:v>15</x:v>
      </x:c>
      <x:c r="Y245" s="38" t="n">
        <x:v>4</x:v>
      </x:c>
      <x:c r="Z245" s="38" t="n">
        <x:f>MAX(0,MIN(100,ROUND(((T245+U245+V245+W245+X245)-Y245)/85*100,0)))</x:f>
        <x:v>69</x:v>
      </x:c>
      <x:c r="AA245" s="9" t="str">
        <x:f>IF(L245="暂不做","P3 暂缓",IF(Z245&gt;=75,"P0 本周做",IF(Z245&gt;=60,"P1 近期做",IF(Z245&gt;=45,"P2 备选","P3 暂缓"))))</x:f>
        <x:v>P1 近期做</x:v>
      </x:c>
      <x:c r="AB245" s="9" t="str">
        <x:f>IF(Y245&gt;=15,"先做合规/相关性复核，不建议直接商业导流",IF(L245="主站","建/优化主站商业页",IF(L245="博客A-知识教程","写知识教程/FAQ文章",IF(L245="博客B-场景人群","写场景需求/选购指南文章",IF(L245="博客C-对比评测","写对比评测/榜单文章","暂不做或人工复核")))))</x:f>
        <x:v>建/优化主站商业页</x:v>
      </x:c>
      <x:c r="AC245" s="9" t="str">
        <x:v>ExDivo SPACE 45K Disposable Vape</x:v>
      </x:c>
      <x:c r="AD245" s="10" t="str">
        <x:v>45000 puffs</x:v>
      </x:c>
    </x:row>
    <x:row r="246">
      <x:c r="A246" s="34" t="n">
        <x:v>246</x:v>
      </x:c>
      <x:c r="B246" s="9" t="str">
        <x:v>https://exdivo.com/products/exdivo-space-45k-disposable-vape_30b9ed8e?data_from=collection_detail&amp;spm=collection_detail..collection_detail-11702364.6.</x:v>
      </x:c>
      <x:c r="C246" s="9" t="str">
        <x:v>50k puff disposable vape</x:v>
      </x:c>
      <x:c r="D246" s="9" t="str">
        <x:v>recommended</x:v>
      </x:c>
      <x:c r="E246" s="36" t="n">
        <x:v>40</x:v>
      </x:c>
      <x:c r="F246" s="36" t="n">
        <x:v>7</x:v>
      </x:c>
      <x:c r="G246" s="9" t="str">
        <x:v>commercial</x:v>
      </x:c>
      <x:c r="H246" s="9" t="str">
        <x:v>Disposable Vape</x:v>
      </x:c>
      <x:c r="I246" s="9" t="str">
        <x:v>品类承接词</x:v>
      </x:c>
      <x:c r="J246" s="9" t="str">
        <x:v>主站</x:v>
      </x:c>
      <x:c r="K246" s="9" t="str"/>
      <x:c r="L246" s="9" t="str">
        <x:f>IF(K246="",J246,K246)</x:f>
        <x:v>主站</x:v>
      </x:c>
      <x:c r="M246" s="9" t="str">
        <x:v>品类页/集合页 + FAQ内容块</x:v>
      </x:c>
      <x:c r="N246" s="9" t="str">
        <x:v>主站品类页：用产品集合 + 选购说明承接</x:v>
      </x:c>
      <x:c r="O246" s="9" t="str">
        <x:v>/collections/disposable-vapes</x:v>
      </x:c>
      <x:c r="P246" s="9" t="str">
        <x:v>不适用</x:v>
      </x:c>
      <x:c r="Q246" s="9" t="str">
        <x:v>主站页面自身承接</x:v>
      </x:c>
      <x:c r="R246" s="9" t="str">
        <x:v>核心品类词：主站优先，博客只做长尾解释，不直接抢同一词</x:v>
      </x:c>
      <x:c r="S246" s="9" t="str">
        <x:v>如果 Google 首页产品页和指南混合，主站页要加 FAQ、选购指南、对比模块。</x:v>
      </x:c>
      <x:c r="T246" s="38" t="n">
        <x:v>4</x:v>
      </x:c>
      <x:c r="U246" s="38" t="n">
        <x:v>15</x:v>
      </x:c>
      <x:c r="V246" s="38" t="n">
        <x:v>18</x:v>
      </x:c>
      <x:c r="W246" s="38" t="n">
        <x:v>8</x:v>
      </x:c>
      <x:c r="X246" s="38" t="n">
        <x:v>15</x:v>
      </x:c>
      <x:c r="Y246" s="38" t="n">
        <x:v>4</x:v>
      </x:c>
      <x:c r="Z246" s="38" t="n">
        <x:f>MAX(0,MIN(100,ROUND(((T246+U246+V246+W246+X246)-Y246)/85*100,0)))</x:f>
        <x:v>66</x:v>
      </x:c>
      <x:c r="AA246" s="9" t="str">
        <x:f>IF(L246="暂不做","P3 暂缓",IF(Z246&gt;=75,"P0 本周做",IF(Z246&gt;=60,"P1 近期做",IF(Z246&gt;=45,"P2 备选","P3 暂缓"))))</x:f>
        <x:v>P1 近期做</x:v>
      </x:c>
      <x:c r="AB246" s="9" t="str">
        <x:f>IF(Y246&gt;=15,"先做合规/相关性复核，不建议直接商业导流",IF(L246="主站","建/优化主站商业页",IF(L246="博客A-知识教程","写知识教程/FAQ文章",IF(L246="博客B-场景人群","写场景需求/选购指南文章",IF(L246="博客C-对比评测","写对比评测/榜单文章","暂不做或人工复核")))))</x:f>
        <x:v>建/优化主站商业页</x:v>
      </x:c>
      <x:c r="AC246" s="9" t="str">
        <x:v>ExDivo SPACE 45K Disposable Vape</x:v>
      </x:c>
      <x:c r="AD246" s="10" t="str">
        <x:v>45000 puffs</x:v>
      </x:c>
    </x:row>
    <x:row r="247">
      <x:c r="A247" s="34" t="n">
        <x:v>247</x:v>
      </x:c>
      <x:c r="B247" s="9" t="str">
        <x:v>https://exdivo.com/products/exdivo-space-45k-disposable-vape_30b9ed8e?data_from=collection_detail&amp;spm=collection_detail..collection_detail-11702364.6.</x:v>
      </x:c>
      <x:c r="C247" s="9" t="str">
        <x:v>vape 50000 puffs</x:v>
      </x:c>
      <x:c r="D247" s="9" t="str">
        <x:v>recommended</x:v>
      </x:c>
      <x:c r="E247" s="36" t="n">
        <x:v>50</x:v>
      </x:c>
      <x:c r="F247" s="36" t="n">
        <x:v>12</x:v>
      </x:c>
      <x:c r="G247" s="9" t="str">
        <x:v>commercial</x:v>
      </x:c>
      <x:c r="H247" s="9" t="str">
        <x:v>General Vape</x:v>
      </x:c>
      <x:c r="I247" s="9" t="str">
        <x:v>品类承接词</x:v>
      </x:c>
      <x:c r="J247" s="9" t="str">
        <x:v>主站</x:v>
      </x:c>
      <x:c r="K247" s="9" t="str"/>
      <x:c r="L247" s="9" t="str">
        <x:f>IF(K247="",J247,K247)</x:f>
        <x:v>主站</x:v>
      </x:c>
      <x:c r="M247" s="9" t="str">
        <x:v>品类页/集合页 + FAQ内容块</x:v>
      </x:c>
      <x:c r="N247" s="9" t="str">
        <x:v>主站品类页：用产品集合 + 选购说明承接</x:v>
      </x:c>
      <x:c r="O247" s="9" t="str">
        <x:v>/collections/disposable-vapes</x:v>
      </x:c>
      <x:c r="P247" s="9" t="str">
        <x:v>不适用</x:v>
      </x:c>
      <x:c r="Q247" s="9" t="str">
        <x:v>主站页面自身承接</x:v>
      </x:c>
      <x:c r="R247" s="9" t="str">
        <x:v>核心品类词：主站优先，博客只做长尾解释，不直接抢同一词</x:v>
      </x:c>
      <x:c r="S247" s="9" t="str">
        <x:v>如果 Google 首页产品页和指南混合，主站页要加 FAQ、选购指南、对比模块。</x:v>
      </x:c>
      <x:c r="T247" s="38" t="n">
        <x:v>4</x:v>
      </x:c>
      <x:c r="U247" s="38" t="n">
        <x:v>15</x:v>
      </x:c>
      <x:c r="V247" s="38" t="n">
        <x:v>18</x:v>
      </x:c>
      <x:c r="W247" s="38" t="n">
        <x:v>8</x:v>
      </x:c>
      <x:c r="X247" s="38" t="n">
        <x:v>15</x:v>
      </x:c>
      <x:c r="Y247" s="38" t="n">
        <x:v>4</x:v>
      </x:c>
      <x:c r="Z247" s="38" t="n">
        <x:f>MAX(0,MIN(100,ROUND(((T247+U247+V247+W247+X247)-Y247)/85*100,0)))</x:f>
        <x:v>66</x:v>
      </x:c>
      <x:c r="AA247" s="9" t="str">
        <x:f>IF(L247="暂不做","P3 暂缓",IF(Z247&gt;=75,"P0 本周做",IF(Z247&gt;=60,"P1 近期做",IF(Z247&gt;=45,"P2 备选","P3 暂缓"))))</x:f>
        <x:v>P1 近期做</x:v>
      </x:c>
      <x:c r="AB247" s="9" t="str">
        <x:f>IF(Y247&gt;=15,"先做合规/相关性复核，不建议直接商业导流",IF(L247="主站","建/优化主站商业页",IF(L247="博客A-知识教程","写知识教程/FAQ文章",IF(L247="博客B-场景人群","写场景需求/选购指南文章",IF(L247="博客C-对比评测","写对比评测/榜单文章","暂不做或人工复核")))))</x:f>
        <x:v>建/优化主站商业页</x:v>
      </x:c>
      <x:c r="AC247" s="9" t="str">
        <x:v>ExDivo SPACE 45K Disposable Vape</x:v>
      </x:c>
      <x:c r="AD247" s="10" t="str">
        <x:v>45000 puffs</x:v>
      </x:c>
    </x:row>
    <x:row r="248">
      <x:c r="A248" s="34" t="n">
        <x:v>248</x:v>
      </x:c>
      <x:c r="B248" s="9" t="str">
        <x:v>https://exdivo.com/comments/exdivo-flora-40k-disposable-vape_40f04366</x:v>
      </x:c>
      <x:c r="C248" s="9" t="str">
        <x:v>flora 40k disposable vape review</x:v>
      </x:c>
      <x:c r="D248" s="9" t="str">
        <x:v>recommended</x:v>
      </x:c>
      <x:c r="E248" s="36" t="n">
        <x:v>0</x:v>
      </x:c>
      <x:c r="F248" s="36" t="n">
        <x:v>0</x:v>
      </x:c>
      <x:c r="G248" s="9" t="str">
        <x:v>48</x:v>
      </x:c>
      <x:c r="H248" s="9" t="str">
        <x:v>Disposable Vape</x:v>
      </x:c>
      <x:c r="I248" s="9" t="str">
        <x:v>商业调查词</x:v>
      </x:c>
      <x:c r="J248" s="9" t="str">
        <x:v>博客C-对比评测</x:v>
      </x:c>
      <x:c r="K248" s="9" t="str"/>
      <x:c r="L248" s="9" t="str">
        <x:f>IF(K248="",J248,K248)</x:f>
        <x:v>博客C-对比评测</x:v>
      </x:c>
      <x:c r="M248" s="9" t="str">
        <x:v>Best/Top/Review/VS/替代方案文章</x:v>
      </x:c>
      <x:c r="N248" s="9" t="str">
        <x:v>Best angle: flora 40k disposable vape review - comparison, pros/cons, and which option fits different buyers</x:v>
      </x:c>
      <x:c r="O248" s="9" t="str">
        <x:v>/collections/disposable-vapes</x:v>
      </x:c>
      <x:c r="P248" s="9" t="str">
        <x:v>是</x:v>
      </x:c>
      <x:c r="Q248" s="9" t="str">
        <x:v>自然句/品类词/品牌词</x:v>
      </x:c>
      <x:c r="R248" s="9" t="str">
        <x:v>中风险：榜单和评测必须真实、中立，避免夸大</x:v>
      </x:c>
      <x:c r="S248" s="9" t="str">
        <x:v>这类词不直接给主站，先用博客C教育和比较，再导流到最相关集合页。</x:v>
      </x:c>
      <x:c r="T248" s="38" t="n">
        <x:v>1</x:v>
      </x:c>
      <x:c r="U248" s="38" t="n">
        <x:v>15</x:v>
      </x:c>
      <x:c r="V248" s="38" t="n">
        <x:v>16</x:v>
      </x:c>
      <x:c r="W248" s="38" t="n">
        <x:v>15</x:v>
      </x:c>
      <x:c r="X248" s="38" t="n">
        <x:v>13</x:v>
      </x:c>
      <x:c r="Y248" s="38" t="n">
        <x:v>6</x:v>
      </x:c>
      <x:c r="Z248" s="38" t="n">
        <x:f>MAX(0,MIN(100,ROUND(((T248+U248+V248+W248+X248)-Y248)/85*100,0)))</x:f>
        <x:v>64</x:v>
      </x:c>
      <x:c r="AA248" s="9" t="str">
        <x:f>IF(L248="暂不做","P3 暂缓",IF(Z248&gt;=75,"P0 本周做",IF(Z248&gt;=60,"P1 近期做",IF(Z248&gt;=45,"P2 备选","P3 暂缓"))))</x:f>
        <x:v>P1 近期做</x:v>
      </x:c>
      <x:c r="AB248" s="9" t="str">
        <x:f>IF(Y248&gt;=15,"先做合规/相关性复核，不建议直接商业导流",IF(L248="主站","建/优化主站商业页",IF(L248="博客A-知识教程","写知识教程/FAQ文章",IF(L248="博客B-场景人群","写场景需求/选购指南文章",IF(L248="博客C-对比评测","写对比评测/榜单文章","暂不做或人工复核")))))</x:f>
        <x:v>写对比评测/榜单文章</x:v>
      </x:c>
      <x:c r="AC248" s="9" t="str">
        <x:v>Reviews - MIAMI MINT - ExDivo FLORA 40K Disposable Vape - ExDivo</x:v>
      </x:c>
      <x:c r="AD248" s="10" t="str">
        <x:v>48</x:v>
      </x:c>
    </x:row>
    <x:row r="249">
      <x:c r="A249" s="34" t="n">
        <x:v>249</x:v>
      </x:c>
      <x:c r="B249" s="9" t="str">
        <x:v>https://exdivo.com/comments/exdivo-flora-40k-disposable-vape_40f04366</x:v>
      </x:c>
      <x:c r="C249" s="9" t="str">
        <x:v>disposable vape flavor reviews</x:v>
      </x:c>
      <x:c r="D249" s="9" t="str">
        <x:v>recommended</x:v>
      </x:c>
      <x:c r="E249" s="36" t="n">
        <x:v>0</x:v>
      </x:c>
      <x:c r="F249" s="36" t="n">
        <x:v>0</x:v>
      </x:c>
      <x:c r="G249" s="9" t="str">
        <x:v>48</x:v>
      </x:c>
      <x:c r="H249" s="9" t="str">
        <x:v>Disposable Vape</x:v>
      </x:c>
      <x:c r="I249" s="9" t="str">
        <x:v>商业调查词</x:v>
      </x:c>
      <x:c r="J249" s="9" t="str">
        <x:v>博客C-对比评测</x:v>
      </x:c>
      <x:c r="K249" s="9" t="str"/>
      <x:c r="L249" s="9" t="str">
        <x:f>IF(K249="",J249,K249)</x:f>
        <x:v>博客C-对比评测</x:v>
      </x:c>
      <x:c r="M249" s="9" t="str">
        <x:v>Best/Top/Review/VS/替代方案文章</x:v>
      </x:c>
      <x:c r="N249" s="9" t="str">
        <x:v>Best angle: disposable vape flavor reviews - comparison, pros/cons, and which option fits different buyers</x:v>
      </x:c>
      <x:c r="O249" s="9" t="str">
        <x:v>/collections/flavored-disposable-vapes</x:v>
      </x:c>
      <x:c r="P249" s="9" t="str">
        <x:v>是</x:v>
      </x:c>
      <x:c r="Q249" s="9" t="str">
        <x:v>自然句/品类词/品牌词</x:v>
      </x:c>
      <x:c r="R249" s="9" t="str">
        <x:v>中风险：榜单和评测必须真实、中立，避免夸大</x:v>
      </x:c>
      <x:c r="S249" s="9" t="str">
        <x:v>这类词不直接给主站，先用博客C教育和比较，再导流到最相关集合页。</x:v>
      </x:c>
      <x:c r="T249" s="38" t="n">
        <x:v>1</x:v>
      </x:c>
      <x:c r="U249" s="38" t="n">
        <x:v>15</x:v>
      </x:c>
      <x:c r="V249" s="38" t="n">
        <x:v>16</x:v>
      </x:c>
      <x:c r="W249" s="38" t="n">
        <x:v>15</x:v>
      </x:c>
      <x:c r="X249" s="38" t="n">
        <x:v>13</x:v>
      </x:c>
      <x:c r="Y249" s="38" t="n">
        <x:v>6</x:v>
      </x:c>
      <x:c r="Z249" s="38" t="n">
        <x:f>MAX(0,MIN(100,ROUND(((T249+U249+V249+W249+X249)-Y249)/85*100,0)))</x:f>
        <x:v>64</x:v>
      </x:c>
      <x:c r="AA249" s="9" t="str">
        <x:f>IF(L249="暂不做","P3 暂缓",IF(Z249&gt;=75,"P0 本周做",IF(Z249&gt;=60,"P1 近期做",IF(Z249&gt;=45,"P2 备选","P3 暂缓"))))</x:f>
        <x:v>P1 近期做</x:v>
      </x:c>
      <x:c r="AB249" s="9" t="str">
        <x:f>IF(Y249&gt;=15,"先做合规/相关性复核，不建议直接商业导流",IF(L249="主站","建/优化主站商业页",IF(L249="博客A-知识教程","写知识教程/FAQ文章",IF(L249="博客B-场景人群","写场景需求/选购指南文章",IF(L249="博客C-对比评测","写对比评测/榜单文章","暂不做或人工复核")))))</x:f>
        <x:v>写对比评测/榜单文章</x:v>
      </x:c>
      <x:c r="AC249" s="9" t="str">
        <x:v>Reviews - MIAMI MINT - ExDivo FLORA 40K Disposable Vape - ExDivo</x:v>
      </x:c>
      <x:c r="AD249" s="10" t="str">
        <x:v>48</x:v>
      </x:c>
    </x:row>
    <x:row r="250">
      <x:c r="A250" s="34" t="n">
        <x:v>250</x:v>
      </x:c>
      <x:c r="B250" s="9" t="str">
        <x:v>https://exdivo.com/comments/exdivo-flora-40k-disposable-vape_40f04366</x:v>
      </x:c>
      <x:c r="C250" s="9" t="str">
        <x:v>fruity disposable vape reviews</x:v>
      </x:c>
      <x:c r="D250" s="9" t="str">
        <x:v>recommended</x:v>
      </x:c>
      <x:c r="E250" s="36" t="n">
        <x:v>0</x:v>
      </x:c>
      <x:c r="F250" s="36" t="n">
        <x:v>0</x:v>
      </x:c>
      <x:c r="G250" s="9" t="str">
        <x:v>48</x:v>
      </x:c>
      <x:c r="H250" s="9" t="str">
        <x:v>Disposable Vape</x:v>
      </x:c>
      <x:c r="I250" s="9" t="str">
        <x:v>商业调查词</x:v>
      </x:c>
      <x:c r="J250" s="9" t="str">
        <x:v>博客C-对比评测</x:v>
      </x:c>
      <x:c r="K250" s="9" t="str"/>
      <x:c r="L250" s="9" t="str">
        <x:f>IF(K250="",J250,K250)</x:f>
        <x:v>博客C-对比评测</x:v>
      </x:c>
      <x:c r="M250" s="9" t="str">
        <x:v>Best/Top/Review/VS/替代方案文章</x:v>
      </x:c>
      <x:c r="N250" s="9" t="str">
        <x:v>Best angle: fruity disposable vape reviews - comparison, pros/cons, and which option fits different buyers</x:v>
      </x:c>
      <x:c r="O250" s="9" t="str">
        <x:v>/collections/disposable-vapes</x:v>
      </x:c>
      <x:c r="P250" s="9" t="str">
        <x:v>是</x:v>
      </x:c>
      <x:c r="Q250" s="9" t="str">
        <x:v>自然句/品类词/品牌词</x:v>
      </x:c>
      <x:c r="R250" s="9" t="str">
        <x:v>中风险：榜单和评测必须真实、中立，避免夸大</x:v>
      </x:c>
      <x:c r="S250" s="9" t="str">
        <x:v>这类词不直接给主站，先用博客C教育和比较，再导流到最相关集合页。</x:v>
      </x:c>
      <x:c r="T250" s="38" t="n">
        <x:v>1</x:v>
      </x:c>
      <x:c r="U250" s="38" t="n">
        <x:v>15</x:v>
      </x:c>
      <x:c r="V250" s="38" t="n">
        <x:v>16</x:v>
      </x:c>
      <x:c r="W250" s="38" t="n">
        <x:v>15</x:v>
      </x:c>
      <x:c r="X250" s="38" t="n">
        <x:v>13</x:v>
      </x:c>
      <x:c r="Y250" s="38" t="n">
        <x:v>6</x:v>
      </x:c>
      <x:c r="Z250" s="38" t="n">
        <x:f>MAX(0,MIN(100,ROUND(((T250+U250+V250+W250+X250)-Y250)/85*100,0)))</x:f>
        <x:v>64</x:v>
      </x:c>
      <x:c r="AA250" s="9" t="str">
        <x:f>IF(L250="暂不做","P3 暂缓",IF(Z250&gt;=75,"P0 本周做",IF(Z250&gt;=60,"P1 近期做",IF(Z250&gt;=45,"P2 备选","P3 暂缓"))))</x:f>
        <x:v>P1 近期做</x:v>
      </x:c>
      <x:c r="AB250" s="9" t="str">
        <x:f>IF(Y250&gt;=15,"先做合规/相关性复核，不建议直接商业导流",IF(L250="主站","建/优化主站商业页",IF(L250="博客A-知识教程","写知识教程/FAQ文章",IF(L250="博客B-场景人群","写场景需求/选购指南文章",IF(L250="博客C-对比评测","写对比评测/榜单文章","暂不做或人工复核")))))</x:f>
        <x:v>写对比评测/榜单文章</x:v>
      </x:c>
      <x:c r="AC250" s="9" t="str">
        <x:v>Reviews - MIAMI MINT - ExDivo FLORA 40K Disposable Vape - ExDivo</x:v>
      </x:c>
      <x:c r="AD250" s="10" t="str">
        <x:v>48</x:v>
      </x:c>
    </x:row>
    <x:row r="251">
      <x:c r="A251" s="34" t="n">
        <x:v>251</x:v>
      </x:c>
      <x:c r="B251" s="9" t="str">
        <x:v>https://exdivo.com/products/luxury-women-s-vape-18ml-dual-mesh-40000-puffs_151a2c79</x:v>
      </x:c>
      <x:c r="C251" s="9" t="str">
        <x:v>flora 40k disposable vape white gummy ice</x:v>
      </x:c>
      <x:c r="D251" s="9" t="str">
        <x:v>recommended</x:v>
      </x:c>
      <x:c r="E251" s="36" t="n">
        <x:v>0</x:v>
      </x:c>
      <x:c r="F251" s="36" t="n">
        <x:v>0</x:v>
      </x:c>
      <x:c r="G251" s="9" t="str">
        <x:v>48</x:v>
      </x:c>
      <x:c r="H251" s="9" t="str">
        <x:v>Disposable Vape</x:v>
      </x:c>
      <x:c r="I251" s="9" t="str">
        <x:v>内容词</x:v>
      </x:c>
      <x:c r="J251" s="9" t="str">
        <x:v>博客A-知识教程</x:v>
      </x:c>
      <x:c r="K251" s="9" t="str"/>
      <x:c r="L251" s="9" t="str">
        <x:f>IF(K251="",J251,K251)</x:f>
        <x:v>博客A-知识教程</x:v>
      </x:c>
      <x:c r="M251" s="9" t="str">
        <x:v>知识/教程文章</x:v>
      </x:c>
      <x:c r="N251" s="9" t="str">
        <x:v>Guide angle: explain flora 40k disposable vape white gummy ice, answer common questions, and avoid sales-first writing</x:v>
      </x:c>
      <x:c r="O251" s="9" t="str">
        <x:v>/collections/disposable-vapes 或最接近的产品集合页</x:v>
      </x:c>
      <x:c r="P251" s="9" t="str">
        <x:v>谨慎</x:v>
      </x:c>
      <x:c r="Q251" s="9" t="str">
        <x:v>品牌词/自然句</x:v>
      </x:c>
      <x:c r="R251" s="9" t="str">
        <x:v>低风险：按常规内容质量和搜索意图校验</x:v>
      </x:c>
      <x:c r="S251" s="9" t="str">
        <x:v>先看 Google SERP：如果首页多数为产品集合页，改回主站；如果多数为教程/问答，保持博客。</x:v>
      </x:c>
      <x:c r="T251" s="38" t="n">
        <x:v>1</x:v>
      </x:c>
      <x:c r="U251" s="38" t="n">
        <x:v>15</x:v>
      </x:c>
      <x:c r="V251" s="38" t="n">
        <x:v>10</x:v>
      </x:c>
      <x:c r="W251" s="38" t="n">
        <x:v>12</x:v>
      </x:c>
      <x:c r="X251" s="38" t="n">
        <x:v>12</x:v>
      </x:c>
      <x:c r="Y251" s="38" t="n">
        <x:v>4</x:v>
      </x:c>
      <x:c r="Z251" s="38" t="n">
        <x:f>MAX(0,MIN(100,ROUND(((T251+U251+V251+W251+X251)-Y251)/85*100,0)))</x:f>
        <x:v>54</x:v>
      </x:c>
      <x:c r="AA251" s="9" t="str">
        <x:f>IF(L251="暂不做","P3 暂缓",IF(Z251&gt;=75,"P0 本周做",IF(Z251&gt;=60,"P1 近期做",IF(Z251&gt;=45,"P2 备选","P3 暂缓"))))</x:f>
        <x:v>P2 备选</x:v>
      </x:c>
      <x:c r="AB251" s="9" t="str">
        <x:f>IF(Y251&gt;=15,"先做合规/相关性复核，不建议直接商业导流",IF(L251="主站","建/优化主站商业页",IF(L251="博客A-知识教程","写知识教程/FAQ文章",IF(L251="博客B-场景人群","写场景需求/选购指南文章",IF(L251="博客C-对比评测","写对比评测/榜单文章","暂不做或人工复核")))))</x:f>
        <x:v>写知识教程/FAQ文章</x:v>
      </x:c>
      <x:c r="AC251" s="9" t="str">
        <x:v>WHITE GUMMY ICE - ExDivo FLORA 40K Disposable Vape - ExDivo</x:v>
      </x:c>
      <x:c r="AD251" s="10" t="str">
        <x:v>white gummy ice - exdivo flora 40k disposable vape</x:v>
      </x:c>
    </x:row>
    <x:row r="252">
      <x:c r="A252" s="34" t="n">
        <x:v>252</x:v>
      </x:c>
      <x:c r="B252" s="9" t="str">
        <x:v>https://exdivo.com/products/luxury-women-s-vape-18ml-dual-mesh-40000-puffs_151a2c79</x:v>
      </x:c>
      <x:c r="C252" s="9" t="str">
        <x:v>flora 40k white gummy ice</x:v>
      </x:c>
      <x:c r="D252" s="9" t="str">
        <x:v>recommended</x:v>
      </x:c>
      <x:c r="E252" s="36" t="n">
        <x:v>0</x:v>
      </x:c>
      <x:c r="F252" s="36" t="n">
        <x:v>0</x:v>
      </x:c>
      <x:c r="G252" s="9" t="str">
        <x:v>48</x:v>
      </x:c>
      <x:c r="H252" s="9" t="str">
        <x:v>General Vape</x:v>
      </x:c>
      <x:c r="I252" s="9" t="str">
        <x:v>弱相关词</x:v>
      </x:c>
      <x:c r="J252" s="9" t="str">
        <x:v>暂不做</x:v>
      </x:c>
      <x:c r="K252" s="9" t="str"/>
      <x:c r="L252" s="9" t="str">
        <x:f>IF(K252="",J252,K252)</x:f>
        <x:v>暂不做</x:v>
      </x:c>
      <x:c r="M252" s="9" t="str">
        <x:v>不建议建页</x:v>
      </x:c>
      <x:c r="N252" s="9" t="str">
        <x:v>不进入内容生产</x:v>
      </x:c>
      <x:c r="O252" s="9" t="str">
        <x:v>无</x:v>
      </x:c>
      <x:c r="P252" s="9" t="str">
        <x:v>否</x:v>
      </x:c>
      <x:c r="Q252" s="9" t="str">
        <x:v>不导流</x:v>
      </x:c>
      <x:c r="R252" s="9" t="str">
        <x:v>相关性弱：可能带来无效流量或偏离产品定位</x:v>
      </x:c>
      <x:c r="S252" s="9" t="str">
        <x:v>除非人工确认与核心产品强相关，否则不要进入内容排期。</x:v>
      </x:c>
      <x:c r="T252" s="38" t="n">
        <x:v>1</x:v>
      </x:c>
      <x:c r="U252" s="38" t="n">
        <x:v>15</x:v>
      </x:c>
      <x:c r="V252" s="38" t="n">
        <x:v>2</x:v>
      </x:c>
      <x:c r="W252" s="38" t="n">
        <x:v>3</x:v>
      </x:c>
      <x:c r="X252" s="38" t="n">
        <x:v>2</x:v>
      </x:c>
      <x:c r="Y252" s="38" t="n">
        <x:v>16</x:v>
      </x:c>
      <x:c r="Z252" s="38" t="n">
        <x:f>MAX(0,MIN(100,ROUND(((T252+U252+V252+W252+X252)-Y252)/85*100,0)))</x:f>
        <x:v>8</x:v>
      </x:c>
      <x:c r="AA252" s="9" t="str">
        <x:f>IF(L252="暂不做","P3 暂缓",IF(Z252&gt;=75,"P0 本周做",IF(Z252&gt;=60,"P1 近期做",IF(Z252&gt;=45,"P2 备选","P3 暂缓"))))</x:f>
        <x:v>P3 暂缓</x:v>
      </x:c>
      <x:c r="AB252" s="9" t="str">
        <x:f>IF(Y252&gt;=15,"先做合规/相关性复核，不建议直接商业导流",IF(L252="主站","建/优化主站商业页",IF(L252="博客A-知识教程","写知识教程/FAQ文章",IF(L252="博客B-场景人群","写场景需求/选购指南文章",IF(L252="博客C-对比评测","写对比评测/榜单文章","暂不做或人工复核")))))</x:f>
        <x:v>先做合规/相关性复核，不建议直接商业导流</x:v>
      </x:c>
      <x:c r="AC252" s="9" t="str">
        <x:v>WHITE GUMMY ICE - ExDivo FLORA 40K Disposable Vape - ExDivo</x:v>
      </x:c>
      <x:c r="AD252" s="10" t="str">
        <x:v>white gummy ice - exdivo flora 40k disposable vape</x:v>
      </x:c>
    </x:row>
    <x:row r="253">
      <x:c r="A253" s="34" t="n">
        <x:v>253</x:v>
      </x:c>
      <x:c r="B253" s="9" t="str">
        <x:v>https://exdivo.com/comments/exdivo-flora-40k-disposable-vape_1361e485</x:v>
      </x:c>
      <x:c r="C253" s="9" t="str">
        <x:v>fab vape</x:v>
      </x:c>
      <x:c r="D253" s="9" t="str">
        <x:v>recommended</x:v>
      </x:c>
      <x:c r="E253" s="36" t="n">
        <x:v>260</x:v>
      </x:c>
      <x:c r="F253" s="36" t="n">
        <x:v>6</x:v>
      </x:c>
      <x:c r="G253" s="9" t="str">
        <x:v>informational, commercial</x:v>
      </x:c>
      <x:c r="H253" s="9" t="str">
        <x:v>General Vape</x:v>
      </x:c>
      <x:c r="I253" s="9" t="str">
        <x:v>品类承接词</x:v>
      </x:c>
      <x:c r="J253" s="9" t="str">
        <x:v>主站</x:v>
      </x:c>
      <x:c r="K253" s="9" t="str"/>
      <x:c r="L253" s="9" t="str">
        <x:f>IF(K253="",J253,K253)</x:f>
        <x:v>主站</x:v>
      </x:c>
      <x:c r="M253" s="9" t="str">
        <x:v>品类页/集合页 + FAQ内容块</x:v>
      </x:c>
      <x:c r="N253" s="9" t="str">
        <x:v>主站品类页：用产品集合 + 选购说明承接</x:v>
      </x:c>
      <x:c r="O253" s="9" t="str">
        <x:v>/collections/disposable-vapes</x:v>
      </x:c>
      <x:c r="P253" s="9" t="str">
        <x:v>不适用</x:v>
      </x:c>
      <x:c r="Q253" s="9" t="str">
        <x:v>主站页面自身承接</x:v>
      </x:c>
      <x:c r="R253" s="9" t="str">
        <x:v>核心品类词：主站优先，博客只做长尾解释，不直接抢同一词</x:v>
      </x:c>
      <x:c r="S253" s="9" t="str">
        <x:v>如果 Google 首页产品页和指南混合，主站页要加 FAQ、选购指南、对比模块。</x:v>
      </x:c>
      <x:c r="T253" s="38" t="n">
        <x:v>7</x:v>
      </x:c>
      <x:c r="U253" s="38" t="n">
        <x:v>15</x:v>
      </x:c>
      <x:c r="V253" s="38" t="n">
        <x:v>18</x:v>
      </x:c>
      <x:c r="W253" s="38" t="n">
        <x:v>8</x:v>
      </x:c>
      <x:c r="X253" s="38" t="n">
        <x:v>15</x:v>
      </x:c>
      <x:c r="Y253" s="38" t="n">
        <x:v>4</x:v>
      </x:c>
      <x:c r="Z253" s="38" t="n">
        <x:f>MAX(0,MIN(100,ROUND(((T253+U253+V253+W253+X253)-Y253)/85*100,0)))</x:f>
        <x:v>69</x:v>
      </x:c>
      <x:c r="AA253" s="9" t="str">
        <x:f>IF(L253="暂不做","P3 暂缓",IF(Z253&gt;=75,"P0 本周做",IF(Z253&gt;=60,"P1 近期做",IF(Z253&gt;=45,"P2 备选","P3 暂缓"))))</x:f>
        <x:v>P1 近期做</x:v>
      </x:c>
      <x:c r="AB253" s="9" t="str">
        <x:f>IF(Y253&gt;=15,"先做合规/相关性复核，不建议直接商业导流",IF(L253="主站","建/优化主站商业页",IF(L253="博客A-知识教程","写知识教程/FAQ文章",IF(L253="博客B-场景人群","写场景需求/选购指南文章",IF(L253="博客C-对比评测","写对比评测/榜单文章","暂不做或人工复核")))))</x:f>
        <x:v>建/优化主站商业页</x:v>
      </x:c>
      <x:c r="AC253" s="9" t="str">
        <x:v>Reviews - FUCKING FAB - ExDivo FLORA 40K Disposable Vape - ExDivo</x:v>
      </x:c>
      <x:c r="AD253" s="10" t="str">
        <x:v>48</x:v>
      </x:c>
    </x:row>
    <x:row r="254">
      <x:c r="A254" s="34" t="n">
        <x:v>254</x:v>
      </x:c>
      <x:c r="B254" s="9" t="str">
        <x:v>https://exdivo.com/comments/exdivo-flora-40k-disposable-vape_1361e485</x:v>
      </x:c>
      <x:c r="C254" s="9" t="str">
        <x:v>fucking fab vape flavor</x:v>
      </x:c>
      <x:c r="D254" s="9" t="str">
        <x:v>recommended</x:v>
      </x:c>
      <x:c r="E254" s="36" t="n">
        <x:v>90</x:v>
      </x:c>
      <x:c r="F254" s="36" t="n">
        <x:v>2</x:v>
      </x:c>
      <x:c r="G254" s="9" t="str">
        <x:v>informational</x:v>
      </x:c>
      <x:c r="H254" s="9" t="str">
        <x:v>Flavor / 口味</x:v>
      </x:c>
      <x:c r="I254" s="9" t="str">
        <x:v>场景/需求词</x:v>
      </x:c>
      <x:c r="J254" s="9" t="str">
        <x:v>博客B-场景人群</x:v>
      </x:c>
      <x:c r="K254" s="9" t="str"/>
      <x:c r="L254" s="9" t="str">
        <x:f>IF(K254="",J254,K254)</x:f>
        <x:v>博客B-场景人群</x:v>
      </x:c>
      <x:c r="M254" s="9" t="str">
        <x:v>场景解决方案/选购指南文章</x:v>
      </x:c>
      <x:c r="N254" s="9" t="str">
        <x:v>Scenario angle: how to choose fucking fab vape flavor based on use case, flavor, nicotine, and budget</x:v>
      </x:c>
      <x:c r="O254" s="9" t="str">
        <x:v>/collections/flavored-disposable-vapes</x:v>
      </x:c>
      <x:c r="P254" s="9" t="str">
        <x:v>是</x:v>
      </x:c>
      <x:c r="Q254" s="9" t="str">
        <x:v>自然句/品类词</x:v>
      </x:c>
      <x:c r="R254" s="9" t="str">
        <x:v>低中风险：适合软性导流，但不要夸大效果或触碰健康疗效</x:v>
      </x:c>
      <x:c r="S254" s="9" t="str">
        <x:v>围绕使用场景、口味、尼古丁需求、便携性等写，不和主站品类页抢词。</x:v>
      </x:c>
      <x:c r="T254" s="38" t="n">
        <x:v>4</x:v>
      </x:c>
      <x:c r="U254" s="38" t="n">
        <x:v>15</x:v>
      </x:c>
      <x:c r="V254" s="38" t="n">
        <x:v>13</x:v>
      </x:c>
      <x:c r="W254" s="38" t="n">
        <x:v>14</x:v>
      </x:c>
      <x:c r="X254" s="38" t="n">
        <x:v>13</x:v>
      </x:c>
      <x:c r="Y254" s="38" t="n">
        <x:v>5</x:v>
      </x:c>
      <x:c r="Z254" s="38" t="n">
        <x:f>MAX(0,MIN(100,ROUND(((T254+U254+V254+W254+X254)-Y254)/85*100,0)))</x:f>
        <x:v>64</x:v>
      </x:c>
      <x:c r="AA254" s="9" t="str">
        <x:f>IF(L254="暂不做","P3 暂缓",IF(Z254&gt;=75,"P0 本周做",IF(Z254&gt;=60,"P1 近期做",IF(Z254&gt;=45,"P2 备选","P3 暂缓"))))</x:f>
        <x:v>P1 近期做</x:v>
      </x:c>
      <x:c r="AB254" s="9" t="str">
        <x:f>IF(Y254&gt;=15,"先做合规/相关性复核，不建议直接商业导流",IF(L254="主站","建/优化主站商业页",IF(L254="博客A-知识教程","写知识教程/FAQ文章",IF(L254="博客B-场景人群","写场景需求/选购指南文章",IF(L254="博客C-对比评测","写对比评测/榜单文章","暂不做或人工复核")))))</x:f>
        <x:v>写场景需求/选购指南文章</x:v>
      </x:c>
      <x:c r="AC254" s="9" t="str">
        <x:v>Reviews - FUCKING FAB - ExDivo FLORA 40K Disposable Vape - ExDivo</x:v>
      </x:c>
      <x:c r="AD254" s="10" t="str">
        <x:v>48</x:v>
      </x:c>
    </x:row>
    <x:row r="255">
      <x:c r="A255" s="34" t="n">
        <x:v>255</x:v>
      </x:c>
      <x:c r="B255" s="9" t="str">
        <x:v>https://exdivo.com/comments/exdivo-flora-40k-disposable-vape_1361e485</x:v>
      </x:c>
      <x:c r="C255" s="9" t="str">
        <x:v>fcking fab vape flavour</x:v>
      </x:c>
      <x:c r="D255" s="9" t="str">
        <x:v>recommended</x:v>
      </x:c>
      <x:c r="E255" s="36" t="n">
        <x:v>50</x:v>
      </x:c>
      <x:c r="F255" s="36" t="n">
        <x:v>4</x:v>
      </x:c>
      <x:c r="G255" s="9" t="str">
        <x:v>informational</x:v>
      </x:c>
      <x:c r="H255" s="9" t="str">
        <x:v>General Vape</x:v>
      </x:c>
      <x:c r="I255" s="9" t="str">
        <x:v>知识/教程词</x:v>
      </x:c>
      <x:c r="J255" s="9" t="str">
        <x:v>博客A-知识教程</x:v>
      </x:c>
      <x:c r="K255" s="9" t="str"/>
      <x:c r="L255" s="9" t="str">
        <x:f>IF(K255="",J255,K255)</x:f>
        <x:v>博客A-知识教程</x:v>
      </x:c>
      <x:c r="M255" s="9" t="str">
        <x:v>百科/How-to/FAQ文章</x:v>
      </x:c>
      <x:c r="N255" s="9" t="str">
        <x:v>Guide angle: explain fcking fab vape flavour, answer common questions, and avoid sales-first writing</x:v>
      </x:c>
      <x:c r="O255" s="9" t="str">
        <x:v>/collections/disposable-vapes</x:v>
      </x:c>
      <x:c r="P255" s="9" t="str">
        <x:v>谨慎</x:v>
      </x:c>
      <x:c r="Q255" s="9" t="str">
        <x:v>自然句/品牌词</x:v>
      </x:c>
      <x:c r="R255" s="9" t="str">
        <x:v>低中风险：先满足信息意图，导流要克制</x:v>
      </x:c>
      <x:c r="S255" s="9" t="str">
        <x:v>如果文章能自然回答下一步购买问题，再放 1 个主站内链；否则只做知识闭环。</x:v>
      </x:c>
      <x:c r="T255" s="38" t="n">
        <x:v>4</x:v>
      </x:c>
      <x:c r="U255" s="38" t="n">
        <x:v>15</x:v>
      </x:c>
      <x:c r="V255" s="38" t="n">
        <x:v>9</x:v>
      </x:c>
      <x:c r="W255" s="38" t="n">
        <x:v>14</x:v>
      </x:c>
      <x:c r="X255" s="38" t="n">
        <x:v>12</x:v>
      </x:c>
      <x:c r="Y255" s="38" t="n">
        <x:v>5</x:v>
      </x:c>
      <x:c r="Z255" s="38" t="n">
        <x:f>MAX(0,MIN(100,ROUND(((T255+U255+V255+W255+X255)-Y255)/85*100,0)))</x:f>
        <x:v>58</x:v>
      </x:c>
      <x:c r="AA255" s="9" t="str">
        <x:f>IF(L255="暂不做","P3 暂缓",IF(Z255&gt;=75,"P0 本周做",IF(Z255&gt;=60,"P1 近期做",IF(Z255&gt;=45,"P2 备选","P3 暂缓"))))</x:f>
        <x:v>P2 备选</x:v>
      </x:c>
      <x:c r="AB255" s="9" t="str">
        <x:f>IF(Y255&gt;=15,"先做合规/相关性复核，不建议直接商业导流",IF(L255="主站","建/优化主站商业页",IF(L255="博客A-知识教程","写知识教程/FAQ文章",IF(L255="博客B-场景人群","写场景需求/选购指南文章",IF(L255="博客C-对比评测","写对比评测/榜单文章","暂不做或人工复核")))))</x:f>
        <x:v>写知识教程/FAQ文章</x:v>
      </x:c>
      <x:c r="AC255" s="9" t="str">
        <x:v>Reviews - FUCKING FAB - ExDivo FLORA 40K Disposable Vape - ExDivo</x:v>
      </x:c>
      <x:c r="AD255" s="10" t="str">
        <x:v>48</x:v>
      </x:c>
    </x:row>
    <x:row r="256">
      <x:c r="A256" s="34" t="n">
        <x:v>256</x:v>
      </x:c>
      <x:c r="B256" s="9" t="str">
        <x:v>https://exdivo.com/comments/exdivo-flora-40k-disposable-vape_1361e485</x:v>
      </x:c>
      <x:c r="C256" s="9" t="str">
        <x:v>fab flavor vape</x:v>
      </x:c>
      <x:c r="D256" s="9" t="str">
        <x:v>recommended</x:v>
      </x:c>
      <x:c r="E256" s="36" t="n">
        <x:v>40</x:v>
      </x:c>
      <x:c r="F256" s="36" t="n">
        <x:v>0</x:v>
      </x:c>
      <x:c r="G256" s="9" t="str">
        <x:v>commercial</x:v>
      </x:c>
      <x:c r="H256" s="9" t="str">
        <x:v>Flavor / 口味</x:v>
      </x:c>
      <x:c r="I256" s="9" t="str">
        <x:v>品类承接词</x:v>
      </x:c>
      <x:c r="J256" s="9" t="str">
        <x:v>主站</x:v>
      </x:c>
      <x:c r="K256" s="9" t="str"/>
      <x:c r="L256" s="9" t="str">
        <x:f>IF(K256="",J256,K256)</x:f>
        <x:v>主站</x:v>
      </x:c>
      <x:c r="M256" s="9" t="str">
        <x:v>品类页/集合页 + FAQ内容块</x:v>
      </x:c>
      <x:c r="N256" s="9" t="str">
        <x:v>主站品类页：用产品集合 + 选购说明承接</x:v>
      </x:c>
      <x:c r="O256" s="9" t="str">
        <x:v>/collections/flavored-disposable-vapes</x:v>
      </x:c>
      <x:c r="P256" s="9" t="str">
        <x:v>不适用</x:v>
      </x:c>
      <x:c r="Q256" s="9" t="str">
        <x:v>主站页面自身承接</x:v>
      </x:c>
      <x:c r="R256" s="9" t="str">
        <x:v>核心品类词：主站优先，博客只做长尾解释，不直接抢同一词</x:v>
      </x:c>
      <x:c r="S256" s="9" t="str">
        <x:v>如果 Google 首页产品页和指南混合，主站页要加 FAQ、选购指南、对比模块。</x:v>
      </x:c>
      <x:c r="T256" s="38" t="n">
        <x:v>4</x:v>
      </x:c>
      <x:c r="U256" s="38" t="n">
        <x:v>15</x:v>
      </x:c>
      <x:c r="V256" s="38" t="n">
        <x:v>18</x:v>
      </x:c>
      <x:c r="W256" s="38" t="n">
        <x:v>8</x:v>
      </x:c>
      <x:c r="X256" s="38" t="n">
        <x:v>15</x:v>
      </x:c>
      <x:c r="Y256" s="38" t="n">
        <x:v>4</x:v>
      </x:c>
      <x:c r="Z256" s="38" t="n">
        <x:f>MAX(0,MIN(100,ROUND(((T256+U256+V256+W256+X256)-Y256)/85*100,0)))</x:f>
        <x:v>66</x:v>
      </x:c>
      <x:c r="AA256" s="9" t="str">
        <x:f>IF(L256="暂不做","P3 暂缓",IF(Z256&gt;=75,"P0 本周做",IF(Z256&gt;=60,"P1 近期做",IF(Z256&gt;=45,"P2 备选","P3 暂缓"))))</x:f>
        <x:v>P1 近期做</x:v>
      </x:c>
      <x:c r="AB256" s="9" t="str">
        <x:f>IF(Y256&gt;=15,"先做合规/相关性复核，不建议直接商业导流",IF(L256="主站","建/优化主站商业页",IF(L256="博客A-知识教程","写知识教程/FAQ文章",IF(L256="博客B-场景人群","写场景需求/选购指南文章",IF(L256="博客C-对比评测","写对比评测/榜单文章","暂不做或人工复核")))))</x:f>
        <x:v>建/优化主站商业页</x:v>
      </x:c>
      <x:c r="AC256" s="9" t="str">
        <x:v>Reviews - FUCKING FAB - ExDivo FLORA 40K Disposable Vape - ExDivo</x:v>
      </x:c>
      <x:c r="AD256" s="10" t="str">
        <x:v>48</x:v>
      </x:c>
    </x:row>
    <x:row r="257">
      <x:c r="A257" s="34" t="n">
        <x:v>257</x:v>
      </x:c>
      <x:c r="B257" s="9" t="str">
        <x:v>https://exdivo.com/comments/exdivo-flora-40k-disposable-vape_1361e485</x:v>
      </x:c>
      <x:c r="C257" s="9" t="str">
        <x:v>fucking fab vape review</x:v>
      </x:c>
      <x:c r="D257" s="9" t="str">
        <x:v>recommended</x:v>
      </x:c>
      <x:c r="E257" s="36" t="n">
        <x:v>0</x:v>
      </x:c>
      <x:c r="F257" s="36" t="n">
        <x:v>0</x:v>
      </x:c>
      <x:c r="G257" s="9" t="str">
        <x:v>48</x:v>
      </x:c>
      <x:c r="H257" s="9" t="str">
        <x:v>对比评测</x:v>
      </x:c>
      <x:c r="I257" s="9" t="str">
        <x:v>商业调查词</x:v>
      </x:c>
      <x:c r="J257" s="9" t="str">
        <x:v>博客C-对比评测</x:v>
      </x:c>
      <x:c r="K257" s="9" t="str"/>
      <x:c r="L257" s="9" t="str">
        <x:f>IF(K257="",J257,K257)</x:f>
        <x:v>博客C-对比评测</x:v>
      </x:c>
      <x:c r="M257" s="9" t="str">
        <x:v>Best/Top/Review/VS/替代方案文章</x:v>
      </x:c>
      <x:c r="N257" s="9" t="str">
        <x:v>Best angle: fucking fab vape review - comparison, pros/cons, and which option fits different buyers</x:v>
      </x:c>
      <x:c r="O257" s="9" t="str">
        <x:v>/collections/disposable-vapes</x:v>
      </x:c>
      <x:c r="P257" s="9" t="str">
        <x:v>是</x:v>
      </x:c>
      <x:c r="Q257" s="9" t="str">
        <x:v>自然句/品类词/品牌词</x:v>
      </x:c>
      <x:c r="R257" s="9" t="str">
        <x:v>中风险：榜单和评测必须真实、中立，避免夸大</x:v>
      </x:c>
      <x:c r="S257" s="9" t="str">
        <x:v>这类词不直接给主站，先用博客C教育和比较，再导流到最相关集合页。</x:v>
      </x:c>
      <x:c r="T257" s="38" t="n">
        <x:v>1</x:v>
      </x:c>
      <x:c r="U257" s="38" t="n">
        <x:v>15</x:v>
      </x:c>
      <x:c r="V257" s="38" t="n">
        <x:v>16</x:v>
      </x:c>
      <x:c r="W257" s="38" t="n">
        <x:v>15</x:v>
      </x:c>
      <x:c r="X257" s="38" t="n">
        <x:v>13</x:v>
      </x:c>
      <x:c r="Y257" s="38" t="n">
        <x:v>6</x:v>
      </x:c>
      <x:c r="Z257" s="38" t="n">
        <x:f>MAX(0,MIN(100,ROUND(((T257+U257+V257+W257+X257)-Y257)/85*100,0)))</x:f>
        <x:v>64</x:v>
      </x:c>
      <x:c r="AA257" s="9" t="str">
        <x:f>IF(L257="暂不做","P3 暂缓",IF(Z257&gt;=75,"P0 本周做",IF(Z257&gt;=60,"P1 近期做",IF(Z257&gt;=45,"P2 备选","P3 暂缓"))))</x:f>
        <x:v>P1 近期做</x:v>
      </x:c>
      <x:c r="AB257" s="9" t="str">
        <x:f>IF(Y257&gt;=15,"先做合规/相关性复核，不建议直接商业导流",IF(L257="主站","建/优化主站商业页",IF(L257="博客A-知识教程","写知识教程/FAQ文章",IF(L257="博客B-场景人群","写场景需求/选购指南文章",IF(L257="博客C-对比评测","写对比评测/榜单文章","暂不做或人工复核")))))</x:f>
        <x:v>写对比评测/榜单文章</x:v>
      </x:c>
      <x:c r="AC257" s="9" t="str">
        <x:v>Reviews - FUCKING FAB - ExDivo FLORA 40K Disposable Vape - ExDivo</x:v>
      </x:c>
      <x:c r="AD257" s="10" t="str">
        <x:v>48</x:v>
      </x:c>
    </x:row>
    <x:row r="258">
      <x:c r="A258" s="34" t="n">
        <x:v>258</x:v>
      </x:c>
      <x:c r="B258" s="9" t="str">
        <x:v>https://exdivo.com/comments/exdivo-flora-40k-disposable-vape_1361e485</x:v>
      </x:c>
      <x:c r="C258" s="9" t="str">
        <x:v>flora 40k vape review</x:v>
      </x:c>
      <x:c r="D258" s="9" t="str">
        <x:v>recommended</x:v>
      </x:c>
      <x:c r="E258" s="36" t="n">
        <x:v>0</x:v>
      </x:c>
      <x:c r="F258" s="36" t="n">
        <x:v>0</x:v>
      </x:c>
      <x:c r="G258" s="9" t="str">
        <x:v>48</x:v>
      </x:c>
      <x:c r="H258" s="9" t="str">
        <x:v>对比评测</x:v>
      </x:c>
      <x:c r="I258" s="9" t="str">
        <x:v>商业调查词</x:v>
      </x:c>
      <x:c r="J258" s="9" t="str">
        <x:v>博客C-对比评测</x:v>
      </x:c>
      <x:c r="K258" s="9" t="str"/>
      <x:c r="L258" s="9" t="str">
        <x:f>IF(K258="",J258,K258)</x:f>
        <x:v>博客C-对比评测</x:v>
      </x:c>
      <x:c r="M258" s="9" t="str">
        <x:v>Best/Top/Review/VS/替代方案文章</x:v>
      </x:c>
      <x:c r="N258" s="9" t="str">
        <x:v>Best angle: flora 40k vape review - comparison, pros/cons, and which option fits different buyers</x:v>
      </x:c>
      <x:c r="O258" s="9" t="str">
        <x:v>/collections/disposable-vapes</x:v>
      </x:c>
      <x:c r="P258" s="9" t="str">
        <x:v>是</x:v>
      </x:c>
      <x:c r="Q258" s="9" t="str">
        <x:v>自然句/品类词/品牌词</x:v>
      </x:c>
      <x:c r="R258" s="9" t="str">
        <x:v>中风险：榜单和评测必须真实、中立，避免夸大</x:v>
      </x:c>
      <x:c r="S258" s="9" t="str">
        <x:v>这类词不直接给主站，先用博客C教育和比较，再导流到最相关集合页。</x:v>
      </x:c>
      <x:c r="T258" s="38" t="n">
        <x:v>1</x:v>
      </x:c>
      <x:c r="U258" s="38" t="n">
        <x:v>15</x:v>
      </x:c>
      <x:c r="V258" s="38" t="n">
        <x:v>16</x:v>
      </x:c>
      <x:c r="W258" s="38" t="n">
        <x:v>15</x:v>
      </x:c>
      <x:c r="X258" s="38" t="n">
        <x:v>13</x:v>
      </x:c>
      <x:c r="Y258" s="38" t="n">
        <x:v>6</x:v>
      </x:c>
      <x:c r="Z258" s="38" t="n">
        <x:f>MAX(0,MIN(100,ROUND(((T258+U258+V258+W258+X258)-Y258)/85*100,0)))</x:f>
        <x:v>64</x:v>
      </x:c>
      <x:c r="AA258" s="9" t="str">
        <x:f>IF(L258="暂不做","P3 暂缓",IF(Z258&gt;=75,"P0 本周做",IF(Z258&gt;=60,"P1 近期做",IF(Z258&gt;=45,"P2 备选","P3 暂缓"))))</x:f>
        <x:v>P1 近期做</x:v>
      </x:c>
      <x:c r="AB258" s="9" t="str">
        <x:f>IF(Y258&gt;=15,"先做合规/相关性复核，不建议直接商业导流",IF(L258="主站","建/优化主站商业页",IF(L258="博客A-知识教程","写知识教程/FAQ文章",IF(L258="博客B-场景人群","写场景需求/选购指南文章",IF(L258="博客C-对比评测","写对比评测/榜单文章","暂不做或人工复核")))))</x:f>
        <x:v>写对比评测/榜单文章</x:v>
      </x:c>
      <x:c r="AC258" s="9" t="str">
        <x:v>Reviews - FUCKING FAB - ExDivo FLORA 40K Disposable Vape - ExDivo</x:v>
      </x:c>
      <x:c r="AD258" s="10" t="str">
        <x:v>48</x:v>
      </x:c>
    </x:row>
    <x:row r="259">
      <x:c r="A259" s="34" t="n">
        <x:v>259</x:v>
      </x:c>
      <x:c r="B259" s="9" t="str">
        <x:v>https://exdivo.com/comments/exdivo-flora-40k-disposable-vape_1361e485</x:v>
      </x:c>
      <x:c r="C259" s="9" t="str">
        <x:v>unique vape flavor reviews</x:v>
      </x:c>
      <x:c r="D259" s="9" t="str">
        <x:v>recommended</x:v>
      </x:c>
      <x:c r="E259" s="36" t="n">
        <x:v>0</x:v>
      </x:c>
      <x:c r="F259" s="36" t="n">
        <x:v>0</x:v>
      </x:c>
      <x:c r="G259" s="9" t="str">
        <x:v>48</x:v>
      </x:c>
      <x:c r="H259" s="9" t="str">
        <x:v>Flavor / 口味</x:v>
      </x:c>
      <x:c r="I259" s="9" t="str">
        <x:v>商业调查词</x:v>
      </x:c>
      <x:c r="J259" s="9" t="str">
        <x:v>博客C-对比评测</x:v>
      </x:c>
      <x:c r="K259" s="9" t="str"/>
      <x:c r="L259" s="9" t="str">
        <x:f>IF(K259="",J259,K259)</x:f>
        <x:v>博客C-对比评测</x:v>
      </x:c>
      <x:c r="M259" s="9" t="str">
        <x:v>Best/Top/Review/VS/替代方案文章</x:v>
      </x:c>
      <x:c r="N259" s="9" t="str">
        <x:v>Best angle: unique vape flavor reviews - comparison, pros/cons, and which option fits different buyers</x:v>
      </x:c>
      <x:c r="O259" s="9" t="str">
        <x:v>/collections/flavored-disposable-vapes</x:v>
      </x:c>
      <x:c r="P259" s="9" t="str">
        <x:v>是</x:v>
      </x:c>
      <x:c r="Q259" s="9" t="str">
        <x:v>自然句/品类词/品牌词</x:v>
      </x:c>
      <x:c r="R259" s="9" t="str">
        <x:v>中风险：榜单和评测必须真实、中立，避免夸大</x:v>
      </x:c>
      <x:c r="S259" s="9" t="str">
        <x:v>这类词不直接给主站，先用博客C教育和比较，再导流到最相关集合页。</x:v>
      </x:c>
      <x:c r="T259" s="38" t="n">
        <x:v>1</x:v>
      </x:c>
      <x:c r="U259" s="38" t="n">
        <x:v>15</x:v>
      </x:c>
      <x:c r="V259" s="38" t="n">
        <x:v>16</x:v>
      </x:c>
      <x:c r="W259" s="38" t="n">
        <x:v>15</x:v>
      </x:c>
      <x:c r="X259" s="38" t="n">
        <x:v>13</x:v>
      </x:c>
      <x:c r="Y259" s="38" t="n">
        <x:v>6</x:v>
      </x:c>
      <x:c r="Z259" s="38" t="n">
        <x:f>MAX(0,MIN(100,ROUND(((T259+U259+V259+W259+X259)-Y259)/85*100,0)))</x:f>
        <x:v>64</x:v>
      </x:c>
      <x:c r="AA259" s="9" t="str">
        <x:f>IF(L259="暂不做","P3 暂缓",IF(Z259&gt;=75,"P0 本周做",IF(Z259&gt;=60,"P1 近期做",IF(Z259&gt;=45,"P2 备选","P3 暂缓"))))</x:f>
        <x:v>P1 近期做</x:v>
      </x:c>
      <x:c r="AB259" s="9" t="str">
        <x:f>IF(Y259&gt;=15,"先做合规/相关性复核，不建议直接商业导流",IF(L259="主站","建/优化主站商业页",IF(L259="博客A-知识教程","写知识教程/FAQ文章",IF(L259="博客B-场景人群","写场景需求/选购指南文章",IF(L259="博客C-对比评测","写对比评测/榜单文章","暂不做或人工复核")))))</x:f>
        <x:v>写对比评测/榜单文章</x:v>
      </x:c>
      <x:c r="AC259" s="9" t="str">
        <x:v>Reviews - FUCKING FAB - ExDivo FLORA 40K Disposable Vape - ExDivo</x:v>
      </x:c>
      <x:c r="AD259" s="10" t="str">
        <x:v>48</x:v>
      </x:c>
    </x:row>
    <x:row r="260">
      <x:c r="A260" s="34" t="n">
        <x:v>260</x:v>
      </x:c>
      <x:c r="B260" s="9" t="str">
        <x:v>https://exdivo.com/comments/exdivo-flora-40k-disposable-vape_1361e485</x:v>
      </x:c>
      <x:c r="C260" s="9" t="str">
        <x:v>popular vape flavor review</x:v>
      </x:c>
      <x:c r="D260" s="9" t="str">
        <x:v>recommended</x:v>
      </x:c>
      <x:c r="E260" s="36" t="n">
        <x:v>0</x:v>
      </x:c>
      <x:c r="F260" s="36" t="n">
        <x:v>0</x:v>
      </x:c>
      <x:c r="G260" s="9" t="str">
        <x:v>48</x:v>
      </x:c>
      <x:c r="H260" s="9" t="str">
        <x:v>Flavor / 口味</x:v>
      </x:c>
      <x:c r="I260" s="9" t="str">
        <x:v>商业调查词</x:v>
      </x:c>
      <x:c r="J260" s="9" t="str">
        <x:v>博客C-对比评测</x:v>
      </x:c>
      <x:c r="K260" s="9" t="str"/>
      <x:c r="L260" s="9" t="str">
        <x:f>IF(K260="",J260,K260)</x:f>
        <x:v>博客C-对比评测</x:v>
      </x:c>
      <x:c r="M260" s="9" t="str">
        <x:v>Best/Top/Review/VS/替代方案文章</x:v>
      </x:c>
      <x:c r="N260" s="9" t="str">
        <x:v>Best angle: popular vape flavor review - comparison, pros/cons, and which option fits different buyers</x:v>
      </x:c>
      <x:c r="O260" s="9" t="str">
        <x:v>/collections/flavored-disposable-vapes</x:v>
      </x:c>
      <x:c r="P260" s="9" t="str">
        <x:v>是</x:v>
      </x:c>
      <x:c r="Q260" s="9" t="str">
        <x:v>自然句/品类词/品牌词</x:v>
      </x:c>
      <x:c r="R260" s="9" t="str">
        <x:v>中风险：榜单和评测必须真实、中立，避免夸大</x:v>
      </x:c>
      <x:c r="S260" s="9" t="str">
        <x:v>这类词不直接给主站，先用博客C教育和比较，再导流到最相关集合页。</x:v>
      </x:c>
      <x:c r="T260" s="38" t="n">
        <x:v>1</x:v>
      </x:c>
      <x:c r="U260" s="38" t="n">
        <x:v>15</x:v>
      </x:c>
      <x:c r="V260" s="38" t="n">
        <x:v>16</x:v>
      </x:c>
      <x:c r="W260" s="38" t="n">
        <x:v>15</x:v>
      </x:c>
      <x:c r="X260" s="38" t="n">
        <x:v>13</x:v>
      </x:c>
      <x:c r="Y260" s="38" t="n">
        <x:v>6</x:v>
      </x:c>
      <x:c r="Z260" s="38" t="n">
        <x:f>MAX(0,MIN(100,ROUND(((T260+U260+V260+W260+X260)-Y260)/85*100,0)))</x:f>
        <x:v>64</x:v>
      </x:c>
      <x:c r="AA260" s="9" t="str">
        <x:f>IF(L260="暂不做","P3 暂缓",IF(Z260&gt;=75,"P0 本周做",IF(Z260&gt;=60,"P1 近期做",IF(Z260&gt;=45,"P2 备选","P3 暂缓"))))</x:f>
        <x:v>P1 近期做</x:v>
      </x:c>
      <x:c r="AB260" s="9" t="str">
        <x:f>IF(Y260&gt;=15,"先做合规/相关性复核，不建议直接商业导流",IF(L260="主站","建/优化主站商业页",IF(L260="博客A-知识教程","写知识教程/FAQ文章",IF(L260="博客B-场景人群","写场景需求/选购指南文章",IF(L260="博客C-对比评测","写对比评测/榜单文章","暂不做或人工复核")))))</x:f>
        <x:v>写对比评测/榜单文章</x:v>
      </x:c>
      <x:c r="AC260" s="9" t="str">
        <x:v>Reviews - FUCKING FAB - ExDivo FLORA 40K Disposable Vape - ExDivo</x:v>
      </x:c>
      <x:c r="AD260" s="10" t="str">
        <x:v>48</x:v>
      </x:c>
    </x:row>
    <x:row r="261">
      <x:c r="A261" s="34" t="n">
        <x:v>261</x:v>
      </x:c>
      <x:c r="B261" s="9" t="str">
        <x:v>https://exdivo.com/comments/exdivo-flora-40k-disposable-vape_1361e485</x:v>
      </x:c>
      <x:c r="C261" s="9" t="str">
        <x:v>unique vape flavor review</x:v>
      </x:c>
      <x:c r="D261" s="9" t="str">
        <x:v>recommended</x:v>
      </x:c>
      <x:c r="E261" s="36" t="n">
        <x:v>0</x:v>
      </x:c>
      <x:c r="F261" s="36" t="n">
        <x:v>0</x:v>
      </x:c>
      <x:c r="G261" s="9" t="str">
        <x:v>48</x:v>
      </x:c>
      <x:c r="H261" s="9" t="str">
        <x:v>Flavor / 口味</x:v>
      </x:c>
      <x:c r="I261" s="9" t="str">
        <x:v>商业调查词</x:v>
      </x:c>
      <x:c r="J261" s="9" t="str">
        <x:v>博客C-对比评测</x:v>
      </x:c>
      <x:c r="K261" s="9" t="str"/>
      <x:c r="L261" s="9" t="str">
        <x:f>IF(K261="",J261,K261)</x:f>
        <x:v>博客C-对比评测</x:v>
      </x:c>
      <x:c r="M261" s="9" t="str">
        <x:v>Best/Top/Review/VS/替代方案文章</x:v>
      </x:c>
      <x:c r="N261" s="9" t="str">
        <x:v>Best angle: unique vape flavor review - comparison, pros/cons, and which option fits different buyers</x:v>
      </x:c>
      <x:c r="O261" s="9" t="str">
        <x:v>/collections/flavored-disposable-vapes</x:v>
      </x:c>
      <x:c r="P261" s="9" t="str">
        <x:v>是</x:v>
      </x:c>
      <x:c r="Q261" s="9" t="str">
        <x:v>自然句/品类词/品牌词</x:v>
      </x:c>
      <x:c r="R261" s="9" t="str">
        <x:v>中风险：榜单和评测必须真实、中立，避免夸大</x:v>
      </x:c>
      <x:c r="S261" s="9" t="str">
        <x:v>这类词不直接给主站，先用博客C教育和比较，再导流到最相关集合页。</x:v>
      </x:c>
      <x:c r="T261" s="38" t="n">
        <x:v>1</x:v>
      </x:c>
      <x:c r="U261" s="38" t="n">
        <x:v>15</x:v>
      </x:c>
      <x:c r="V261" s="38" t="n">
        <x:v>16</x:v>
      </x:c>
      <x:c r="W261" s="38" t="n">
        <x:v>15</x:v>
      </x:c>
      <x:c r="X261" s="38" t="n">
        <x:v>13</x:v>
      </x:c>
      <x:c r="Y261" s="38" t="n">
        <x:v>6</x:v>
      </x:c>
      <x:c r="Z261" s="38" t="n">
        <x:f>MAX(0,MIN(100,ROUND(((T261+U261+V261+W261+X261)-Y261)/85*100,0)))</x:f>
        <x:v>64</x:v>
      </x:c>
      <x:c r="AA261" s="9" t="str">
        <x:f>IF(L261="暂不做","P3 暂缓",IF(Z261&gt;=75,"P0 本周做",IF(Z261&gt;=60,"P1 近期做",IF(Z261&gt;=45,"P2 备选","P3 暂缓"))))</x:f>
        <x:v>P1 近期做</x:v>
      </x:c>
      <x:c r="AB261" s="9" t="str">
        <x:f>IF(Y261&gt;=15,"先做合规/相关性复核，不建议直接商业导流",IF(L261="主站","建/优化主站商业页",IF(L261="博客A-知识教程","写知识教程/FAQ文章",IF(L261="博客B-场景人群","写场景需求/选购指南文章",IF(L261="博客C-对比评测","写对比评测/榜单文章","暂不做或人工复核")))))</x:f>
        <x:v>写对比评测/榜单文章</x:v>
      </x:c>
      <x:c r="AC261" s="9" t="str">
        <x:v>Reviews - FUCKING FAB - ExDivo FLORA 40K Disposable Vape - ExDivo</x:v>
      </x:c>
      <x:c r="AD261" s="10" t="str">
        <x:v>48</x:v>
      </x:c>
    </x:row>
    <x:row r="262">
      <x:c r="A262" s="34" t="n">
        <x:v>262</x:v>
      </x:c>
      <x:c r="B262" s="9" t="str">
        <x:v>https://exdivo.com/comments/exdivo-interstellar-35k-disposable-vape_a50f7cf9?writeComment=true</x:v>
      </x:c>
      <x:c r="C262" s="9" t="str">
        <x:v>strawberry mango vape review</x:v>
      </x:c>
      <x:c r="D262" s="9" t="str">
        <x:v>recommended</x:v>
      </x:c>
      <x:c r="E262" s="36" t="n">
        <x:v>0</x:v>
      </x:c>
      <x:c r="F262" s="36" t="n">
        <x:v>0</x:v>
      </x:c>
      <x:c r="G262" s="9" t="str">
        <x:v>48</x:v>
      </x:c>
      <x:c r="H262" s="9" t="str">
        <x:v>对比评测</x:v>
      </x:c>
      <x:c r="I262" s="9" t="str">
        <x:v>商业调查词</x:v>
      </x:c>
      <x:c r="J262" s="9" t="str">
        <x:v>博客C-对比评测</x:v>
      </x:c>
      <x:c r="K262" s="9" t="str"/>
      <x:c r="L262" s="9" t="str">
        <x:f>IF(K262="",J262,K262)</x:f>
        <x:v>博客C-对比评测</x:v>
      </x:c>
      <x:c r="M262" s="9" t="str">
        <x:v>Best/Top/Review/VS/替代方案文章</x:v>
      </x:c>
      <x:c r="N262" s="9" t="str">
        <x:v>Best angle: strawberry mango vape review - comparison, pros/cons, and which option fits different buyers</x:v>
      </x:c>
      <x:c r="O262" s="9" t="str">
        <x:v>/collections/disposable-vapes</x:v>
      </x:c>
      <x:c r="P262" s="9" t="str">
        <x:v>是</x:v>
      </x:c>
      <x:c r="Q262" s="9" t="str">
        <x:v>自然句/品类词/品牌词</x:v>
      </x:c>
      <x:c r="R262" s="9" t="str">
        <x:v>中风险：榜单和评测必须真实、中立，避免夸大</x:v>
      </x:c>
      <x:c r="S262" s="9" t="str">
        <x:v>这类词不直接给主站，先用博客C教育和比较，再导流到最相关集合页。</x:v>
      </x:c>
      <x:c r="T262" s="38" t="n">
        <x:v>1</x:v>
      </x:c>
      <x:c r="U262" s="38" t="n">
        <x:v>15</x:v>
      </x:c>
      <x:c r="V262" s="38" t="n">
        <x:v>16</x:v>
      </x:c>
      <x:c r="W262" s="38" t="n">
        <x:v>15</x:v>
      </x:c>
      <x:c r="X262" s="38" t="n">
        <x:v>13</x:v>
      </x:c>
      <x:c r="Y262" s="38" t="n">
        <x:v>6</x:v>
      </x:c>
      <x:c r="Z262" s="38" t="n">
        <x:f>MAX(0,MIN(100,ROUND(((T262+U262+V262+W262+X262)-Y262)/85*100,0)))</x:f>
        <x:v>64</x:v>
      </x:c>
      <x:c r="AA262" s="9" t="str">
        <x:f>IF(L262="暂不做","P3 暂缓",IF(Z262&gt;=75,"P0 本周做",IF(Z262&gt;=60,"P1 近期做",IF(Z262&gt;=45,"P2 备选","P3 暂缓"))))</x:f>
        <x:v>P1 近期做</x:v>
      </x:c>
      <x:c r="AB262" s="9" t="str">
        <x:f>IF(Y262&gt;=15,"先做合规/相关性复核，不建议直接商业导流",IF(L262="主站","建/优化主站商业页",IF(L262="博客A-知识教程","写知识教程/FAQ文章",IF(L262="博客B-场景人群","写场景需求/选购指南文章",IF(L262="博客C-对比评测","写对比评测/榜单文章","暂不做或人工复核")))))</x:f>
        <x:v>写对比评测/榜单文章</x:v>
      </x:c>
      <x:c r="AC262" s="9" t="str">
        <x:v>Reviews - Strawberry Mango - ExDivo INTERSTELLAR 35K Disposable Vape - ExDivo</x:v>
      </x:c>
      <x:c r="AD262" s="10" t="str">
        <x:v>48</x:v>
      </x:c>
    </x:row>
    <x:row r="263">
      <x:c r="A263" s="34" t="n">
        <x:v>263</x:v>
      </x:c>
      <x:c r="B263" s="9" t="str">
        <x:v>https://exdivo.com/comments/exdivo-interstellar-35k-disposable-vape_a50f7cf9?writeComment=true</x:v>
      </x:c>
      <x:c r="C263" s="9" t="str">
        <x:v>fruit vape flavor reviews</x:v>
      </x:c>
      <x:c r="D263" s="9" t="str">
        <x:v>recommended</x:v>
      </x:c>
      <x:c r="E263" s="36" t="n">
        <x:v>0</x:v>
      </x:c>
      <x:c r="F263" s="36" t="n">
        <x:v>0</x:v>
      </x:c>
      <x:c r="G263" s="9" t="str">
        <x:v>48</x:v>
      </x:c>
      <x:c r="H263" s="9" t="str">
        <x:v>Flavor / 口味</x:v>
      </x:c>
      <x:c r="I263" s="9" t="str">
        <x:v>商业调查词</x:v>
      </x:c>
      <x:c r="J263" s="9" t="str">
        <x:v>博客C-对比评测</x:v>
      </x:c>
      <x:c r="K263" s="9" t="str"/>
      <x:c r="L263" s="9" t="str">
        <x:f>IF(K263="",J263,K263)</x:f>
        <x:v>博客C-对比评测</x:v>
      </x:c>
      <x:c r="M263" s="9" t="str">
        <x:v>Best/Top/Review/VS/替代方案文章</x:v>
      </x:c>
      <x:c r="N263" s="9" t="str">
        <x:v>Best angle: fruit vape flavor reviews - comparison, pros/cons, and which option fits different buyers</x:v>
      </x:c>
      <x:c r="O263" s="9" t="str">
        <x:v>/collections/flavored-disposable-vapes</x:v>
      </x:c>
      <x:c r="P263" s="9" t="str">
        <x:v>是</x:v>
      </x:c>
      <x:c r="Q263" s="9" t="str">
        <x:v>自然句/品类词/品牌词</x:v>
      </x:c>
      <x:c r="R263" s="9" t="str">
        <x:v>中风险：榜单和评测必须真实、中立，避免夸大</x:v>
      </x:c>
      <x:c r="S263" s="9" t="str">
        <x:v>这类词不直接给主站，先用博客C教育和比较，再导流到最相关集合页。</x:v>
      </x:c>
      <x:c r="T263" s="38" t="n">
        <x:v>1</x:v>
      </x:c>
      <x:c r="U263" s="38" t="n">
        <x:v>15</x:v>
      </x:c>
      <x:c r="V263" s="38" t="n">
        <x:v>16</x:v>
      </x:c>
      <x:c r="W263" s="38" t="n">
        <x:v>15</x:v>
      </x:c>
      <x:c r="X263" s="38" t="n">
        <x:v>13</x:v>
      </x:c>
      <x:c r="Y263" s="38" t="n">
        <x:v>6</x:v>
      </x:c>
      <x:c r="Z263" s="38" t="n">
        <x:f>MAX(0,MIN(100,ROUND(((T263+U263+V263+W263+X263)-Y263)/85*100,0)))</x:f>
        <x:v>64</x:v>
      </x:c>
      <x:c r="AA263" s="9" t="str">
        <x:f>IF(L263="暂不做","P3 暂缓",IF(Z263&gt;=75,"P0 本周做",IF(Z263&gt;=60,"P1 近期做",IF(Z263&gt;=45,"P2 备选","P3 暂缓"))))</x:f>
        <x:v>P1 近期做</x:v>
      </x:c>
      <x:c r="AB263" s="9" t="str">
        <x:f>IF(Y263&gt;=15,"先做合规/相关性复核，不建议直接商业导流",IF(L263="主站","建/优化主站商业页",IF(L263="博客A-知识教程","写知识教程/FAQ文章",IF(L263="博客B-场景人群","写场景需求/选购指南文章",IF(L263="博客C-对比评测","写对比评测/榜单文章","暂不做或人工复核")))))</x:f>
        <x:v>写对比评测/榜单文章</x:v>
      </x:c>
      <x:c r="AC263" s="9" t="str">
        <x:v>Reviews - Strawberry Mango - ExDivo INTERSTELLAR 35K Disposable Vape - ExDivo</x:v>
      </x:c>
      <x:c r="AD263" s="10" t="str">
        <x:v>48</x:v>
      </x:c>
    </x:row>
    <x:row r="264">
      <x:c r="A264" s="34" t="n">
        <x:v>264</x:v>
      </x:c>
      <x:c r="B264" s="9" t="str">
        <x:v>https://exdivo.com/comments/exdivo-interstellar-35k-disposable-vape_a50f7cf9?writeComment=true</x:v>
      </x:c>
      <x:c r="C264" s="9" t="str">
        <x:v>fruit vape review</x:v>
      </x:c>
      <x:c r="D264" s="9" t="str">
        <x:v>recommended</x:v>
      </x:c>
      <x:c r="E264" s="36" t="n">
        <x:v>0</x:v>
      </x:c>
      <x:c r="F264" s="36" t="n">
        <x:v>0</x:v>
      </x:c>
      <x:c r="G264" s="9" t="str">
        <x:v>48</x:v>
      </x:c>
      <x:c r="H264" s="9" t="str">
        <x:v>对比评测</x:v>
      </x:c>
      <x:c r="I264" s="9" t="str">
        <x:v>商业调查词</x:v>
      </x:c>
      <x:c r="J264" s="9" t="str">
        <x:v>博客C-对比评测</x:v>
      </x:c>
      <x:c r="K264" s="9" t="str"/>
      <x:c r="L264" s="9" t="str">
        <x:f>IF(K264="",J264,K264)</x:f>
        <x:v>博客C-对比评测</x:v>
      </x:c>
      <x:c r="M264" s="9" t="str">
        <x:v>Best/Top/Review/VS/替代方案文章</x:v>
      </x:c>
      <x:c r="N264" s="9" t="str">
        <x:v>Best angle: fruit vape review - comparison, pros/cons, and which option fits different buyers</x:v>
      </x:c>
      <x:c r="O264" s="9" t="str">
        <x:v>/collections/disposable-vapes</x:v>
      </x:c>
      <x:c r="P264" s="9" t="str">
        <x:v>是</x:v>
      </x:c>
      <x:c r="Q264" s="9" t="str">
        <x:v>自然句/品类词/品牌词</x:v>
      </x:c>
      <x:c r="R264" s="9" t="str">
        <x:v>中风险：榜单和评测必须真实、中立，避免夸大</x:v>
      </x:c>
      <x:c r="S264" s="9" t="str">
        <x:v>这类词不直接给主站，先用博客C教育和比较，再导流到最相关集合页。</x:v>
      </x:c>
      <x:c r="T264" s="38" t="n">
        <x:v>1</x:v>
      </x:c>
      <x:c r="U264" s="38" t="n">
        <x:v>15</x:v>
      </x:c>
      <x:c r="V264" s="38" t="n">
        <x:v>16</x:v>
      </x:c>
      <x:c r="W264" s="38" t="n">
        <x:v>15</x:v>
      </x:c>
      <x:c r="X264" s="38" t="n">
        <x:v>13</x:v>
      </x:c>
      <x:c r="Y264" s="38" t="n">
        <x:v>6</x:v>
      </x:c>
      <x:c r="Z264" s="38" t="n">
        <x:f>MAX(0,MIN(100,ROUND(((T264+U264+V264+W264+X264)-Y264)/85*100,0)))</x:f>
        <x:v>64</x:v>
      </x:c>
      <x:c r="AA264" s="9" t="str">
        <x:f>IF(L264="暂不做","P3 暂缓",IF(Z264&gt;=75,"P0 本周做",IF(Z264&gt;=60,"P1 近期做",IF(Z264&gt;=45,"P2 备选","P3 暂缓"))))</x:f>
        <x:v>P1 近期做</x:v>
      </x:c>
      <x:c r="AB264" s="9" t="str">
        <x:f>IF(Y264&gt;=15,"先做合规/相关性复核，不建议直接商业导流",IF(L264="主站","建/优化主站商业页",IF(L264="博客A-知识教程","写知识教程/FAQ文章",IF(L264="博客B-场景人群","写场景需求/选购指南文章",IF(L264="博客C-对比评测","写对比评测/榜单文章","暂不做或人工复核")))))</x:f>
        <x:v>写对比评测/榜单文章</x:v>
      </x:c>
      <x:c r="AC264" s="9" t="str">
        <x:v>Reviews - Strawberry Mango - ExDivo INTERSTELLAR 35K Disposable Vape - ExDivo</x:v>
      </x:c>
      <x:c r="AD264" s="10" t="str">
        <x:v>48</x:v>
      </x:c>
    </x:row>
    <x:row r="265">
      <x:c r="A265" s="34" t="n">
        <x:v>265</x:v>
      </x:c>
      <x:c r="B265" s="9" t="str">
        <x:v>https://exdivo.com/collections/meifu/products/exdivo-flora-40k-disposable-vape_1361e485?data_from=index_index&amp;spm=index_index..block_collection_list-11702354.7.</x:v>
      </x:c>
      <x:c r="C265" s="9" t="str">
        <x:v>40000 puff disposable vape</x:v>
      </x:c>
      <x:c r="D265" s="9" t="str">
        <x:v>recommended</x:v>
      </x:c>
      <x:c r="E265" s="36" t="n">
        <x:v>70</x:v>
      </x:c>
      <x:c r="F265" s="36" t="n">
        <x:v>1</x:v>
      </x:c>
      <x:c r="G265" s="9" t="str">
        <x:v>commercial</x:v>
      </x:c>
      <x:c r="H265" s="9" t="str">
        <x:v>Disposable Vape</x:v>
      </x:c>
      <x:c r="I265" s="9" t="str">
        <x:v>品类承接词</x:v>
      </x:c>
      <x:c r="J265" s="9" t="str">
        <x:v>主站</x:v>
      </x:c>
      <x:c r="K265" s="9" t="str"/>
      <x:c r="L265" s="9" t="str">
        <x:f>IF(K265="",J265,K265)</x:f>
        <x:v>主站</x:v>
      </x:c>
      <x:c r="M265" s="9" t="str">
        <x:v>品类页/集合页 + FAQ内容块</x:v>
      </x:c>
      <x:c r="N265" s="9" t="str">
        <x:v>主站品类页：用产品集合 + 选购说明承接</x:v>
      </x:c>
      <x:c r="O265" s="9" t="str">
        <x:v>/collections/disposable-vapes</x:v>
      </x:c>
      <x:c r="P265" s="9" t="str">
        <x:v>不适用</x:v>
      </x:c>
      <x:c r="Q265" s="9" t="str">
        <x:v>主站页面自身承接</x:v>
      </x:c>
      <x:c r="R265" s="9" t="str">
        <x:v>核心品类词：主站优先，博客只做长尾解释，不直接抢同一词</x:v>
      </x:c>
      <x:c r="S265" s="9" t="str">
        <x:v>如果 Google 首页产品页和指南混合，主站页要加 FAQ、选购指南、对比模块。</x:v>
      </x:c>
      <x:c r="T265" s="38" t="n">
        <x:v>4</x:v>
      </x:c>
      <x:c r="U265" s="38" t="n">
        <x:v>15</x:v>
      </x:c>
      <x:c r="V265" s="38" t="n">
        <x:v>18</x:v>
      </x:c>
      <x:c r="W265" s="38" t="n">
        <x:v>8</x:v>
      </x:c>
      <x:c r="X265" s="38" t="n">
        <x:v>15</x:v>
      </x:c>
      <x:c r="Y265" s="38" t="n">
        <x:v>4</x:v>
      </x:c>
      <x:c r="Z265" s="38" t="n">
        <x:f>MAX(0,MIN(100,ROUND(((T265+U265+V265+W265+X265)-Y265)/85*100,0)))</x:f>
        <x:v>66</x:v>
      </x:c>
      <x:c r="AA265" s="9" t="str">
        <x:f>IF(L265="暂不做","P3 暂缓",IF(Z265&gt;=75,"P0 本周做",IF(Z265&gt;=60,"P1 近期做",IF(Z265&gt;=45,"P2 备选","P3 暂缓"))))</x:f>
        <x:v>P1 近期做</x:v>
      </x:c>
      <x:c r="AB265" s="9" t="str">
        <x:f>IF(Y265&gt;=15,"先做合规/相关性复核，不建议直接商业导流",IF(L265="主站","建/优化主站商业页",IF(L265="博客A-知识教程","写知识教程/FAQ文章",IF(L265="博客B-场景人群","写场景需求/选购指南文章",IF(L265="博客C-对比评测","写对比评测/榜单文章","暂不做或人工复核")))))</x:f>
        <x:v>建/优化主站商业页</x:v>
      </x:c>
      <x:c r="AC265" s="9" t="str">
        <x:v>ExDivo FLORA 40K Disposable Vape</x:v>
      </x:c>
      <x:c r="AD265" s="10" t="str">
        <x:v>40000 puffs</x:v>
      </x:c>
    </x:row>
    <x:row r="266">
      <x:c r="A266" s="34" t="n">
        <x:v>266</x:v>
      </x:c>
      <x:c r="B266" s="9" t="str">
        <x:v>https://exdivo.com/collections/meifu/products/exdivo-flora-40k-disposable-vape_1361e485?data_from=index_index&amp;spm=index_index..block_collection_list-11702354.7.</x:v>
      </x:c>
      <x:c r="C266" s="9" t="str">
        <x:v>disposable vape 40k puffs</x:v>
      </x:c>
      <x:c r="D266" s="9" t="str">
        <x:v>recommended</x:v>
      </x:c>
      <x:c r="E266" s="36" t="n">
        <x:v>0</x:v>
      </x:c>
      <x:c r="F266" s="36" t="n">
        <x:v>0</x:v>
      </x:c>
      <x:c r="G266" s="9" t="str">
        <x:v>48</x:v>
      </x:c>
      <x:c r="H266" s="9" t="str">
        <x:v>Disposable Vape</x:v>
      </x:c>
      <x:c r="I266" s="9" t="str">
        <x:v>内容词</x:v>
      </x:c>
      <x:c r="J266" s="9" t="str">
        <x:v>博客A-知识教程</x:v>
      </x:c>
      <x:c r="K266" s="9" t="str"/>
      <x:c r="L266" s="9" t="str">
        <x:f>IF(K266="",J266,K266)</x:f>
        <x:v>博客A-知识教程</x:v>
      </x:c>
      <x:c r="M266" s="9" t="str">
        <x:v>知识/教程文章</x:v>
      </x:c>
      <x:c r="N266" s="9" t="str">
        <x:v>Guide angle: explain disposable vape 40k puffs, answer common questions, and avoid sales-first writing</x:v>
      </x:c>
      <x:c r="O266" s="9" t="str">
        <x:v>/collections/disposable-vapes 或最接近的产品集合页</x:v>
      </x:c>
      <x:c r="P266" s="9" t="str">
        <x:v>谨慎</x:v>
      </x:c>
      <x:c r="Q266" s="9" t="str">
        <x:v>品牌词/自然句</x:v>
      </x:c>
      <x:c r="R266" s="9" t="str">
        <x:v>低风险：按常规内容质量和搜索意图校验</x:v>
      </x:c>
      <x:c r="S266" s="9" t="str">
        <x:v>先看 Google SERP：如果首页多数为产品集合页，改回主站；如果多数为教程/问答，保持博客。</x:v>
      </x:c>
      <x:c r="T266" s="38" t="n">
        <x:v>1</x:v>
      </x:c>
      <x:c r="U266" s="38" t="n">
        <x:v>15</x:v>
      </x:c>
      <x:c r="V266" s="38" t="n">
        <x:v>10</x:v>
      </x:c>
      <x:c r="W266" s="38" t="n">
        <x:v>12</x:v>
      </x:c>
      <x:c r="X266" s="38" t="n">
        <x:v>12</x:v>
      </x:c>
      <x:c r="Y266" s="38" t="n">
        <x:v>4</x:v>
      </x:c>
      <x:c r="Z266" s="38" t="n">
        <x:f>MAX(0,MIN(100,ROUND(((T266+U266+V266+W266+X266)-Y266)/85*100,0)))</x:f>
        <x:v>54</x:v>
      </x:c>
      <x:c r="AA266" s="9" t="str">
        <x:f>IF(L266="暂不做","P3 暂缓",IF(Z266&gt;=75,"P0 本周做",IF(Z266&gt;=60,"P1 近期做",IF(Z266&gt;=45,"P2 备选","P3 暂缓"))))</x:f>
        <x:v>P2 备选</x:v>
      </x:c>
      <x:c r="AB266" s="9" t="str">
        <x:f>IF(Y266&gt;=15,"先做合规/相关性复核，不建议直接商业导流",IF(L266="主站","建/优化主站商业页",IF(L266="博客A-知识教程","写知识教程/FAQ文章",IF(L266="博客B-场景人群","写场景需求/选购指南文章",IF(L266="博客C-对比评测","写对比评测/榜单文章","暂不做或人工复核")))))</x:f>
        <x:v>写知识教程/FAQ文章</x:v>
      </x:c>
      <x:c r="AC266" s="9" t="str">
        <x:v>ExDivo FLORA 40K Disposable Vape</x:v>
      </x:c>
      <x:c r="AD266" s="10" t="str">
        <x:v>40000 puffs</x:v>
      </x:c>
    </x:row>
    <x:row r="267">
      <x:c r="A267" s="34" t="n">
        <x:v>267</x:v>
      </x:c>
      <x:c r="B267" s="9" t="str">
        <x:v>https://exdivo.com/collections/meifu/products/exdivo-flora-40k-disposable-vape_1361e485?data_from=index_index&amp;spm=index_index..block_collection_list-11702354.7.</x:v>
      </x:c>
      <x:c r="C267" s="9" t="str">
        <x:v>40000 puffs vape</x:v>
      </x:c>
      <x:c r="D267" s="9" t="str">
        <x:v>recommended</x:v>
      </x:c>
      <x:c r="E267" s="36" t="n">
        <x:v>0</x:v>
      </x:c>
      <x:c r="F267" s="36" t="n">
        <x:v>0</x:v>
      </x:c>
      <x:c r="G267" s="9" t="str">
        <x:v>48</x:v>
      </x:c>
      <x:c r="H267" s="9" t="str">
        <x:v>General Vape</x:v>
      </x:c>
      <x:c r="I267" s="9" t="str">
        <x:v>品类承接词</x:v>
      </x:c>
      <x:c r="J267" s="9" t="str">
        <x:v>主站</x:v>
      </x:c>
      <x:c r="K267" s="9" t="str"/>
      <x:c r="L267" s="9" t="str">
        <x:f>IF(K267="",J267,K267)</x:f>
        <x:v>主站</x:v>
      </x:c>
      <x:c r="M267" s="9" t="str">
        <x:v>品类页/集合页 + FAQ内容块</x:v>
      </x:c>
      <x:c r="N267" s="9" t="str">
        <x:v>主站品类页：用产品集合 + 选购说明承接</x:v>
      </x:c>
      <x:c r="O267" s="9" t="str">
        <x:v>/collections/disposable-vapes</x:v>
      </x:c>
      <x:c r="P267" s="9" t="str">
        <x:v>不适用</x:v>
      </x:c>
      <x:c r="Q267" s="9" t="str">
        <x:v>主站页面自身承接</x:v>
      </x:c>
      <x:c r="R267" s="9" t="str">
        <x:v>核心品类词：主站优先，博客只做长尾解释，不直接抢同一词</x:v>
      </x:c>
      <x:c r="S267" s="9" t="str">
        <x:v>如果 Google 首页产品页和指南混合，主站页要加 FAQ、选购指南、对比模块。</x:v>
      </x:c>
      <x:c r="T267" s="38" t="n">
        <x:v>1</x:v>
      </x:c>
      <x:c r="U267" s="38" t="n">
        <x:v>15</x:v>
      </x:c>
      <x:c r="V267" s="38" t="n">
        <x:v>16</x:v>
      </x:c>
      <x:c r="W267" s="38" t="n">
        <x:v>8</x:v>
      </x:c>
      <x:c r="X267" s="38" t="n">
        <x:v>15</x:v>
      </x:c>
      <x:c r="Y267" s="38" t="n">
        <x:v>4</x:v>
      </x:c>
      <x:c r="Z267" s="38" t="n">
        <x:f>MAX(0,MIN(100,ROUND(((T267+U267+V267+W267+X267)-Y267)/85*100,0)))</x:f>
        <x:v>60</x:v>
      </x:c>
      <x:c r="AA267" s="9" t="str">
        <x:f>IF(L267="暂不做","P3 暂缓",IF(Z267&gt;=75,"P0 本周做",IF(Z267&gt;=60,"P1 近期做",IF(Z267&gt;=45,"P2 备选","P3 暂缓"))))</x:f>
        <x:v>P1 近期做</x:v>
      </x:c>
      <x:c r="AB267" s="9" t="str">
        <x:f>IF(Y267&gt;=15,"先做合规/相关性复核，不建议直接商业导流",IF(L267="主站","建/优化主站商业页",IF(L267="博客A-知识教程","写知识教程/FAQ文章",IF(L267="博客B-场景人群","写场景需求/选购指南文章",IF(L267="博客C-对比评测","写对比评测/榜单文章","暂不做或人工复核")))))</x:f>
        <x:v>建/优化主站商业页</x:v>
      </x:c>
      <x:c r="AC267" s="9" t="str">
        <x:v>ExDivo FLORA 40K Disposable Vape</x:v>
      </x:c>
      <x:c r="AD267" s="10" t="str">
        <x:v>40000 puffs</x:v>
      </x:c>
    </x:row>
    <x:row r="268">
      <x:c r="A268" s="34" t="n">
        <x:v>268</x:v>
      </x:c>
      <x:c r="B268" s="9" t="str">
        <x:v>https://exdivo.com/comments/exdivo-bright-mirror-35k-replaceable-vape-kit_45396b6c?writeComment=true</x:v>
      </x:c>
      <x:c r="C268" s="9" t="str">
        <x:v>replaceable vape kit flavor reviews</x:v>
      </x:c>
      <x:c r="D268" s="9" t="str">
        <x:v>recommended</x:v>
      </x:c>
      <x:c r="E268" s="36" t="n">
        <x:v>0</x:v>
      </x:c>
      <x:c r="F268" s="36" t="n">
        <x:v>0</x:v>
      </x:c>
      <x:c r="G268" s="9" t="str">
        <x:v>48</x:v>
      </x:c>
      <x:c r="H268" s="9" t="str">
        <x:v>Flavor / 口味</x:v>
      </x:c>
      <x:c r="I268" s="9" t="str">
        <x:v>商业调查词</x:v>
      </x:c>
      <x:c r="J268" s="9" t="str">
        <x:v>博客C-对比评测</x:v>
      </x:c>
      <x:c r="K268" s="9" t="str"/>
      <x:c r="L268" s="9" t="str">
        <x:f>IF(K268="",J268,K268)</x:f>
        <x:v>博客C-对比评测</x:v>
      </x:c>
      <x:c r="M268" s="9" t="str">
        <x:v>Best/Top/Review/VS/替代方案文章</x:v>
      </x:c>
      <x:c r="N268" s="9" t="str">
        <x:v>Best angle: replaceable vape kit flavor reviews - comparison, pros/cons, and which option fits different buyers</x:v>
      </x:c>
      <x:c r="O268" s="9" t="str">
        <x:v>/collections/flavored-disposable-vapes</x:v>
      </x:c>
      <x:c r="P268" s="9" t="str">
        <x:v>是</x:v>
      </x:c>
      <x:c r="Q268" s="9" t="str">
        <x:v>自然句/品类词/品牌词</x:v>
      </x:c>
      <x:c r="R268" s="9" t="str">
        <x:v>中风险：榜单和评测必须真实、中立，避免夸大</x:v>
      </x:c>
      <x:c r="S268" s="9" t="str">
        <x:v>这类词不直接给主站，先用博客C教育和比较，再导流到最相关集合页。</x:v>
      </x:c>
      <x:c r="T268" s="38" t="n">
        <x:v>1</x:v>
      </x:c>
      <x:c r="U268" s="38" t="n">
        <x:v>15</x:v>
      </x:c>
      <x:c r="V268" s="38" t="n">
        <x:v>16</x:v>
      </x:c>
      <x:c r="W268" s="38" t="n">
        <x:v>15</x:v>
      </x:c>
      <x:c r="X268" s="38" t="n">
        <x:v>13</x:v>
      </x:c>
      <x:c r="Y268" s="38" t="n">
        <x:v>6</x:v>
      </x:c>
      <x:c r="Z268" s="38" t="n">
        <x:f>MAX(0,MIN(100,ROUND(((T268+U268+V268+W268+X268)-Y268)/85*100,0)))</x:f>
        <x:v>64</x:v>
      </x:c>
      <x:c r="AA268" s="9" t="str">
        <x:f>IF(L268="暂不做","P3 暂缓",IF(Z268&gt;=75,"P0 本周做",IF(Z268&gt;=60,"P1 近期做",IF(Z268&gt;=45,"P2 备选","P3 暂缓"))))</x:f>
        <x:v>P1 近期做</x:v>
      </x:c>
      <x:c r="AB268" s="9" t="str">
        <x:f>IF(Y268&gt;=15,"先做合规/相关性复核，不建议直接商业导流",IF(L268="主站","建/优化主站商业页",IF(L268="博客A-知识教程","写知识教程/FAQ文章",IF(L268="博客B-场景人群","写场景需求/选购指南文章",IF(L268="博客C-对比评测","写对比评测/榜单文章","暂不做或人工复核")))))</x:f>
        <x:v>写对比评测/榜单文章</x:v>
      </x:c>
      <x:c r="AC268" s="9" t="str">
        <x:v>Reviews - PEACH MANGO WATERMELON - ExDivo BRIGHT MIRROR 35K Replaceable VAPE kit - ExDivo</x:v>
      </x:c>
      <x:c r="AD268" s="10" t="str">
        <x:v>48</x:v>
      </x:c>
    </x:row>
    <x:row r="269">
      <x:c r="A269" s="34" t="n">
        <x:v>269</x:v>
      </x:c>
      <x:c r="B269" s="9" t="str">
        <x:v>https://exdivo.com/comments/exdivo-bright-mirror-35k-replaceable-vape-kit_45396b6c?writeComment=true</x:v>
      </x:c>
      <x:c r="C269" s="9" t="str">
        <x:v>replaceable vape kit reviews</x:v>
      </x:c>
      <x:c r="D269" s="9" t="str">
        <x:v>recommended</x:v>
      </x:c>
      <x:c r="E269" s="36" t="n">
        <x:v>0</x:v>
      </x:c>
      <x:c r="F269" s="36" t="n">
        <x:v>0</x:v>
      </x:c>
      <x:c r="G269" s="9" t="str">
        <x:v>48</x:v>
      </x:c>
      <x:c r="H269" s="9" t="str">
        <x:v>对比评测</x:v>
      </x:c>
      <x:c r="I269" s="9" t="str">
        <x:v>商业调查词</x:v>
      </x:c>
      <x:c r="J269" s="9" t="str">
        <x:v>博客C-对比评测</x:v>
      </x:c>
      <x:c r="K269" s="9" t="str"/>
      <x:c r="L269" s="9" t="str">
        <x:f>IF(K269="",J269,K269)</x:f>
        <x:v>博客C-对比评测</x:v>
      </x:c>
      <x:c r="M269" s="9" t="str">
        <x:v>Best/Top/Review/VS/替代方案文章</x:v>
      </x:c>
      <x:c r="N269" s="9" t="str">
        <x:v>Best angle: replaceable vape kit reviews - comparison, pros/cons, and which option fits different buyers</x:v>
      </x:c>
      <x:c r="O269" s="9" t="str">
        <x:v>/collections/disposable-vapes</x:v>
      </x:c>
      <x:c r="P269" s="9" t="str">
        <x:v>是</x:v>
      </x:c>
      <x:c r="Q269" s="9" t="str">
        <x:v>自然句/品类词/品牌词</x:v>
      </x:c>
      <x:c r="R269" s="9" t="str">
        <x:v>中风险：榜单和评测必须真实、中立，避免夸大</x:v>
      </x:c>
      <x:c r="S269" s="9" t="str">
        <x:v>这类词不直接给主站，先用博客C教育和比较，再导流到最相关集合页。</x:v>
      </x:c>
      <x:c r="T269" s="38" t="n">
        <x:v>1</x:v>
      </x:c>
      <x:c r="U269" s="38" t="n">
        <x:v>15</x:v>
      </x:c>
      <x:c r="V269" s="38" t="n">
        <x:v>16</x:v>
      </x:c>
      <x:c r="W269" s="38" t="n">
        <x:v>15</x:v>
      </x:c>
      <x:c r="X269" s="38" t="n">
        <x:v>13</x:v>
      </x:c>
      <x:c r="Y269" s="38" t="n">
        <x:v>6</x:v>
      </x:c>
      <x:c r="Z269" s="38" t="n">
        <x:f>MAX(0,MIN(100,ROUND(((T269+U269+V269+W269+X269)-Y269)/85*100,0)))</x:f>
        <x:v>64</x:v>
      </x:c>
      <x:c r="AA269" s="9" t="str">
        <x:f>IF(L269="暂不做","P3 暂缓",IF(Z269&gt;=75,"P0 本周做",IF(Z269&gt;=60,"P1 近期做",IF(Z269&gt;=45,"P2 备选","P3 暂缓"))))</x:f>
        <x:v>P1 近期做</x:v>
      </x:c>
      <x:c r="AB269" s="9" t="str">
        <x:f>IF(Y269&gt;=15,"先做合规/相关性复核，不建议直接商业导流",IF(L269="主站","建/优化主站商业页",IF(L269="博客A-知识教程","写知识教程/FAQ文章",IF(L269="博客B-场景人群","写场景需求/选购指南文章",IF(L269="博客C-对比评测","写对比评测/榜单文章","暂不做或人工复核")))))</x:f>
        <x:v>写对比评测/榜单文章</x:v>
      </x:c>
      <x:c r="AC269" s="9" t="str">
        <x:v>Reviews - PEACH MANGO WATERMELON - ExDivo BRIGHT MIRROR 35K Replaceable VAPE kit - ExDivo</x:v>
      </x:c>
      <x:c r="AD269" s="10" t="str">
        <x:v>48</x:v>
      </x:c>
    </x:row>
    <x:row r="270">
      <x:c r="A270" s="34" t="n">
        <x:v>270</x:v>
      </x:c>
      <x:c r="B270" s="9" t="str">
        <x:v>https://exdivo.com/comments/exdivo-bright-mirror-35k-replaceable-vape-kit_45396b6c?writeComment=true</x:v>
      </x:c>
      <x:c r="C270" s="9" t="str">
        <x:v>replaceable vape kit review</x:v>
      </x:c>
      <x:c r="D270" s="9" t="str">
        <x:v>recommended</x:v>
      </x:c>
      <x:c r="E270" s="36" t="n">
        <x:v>0</x:v>
      </x:c>
      <x:c r="F270" s="36" t="n">
        <x:v>0</x:v>
      </x:c>
      <x:c r="G270" s="9" t="str">
        <x:v>48</x:v>
      </x:c>
      <x:c r="H270" s="9" t="str">
        <x:v>对比评测</x:v>
      </x:c>
      <x:c r="I270" s="9" t="str">
        <x:v>商业调查词</x:v>
      </x:c>
      <x:c r="J270" s="9" t="str">
        <x:v>博客C-对比评测</x:v>
      </x:c>
      <x:c r="K270" s="9" t="str"/>
      <x:c r="L270" s="9" t="str">
        <x:f>IF(K270="",J270,K270)</x:f>
        <x:v>博客C-对比评测</x:v>
      </x:c>
      <x:c r="M270" s="9" t="str">
        <x:v>Best/Top/Review/VS/替代方案文章</x:v>
      </x:c>
      <x:c r="N270" s="9" t="str">
        <x:v>Best angle: replaceable vape kit review - comparison, pros/cons, and which option fits different buyers</x:v>
      </x:c>
      <x:c r="O270" s="9" t="str">
        <x:v>/collections/disposable-vapes</x:v>
      </x:c>
      <x:c r="P270" s="9" t="str">
        <x:v>是</x:v>
      </x:c>
      <x:c r="Q270" s="9" t="str">
        <x:v>自然句/品类词/品牌词</x:v>
      </x:c>
      <x:c r="R270" s="9" t="str">
        <x:v>中风险：榜单和评测必须真实、中立，避免夸大</x:v>
      </x:c>
      <x:c r="S270" s="9" t="str">
        <x:v>这类词不直接给主站，先用博客C教育和比较，再导流到最相关集合页。</x:v>
      </x:c>
      <x:c r="T270" s="38" t="n">
        <x:v>1</x:v>
      </x:c>
      <x:c r="U270" s="38" t="n">
        <x:v>15</x:v>
      </x:c>
      <x:c r="V270" s="38" t="n">
        <x:v>16</x:v>
      </x:c>
      <x:c r="W270" s="38" t="n">
        <x:v>15</x:v>
      </x:c>
      <x:c r="X270" s="38" t="n">
        <x:v>13</x:v>
      </x:c>
      <x:c r="Y270" s="38" t="n">
        <x:v>6</x:v>
      </x:c>
      <x:c r="Z270" s="38" t="n">
        <x:f>MAX(0,MIN(100,ROUND(((T270+U270+V270+W270+X270)-Y270)/85*100,0)))</x:f>
        <x:v>64</x:v>
      </x:c>
      <x:c r="AA270" s="9" t="str">
        <x:f>IF(L270="暂不做","P3 暂缓",IF(Z270&gt;=75,"P0 本周做",IF(Z270&gt;=60,"P1 近期做",IF(Z270&gt;=45,"P2 备选","P3 暂缓"))))</x:f>
        <x:v>P1 近期做</x:v>
      </x:c>
      <x:c r="AB270" s="9" t="str">
        <x:f>IF(Y270&gt;=15,"先做合规/相关性复核，不建议直接商业导流",IF(L270="主站","建/优化主站商业页",IF(L270="博客A-知识教程","写知识教程/FAQ文章",IF(L270="博客B-场景人群","写场景需求/选购指南文章",IF(L270="博客C-对比评测","写对比评测/榜单文章","暂不做或人工复核")))))</x:f>
        <x:v>写对比评测/榜单文章</x:v>
      </x:c>
      <x:c r="AC270" s="9" t="str">
        <x:v>Reviews - PEACH MANGO WATERMELON - ExDivo BRIGHT MIRROR 35K Replaceable VAPE kit - ExDivo</x:v>
      </x:c>
      <x:c r="AD270" s="10" t="str">
        <x:v>48</x:v>
      </x:c>
    </x:row>
    <x:row r="271">
      <x:c r="A271" s="34" t="n">
        <x:v>271</x:v>
      </x:c>
      <x:c r="B271" s="9" t="str">
        <x:v>https://exdivo.com/comments/exdivo-flora-40k-disposable-vape_933ac4e7</x:v>
      </x:c>
      <x:c r="C271" s="9" t="str">
        <x:v>strawberry flavored vape</x:v>
      </x:c>
      <x:c r="D271" s="9" t="str">
        <x:v>recommended</x:v>
      </x:c>
      <x:c r="E271" s="36" t="n">
        <x:v>50</x:v>
      </x:c>
      <x:c r="F271" s="36" t="n">
        <x:v>3</x:v>
      </x:c>
      <x:c r="G271" s="9" t="str">
        <x:v>informational</x:v>
      </x:c>
      <x:c r="H271" s="9" t="str">
        <x:v>Flavor / 口味</x:v>
      </x:c>
      <x:c r="I271" s="9" t="str">
        <x:v>场景/需求词</x:v>
      </x:c>
      <x:c r="J271" s="9" t="str">
        <x:v>博客B-场景人群</x:v>
      </x:c>
      <x:c r="K271" s="9" t="str"/>
      <x:c r="L271" s="9" t="str">
        <x:f>IF(K271="",J271,K271)</x:f>
        <x:v>博客B-场景人群</x:v>
      </x:c>
      <x:c r="M271" s="9" t="str">
        <x:v>场景解决方案/选购指南文章</x:v>
      </x:c>
      <x:c r="N271" s="9" t="str">
        <x:v>Scenario angle: how to choose strawberry flavored vape based on use case, flavor, nicotine, and budget</x:v>
      </x:c>
      <x:c r="O271" s="9" t="str">
        <x:v>/collections/flavored-disposable-vapes</x:v>
      </x:c>
      <x:c r="P271" s="9" t="str">
        <x:v>是</x:v>
      </x:c>
      <x:c r="Q271" s="9" t="str">
        <x:v>自然句/品类词</x:v>
      </x:c>
      <x:c r="R271" s="9" t="str">
        <x:v>低中风险：适合软性导流，但不要夸大效果或触碰健康疗效</x:v>
      </x:c>
      <x:c r="S271" s="9" t="str">
        <x:v>围绕使用场景、口味、尼古丁需求、便携性等写，不和主站品类页抢词。</x:v>
      </x:c>
      <x:c r="T271" s="38" t="n">
        <x:v>4</x:v>
      </x:c>
      <x:c r="U271" s="38" t="n">
        <x:v>15</x:v>
      </x:c>
      <x:c r="V271" s="38" t="n">
        <x:v>13</x:v>
      </x:c>
      <x:c r="W271" s="38" t="n">
        <x:v>14</x:v>
      </x:c>
      <x:c r="X271" s="38" t="n">
        <x:v>13</x:v>
      </x:c>
      <x:c r="Y271" s="38" t="n">
        <x:v>5</x:v>
      </x:c>
      <x:c r="Z271" s="38" t="n">
        <x:f>MAX(0,MIN(100,ROUND(((T271+U271+V271+W271+X271)-Y271)/85*100,0)))</x:f>
        <x:v>64</x:v>
      </x:c>
      <x:c r="AA271" s="9" t="str">
        <x:f>IF(L271="暂不做","P3 暂缓",IF(Z271&gt;=75,"P0 本周做",IF(Z271&gt;=60,"P1 近期做",IF(Z271&gt;=45,"P2 备选","P3 暂缓"))))</x:f>
        <x:v>P1 近期做</x:v>
      </x:c>
      <x:c r="AB271" s="9" t="str">
        <x:f>IF(Y271&gt;=15,"先做合规/相关性复核，不建议直接商业导流",IF(L271="主站","建/优化主站商业页",IF(L271="博客A-知识教程","写知识教程/FAQ文章",IF(L271="博客B-场景人群","写场景需求/选购指南文章",IF(L271="博客C-对比评测","写对比评测/榜单文章","暂不做或人工复核")))))</x:f>
        <x:v>写场景需求/选购指南文章</x:v>
      </x:c>
      <x:c r="AC271" s="9" t="str">
        <x:v>Reviews - STRAWBERRY COLADA - ExDivo FLORA 40K Disposable Vape - ExDivo</x:v>
      </x:c>
      <x:c r="AD271" s="10" t="str">
        <x:v>48</x:v>
      </x:c>
    </x:row>
    <x:row r="272">
      <x:c r="A272" s="34" t="n">
        <x:v>272</x:v>
      </x:c>
      <x:c r="B272" s="9" t="str">
        <x:v>https://exdivo.com/comments/exdivo-flora-40k-disposable-vape_933ac4e7</x:v>
      </x:c>
      <x:c r="C272" s="9" t="str">
        <x:v>strawberry vape flavors</x:v>
      </x:c>
      <x:c r="D272" s="9" t="str">
        <x:v>recommended</x:v>
      </x:c>
      <x:c r="E272" s="36" t="n">
        <x:v>70</x:v>
      </x:c>
      <x:c r="F272" s="36" t="n">
        <x:v>13</x:v>
      </x:c>
      <x:c r="G272" s="9" t="str">
        <x:v>informational, commercial</x:v>
      </x:c>
      <x:c r="H272" s="9" t="str">
        <x:v>Flavor / 口味</x:v>
      </x:c>
      <x:c r="I272" s="9" t="str">
        <x:v>品类承接词</x:v>
      </x:c>
      <x:c r="J272" s="9" t="str">
        <x:v>主站</x:v>
      </x:c>
      <x:c r="K272" s="9" t="str"/>
      <x:c r="L272" s="9" t="str">
        <x:f>IF(K272="",J272,K272)</x:f>
        <x:v>主站</x:v>
      </x:c>
      <x:c r="M272" s="9" t="str">
        <x:v>品类页/集合页 + FAQ内容块</x:v>
      </x:c>
      <x:c r="N272" s="9" t="str">
        <x:v>主站品类页：用产品集合 + 选购说明承接</x:v>
      </x:c>
      <x:c r="O272" s="9" t="str">
        <x:v>/collections/flavored-disposable-vapes</x:v>
      </x:c>
      <x:c r="P272" s="9" t="str">
        <x:v>不适用</x:v>
      </x:c>
      <x:c r="Q272" s="9" t="str">
        <x:v>主站页面自身承接</x:v>
      </x:c>
      <x:c r="R272" s="9" t="str">
        <x:v>核心品类词：主站优先，博客只做长尾解释，不直接抢同一词</x:v>
      </x:c>
      <x:c r="S272" s="9" t="str">
        <x:v>如果 Google 首页产品页和指南混合，主站页要加 FAQ、选购指南、对比模块。</x:v>
      </x:c>
      <x:c r="T272" s="38" t="n">
        <x:v>4</x:v>
      </x:c>
      <x:c r="U272" s="38" t="n">
        <x:v>15</x:v>
      </x:c>
      <x:c r="V272" s="38" t="n">
        <x:v>18</x:v>
      </x:c>
      <x:c r="W272" s="38" t="n">
        <x:v>8</x:v>
      </x:c>
      <x:c r="X272" s="38" t="n">
        <x:v>15</x:v>
      </x:c>
      <x:c r="Y272" s="38" t="n">
        <x:v>4</x:v>
      </x:c>
      <x:c r="Z272" s="38" t="n">
        <x:f>MAX(0,MIN(100,ROUND(((T272+U272+V272+W272+X272)-Y272)/85*100,0)))</x:f>
        <x:v>66</x:v>
      </x:c>
      <x:c r="AA272" s="9" t="str">
        <x:f>IF(L272="暂不做","P3 暂缓",IF(Z272&gt;=75,"P0 本周做",IF(Z272&gt;=60,"P1 近期做",IF(Z272&gt;=45,"P2 备选","P3 暂缓"))))</x:f>
        <x:v>P1 近期做</x:v>
      </x:c>
      <x:c r="AB272" s="9" t="str">
        <x:f>IF(Y272&gt;=15,"先做合规/相关性复核，不建议直接商业导流",IF(L272="主站","建/优化主站商业页",IF(L272="博客A-知识教程","写知识教程/FAQ文章",IF(L272="博客B-场景人群","写场景需求/选购指南文章",IF(L272="博客C-对比评测","写对比评测/榜单文章","暂不做或人工复核")))))</x:f>
        <x:v>建/优化主站商业页</x:v>
      </x:c>
      <x:c r="AC272" s="9" t="str">
        <x:v>Reviews - STRAWBERRY COLADA - ExDivo FLORA 40K Disposable Vape - ExDivo</x:v>
      </x:c>
      <x:c r="AD272" s="10" t="str">
        <x:v>48</x:v>
      </x:c>
    </x:row>
    <x:row r="273">
      <x:c r="A273" s="34" t="n">
        <x:v>273</x:v>
      </x:c>
      <x:c r="B273" s="9" t="str">
        <x:v>https://exdivo.com/comments/exdivo-flora-40k-disposable-vape_933ac4e7</x:v>
      </x:c>
      <x:c r="C273" s="9" t="str">
        <x:v>strawberry colada vape review</x:v>
      </x:c>
      <x:c r="D273" s="9" t="str">
        <x:v>recommended</x:v>
      </x:c>
      <x:c r="E273" s="36" t="n">
        <x:v>0</x:v>
      </x:c>
      <x:c r="F273" s="36" t="n">
        <x:v>0</x:v>
      </x:c>
      <x:c r="G273" s="9" t="str">
        <x:v>48</x:v>
      </x:c>
      <x:c r="H273" s="9" t="str">
        <x:v>对比评测</x:v>
      </x:c>
      <x:c r="I273" s="9" t="str">
        <x:v>商业调查词</x:v>
      </x:c>
      <x:c r="J273" s="9" t="str">
        <x:v>博客C-对比评测</x:v>
      </x:c>
      <x:c r="K273" s="9" t="str"/>
      <x:c r="L273" s="9" t="str">
        <x:f>IF(K273="",J273,K273)</x:f>
        <x:v>博客C-对比评测</x:v>
      </x:c>
      <x:c r="M273" s="9" t="str">
        <x:v>Best/Top/Review/VS/替代方案文章</x:v>
      </x:c>
      <x:c r="N273" s="9" t="str">
        <x:v>Best angle: strawberry colada vape review - comparison, pros/cons, and which option fits different buyers</x:v>
      </x:c>
      <x:c r="O273" s="9" t="str">
        <x:v>/collections/disposable-vapes</x:v>
      </x:c>
      <x:c r="P273" s="9" t="str">
        <x:v>是</x:v>
      </x:c>
      <x:c r="Q273" s="9" t="str">
        <x:v>自然句/品类词/品牌词</x:v>
      </x:c>
      <x:c r="R273" s="9" t="str">
        <x:v>中风险：榜单和评测必须真实、中立，避免夸大</x:v>
      </x:c>
      <x:c r="S273" s="9" t="str">
        <x:v>这类词不直接给主站，先用博客C教育和比较，再导流到最相关集合页。</x:v>
      </x:c>
      <x:c r="T273" s="38" t="n">
        <x:v>1</x:v>
      </x:c>
      <x:c r="U273" s="38" t="n">
        <x:v>15</x:v>
      </x:c>
      <x:c r="V273" s="38" t="n">
        <x:v>16</x:v>
      </x:c>
      <x:c r="W273" s="38" t="n">
        <x:v>15</x:v>
      </x:c>
      <x:c r="X273" s="38" t="n">
        <x:v>13</x:v>
      </x:c>
      <x:c r="Y273" s="38" t="n">
        <x:v>6</x:v>
      </x:c>
      <x:c r="Z273" s="38" t="n">
        <x:f>MAX(0,MIN(100,ROUND(((T273+U273+V273+W273+X273)-Y273)/85*100,0)))</x:f>
        <x:v>64</x:v>
      </x:c>
      <x:c r="AA273" s="9" t="str">
        <x:f>IF(L273="暂不做","P3 暂缓",IF(Z273&gt;=75,"P0 本周做",IF(Z273&gt;=60,"P1 近期做",IF(Z273&gt;=45,"P2 备选","P3 暂缓"))))</x:f>
        <x:v>P1 近期做</x:v>
      </x:c>
      <x:c r="AB273" s="9" t="str">
        <x:f>IF(Y273&gt;=15,"先做合规/相关性复核，不建议直接商业导流",IF(L273="主站","建/优化主站商业页",IF(L273="博客A-知识教程","写知识教程/FAQ文章",IF(L273="博客B-场景人群","写场景需求/选购指南文章",IF(L273="博客C-对比评测","写对比评测/榜单文章","暂不做或人工复核")))))</x:f>
        <x:v>写对比评测/榜单文章</x:v>
      </x:c>
      <x:c r="AC273" s="9" t="str">
        <x:v>Reviews - STRAWBERRY COLADA - ExDivo FLORA 40K Disposable Vape - ExDivo</x:v>
      </x:c>
      <x:c r="AD273" s="10" t="str">
        <x:v>48</x:v>
      </x:c>
    </x:row>
    <x:row r="274">
      <x:c r="A274" s="34" t="n">
        <x:v>274</x:v>
      </x:c>
      <x:c r="B274" s="9" t="str">
        <x:v>https://exdivo.com/comments/exdivo-flora-40k-disposable-vape_933ac4e7</x:v>
      </x:c>
      <x:c r="C274" s="9" t="str">
        <x:v>tropical vape flavor reviews</x:v>
      </x:c>
      <x:c r="D274" s="9" t="str">
        <x:v>recommended</x:v>
      </x:c>
      <x:c r="E274" s="36" t="n">
        <x:v>0</x:v>
      </x:c>
      <x:c r="F274" s="36" t="n">
        <x:v>0</x:v>
      </x:c>
      <x:c r="G274" s="9" t="str">
        <x:v>48</x:v>
      </x:c>
      <x:c r="H274" s="9" t="str">
        <x:v>Flavor / 口味</x:v>
      </x:c>
      <x:c r="I274" s="9" t="str">
        <x:v>商业调查词</x:v>
      </x:c>
      <x:c r="J274" s="9" t="str">
        <x:v>博客C-对比评测</x:v>
      </x:c>
      <x:c r="K274" s="9" t="str"/>
      <x:c r="L274" s="9" t="str">
        <x:f>IF(K274="",J274,K274)</x:f>
        <x:v>博客C-对比评测</x:v>
      </x:c>
      <x:c r="M274" s="9" t="str">
        <x:v>Best/Top/Review/VS/替代方案文章</x:v>
      </x:c>
      <x:c r="N274" s="9" t="str">
        <x:v>Best angle: tropical vape flavor reviews - comparison, pros/cons, and which option fits different buyers</x:v>
      </x:c>
      <x:c r="O274" s="9" t="str">
        <x:v>/collections/flavored-disposable-vapes</x:v>
      </x:c>
      <x:c r="P274" s="9" t="str">
        <x:v>是</x:v>
      </x:c>
      <x:c r="Q274" s="9" t="str">
        <x:v>自然句/品类词/品牌词</x:v>
      </x:c>
      <x:c r="R274" s="9" t="str">
        <x:v>中风险：榜单和评测必须真实、中立，避免夸大</x:v>
      </x:c>
      <x:c r="S274" s="9" t="str">
        <x:v>这类词不直接给主站，先用博客C教育和比较，再导流到最相关集合页。</x:v>
      </x:c>
      <x:c r="T274" s="38" t="n">
        <x:v>1</x:v>
      </x:c>
      <x:c r="U274" s="38" t="n">
        <x:v>15</x:v>
      </x:c>
      <x:c r="V274" s="38" t="n">
        <x:v>16</x:v>
      </x:c>
      <x:c r="W274" s="38" t="n">
        <x:v>15</x:v>
      </x:c>
      <x:c r="X274" s="38" t="n">
        <x:v>13</x:v>
      </x:c>
      <x:c r="Y274" s="38" t="n">
        <x:v>6</x:v>
      </x:c>
      <x:c r="Z274" s="38" t="n">
        <x:f>MAX(0,MIN(100,ROUND(((T274+U274+V274+W274+X274)-Y274)/85*100,0)))</x:f>
        <x:v>64</x:v>
      </x:c>
      <x:c r="AA274" s="9" t="str">
        <x:f>IF(L274="暂不做","P3 暂缓",IF(Z274&gt;=75,"P0 本周做",IF(Z274&gt;=60,"P1 近期做",IF(Z274&gt;=45,"P2 备选","P3 暂缓"))))</x:f>
        <x:v>P1 近期做</x:v>
      </x:c>
      <x:c r="AB274" s="9" t="str">
        <x:f>IF(Y274&gt;=15,"先做合规/相关性复核，不建议直接商业导流",IF(L274="主站","建/优化主站商业页",IF(L274="博客A-知识教程","写知识教程/FAQ文章",IF(L274="博客B-场景人群","写场景需求/选购指南文章",IF(L274="博客C-对比评测","写对比评测/榜单文章","暂不做或人工复核")))))</x:f>
        <x:v>写对比评测/榜单文章</x:v>
      </x:c>
      <x:c r="AC274" s="9" t="str">
        <x:v>Reviews - STRAWBERRY COLADA - ExDivo FLORA 40K Disposable Vape - ExDivo</x:v>
      </x:c>
      <x:c r="AD274" s="10" t="str">
        <x:v>48</x:v>
      </x:c>
    </x:row>
    <x:row r="275">
      <x:c r="A275" s="34" t="n">
        <x:v>275</x:v>
      </x:c>
      <x:c r="B275" s="9" t="str">
        <x:v>https://exdivo.com/comments/exdivo-flora-40k-disposable-vape_933ac4e7</x:v>
      </x:c>
      <x:c r="C275" s="9" t="str">
        <x:v>tropical vape flavor review</x:v>
      </x:c>
      <x:c r="D275" s="9" t="str">
        <x:v>recommended</x:v>
      </x:c>
      <x:c r="E275" s="36" t="n">
        <x:v>0</x:v>
      </x:c>
      <x:c r="F275" s="36" t="n">
        <x:v>0</x:v>
      </x:c>
      <x:c r="G275" s="9" t="str">
        <x:v>48</x:v>
      </x:c>
      <x:c r="H275" s="9" t="str">
        <x:v>Flavor / 口味</x:v>
      </x:c>
      <x:c r="I275" s="9" t="str">
        <x:v>商业调查词</x:v>
      </x:c>
      <x:c r="J275" s="9" t="str">
        <x:v>博客C-对比评测</x:v>
      </x:c>
      <x:c r="K275" s="9" t="str"/>
      <x:c r="L275" s="9" t="str">
        <x:f>IF(K275="",J275,K275)</x:f>
        <x:v>博客C-对比评测</x:v>
      </x:c>
      <x:c r="M275" s="9" t="str">
        <x:v>Best/Top/Review/VS/替代方案文章</x:v>
      </x:c>
      <x:c r="N275" s="9" t="str">
        <x:v>Best angle: tropical vape flavor review - comparison, pros/cons, and which option fits different buyers</x:v>
      </x:c>
      <x:c r="O275" s="9" t="str">
        <x:v>/collections/flavored-disposable-vapes</x:v>
      </x:c>
      <x:c r="P275" s="9" t="str">
        <x:v>是</x:v>
      </x:c>
      <x:c r="Q275" s="9" t="str">
        <x:v>自然句/品类词/品牌词</x:v>
      </x:c>
      <x:c r="R275" s="9" t="str">
        <x:v>中风险：榜单和评测必须真实、中立，避免夸大</x:v>
      </x:c>
      <x:c r="S275" s="9" t="str">
        <x:v>这类词不直接给主站，先用博客C教育和比较，再导流到最相关集合页。</x:v>
      </x:c>
      <x:c r="T275" s="38" t="n">
        <x:v>1</x:v>
      </x:c>
      <x:c r="U275" s="38" t="n">
        <x:v>15</x:v>
      </x:c>
      <x:c r="V275" s="38" t="n">
        <x:v>16</x:v>
      </x:c>
      <x:c r="W275" s="38" t="n">
        <x:v>15</x:v>
      </x:c>
      <x:c r="X275" s="38" t="n">
        <x:v>13</x:v>
      </x:c>
      <x:c r="Y275" s="38" t="n">
        <x:v>6</x:v>
      </x:c>
      <x:c r="Z275" s="38" t="n">
        <x:f>MAX(0,MIN(100,ROUND(((T275+U275+V275+W275+X275)-Y275)/85*100,0)))</x:f>
        <x:v>64</x:v>
      </x:c>
      <x:c r="AA275" s="9" t="str">
        <x:f>IF(L275="暂不做","P3 暂缓",IF(Z275&gt;=75,"P0 本周做",IF(Z275&gt;=60,"P1 近期做",IF(Z275&gt;=45,"P2 备选","P3 暂缓"))))</x:f>
        <x:v>P1 近期做</x:v>
      </x:c>
      <x:c r="AB275" s="9" t="str">
        <x:f>IF(Y275&gt;=15,"先做合规/相关性复核，不建议直接商业导流",IF(L275="主站","建/优化主站商业页",IF(L275="博客A-知识教程","写知识教程/FAQ文章",IF(L275="博客B-场景人群","写场景需求/选购指南文章",IF(L275="博客C-对比评测","写对比评测/榜单文章","暂不做或人工复核")))))</x:f>
        <x:v>写对比评测/榜单文章</x:v>
      </x:c>
      <x:c r="AC275" s="9" t="str">
        <x:v>Reviews - STRAWBERRY COLADA - ExDivo FLORA 40K Disposable Vape - ExDivo</x:v>
      </x:c>
      <x:c r="AD275" s="10" t="str">
        <x:v>48</x:v>
      </x:c>
    </x:row>
    <x:row r="276">
      <x:c r="A276" s="34" t="n">
        <x:v>276</x:v>
      </x:c>
      <x:c r="B276" s="9" t="str">
        <x:v>https://exdivo.com/comments/exdivo-flora-40k-disposable-vape_933ac4e7</x:v>
      </x:c>
      <x:c r="C276" s="9" t="str">
        <x:v>strawberry pina colada vape</x:v>
      </x:c>
      <x:c r="D276" s="9" t="str">
        <x:v>recommended</x:v>
      </x:c>
      <x:c r="E276" s="36" t="n">
        <x:v>140</x:v>
      </x:c>
      <x:c r="F276" s="36" t="n">
        <x:v>0</x:v>
      </x:c>
      <x:c r="G276" s="9" t="str">
        <x:v>informational</x:v>
      </x:c>
      <x:c r="H276" s="9" t="str">
        <x:v>General Vape</x:v>
      </x:c>
      <x:c r="I276" s="9" t="str">
        <x:v>知识/教程词</x:v>
      </x:c>
      <x:c r="J276" s="9" t="str">
        <x:v>博客A-知识教程</x:v>
      </x:c>
      <x:c r="K276" s="9" t="str"/>
      <x:c r="L276" s="9" t="str">
        <x:f>IF(K276="",J276,K276)</x:f>
        <x:v>博客A-知识教程</x:v>
      </x:c>
      <x:c r="M276" s="9" t="str">
        <x:v>百科/How-to/FAQ文章</x:v>
      </x:c>
      <x:c r="N276" s="9" t="str">
        <x:v>Guide angle: explain strawberry pina colada vape, answer common questions, and avoid sales-first writing</x:v>
      </x:c>
      <x:c r="O276" s="9" t="str">
        <x:v>/collections/disposable-vapes</x:v>
      </x:c>
      <x:c r="P276" s="9" t="str">
        <x:v>谨慎</x:v>
      </x:c>
      <x:c r="Q276" s="9" t="str">
        <x:v>自然句/品牌词</x:v>
      </x:c>
      <x:c r="R276" s="9" t="str">
        <x:v>低中风险：先满足信息意图，导流要克制</x:v>
      </x:c>
      <x:c r="S276" s="9" t="str">
        <x:v>如果文章能自然回答下一步购买问题，再放 1 个主站内链；否则只做知识闭环。</x:v>
      </x:c>
      <x:c r="T276" s="38" t="n">
        <x:v>7</x:v>
      </x:c>
      <x:c r="U276" s="38" t="n">
        <x:v>15</x:v>
      </x:c>
      <x:c r="V276" s="38" t="n">
        <x:v>9</x:v>
      </x:c>
      <x:c r="W276" s="38" t="n">
        <x:v>14</x:v>
      </x:c>
      <x:c r="X276" s="38" t="n">
        <x:v>12</x:v>
      </x:c>
      <x:c r="Y276" s="38" t="n">
        <x:v>5</x:v>
      </x:c>
      <x:c r="Z276" s="38" t="n">
        <x:f>MAX(0,MIN(100,ROUND(((T276+U276+V276+W276+X276)-Y276)/85*100,0)))</x:f>
        <x:v>61</x:v>
      </x:c>
      <x:c r="AA276" s="9" t="str">
        <x:f>IF(L276="暂不做","P3 暂缓",IF(Z276&gt;=75,"P0 本周做",IF(Z276&gt;=60,"P1 近期做",IF(Z276&gt;=45,"P2 备选","P3 暂缓"))))</x:f>
        <x:v>P1 近期做</x:v>
      </x:c>
      <x:c r="AB276" s="9" t="str">
        <x:f>IF(Y276&gt;=15,"先做合规/相关性复核，不建议直接商业导流",IF(L276="主站","建/优化主站商业页",IF(L276="博客A-知识教程","写知识教程/FAQ文章",IF(L276="博客B-场景人群","写场景需求/选购指南文章",IF(L276="博客C-对比评测","写对比评测/榜单文章","暂不做或人工复核")))))</x:f>
        <x:v>写知识教程/FAQ文章</x:v>
      </x:c>
      <x:c r="AC276" s="9" t="str">
        <x:v>Reviews - STRAWBERRY COLADA - ExDivo FLORA 40K Disposable Vape - ExDivo</x:v>
      </x:c>
      <x:c r="AD276" s="10" t="str">
        <x:v>48</x:v>
      </x:c>
    </x:row>
    <x:row r="277">
      <x:c r="A277" s="34" t="n">
        <x:v>277</x:v>
      </x:c>
      <x:c r="B277" s="9" t="str">
        <x:v>https://exdivo.com/products/exdivo-interstellar-35k-disposable-vape_a50f7cf9</x:v>
      </x:c>
      <x:c r="C277" s="9" t="str">
        <x:v>interstellar 35k disposable vape</x:v>
      </x:c>
      <x:c r="D277" s="9" t="str">
        <x:v>recommended</x:v>
      </x:c>
      <x:c r="E277" s="36" t="n">
        <x:v>0</x:v>
      </x:c>
      <x:c r="F277" s="36" t="n">
        <x:v>0</x:v>
      </x:c>
      <x:c r="G277" s="9" t="str">
        <x:v>48</x:v>
      </x:c>
      <x:c r="H277" s="9" t="str">
        <x:v>Disposable Vape</x:v>
      </x:c>
      <x:c r="I277" s="9" t="str">
        <x:v>内容词</x:v>
      </x:c>
      <x:c r="J277" s="9" t="str">
        <x:v>博客A-知识教程</x:v>
      </x:c>
      <x:c r="K277" s="9" t="str"/>
      <x:c r="L277" s="9" t="str">
        <x:f>IF(K277="",J277,K277)</x:f>
        <x:v>博客A-知识教程</x:v>
      </x:c>
      <x:c r="M277" s="9" t="str">
        <x:v>知识/教程文章</x:v>
      </x:c>
      <x:c r="N277" s="9" t="str">
        <x:v>Guide angle: explain interstellar 35k disposable vape, answer common questions, and avoid sales-first writing</x:v>
      </x:c>
      <x:c r="O277" s="9" t="str">
        <x:v>/collections/disposable-vapes 或最接近的产品集合页</x:v>
      </x:c>
      <x:c r="P277" s="9" t="str">
        <x:v>谨慎</x:v>
      </x:c>
      <x:c r="Q277" s="9" t="str">
        <x:v>品牌词/自然句</x:v>
      </x:c>
      <x:c r="R277" s="9" t="str">
        <x:v>低风险：按常规内容质量和搜索意图校验</x:v>
      </x:c>
      <x:c r="S277" s="9" t="str">
        <x:v>先看 Google SERP：如果首页多数为产品集合页，改回主站；如果多数为教程/问答，保持博客。</x:v>
      </x:c>
      <x:c r="T277" s="38" t="n">
        <x:v>1</x:v>
      </x:c>
      <x:c r="U277" s="38" t="n">
        <x:v>15</x:v>
      </x:c>
      <x:c r="V277" s="38" t="n">
        <x:v>10</x:v>
      </x:c>
      <x:c r="W277" s="38" t="n">
        <x:v>12</x:v>
      </x:c>
      <x:c r="X277" s="38" t="n">
        <x:v>12</x:v>
      </x:c>
      <x:c r="Y277" s="38" t="n">
        <x:v>4</x:v>
      </x:c>
      <x:c r="Z277" s="38" t="n">
        <x:f>MAX(0,MIN(100,ROUND(((T277+U277+V277+W277+X277)-Y277)/85*100,0)))</x:f>
        <x:v>54</x:v>
      </x:c>
      <x:c r="AA277" s="9" t="str">
        <x:f>IF(L277="暂不做","P3 暂缓",IF(Z277&gt;=75,"P0 本周做",IF(Z277&gt;=60,"P1 近期做",IF(Z277&gt;=45,"P2 备选","P3 暂缓"))))</x:f>
        <x:v>P2 备选</x:v>
      </x:c>
      <x:c r="AB277" s="9" t="str">
        <x:f>IF(Y277&gt;=15,"先做合规/相关性复核，不建议直接商业导流",IF(L277="主站","建/优化主站商业页",IF(L277="博客A-知识教程","写知识教程/FAQ文章",IF(L277="博客B-场景人群","写场景需求/选购指南文章",IF(L277="博客C-对比评测","写对比评测/榜单文章","暂不做或人工复核")))))</x:f>
        <x:v>写知识教程/FAQ文章</x:v>
      </x:c>
      <x:c r="AC277" s="9" t="str">
        <x:v>ExDivo INTERSTELLAR 35K Disposable Vape</x:v>
      </x:c>
      <x:c r="AD277" s="10" t="str">
        <x:v>35000 puffs</x:v>
      </x:c>
    </x:row>
    <x:row r="278">
      <x:c r="A278" s="34" t="n">
        <x:v>278</x:v>
      </x:c>
      <x:c r="B278" s="9" t="str">
        <x:v>https://exdivo.com/products/exdivo-interstellar-35k-disposable-vape_a50f7cf9</x:v>
      </x:c>
      <x:c r="C278" s="9" t="str">
        <x:v>interstellar disposable vape</x:v>
      </x:c>
      <x:c r="D278" s="9" t="str">
        <x:v>recommended</x:v>
      </x:c>
      <x:c r="E278" s="36" t="n">
        <x:v>0</x:v>
      </x:c>
      <x:c r="F278" s="36" t="n">
        <x:v>0</x:v>
      </x:c>
      <x:c r="G278" s="9" t="str">
        <x:v>48</x:v>
      </x:c>
      <x:c r="H278" s="9" t="str">
        <x:v>Disposable Vape</x:v>
      </x:c>
      <x:c r="I278" s="9" t="str">
        <x:v>品类承接词</x:v>
      </x:c>
      <x:c r="J278" s="9" t="str">
        <x:v>主站</x:v>
      </x:c>
      <x:c r="K278" s="9" t="str"/>
      <x:c r="L278" s="9" t="str">
        <x:f>IF(K278="",J278,K278)</x:f>
        <x:v>主站</x:v>
      </x:c>
      <x:c r="M278" s="9" t="str">
        <x:v>品类页/集合页 + FAQ内容块</x:v>
      </x:c>
      <x:c r="N278" s="9" t="str">
        <x:v>主站品类页：用产品集合 + 选购说明承接</x:v>
      </x:c>
      <x:c r="O278" s="9" t="str">
        <x:v>/collections/disposable-vapes</x:v>
      </x:c>
      <x:c r="P278" s="9" t="str">
        <x:v>不适用</x:v>
      </x:c>
      <x:c r="Q278" s="9" t="str">
        <x:v>主站页面自身承接</x:v>
      </x:c>
      <x:c r="R278" s="9" t="str">
        <x:v>核心品类词：主站优先，博客只做长尾解释，不直接抢同一词</x:v>
      </x:c>
      <x:c r="S278" s="9" t="str">
        <x:v>如果 Google 首页产品页和指南混合，主站页要加 FAQ、选购指南、对比模块。</x:v>
      </x:c>
      <x:c r="T278" s="38" t="n">
        <x:v>1</x:v>
      </x:c>
      <x:c r="U278" s="38" t="n">
        <x:v>15</x:v>
      </x:c>
      <x:c r="V278" s="38" t="n">
        <x:v>16</x:v>
      </x:c>
      <x:c r="W278" s="38" t="n">
        <x:v>8</x:v>
      </x:c>
      <x:c r="X278" s="38" t="n">
        <x:v>15</x:v>
      </x:c>
      <x:c r="Y278" s="38" t="n">
        <x:v>4</x:v>
      </x:c>
      <x:c r="Z278" s="38" t="n">
        <x:f>MAX(0,MIN(100,ROUND(((T278+U278+V278+W278+X278)-Y278)/85*100,0)))</x:f>
        <x:v>60</x:v>
      </x:c>
      <x:c r="AA278" s="9" t="str">
        <x:f>IF(L278="暂不做","P3 暂缓",IF(Z278&gt;=75,"P0 本周做",IF(Z278&gt;=60,"P1 近期做",IF(Z278&gt;=45,"P2 备选","P3 暂缓"))))</x:f>
        <x:v>P1 近期做</x:v>
      </x:c>
      <x:c r="AB278" s="9" t="str">
        <x:f>IF(Y278&gt;=15,"先做合规/相关性复核，不建议直接商业导流",IF(L278="主站","建/优化主站商业页",IF(L278="博客A-知识教程","写知识教程/FAQ文章",IF(L278="博客B-场景人群","写场景需求/选购指南文章",IF(L278="博客C-对比评测","写对比评测/榜单文章","暂不做或人工复核")))))</x:f>
        <x:v>建/优化主站商业页</x:v>
      </x:c>
      <x:c r="AC278" s="9" t="str">
        <x:v>ExDivo INTERSTELLAR 35K Disposable Vape</x:v>
      </x:c>
      <x:c r="AD278" s="10" t="str">
        <x:v>35000 puffs</x:v>
      </x:c>
    </x:row>
    <x:row r="279">
      <x:c r="A279" s="34" t="n">
        <x:v>279</x:v>
      </x:c>
      <x:c r="B279" s="9" t="str">
        <x:v>https://exdivo.com/products/exdivo-interstellar-35k-disposable-vape_a50f7cf9</x:v>
      </x:c>
      <x:c r="C279" s="9" t="str">
        <x:v>interstellar 35000 puff vape</x:v>
      </x:c>
      <x:c r="D279" s="9" t="str">
        <x:v>recommended</x:v>
      </x:c>
      <x:c r="E279" s="36" t="n">
        <x:v>0</x:v>
      </x:c>
      <x:c r="F279" s="36" t="n">
        <x:v>0</x:v>
      </x:c>
      <x:c r="G279" s="9" t="str">
        <x:v>48</x:v>
      </x:c>
      <x:c r="H279" s="9" t="str">
        <x:v>General Vape</x:v>
      </x:c>
      <x:c r="I279" s="9" t="str">
        <x:v>内容词</x:v>
      </x:c>
      <x:c r="J279" s="9" t="str">
        <x:v>博客A-知识教程</x:v>
      </x:c>
      <x:c r="K279" s="9" t="str"/>
      <x:c r="L279" s="9" t="str">
        <x:f>IF(K279="",J279,K279)</x:f>
        <x:v>博客A-知识教程</x:v>
      </x:c>
      <x:c r="M279" s="9" t="str">
        <x:v>知识/教程文章</x:v>
      </x:c>
      <x:c r="N279" s="9" t="str">
        <x:v>Guide angle: explain interstellar 35000 puff vape, answer common questions, and avoid sales-first writing</x:v>
      </x:c>
      <x:c r="O279" s="9" t="str">
        <x:v>/collections/disposable-vapes 或最接近的产品集合页</x:v>
      </x:c>
      <x:c r="P279" s="9" t="str">
        <x:v>谨慎</x:v>
      </x:c>
      <x:c r="Q279" s="9" t="str">
        <x:v>品牌词/自然句</x:v>
      </x:c>
      <x:c r="R279" s="9" t="str">
        <x:v>低风险：按常规内容质量和搜索意图校验</x:v>
      </x:c>
      <x:c r="S279" s="9" t="str">
        <x:v>先看 Google SERP：如果首页多数为产品集合页，改回主站；如果多数为教程/问答，保持博客。</x:v>
      </x:c>
      <x:c r="T279" s="38" t="n">
        <x:v>1</x:v>
      </x:c>
      <x:c r="U279" s="38" t="n">
        <x:v>15</x:v>
      </x:c>
      <x:c r="V279" s="38" t="n">
        <x:v>10</x:v>
      </x:c>
      <x:c r="W279" s="38" t="n">
        <x:v>12</x:v>
      </x:c>
      <x:c r="X279" s="38" t="n">
        <x:v>12</x:v>
      </x:c>
      <x:c r="Y279" s="38" t="n">
        <x:v>4</x:v>
      </x:c>
      <x:c r="Z279" s="38" t="n">
        <x:f>MAX(0,MIN(100,ROUND(((T279+U279+V279+W279+X279)-Y279)/85*100,0)))</x:f>
        <x:v>54</x:v>
      </x:c>
      <x:c r="AA279" s="9" t="str">
        <x:f>IF(L279="暂不做","P3 暂缓",IF(Z279&gt;=75,"P0 本周做",IF(Z279&gt;=60,"P1 近期做",IF(Z279&gt;=45,"P2 备选","P3 暂缓"))))</x:f>
        <x:v>P2 备选</x:v>
      </x:c>
      <x:c r="AB279" s="9" t="str">
        <x:f>IF(Y279&gt;=15,"先做合规/相关性复核，不建议直接商业导流",IF(L279="主站","建/优化主站商业页",IF(L279="博客A-知识教程","写知识教程/FAQ文章",IF(L279="博客B-场景人群","写场景需求/选购指南文章",IF(L279="博客C-对比评测","写对比评测/榜单文章","暂不做或人工复核")))))</x:f>
        <x:v>写知识教程/FAQ文章</x:v>
      </x:c>
      <x:c r="AC279" s="9" t="str">
        <x:v>ExDivo INTERSTELLAR 35K Disposable Vape</x:v>
      </x:c>
      <x:c r="AD279" s="10" t="str">
        <x:v>35000 puffs</x:v>
      </x:c>
    </x:row>
    <x:row r="280">
      <x:c r="A280" s="34" t="n">
        <x:v>280</x:v>
      </x:c>
      <x:c r="B280" s="9" t="str">
        <x:v>https://exdivo.com/comments/exdivo-bright-mirror-35k-replaceable-vape-kit_9d9e42e4?writeComment=true</x:v>
      </x:c>
      <x:c r="C280" s="9" t="str">
        <x:v>bright mirror 35k replaceable vape review</x:v>
      </x:c>
      <x:c r="D280" s="9" t="str">
        <x:v>recommended</x:v>
      </x:c>
      <x:c r="E280" s="36" t="n">
        <x:v>0</x:v>
      </x:c>
      <x:c r="F280" s="36" t="n">
        <x:v>0</x:v>
      </x:c>
      <x:c r="G280" s="9" t="str">
        <x:v>48</x:v>
      </x:c>
      <x:c r="H280" s="9" t="str">
        <x:v>对比评测</x:v>
      </x:c>
      <x:c r="I280" s="9" t="str">
        <x:v>商业调查词</x:v>
      </x:c>
      <x:c r="J280" s="9" t="str">
        <x:v>博客C-对比评测</x:v>
      </x:c>
      <x:c r="K280" s="9" t="str"/>
      <x:c r="L280" s="9" t="str">
        <x:f>IF(K280="",J280,K280)</x:f>
        <x:v>博客C-对比评测</x:v>
      </x:c>
      <x:c r="M280" s="9" t="str">
        <x:v>Best/Top/Review/VS/替代方案文章</x:v>
      </x:c>
      <x:c r="N280" s="9" t="str">
        <x:v>Best angle: bright mirror 35k replaceable vape review - comparison, pros/cons, and which option fits different buyers</x:v>
      </x:c>
      <x:c r="O280" s="9" t="str">
        <x:v>/collections/disposable-vapes</x:v>
      </x:c>
      <x:c r="P280" s="9" t="str">
        <x:v>是</x:v>
      </x:c>
      <x:c r="Q280" s="9" t="str">
        <x:v>自然句/品类词/品牌词</x:v>
      </x:c>
      <x:c r="R280" s="9" t="str">
        <x:v>中风险：榜单和评测必须真实、中立，避免夸大</x:v>
      </x:c>
      <x:c r="S280" s="9" t="str">
        <x:v>这类词不直接给主站，先用博客C教育和比较，再导流到最相关集合页。</x:v>
      </x:c>
      <x:c r="T280" s="38" t="n">
        <x:v>1</x:v>
      </x:c>
      <x:c r="U280" s="38" t="n">
        <x:v>15</x:v>
      </x:c>
      <x:c r="V280" s="38" t="n">
        <x:v>16</x:v>
      </x:c>
      <x:c r="W280" s="38" t="n">
        <x:v>15</x:v>
      </x:c>
      <x:c r="X280" s="38" t="n">
        <x:v>13</x:v>
      </x:c>
      <x:c r="Y280" s="38" t="n">
        <x:v>6</x:v>
      </x:c>
      <x:c r="Z280" s="38" t="n">
        <x:f>MAX(0,MIN(100,ROUND(((T280+U280+V280+W280+X280)-Y280)/85*100,0)))</x:f>
        <x:v>64</x:v>
      </x:c>
      <x:c r="AA280" s="9" t="str">
        <x:f>IF(L280="暂不做","P3 暂缓",IF(Z280&gt;=75,"P0 本周做",IF(Z280&gt;=60,"P1 近期做",IF(Z280&gt;=45,"P2 备选","P3 暂缓"))))</x:f>
        <x:v>P1 近期做</x:v>
      </x:c>
      <x:c r="AB280" s="9" t="str">
        <x:f>IF(Y280&gt;=15,"先做合规/相关性复核，不建议直接商业导流",IF(L280="主站","建/优化主站商业页",IF(L280="博客A-知识教程","写知识教程/FAQ文章",IF(L280="博客B-场景人群","写场景需求/选购指南文章",IF(L280="博客C-对比评测","写对比评测/榜单文章","暂不做或人工复核")))))</x:f>
        <x:v>写对比评测/榜单文章</x:v>
      </x:c>
      <x:c r="AC280" s="9" t="str">
        <x:v>Reviews - COOL MINT - ExDivo BRIGHT MIRROR 35K Replaceable VAPE kit - ExDivo</x:v>
      </x:c>
      <x:c r="AD280" s="10" t="str">
        <x:v>48</x:v>
      </x:c>
    </x:row>
    <x:row r="281">
      <x:c r="A281" s="34" t="n">
        <x:v>281</x:v>
      </x:c>
      <x:c r="B281" s="9" t="str">
        <x:v>https://exdivo.com/comments/exdivo-bright-mirror-35k-replaceable-vape-kit_9d9e42e4?writeComment=true</x:v>
      </x:c>
      <x:c r="C281" s="9" t="str">
        <x:v>mint vape flavor reviews</x:v>
      </x:c>
      <x:c r="D281" s="9" t="str">
        <x:v>recommended</x:v>
      </x:c>
      <x:c r="E281" s="36" t="n">
        <x:v>0</x:v>
      </x:c>
      <x:c r="F281" s="36" t="n">
        <x:v>0</x:v>
      </x:c>
      <x:c r="G281" s="9" t="str">
        <x:v>48</x:v>
      </x:c>
      <x:c r="H281" s="9" t="str">
        <x:v>Flavor / 口味</x:v>
      </x:c>
      <x:c r="I281" s="9" t="str">
        <x:v>商业调查词</x:v>
      </x:c>
      <x:c r="J281" s="9" t="str">
        <x:v>博客C-对比评测</x:v>
      </x:c>
      <x:c r="K281" s="9" t="str"/>
      <x:c r="L281" s="9" t="str">
        <x:f>IF(K281="",J281,K281)</x:f>
        <x:v>博客C-对比评测</x:v>
      </x:c>
      <x:c r="M281" s="9" t="str">
        <x:v>Best/Top/Review/VS/替代方案文章</x:v>
      </x:c>
      <x:c r="N281" s="9" t="str">
        <x:v>Best angle: mint vape flavor reviews - comparison, pros/cons, and which option fits different buyers</x:v>
      </x:c>
      <x:c r="O281" s="9" t="str">
        <x:v>/collections/flavored-disposable-vapes</x:v>
      </x:c>
      <x:c r="P281" s="9" t="str">
        <x:v>是</x:v>
      </x:c>
      <x:c r="Q281" s="9" t="str">
        <x:v>自然句/品类词/品牌词</x:v>
      </x:c>
      <x:c r="R281" s="9" t="str">
        <x:v>中风险：榜单和评测必须真实、中立，避免夸大</x:v>
      </x:c>
      <x:c r="S281" s="9" t="str">
        <x:v>这类词不直接给主站，先用博客C教育和比较，再导流到最相关集合页。</x:v>
      </x:c>
      <x:c r="T281" s="38" t="n">
        <x:v>1</x:v>
      </x:c>
      <x:c r="U281" s="38" t="n">
        <x:v>15</x:v>
      </x:c>
      <x:c r="V281" s="38" t="n">
        <x:v>16</x:v>
      </x:c>
      <x:c r="W281" s="38" t="n">
        <x:v>15</x:v>
      </x:c>
      <x:c r="X281" s="38" t="n">
        <x:v>13</x:v>
      </x:c>
      <x:c r="Y281" s="38" t="n">
        <x:v>6</x:v>
      </x:c>
      <x:c r="Z281" s="38" t="n">
        <x:f>MAX(0,MIN(100,ROUND(((T281+U281+V281+W281+X281)-Y281)/85*100,0)))</x:f>
        <x:v>64</x:v>
      </x:c>
      <x:c r="AA281" s="9" t="str">
        <x:f>IF(L281="暂不做","P3 暂缓",IF(Z281&gt;=75,"P0 本周做",IF(Z281&gt;=60,"P1 近期做",IF(Z281&gt;=45,"P2 备选","P3 暂缓"))))</x:f>
        <x:v>P1 近期做</x:v>
      </x:c>
      <x:c r="AB281" s="9" t="str">
        <x:f>IF(Y281&gt;=15,"先做合规/相关性复核，不建议直接商业导流",IF(L281="主站","建/优化主站商业页",IF(L281="博客A-知识教程","写知识教程/FAQ文章",IF(L281="博客B-场景人群","写场景需求/选购指南文章",IF(L281="博客C-对比评测","写对比评测/榜单文章","暂不做或人工复核")))))</x:f>
        <x:v>写对比评测/榜单文章</x:v>
      </x:c>
      <x:c r="AC281" s="9" t="str">
        <x:v>Reviews - COOL MINT - ExDivo BRIGHT MIRROR 35K Replaceable VAPE kit - ExDivo</x:v>
      </x:c>
      <x:c r="AD281" s="10" t="str">
        <x:v>48</x:v>
      </x:c>
    </x:row>
    <x:row r="282">
      <x:c r="A282" s="34" t="n">
        <x:v>282</x:v>
      </x:c>
      <x:c r="B282" s="9" t="str">
        <x:v>https://exdivo.com/comments/exdivo-bright-mirror-35k-replaceable-vape-kit_9d9e42e4?writeComment=true</x:v>
      </x:c>
      <x:c r="C282" s="9" t="str">
        <x:v>cool mint vape review</x:v>
      </x:c>
      <x:c r="D282" s="9" t="str">
        <x:v>recommended</x:v>
      </x:c>
      <x:c r="E282" s="36" t="n">
        <x:v>0</x:v>
      </x:c>
      <x:c r="F282" s="36" t="n">
        <x:v>0</x:v>
      </x:c>
      <x:c r="G282" s="9" t="str">
        <x:v>48</x:v>
      </x:c>
      <x:c r="H282" s="9" t="str">
        <x:v>对比评测</x:v>
      </x:c>
      <x:c r="I282" s="9" t="str">
        <x:v>商业调查词</x:v>
      </x:c>
      <x:c r="J282" s="9" t="str">
        <x:v>博客C-对比评测</x:v>
      </x:c>
      <x:c r="K282" s="9" t="str"/>
      <x:c r="L282" s="9" t="str">
        <x:f>IF(K282="",J282,K282)</x:f>
        <x:v>博客C-对比评测</x:v>
      </x:c>
      <x:c r="M282" s="9" t="str">
        <x:v>Best/Top/Review/VS/替代方案文章</x:v>
      </x:c>
      <x:c r="N282" s="9" t="str">
        <x:v>Best angle: cool mint vape review - comparison, pros/cons, and which option fits different buyers</x:v>
      </x:c>
      <x:c r="O282" s="9" t="str">
        <x:v>/collections/disposable-vapes</x:v>
      </x:c>
      <x:c r="P282" s="9" t="str">
        <x:v>是</x:v>
      </x:c>
      <x:c r="Q282" s="9" t="str">
        <x:v>自然句/品类词/品牌词</x:v>
      </x:c>
      <x:c r="R282" s="9" t="str">
        <x:v>中风险：榜单和评测必须真实、中立，避免夸大</x:v>
      </x:c>
      <x:c r="S282" s="9" t="str">
        <x:v>这类词不直接给主站，先用博客C教育和比较，再导流到最相关集合页。</x:v>
      </x:c>
      <x:c r="T282" s="38" t="n">
        <x:v>1</x:v>
      </x:c>
      <x:c r="U282" s="38" t="n">
        <x:v>15</x:v>
      </x:c>
      <x:c r="V282" s="38" t="n">
        <x:v>16</x:v>
      </x:c>
      <x:c r="W282" s="38" t="n">
        <x:v>15</x:v>
      </x:c>
      <x:c r="X282" s="38" t="n">
        <x:v>13</x:v>
      </x:c>
      <x:c r="Y282" s="38" t="n">
        <x:v>6</x:v>
      </x:c>
      <x:c r="Z282" s="38" t="n">
        <x:f>MAX(0,MIN(100,ROUND(((T282+U282+V282+W282+X282)-Y282)/85*100,0)))</x:f>
        <x:v>64</x:v>
      </x:c>
      <x:c r="AA282" s="9" t="str">
        <x:f>IF(L282="暂不做","P3 暂缓",IF(Z282&gt;=75,"P0 本周做",IF(Z282&gt;=60,"P1 近期做",IF(Z282&gt;=45,"P2 备选","P3 暂缓"))))</x:f>
        <x:v>P1 近期做</x:v>
      </x:c>
      <x:c r="AB282" s="9" t="str">
        <x:f>IF(Y282&gt;=15,"先做合规/相关性复核，不建议直接商业导流",IF(L282="主站","建/优化主站商业页",IF(L282="博客A-知识教程","写知识教程/FAQ文章",IF(L282="博客B-场景人群","写场景需求/选购指南文章",IF(L282="博客C-对比评测","写对比评测/榜单文章","暂不做或人工复核")))))</x:f>
        <x:v>写对比评测/榜单文章</x:v>
      </x:c>
      <x:c r="AC282" s="9" t="str">
        <x:v>Reviews - COOL MINT - ExDivo BRIGHT MIRROR 35K Replaceable VAPE kit - ExDivo</x:v>
      </x:c>
      <x:c r="AD282" s="10" t="str">
        <x:v>48</x:v>
      </x:c>
    </x:row>
    <x:row r="283">
      <x:c r="A283" s="34" t="n">
        <x:v>283</x:v>
      </x:c>
      <x:c r="B283" s="9" t="str">
        <x:v>https://exdivo.com/comments/exdivo-bright-mirror-35k-replaceable-vape-kit_9d9e42e4?writeComment=true</x:v>
      </x:c>
      <x:c r="C283" s="9" t="str">
        <x:v>mint flavored vape review</x:v>
      </x:c>
      <x:c r="D283" s="9" t="str">
        <x:v>recommended</x:v>
      </x:c>
      <x:c r="E283" s="36" t="n">
        <x:v>0</x:v>
      </x:c>
      <x:c r="F283" s="36" t="n">
        <x:v>0</x:v>
      </x:c>
      <x:c r="G283" s="9" t="str">
        <x:v>48</x:v>
      </x:c>
      <x:c r="H283" s="9" t="str">
        <x:v>Flavor / 口味</x:v>
      </x:c>
      <x:c r="I283" s="9" t="str">
        <x:v>商业调查词</x:v>
      </x:c>
      <x:c r="J283" s="9" t="str">
        <x:v>博客C-对比评测</x:v>
      </x:c>
      <x:c r="K283" s="9" t="str"/>
      <x:c r="L283" s="9" t="str">
        <x:f>IF(K283="",J283,K283)</x:f>
        <x:v>博客C-对比评测</x:v>
      </x:c>
      <x:c r="M283" s="9" t="str">
        <x:v>Best/Top/Review/VS/替代方案文章</x:v>
      </x:c>
      <x:c r="N283" s="9" t="str">
        <x:v>Best angle: mint flavored vape review - comparison, pros/cons, and which option fits different buyers</x:v>
      </x:c>
      <x:c r="O283" s="9" t="str">
        <x:v>/collections/flavored-disposable-vapes</x:v>
      </x:c>
      <x:c r="P283" s="9" t="str">
        <x:v>是</x:v>
      </x:c>
      <x:c r="Q283" s="9" t="str">
        <x:v>自然句/品类词/品牌词</x:v>
      </x:c>
      <x:c r="R283" s="9" t="str">
        <x:v>中风险：榜单和评测必须真实、中立，避免夸大</x:v>
      </x:c>
      <x:c r="S283" s="9" t="str">
        <x:v>这类词不直接给主站，先用博客C教育和比较，再导流到最相关集合页。</x:v>
      </x:c>
      <x:c r="T283" s="38" t="n">
        <x:v>1</x:v>
      </x:c>
      <x:c r="U283" s="38" t="n">
        <x:v>15</x:v>
      </x:c>
      <x:c r="V283" s="38" t="n">
        <x:v>16</x:v>
      </x:c>
      <x:c r="W283" s="38" t="n">
        <x:v>15</x:v>
      </x:c>
      <x:c r="X283" s="38" t="n">
        <x:v>13</x:v>
      </x:c>
      <x:c r="Y283" s="38" t="n">
        <x:v>6</x:v>
      </x:c>
      <x:c r="Z283" s="38" t="n">
        <x:f>MAX(0,MIN(100,ROUND(((T283+U283+V283+W283+X283)-Y283)/85*100,0)))</x:f>
        <x:v>64</x:v>
      </x:c>
      <x:c r="AA283" s="9" t="str">
        <x:f>IF(L283="暂不做","P3 暂缓",IF(Z283&gt;=75,"P0 本周做",IF(Z283&gt;=60,"P1 近期做",IF(Z283&gt;=45,"P2 备选","P3 暂缓"))))</x:f>
        <x:v>P1 近期做</x:v>
      </x:c>
      <x:c r="AB283" s="9" t="str">
        <x:f>IF(Y283&gt;=15,"先做合规/相关性复核，不建议直接商业导流",IF(L283="主站","建/优化主站商业页",IF(L283="博客A-知识教程","写知识教程/FAQ文章",IF(L283="博客B-场景人群","写场景需求/选购指南文章",IF(L283="博客C-对比评测","写对比评测/榜单文章","暂不做或人工复核")))))</x:f>
        <x:v>写对比评测/榜单文章</x:v>
      </x:c>
      <x:c r="AC283" s="9" t="str">
        <x:v>Reviews - COOL MINT - ExDivo BRIGHT MIRROR 35K Replaceable VAPE kit - ExDivo</x:v>
      </x:c>
      <x:c r="AD283" s="10" t="str">
        <x:v>48</x:v>
      </x:c>
    </x:row>
    <x:row r="284">
      <x:c r="A284" s="34" t="n">
        <x:v>284</x:v>
      </x:c>
      <x:c r="B284" s="9" t="str">
        <x:v>https://exdivo.com/collections/interstellar?page=1</x:v>
      </x:c>
      <x:c r="C284" s="9" t="str">
        <x:v>vape collections interstellar</x:v>
      </x:c>
      <x:c r="D284" s="9" t="str">
        <x:v>recommended</x:v>
      </x:c>
      <x:c r="E284" s="36" t="n">
        <x:v>0</x:v>
      </x:c>
      <x:c r="F284" s="36" t="n">
        <x:v>0</x:v>
      </x:c>
      <x:c r="G284" s="9" t="str">
        <x:v>48</x:v>
      </x:c>
      <x:c r="H284" s="9" t="str">
        <x:v>General Vape</x:v>
      </x:c>
      <x:c r="I284" s="9" t="str">
        <x:v>品类承接词</x:v>
      </x:c>
      <x:c r="J284" s="9" t="str">
        <x:v>主站</x:v>
      </x:c>
      <x:c r="K284" s="9" t="str"/>
      <x:c r="L284" s="9" t="str">
        <x:f>IF(K284="",J284,K284)</x:f>
        <x:v>主站</x:v>
      </x:c>
      <x:c r="M284" s="9" t="str">
        <x:v>品类页/集合页 + FAQ内容块</x:v>
      </x:c>
      <x:c r="N284" s="9" t="str">
        <x:v>主站品类页：用产品集合 + 选购说明承接</x:v>
      </x:c>
      <x:c r="O284" s="9" t="str">
        <x:v>/collections/disposable-vapes</x:v>
      </x:c>
      <x:c r="P284" s="9" t="str">
        <x:v>不适用</x:v>
      </x:c>
      <x:c r="Q284" s="9" t="str">
        <x:v>主站页面自身承接</x:v>
      </x:c>
      <x:c r="R284" s="9" t="str">
        <x:v>核心品类词：主站优先，博客只做长尾解释，不直接抢同一词</x:v>
      </x:c>
      <x:c r="S284" s="9" t="str">
        <x:v>如果 Google 首页产品页和指南混合，主站页要加 FAQ、选购指南、对比模块。</x:v>
      </x:c>
      <x:c r="T284" s="38" t="n">
        <x:v>1</x:v>
      </x:c>
      <x:c r="U284" s="38" t="n">
        <x:v>15</x:v>
      </x:c>
      <x:c r="V284" s="38" t="n">
        <x:v>16</x:v>
      </x:c>
      <x:c r="W284" s="38" t="n">
        <x:v>8</x:v>
      </x:c>
      <x:c r="X284" s="38" t="n">
        <x:v>15</x:v>
      </x:c>
      <x:c r="Y284" s="38" t="n">
        <x:v>4</x:v>
      </x:c>
      <x:c r="Z284" s="38" t="n">
        <x:f>MAX(0,MIN(100,ROUND(((T284+U284+V284+W284+X284)-Y284)/85*100,0)))</x:f>
        <x:v>60</x:v>
      </x:c>
      <x:c r="AA284" s="9" t="str">
        <x:f>IF(L284="暂不做","P3 暂缓",IF(Z284&gt;=75,"P0 本周做",IF(Z284&gt;=60,"P1 近期做",IF(Z284&gt;=45,"P2 备选","P3 暂缓"))))</x:f>
        <x:v>P1 近期做</x:v>
      </x:c>
      <x:c r="AB284" s="9" t="str">
        <x:f>IF(Y284&gt;=15,"先做合规/相关性复核，不建议直接商业导流",IF(L284="主站","建/优化主站商业页",IF(L284="博客A-知识教程","写知识教程/FAQ文章",IF(L284="博客B-场景人群","写场景需求/选购指南文章",IF(L284="博客C-对比评测","写对比评测/榜单文章","暂不做或人工复核")))))</x:f>
        <x:v>建/优化主站商业页</x:v>
      </x:c>
      <x:c r="AC284" s="9" t="str">
        <x:v>Exdivo collections INTERSTELLAR</x:v>
      </x:c>
      <x:c r="AD284" s="10" t="str">
        <x:v>interstellar</x:v>
      </x:c>
    </x:row>
    <x:row r="285">
      <x:c r="A285" s="34" t="n">
        <x:v>285</x:v>
      </x:c>
      <x:c r="B285" s="9" t="str">
        <x:v>https://exdivo.com/collections/interstellar?page=1</x:v>
      </x:c>
      <x:c r="C285" s="9" t="str">
        <x:v>interstellar vape collection</x:v>
      </x:c>
      <x:c r="D285" s="9" t="str">
        <x:v>recommended</x:v>
      </x:c>
      <x:c r="E285" s="36" t="n">
        <x:v>0</x:v>
      </x:c>
      <x:c r="F285" s="36" t="n">
        <x:v>0</x:v>
      </x:c>
      <x:c r="G285" s="9" t="str">
        <x:v>48</x:v>
      </x:c>
      <x:c r="H285" s="9" t="str">
        <x:v>General Vape</x:v>
      </x:c>
      <x:c r="I285" s="9" t="str">
        <x:v>品类承接词</x:v>
      </x:c>
      <x:c r="J285" s="9" t="str">
        <x:v>主站</x:v>
      </x:c>
      <x:c r="K285" s="9" t="str"/>
      <x:c r="L285" s="9" t="str">
        <x:f>IF(K285="",J285,K285)</x:f>
        <x:v>主站</x:v>
      </x:c>
      <x:c r="M285" s="9" t="str">
        <x:v>品类页/集合页 + FAQ内容块</x:v>
      </x:c>
      <x:c r="N285" s="9" t="str">
        <x:v>主站品类页：用产品集合 + 选购说明承接</x:v>
      </x:c>
      <x:c r="O285" s="9" t="str">
        <x:v>/collections/disposable-vapes</x:v>
      </x:c>
      <x:c r="P285" s="9" t="str">
        <x:v>不适用</x:v>
      </x:c>
      <x:c r="Q285" s="9" t="str">
        <x:v>主站页面自身承接</x:v>
      </x:c>
      <x:c r="R285" s="9" t="str">
        <x:v>核心品类词：主站优先，博客只做长尾解释，不直接抢同一词</x:v>
      </x:c>
      <x:c r="S285" s="9" t="str">
        <x:v>如果 Google 首页产品页和指南混合，主站页要加 FAQ、选购指南、对比模块。</x:v>
      </x:c>
      <x:c r="T285" s="38" t="n">
        <x:v>1</x:v>
      </x:c>
      <x:c r="U285" s="38" t="n">
        <x:v>15</x:v>
      </x:c>
      <x:c r="V285" s="38" t="n">
        <x:v>16</x:v>
      </x:c>
      <x:c r="W285" s="38" t="n">
        <x:v>8</x:v>
      </x:c>
      <x:c r="X285" s="38" t="n">
        <x:v>15</x:v>
      </x:c>
      <x:c r="Y285" s="38" t="n">
        <x:v>4</x:v>
      </x:c>
      <x:c r="Z285" s="38" t="n">
        <x:f>MAX(0,MIN(100,ROUND(((T285+U285+V285+W285+X285)-Y285)/85*100,0)))</x:f>
        <x:v>60</x:v>
      </x:c>
      <x:c r="AA285" s="9" t="str">
        <x:f>IF(L285="暂不做","P3 暂缓",IF(Z285&gt;=75,"P0 本周做",IF(Z285&gt;=60,"P1 近期做",IF(Z285&gt;=45,"P2 备选","P3 暂缓"))))</x:f>
        <x:v>P1 近期做</x:v>
      </x:c>
      <x:c r="AB285" s="9" t="str">
        <x:f>IF(Y285&gt;=15,"先做合规/相关性复核，不建议直接商业导流",IF(L285="主站","建/优化主站商业页",IF(L285="博客A-知识教程","写知识教程/FAQ文章",IF(L285="博客B-场景人群","写场景需求/选购指南文章",IF(L285="博客C-对比评测","写对比评测/榜单文章","暂不做或人工复核")))))</x:f>
        <x:v>建/优化主站商业页</x:v>
      </x:c>
      <x:c r="AC285" s="9" t="str">
        <x:v>Exdivo collections INTERSTELLAR</x:v>
      </x:c>
      <x:c r="AD285" s="10" t="str">
        <x:v>interstellar</x:v>
      </x:c>
    </x:row>
    <x:row r="286">
      <x:c r="A286" s="34" t="n">
        <x:v>286</x:v>
      </x:c>
      <x:c r="B286" s="9" t="str">
        <x:v>https://exdivo.com/collections/interstellar?page=1</x:v>
      </x:c>
      <x:c r="C286" s="9" t="str">
        <x:v>new vape models interstellar</x:v>
      </x:c>
      <x:c r="D286" s="9" t="str">
        <x:v>recommended</x:v>
      </x:c>
      <x:c r="E286" s="36" t="n">
        <x:v>0</x:v>
      </x:c>
      <x:c r="F286" s="36" t="n">
        <x:v>0</x:v>
      </x:c>
      <x:c r="G286" s="9" t="str">
        <x:v>48</x:v>
      </x:c>
      <x:c r="H286" s="9" t="str">
        <x:v>General Vape</x:v>
      </x:c>
      <x:c r="I286" s="9" t="str">
        <x:v>内容词</x:v>
      </x:c>
      <x:c r="J286" s="9" t="str">
        <x:v>博客A-知识教程</x:v>
      </x:c>
      <x:c r="K286" s="9" t="str"/>
      <x:c r="L286" s="9" t="str">
        <x:f>IF(K286="",J286,K286)</x:f>
        <x:v>博客A-知识教程</x:v>
      </x:c>
      <x:c r="M286" s="9" t="str">
        <x:v>知识/教程文章</x:v>
      </x:c>
      <x:c r="N286" s="9" t="str">
        <x:v>Guide angle: explain new vape models interstellar, answer common questions, and avoid sales-first writing</x:v>
      </x:c>
      <x:c r="O286" s="9" t="str">
        <x:v>/collections/disposable-vapes 或最接近的产品集合页</x:v>
      </x:c>
      <x:c r="P286" s="9" t="str">
        <x:v>谨慎</x:v>
      </x:c>
      <x:c r="Q286" s="9" t="str">
        <x:v>品牌词/自然句</x:v>
      </x:c>
      <x:c r="R286" s="9" t="str">
        <x:v>低风险：按常规内容质量和搜索意图校验</x:v>
      </x:c>
      <x:c r="S286" s="9" t="str">
        <x:v>先看 Google SERP：如果首页多数为产品集合页，改回主站；如果多数为教程/问答，保持博客。</x:v>
      </x:c>
      <x:c r="T286" s="38" t="n">
        <x:v>1</x:v>
      </x:c>
      <x:c r="U286" s="38" t="n">
        <x:v>15</x:v>
      </x:c>
      <x:c r="V286" s="38" t="n">
        <x:v>10</x:v>
      </x:c>
      <x:c r="W286" s="38" t="n">
        <x:v>12</x:v>
      </x:c>
      <x:c r="X286" s="38" t="n">
        <x:v>12</x:v>
      </x:c>
      <x:c r="Y286" s="38" t="n">
        <x:v>4</x:v>
      </x:c>
      <x:c r="Z286" s="38" t="n">
        <x:f>MAX(0,MIN(100,ROUND(((T286+U286+V286+W286+X286)-Y286)/85*100,0)))</x:f>
        <x:v>54</x:v>
      </x:c>
      <x:c r="AA286" s="9" t="str">
        <x:f>IF(L286="暂不做","P3 暂缓",IF(Z286&gt;=75,"P0 本周做",IF(Z286&gt;=60,"P1 近期做",IF(Z286&gt;=45,"P2 备选","P3 暂缓"))))</x:f>
        <x:v>P2 备选</x:v>
      </x:c>
      <x:c r="AB286" s="9" t="str">
        <x:f>IF(Y286&gt;=15,"先做合规/相关性复核，不建议直接商业导流",IF(L286="主站","建/优化主站商业页",IF(L286="博客A-知识教程","写知识教程/FAQ文章",IF(L286="博客B-场景人群","写场景需求/选购指南文章",IF(L286="博客C-对比评测","写对比评测/榜单文章","暂不做或人工复核")))))</x:f>
        <x:v>写知识教程/FAQ文章</x:v>
      </x:c>
      <x:c r="AC286" s="9" t="str">
        <x:v>Exdivo collections INTERSTELLAR</x:v>
      </x:c>
      <x:c r="AD286" s="10" t="str">
        <x:v>interstellar</x:v>
      </x:c>
    </x:row>
    <x:row r="287">
      <x:c r="A287" s="34" t="n">
        <x:v>287</x:v>
      </x:c>
      <x:c r="B287" s="9" t="str">
        <x:v>https://exdivo.com/collections/interstellar?page=1</x:v>
      </x:c>
      <x:c r="C287" s="9" t="str">
        <x:v>interstellar vape series</x:v>
      </x:c>
      <x:c r="D287" s="9" t="str">
        <x:v>recommended</x:v>
      </x:c>
      <x:c r="E287" s="36" t="n">
        <x:v>0</x:v>
      </x:c>
      <x:c r="F287" s="36" t="n">
        <x:v>0</x:v>
      </x:c>
      <x:c r="G287" s="9" t="str">
        <x:v>48</x:v>
      </x:c>
      <x:c r="H287" s="9" t="str">
        <x:v>General Vape</x:v>
      </x:c>
      <x:c r="I287" s="9" t="str">
        <x:v>品类承接词</x:v>
      </x:c>
      <x:c r="J287" s="9" t="str">
        <x:v>主站</x:v>
      </x:c>
      <x:c r="K287" s="9" t="str"/>
      <x:c r="L287" s="9" t="str">
        <x:f>IF(K287="",J287,K287)</x:f>
        <x:v>主站</x:v>
      </x:c>
      <x:c r="M287" s="9" t="str">
        <x:v>品类页/集合页 + FAQ内容块</x:v>
      </x:c>
      <x:c r="N287" s="9" t="str">
        <x:v>主站品类页：用产品集合 + 选购说明承接</x:v>
      </x:c>
      <x:c r="O287" s="9" t="str">
        <x:v>/collections/disposable-vapes</x:v>
      </x:c>
      <x:c r="P287" s="9" t="str">
        <x:v>不适用</x:v>
      </x:c>
      <x:c r="Q287" s="9" t="str">
        <x:v>主站页面自身承接</x:v>
      </x:c>
      <x:c r="R287" s="9" t="str">
        <x:v>核心品类词：主站优先，博客只做长尾解释，不直接抢同一词</x:v>
      </x:c>
      <x:c r="S287" s="9" t="str">
        <x:v>如果 Google 首页产品页和指南混合，主站页要加 FAQ、选购指南、对比模块。</x:v>
      </x:c>
      <x:c r="T287" s="38" t="n">
        <x:v>1</x:v>
      </x:c>
      <x:c r="U287" s="38" t="n">
        <x:v>15</x:v>
      </x:c>
      <x:c r="V287" s="38" t="n">
        <x:v>16</x:v>
      </x:c>
      <x:c r="W287" s="38" t="n">
        <x:v>8</x:v>
      </x:c>
      <x:c r="X287" s="38" t="n">
        <x:v>15</x:v>
      </x:c>
      <x:c r="Y287" s="38" t="n">
        <x:v>4</x:v>
      </x:c>
      <x:c r="Z287" s="38" t="n">
        <x:f>MAX(0,MIN(100,ROUND(((T287+U287+V287+W287+X287)-Y287)/85*100,0)))</x:f>
        <x:v>60</x:v>
      </x:c>
      <x:c r="AA287" s="9" t="str">
        <x:f>IF(L287="暂不做","P3 暂缓",IF(Z287&gt;=75,"P0 本周做",IF(Z287&gt;=60,"P1 近期做",IF(Z287&gt;=45,"P2 备选","P3 暂缓"))))</x:f>
        <x:v>P1 近期做</x:v>
      </x:c>
      <x:c r="AB287" s="9" t="str">
        <x:f>IF(Y287&gt;=15,"先做合规/相关性复核，不建议直接商业导流",IF(L287="主站","建/优化主站商业页",IF(L287="博客A-知识教程","写知识教程/FAQ文章",IF(L287="博客B-场景人群","写场景需求/选购指南文章",IF(L287="博客C-对比评测","写对比评测/榜单文章","暂不做或人工复核")))))</x:f>
        <x:v>建/优化主站商业页</x:v>
      </x:c>
      <x:c r="AC287" s="9" t="str">
        <x:v>Exdivo collections INTERSTELLAR</x:v>
      </x:c>
      <x:c r="AD287" s="10" t="str">
        <x:v>interstellar</x:v>
      </x:c>
    </x:row>
    <x:row r="288">
      <x:c r="A288" s="34" t="n">
        <x:v>288</x:v>
      </x:c>
      <x:c r="B288" s="9" t="str">
        <x:v>https://exdivo.com/comments/exdivo-kuz-25k-replaceable-pod-vape_35c5ae0c</x:v>
      </x:c>
      <x:c r="C288" s="9" t="str">
        <x:v>kuz 25k pod vape review</x:v>
      </x:c>
      <x:c r="D288" s="9" t="str">
        <x:v>recommended</x:v>
      </x:c>
      <x:c r="E288" s="36" t="n">
        <x:v>0</x:v>
      </x:c>
      <x:c r="F288" s="36" t="n">
        <x:v>0</x:v>
      </x:c>
      <x:c r="G288" s="9" t="str">
        <x:v>48</x:v>
      </x:c>
      <x:c r="H288" s="9" t="str">
        <x:v>Pod Kit / Pod System</x:v>
      </x:c>
      <x:c r="I288" s="9" t="str">
        <x:v>商业调查词</x:v>
      </x:c>
      <x:c r="J288" s="9" t="str">
        <x:v>博客C-对比评测</x:v>
      </x:c>
      <x:c r="K288" s="9" t="str"/>
      <x:c r="L288" s="9" t="str">
        <x:f>IF(K288="",J288,K288)</x:f>
        <x:v>博客C-对比评测</x:v>
      </x:c>
      <x:c r="M288" s="9" t="str">
        <x:v>Best/Top/Review/VS/替代方案文章</x:v>
      </x:c>
      <x:c r="N288" s="9" t="str">
        <x:v>Best angle: kuz 25k pod vape review - comparison, pros/cons, and which option fits different buyers</x:v>
      </x:c>
      <x:c r="O288" s="9" t="str">
        <x:v>/collections/pod-kits</x:v>
      </x:c>
      <x:c r="P288" s="9" t="str">
        <x:v>是</x:v>
      </x:c>
      <x:c r="Q288" s="9" t="str">
        <x:v>自然句/品类词/品牌词</x:v>
      </x:c>
      <x:c r="R288" s="9" t="str">
        <x:v>中风险：榜单和评测必须真实、中立，避免夸大</x:v>
      </x:c>
      <x:c r="S288" s="9" t="str">
        <x:v>这类词不直接给主站，先用博客C教育和比较，再导流到最相关集合页。</x:v>
      </x:c>
      <x:c r="T288" s="38" t="n">
        <x:v>1</x:v>
      </x:c>
      <x:c r="U288" s="38" t="n">
        <x:v>15</x:v>
      </x:c>
      <x:c r="V288" s="38" t="n">
        <x:v>16</x:v>
      </x:c>
      <x:c r="W288" s="38" t="n">
        <x:v>15</x:v>
      </x:c>
      <x:c r="X288" s="38" t="n">
        <x:v>13</x:v>
      </x:c>
      <x:c r="Y288" s="38" t="n">
        <x:v>6</x:v>
      </x:c>
      <x:c r="Z288" s="38" t="n">
        <x:f>MAX(0,MIN(100,ROUND(((T288+U288+V288+W288+X288)-Y288)/85*100,0)))</x:f>
        <x:v>64</x:v>
      </x:c>
      <x:c r="AA288" s="9" t="str">
        <x:f>IF(L288="暂不做","P3 暂缓",IF(Z288&gt;=75,"P0 本周做",IF(Z288&gt;=60,"P1 近期做",IF(Z288&gt;=45,"P2 备选","P3 暂缓"))))</x:f>
        <x:v>P1 近期做</x:v>
      </x:c>
      <x:c r="AB288" s="9" t="str">
        <x:f>IF(Y288&gt;=15,"先做合规/相关性复核，不建议直接商业导流",IF(L288="主站","建/优化主站商业页",IF(L288="博客A-知识教程","写知识教程/FAQ文章",IF(L288="博客B-场景人群","写场景需求/选购指南文章",IF(L288="博客C-对比评测","写对比评测/榜单文章","暂不做或人工复核")))))</x:f>
        <x:v>写对比评测/榜单文章</x:v>
      </x:c>
      <x:c r="AC288" s="9" t="str">
        <x:v>Reviews - WATERMELON ICE - ExDivo KUZ 25K Replaceable Pod Vape - ExDivo</x:v>
      </x:c>
      <x:c r="AD288" s="10" t="str">
        <x:v>48</x:v>
      </x:c>
    </x:row>
    <x:row r="289">
      <x:c r="A289" s="34" t="n">
        <x:v>289</x:v>
      </x:c>
      <x:c r="B289" s="9" t="str">
        <x:v>https://exdivo.com/comments/exdivo-kuz-25k-replaceable-pod-vape_35c5ae0c</x:v>
      </x:c>
      <x:c r="C289" s="9" t="str">
        <x:v>pod vape flavor reviews</x:v>
      </x:c>
      <x:c r="D289" s="9" t="str">
        <x:v>recommended</x:v>
      </x:c>
      <x:c r="E289" s="36" t="n">
        <x:v>0</x:v>
      </x:c>
      <x:c r="F289" s="36" t="n">
        <x:v>0</x:v>
      </x:c>
      <x:c r="G289" s="9" t="str">
        <x:v>48</x:v>
      </x:c>
      <x:c r="H289" s="9" t="str">
        <x:v>Pod Kit / Pod System</x:v>
      </x:c>
      <x:c r="I289" s="9" t="str">
        <x:v>商业调查词</x:v>
      </x:c>
      <x:c r="J289" s="9" t="str">
        <x:v>博客C-对比评测</x:v>
      </x:c>
      <x:c r="K289" s="9" t="str"/>
      <x:c r="L289" s="9" t="str">
        <x:f>IF(K289="",J289,K289)</x:f>
        <x:v>博客C-对比评测</x:v>
      </x:c>
      <x:c r="M289" s="9" t="str">
        <x:v>Best/Top/Review/VS/替代方案文章</x:v>
      </x:c>
      <x:c r="N289" s="9" t="str">
        <x:v>Best angle: pod vape flavor reviews - comparison, pros/cons, and which option fits different buyers</x:v>
      </x:c>
      <x:c r="O289" s="9" t="str">
        <x:v>/collections/pod-kits</x:v>
      </x:c>
      <x:c r="P289" s="9" t="str">
        <x:v>是</x:v>
      </x:c>
      <x:c r="Q289" s="9" t="str">
        <x:v>自然句/品类词/品牌词</x:v>
      </x:c>
      <x:c r="R289" s="9" t="str">
        <x:v>中风险：榜单和评测必须真实、中立，避免夸大</x:v>
      </x:c>
      <x:c r="S289" s="9" t="str">
        <x:v>这类词不直接给主站，先用博客C教育和比较，再导流到最相关集合页。</x:v>
      </x:c>
      <x:c r="T289" s="38" t="n">
        <x:v>1</x:v>
      </x:c>
      <x:c r="U289" s="38" t="n">
        <x:v>15</x:v>
      </x:c>
      <x:c r="V289" s="38" t="n">
        <x:v>16</x:v>
      </x:c>
      <x:c r="W289" s="38" t="n">
        <x:v>15</x:v>
      </x:c>
      <x:c r="X289" s="38" t="n">
        <x:v>13</x:v>
      </x:c>
      <x:c r="Y289" s="38" t="n">
        <x:v>6</x:v>
      </x:c>
      <x:c r="Z289" s="38" t="n">
        <x:f>MAX(0,MIN(100,ROUND(((T289+U289+V289+W289+X289)-Y289)/85*100,0)))</x:f>
        <x:v>64</x:v>
      </x:c>
      <x:c r="AA289" s="9" t="str">
        <x:f>IF(L289="暂不做","P3 暂缓",IF(Z289&gt;=75,"P0 本周做",IF(Z289&gt;=60,"P1 近期做",IF(Z289&gt;=45,"P2 备选","P3 暂缓"))))</x:f>
        <x:v>P1 近期做</x:v>
      </x:c>
      <x:c r="AB289" s="9" t="str">
        <x:f>IF(Y289&gt;=15,"先做合规/相关性复核，不建议直接商业导流",IF(L289="主站","建/优化主站商业页",IF(L289="博客A-知识教程","写知识教程/FAQ文章",IF(L289="博客B-场景人群","写场景需求/选购指南文章",IF(L289="博客C-对比评测","写对比评测/榜单文章","暂不做或人工复核")))))</x:f>
        <x:v>写对比评测/榜单文章</x:v>
      </x:c>
      <x:c r="AC289" s="9" t="str">
        <x:v>Reviews - WATERMELON ICE - ExDivo KUZ 25K Replaceable Pod Vape - ExDivo</x:v>
      </x:c>
      <x:c r="AD289" s="10" t="str">
        <x:v>48</x:v>
      </x:c>
    </x:row>
    <x:row r="290">
      <x:c r="A290" s="34" t="n">
        <x:v>290</x:v>
      </x:c>
      <x:c r="B290" s="9" t="str">
        <x:v>https://exdivo.com/comments/exdivo-kuz-25k-replaceable-pod-vape_35c5ae0c</x:v>
      </x:c>
      <x:c r="C290" s="9" t="str">
        <x:v>kuz 25k replaceable pod vape review</x:v>
      </x:c>
      <x:c r="D290" s="9" t="str">
        <x:v>recommended</x:v>
      </x:c>
      <x:c r="E290" s="36" t="n">
        <x:v>0</x:v>
      </x:c>
      <x:c r="F290" s="36" t="n">
        <x:v>0</x:v>
      </x:c>
      <x:c r="G290" s="9" t="str">
        <x:v>48</x:v>
      </x:c>
      <x:c r="H290" s="9" t="str">
        <x:v>Pod Kit / Pod System</x:v>
      </x:c>
      <x:c r="I290" s="9" t="str">
        <x:v>商业调查词</x:v>
      </x:c>
      <x:c r="J290" s="9" t="str">
        <x:v>博客C-对比评测</x:v>
      </x:c>
      <x:c r="K290" s="9" t="str"/>
      <x:c r="L290" s="9" t="str">
        <x:f>IF(K290="",J290,K290)</x:f>
        <x:v>博客C-对比评测</x:v>
      </x:c>
      <x:c r="M290" s="9" t="str">
        <x:v>Best/Top/Review/VS/替代方案文章</x:v>
      </x:c>
      <x:c r="N290" s="9" t="str">
        <x:v>Best angle: kuz 25k replaceable pod vape review - comparison, pros/cons, and which option fits different buyers</x:v>
      </x:c>
      <x:c r="O290" s="9" t="str">
        <x:v>/collections/pod-kits</x:v>
      </x:c>
      <x:c r="P290" s="9" t="str">
        <x:v>是</x:v>
      </x:c>
      <x:c r="Q290" s="9" t="str">
        <x:v>自然句/品类词/品牌词</x:v>
      </x:c>
      <x:c r="R290" s="9" t="str">
        <x:v>中风险：榜单和评测必须真实、中立，避免夸大</x:v>
      </x:c>
      <x:c r="S290" s="9" t="str">
        <x:v>这类词不直接给主站，先用博客C教育和比较，再导流到最相关集合页。</x:v>
      </x:c>
      <x:c r="T290" s="38" t="n">
        <x:v>1</x:v>
      </x:c>
      <x:c r="U290" s="38" t="n">
        <x:v>15</x:v>
      </x:c>
      <x:c r="V290" s="38" t="n">
        <x:v>16</x:v>
      </x:c>
      <x:c r="W290" s="38" t="n">
        <x:v>15</x:v>
      </x:c>
      <x:c r="X290" s="38" t="n">
        <x:v>13</x:v>
      </x:c>
      <x:c r="Y290" s="38" t="n">
        <x:v>6</x:v>
      </x:c>
      <x:c r="Z290" s="38" t="n">
        <x:f>MAX(0,MIN(100,ROUND(((T290+U290+V290+W290+X290)-Y290)/85*100,0)))</x:f>
        <x:v>64</x:v>
      </x:c>
      <x:c r="AA290" s="9" t="str">
        <x:f>IF(L290="暂不做","P3 暂缓",IF(Z290&gt;=75,"P0 本周做",IF(Z290&gt;=60,"P1 近期做",IF(Z290&gt;=45,"P2 备选","P3 暂缓"))))</x:f>
        <x:v>P1 近期做</x:v>
      </x:c>
      <x:c r="AB290" s="9" t="str">
        <x:f>IF(Y290&gt;=15,"先做合规/相关性复核，不建议直接商业导流",IF(L290="主站","建/优化主站商业页",IF(L290="博客A-知识教程","写知识教程/FAQ文章",IF(L290="博客B-场景人群","写场景需求/选购指南文章",IF(L290="博客C-对比评测","写对比评测/榜单文章","暂不做或人工复核")))))</x:f>
        <x:v>写对比评测/榜单文章</x:v>
      </x:c>
      <x:c r="AC290" s="9" t="str">
        <x:v>Reviews - WATERMELON ICE - ExDivo KUZ 25K Replaceable Pod Vape - ExDivo</x:v>
      </x:c>
      <x:c r="AD290" s="10" t="str">
        <x:v>48</x:v>
      </x:c>
    </x:row>
    <x:row r="291">
      <x:c r="A291" s="34" t="n">
        <x:v>291</x:v>
      </x:c>
      <x:c r="B291" s="9" t="str">
        <x:v>https://exdivo.com/collections/misty-rain/products/exdivo-kuz-25k-replaceable-pod-vape_14c82c6d?data_from=index_index&amp;spm=index_index..block_collection_slides-11702856.7.</x:v>
      </x:c>
      <x:c r="C291" s="9" t="str">
        <x:v>25000 puff replaceable pod vape</x:v>
      </x:c>
      <x:c r="D291" s="9" t="str">
        <x:v>recommended</x:v>
      </x:c>
      <x:c r="E291" s="36" t="n">
        <x:v>0</x:v>
      </x:c>
      <x:c r="F291" s="36" t="n">
        <x:v>0</x:v>
      </x:c>
      <x:c r="G291" s="9" t="str">
        <x:v>48</x:v>
      </x:c>
      <x:c r="H291" s="9" t="str">
        <x:v>Pod Kit / Pod System</x:v>
      </x:c>
      <x:c r="I291" s="9" t="str">
        <x:v>内容词</x:v>
      </x:c>
      <x:c r="J291" s="9" t="str">
        <x:v>博客A-知识教程</x:v>
      </x:c>
      <x:c r="K291" s="9" t="str"/>
      <x:c r="L291" s="9" t="str">
        <x:f>IF(K291="",J291,K291)</x:f>
        <x:v>博客A-知识教程</x:v>
      </x:c>
      <x:c r="M291" s="9" t="str">
        <x:v>知识/教程文章</x:v>
      </x:c>
      <x:c r="N291" s="9" t="str">
        <x:v>Guide angle: explain 25000 puff replaceable pod vape, answer common questions, and avoid sales-first writing</x:v>
      </x:c>
      <x:c r="O291" s="9" t="str">
        <x:v>/collections/disposable-vapes 或最接近的产品集合页</x:v>
      </x:c>
      <x:c r="P291" s="9" t="str">
        <x:v>谨慎</x:v>
      </x:c>
      <x:c r="Q291" s="9" t="str">
        <x:v>品牌词/自然句</x:v>
      </x:c>
      <x:c r="R291" s="9" t="str">
        <x:v>低风险：按常规内容质量和搜索意图校验</x:v>
      </x:c>
      <x:c r="S291" s="9" t="str">
        <x:v>先看 Google SERP：如果首页多数为产品集合页，改回主站；如果多数为教程/问答，保持博客。</x:v>
      </x:c>
      <x:c r="T291" s="38" t="n">
        <x:v>1</x:v>
      </x:c>
      <x:c r="U291" s="38" t="n">
        <x:v>15</x:v>
      </x:c>
      <x:c r="V291" s="38" t="n">
        <x:v>10</x:v>
      </x:c>
      <x:c r="W291" s="38" t="n">
        <x:v>12</x:v>
      </x:c>
      <x:c r="X291" s="38" t="n">
        <x:v>12</x:v>
      </x:c>
      <x:c r="Y291" s="38" t="n">
        <x:v>4</x:v>
      </x:c>
      <x:c r="Z291" s="38" t="n">
        <x:f>MAX(0,MIN(100,ROUND(((T291+U291+V291+W291+X291)-Y291)/85*100,0)))</x:f>
        <x:v>54</x:v>
      </x:c>
      <x:c r="AA291" s="9" t="str">
        <x:f>IF(L291="暂不做","P3 暂缓",IF(Z291&gt;=75,"P0 本周做",IF(Z291&gt;=60,"P1 近期做",IF(Z291&gt;=45,"P2 备选","P3 暂缓"))))</x:f>
        <x:v>P2 备选</x:v>
      </x:c>
      <x:c r="AB291" s="9" t="str">
        <x:f>IF(Y291&gt;=15,"先做合规/相关性复核，不建议直接商业导流",IF(L291="主站","建/优化主站商业页",IF(L291="博客A-知识教程","写知识教程/FAQ文章",IF(L291="博客B-场景人群","写场景需求/选购指南文章",IF(L291="博客C-对比评测","写对比评测/榜单文章","暂不做或人工复核")))))</x:f>
        <x:v>写知识教程/FAQ文章</x:v>
      </x:c>
      <x:c r="AC291" s="9" t="str">
        <x:v>ExDivo KUZ 25K Replaceable Pod Vape</x:v>
      </x:c>
      <x:c r="AD291" s="10" t="str">
        <x:v>25000 puffs</x:v>
      </x:c>
    </x:row>
    <x:row r="292">
      <x:c r="A292" s="34" t="n">
        <x:v>292</x:v>
      </x:c>
      <x:c r="B292" s="9" t="str">
        <x:v>https://exdivo.com/collections/misty-rain/products/exdivo-kuz-25k-replaceable-pod-vape_14c82c6d?data_from=index_index&amp;spm=index_index..block_collection_slides-11702856.7.</x:v>
      </x:c>
      <x:c r="C292" s="9" t="str">
        <x:v>kuz replaceable pod vape</x:v>
      </x:c>
      <x:c r="D292" s="9" t="str">
        <x:v>recommended</x:v>
      </x:c>
      <x:c r="E292" s="36" t="n">
        <x:v>0</x:v>
      </x:c>
      <x:c r="F292" s="36" t="n">
        <x:v>0</x:v>
      </x:c>
      <x:c r="G292" s="9" t="str">
        <x:v>48</x:v>
      </x:c>
      <x:c r="H292" s="9" t="str">
        <x:v>Pod Kit / Pod System</x:v>
      </x:c>
      <x:c r="I292" s="9" t="str">
        <x:v>内容词</x:v>
      </x:c>
      <x:c r="J292" s="9" t="str">
        <x:v>博客A-知识教程</x:v>
      </x:c>
      <x:c r="K292" s="9" t="str"/>
      <x:c r="L292" s="9" t="str">
        <x:f>IF(K292="",J292,K292)</x:f>
        <x:v>博客A-知识教程</x:v>
      </x:c>
      <x:c r="M292" s="9" t="str">
        <x:v>知识/教程文章</x:v>
      </x:c>
      <x:c r="N292" s="9" t="str">
        <x:v>Guide angle: explain kuz replaceable pod vape, answer common questions, and avoid sales-first writing</x:v>
      </x:c>
      <x:c r="O292" s="9" t="str">
        <x:v>/collections/disposable-vapes 或最接近的产品集合页</x:v>
      </x:c>
      <x:c r="P292" s="9" t="str">
        <x:v>谨慎</x:v>
      </x:c>
      <x:c r="Q292" s="9" t="str">
        <x:v>品牌词/自然句</x:v>
      </x:c>
      <x:c r="R292" s="9" t="str">
        <x:v>低风险：按常规内容质量和搜索意图校验</x:v>
      </x:c>
      <x:c r="S292" s="9" t="str">
        <x:v>先看 Google SERP：如果首页多数为产品集合页，改回主站；如果多数为教程/问答，保持博客。</x:v>
      </x:c>
      <x:c r="T292" s="38" t="n">
        <x:v>1</x:v>
      </x:c>
      <x:c r="U292" s="38" t="n">
        <x:v>15</x:v>
      </x:c>
      <x:c r="V292" s="38" t="n">
        <x:v>10</x:v>
      </x:c>
      <x:c r="W292" s="38" t="n">
        <x:v>12</x:v>
      </x:c>
      <x:c r="X292" s="38" t="n">
        <x:v>12</x:v>
      </x:c>
      <x:c r="Y292" s="38" t="n">
        <x:v>4</x:v>
      </x:c>
      <x:c r="Z292" s="38" t="n">
        <x:f>MAX(0,MIN(100,ROUND(((T292+U292+V292+W292+X292)-Y292)/85*100,0)))</x:f>
        <x:v>54</x:v>
      </x:c>
      <x:c r="AA292" s="9" t="str">
        <x:f>IF(L292="暂不做","P3 暂缓",IF(Z292&gt;=75,"P0 本周做",IF(Z292&gt;=60,"P1 近期做",IF(Z292&gt;=45,"P2 备选","P3 暂缓"))))</x:f>
        <x:v>P2 备选</x:v>
      </x:c>
      <x:c r="AB292" s="9" t="str">
        <x:f>IF(Y292&gt;=15,"先做合规/相关性复核，不建议直接商业导流",IF(L292="主站","建/优化主站商业页",IF(L292="博客A-知识教程","写知识教程/FAQ文章",IF(L292="博客B-场景人群","写场景需求/选购指南文章",IF(L292="博客C-对比评测","写对比评测/榜单文章","暂不做或人工复核")))))</x:f>
        <x:v>写知识教程/FAQ文章</x:v>
      </x:c>
      <x:c r="AC292" s="9" t="str">
        <x:v>ExDivo KUZ 25K Replaceable Pod Vape</x:v>
      </x:c>
      <x:c r="AD292" s="10" t="str">
        <x:v>25000 puffs</x:v>
      </x:c>
    </x:row>
    <x:row r="293">
      <x:c r="A293" s="34" t="n">
        <x:v>293</x:v>
      </x:c>
      <x:c r="B293" s="9" t="str">
        <x:v>https://exdivo.com/collections/全部?data_from=index_index</x:v>
      </x:c>
      <x:c r="C293" s="9" t="str">
        <x:v>complete vape range</x:v>
      </x:c>
      <x:c r="D293" s="9" t="str">
        <x:v>recommended</x:v>
      </x:c>
      <x:c r="E293" s="36" t="n">
        <x:v>0</x:v>
      </x:c>
      <x:c r="F293" s="36" t="n">
        <x:v>0</x:v>
      </x:c>
      <x:c r="G293" s="9" t="str">
        <x:v>48</x:v>
      </x:c>
      <x:c r="H293" s="9" t="str">
        <x:v>General Vape</x:v>
      </x:c>
      <x:c r="I293" s="9" t="str">
        <x:v>品类承接词</x:v>
      </x:c>
      <x:c r="J293" s="9" t="str">
        <x:v>主站</x:v>
      </x:c>
      <x:c r="K293" s="9" t="str"/>
      <x:c r="L293" s="9" t="str">
        <x:f>IF(K293="",J293,K293)</x:f>
        <x:v>主站</x:v>
      </x:c>
      <x:c r="M293" s="9" t="str">
        <x:v>品类页/集合页 + FAQ内容块</x:v>
      </x:c>
      <x:c r="N293" s="9" t="str">
        <x:v>主站品类页：用产品集合 + 选购说明承接</x:v>
      </x:c>
      <x:c r="O293" s="9" t="str">
        <x:v>/collections/disposable-vapes</x:v>
      </x:c>
      <x:c r="P293" s="9" t="str">
        <x:v>不适用</x:v>
      </x:c>
      <x:c r="Q293" s="9" t="str">
        <x:v>主站页面自身承接</x:v>
      </x:c>
      <x:c r="R293" s="9" t="str">
        <x:v>核心品类词：主站优先，博客只做长尾解释，不直接抢同一词</x:v>
      </x:c>
      <x:c r="S293" s="9" t="str">
        <x:v>如果 Google 首页产品页和指南混合，主站页要加 FAQ、选购指南、对比模块。</x:v>
      </x:c>
      <x:c r="T293" s="38" t="n">
        <x:v>1</x:v>
      </x:c>
      <x:c r="U293" s="38" t="n">
        <x:v>15</x:v>
      </x:c>
      <x:c r="V293" s="38" t="n">
        <x:v>16</x:v>
      </x:c>
      <x:c r="W293" s="38" t="n">
        <x:v>8</x:v>
      </x:c>
      <x:c r="X293" s="38" t="n">
        <x:v>15</x:v>
      </x:c>
      <x:c r="Y293" s="38" t="n">
        <x:v>4</x:v>
      </x:c>
      <x:c r="Z293" s="38" t="n">
        <x:f>MAX(0,MIN(100,ROUND(((T293+U293+V293+W293+X293)-Y293)/85*100,0)))</x:f>
        <x:v>60</x:v>
      </x:c>
      <x:c r="AA293" s="9" t="str">
        <x:f>IF(L293="暂不做","P3 暂缓",IF(Z293&gt;=75,"P0 本周做",IF(Z293&gt;=60,"P1 近期做",IF(Z293&gt;=45,"P2 备选","P3 暂缓"))))</x:f>
        <x:v>P1 近期做</x:v>
      </x:c>
      <x:c r="AB293" s="9" t="str">
        <x:f>IF(Y293&gt;=15,"先做合规/相关性复核，不建议直接商业导流",IF(L293="主站","建/优化主站商业页",IF(L293="博客A-知识教程","写知识教程/FAQ文章",IF(L293="博客B-场景人群","写场景需求/选购指南文章",IF(L293="博客C-对比评测","写对比评测/榜单文章","暂不做或人工复核")))))</x:f>
        <x:v>建/优化主站商业页</x:v>
      </x:c>
      <x:c r="AC293" s="9" t="str">
        <x:v>全部 - ExDivo</x:v>
      </x:c>
      <x:c r="AD293" s="10" t="str">
        <x:v>全部</x:v>
      </x:c>
    </x:row>
    <x:row r="294">
      <x:c r="A294" s="34" t="n">
        <x:v>294</x:v>
      </x:c>
      <x:c r="B294" s="9" t="str">
        <x:v>https://exdivo.com/collections/meifu?page=1</x:v>
      </x:c>
      <x:c r="C294" s="9" t="str">
        <x:v>vape models flora</x:v>
      </x:c>
      <x:c r="D294" s="9" t="str">
        <x:v>recommended</x:v>
      </x:c>
      <x:c r="E294" s="36" t="n">
        <x:v>0</x:v>
      </x:c>
      <x:c r="F294" s="36" t="n">
        <x:v>0</x:v>
      </x:c>
      <x:c r="G294" s="9" t="str">
        <x:v>48</x:v>
      </x:c>
      <x:c r="H294" s="9" t="str">
        <x:v>General Vape</x:v>
      </x:c>
      <x:c r="I294" s="9" t="str">
        <x:v>品类承接词</x:v>
      </x:c>
      <x:c r="J294" s="9" t="str">
        <x:v>主站</x:v>
      </x:c>
      <x:c r="K294" s="9" t="str"/>
      <x:c r="L294" s="9" t="str">
        <x:f>IF(K294="",J294,K294)</x:f>
        <x:v>主站</x:v>
      </x:c>
      <x:c r="M294" s="9" t="str">
        <x:v>品类页/集合页 + FAQ内容块</x:v>
      </x:c>
      <x:c r="N294" s="9" t="str">
        <x:v>主站品类页：用产品集合 + 选购说明承接</x:v>
      </x:c>
      <x:c r="O294" s="9" t="str">
        <x:v>/collections/disposable-vapes</x:v>
      </x:c>
      <x:c r="P294" s="9" t="str">
        <x:v>不适用</x:v>
      </x:c>
      <x:c r="Q294" s="9" t="str">
        <x:v>主站页面自身承接</x:v>
      </x:c>
      <x:c r="R294" s="9" t="str">
        <x:v>核心品类词：主站优先，博客只做长尾解释，不直接抢同一词</x:v>
      </x:c>
      <x:c r="S294" s="9" t="str">
        <x:v>如果 Google 首页产品页和指南混合，主站页要加 FAQ、选购指南、对比模块。</x:v>
      </x:c>
      <x:c r="T294" s="38" t="n">
        <x:v>1</x:v>
      </x:c>
      <x:c r="U294" s="38" t="n">
        <x:v>15</x:v>
      </x:c>
      <x:c r="V294" s="38" t="n">
        <x:v>16</x:v>
      </x:c>
      <x:c r="W294" s="38" t="n">
        <x:v>8</x:v>
      </x:c>
      <x:c r="X294" s="38" t="n">
        <x:v>15</x:v>
      </x:c>
      <x:c r="Y294" s="38" t="n">
        <x:v>4</x:v>
      </x:c>
      <x:c r="Z294" s="38" t="n">
        <x:f>MAX(0,MIN(100,ROUND(((T294+U294+V294+W294+X294)-Y294)/85*100,0)))</x:f>
        <x:v>60</x:v>
      </x:c>
      <x:c r="AA294" s="9" t="str">
        <x:f>IF(L294="暂不做","P3 暂缓",IF(Z294&gt;=75,"P0 本周做",IF(Z294&gt;=60,"P1 近期做",IF(Z294&gt;=45,"P2 备选","P3 暂缓"))))</x:f>
        <x:v>P1 近期做</x:v>
      </x:c>
      <x:c r="AB294" s="9" t="str">
        <x:f>IF(Y294&gt;=15,"先做合规/相关性复核，不建议直接商业导流",IF(L294="主站","建/优化主站商业页",IF(L294="博客A-知识教程","写知识教程/FAQ文章",IF(L294="博客B-场景人群","写场景需求/选购指南文章",IF(L294="博客C-对比评测","写对比评测/榜单文章","暂不做或人工复核")))))</x:f>
        <x:v>建/优化主站商业页</x:v>
      </x:c>
      <x:c r="AC294" s="9" t="str">
        <x:v>FLORA - ExDivo</x:v>
      </x:c>
      <x:c r="AD294" s="10" t="str">
        <x:v>flora</x:v>
      </x:c>
    </x:row>
    <x:row r="295">
      <x:c r="A295" s="34" t="n">
        <x:v>295</x:v>
      </x:c>
      <x:c r="B295" s="9" t="str">
        <x:v>https://exdivo.com/comments/exdivo-kuz-25k-replaceable-pod-vape_b963acca?writeComment=true</x:v>
      </x:c>
      <x:c r="C295" s="9" t="str">
        <x:v>best strawberry watermelon vape pods</x:v>
      </x:c>
      <x:c r="D295" s="9" t="str">
        <x:v>recommended</x:v>
      </x:c>
      <x:c r="E295" s="36" t="n">
        <x:v>0</x:v>
      </x:c>
      <x:c r="F295" s="36" t="n">
        <x:v>0</x:v>
      </x:c>
      <x:c r="G295" s="9" t="str">
        <x:v>48</x:v>
      </x:c>
      <x:c r="H295" s="9" t="str">
        <x:v>Pod Kit / Pod System</x:v>
      </x:c>
      <x:c r="I295" s="9" t="str">
        <x:v>商业调查词</x:v>
      </x:c>
      <x:c r="J295" s="9" t="str">
        <x:v>博客C-对比评测</x:v>
      </x:c>
      <x:c r="K295" s="9" t="str"/>
      <x:c r="L295" s="9" t="str">
        <x:f>IF(K295="",J295,K295)</x:f>
        <x:v>博客C-对比评测</x:v>
      </x:c>
      <x:c r="M295" s="9" t="str">
        <x:v>Best/Top/Review/VS/替代方案文章</x:v>
      </x:c>
      <x:c r="N295" s="9" t="str">
        <x:v>Best angle: best strawberry watermelon vape pods - comparison, pros/cons, and which option fits different buyers</x:v>
      </x:c>
      <x:c r="O295" s="9" t="str">
        <x:v>/collections/pod-kits</x:v>
      </x:c>
      <x:c r="P295" s="9" t="str">
        <x:v>是</x:v>
      </x:c>
      <x:c r="Q295" s="9" t="str">
        <x:v>自然句/品类词/品牌词</x:v>
      </x:c>
      <x:c r="R295" s="9" t="str">
        <x:v>中风险：榜单和评测必须真实、中立，避免夸大</x:v>
      </x:c>
      <x:c r="S295" s="9" t="str">
        <x:v>这类词不直接给主站，先用博客C教育和比较，再导流到最相关集合页。</x:v>
      </x:c>
      <x:c r="T295" s="38" t="n">
        <x:v>1</x:v>
      </x:c>
      <x:c r="U295" s="38" t="n">
        <x:v>15</x:v>
      </x:c>
      <x:c r="V295" s="38" t="n">
        <x:v>16</x:v>
      </x:c>
      <x:c r="W295" s="38" t="n">
        <x:v>15</x:v>
      </x:c>
      <x:c r="X295" s="38" t="n">
        <x:v>13</x:v>
      </x:c>
      <x:c r="Y295" s="38" t="n">
        <x:v>6</x:v>
      </x:c>
      <x:c r="Z295" s="38" t="n">
        <x:f>MAX(0,MIN(100,ROUND(((T295+U295+V295+W295+X295)-Y295)/85*100,0)))</x:f>
        <x:v>64</x:v>
      </x:c>
      <x:c r="AA295" s="9" t="str">
        <x:f>IF(L295="暂不做","P3 暂缓",IF(Z295&gt;=75,"P0 本周做",IF(Z295&gt;=60,"P1 近期做",IF(Z295&gt;=45,"P2 备选","P3 暂缓"))))</x:f>
        <x:v>P1 近期做</x:v>
      </x:c>
      <x:c r="AB295" s="9" t="str">
        <x:f>IF(Y295&gt;=15,"先做合规/相关性复核，不建议直接商业导流",IF(L295="主站","建/优化主站商业页",IF(L295="博客A-知识教程","写知识教程/FAQ文章",IF(L295="博客B-场景人群","写场景需求/选购指南文章",IF(L295="博客C-对比评测","写对比评测/榜单文章","暂不做或人工复核")))))</x:f>
        <x:v>写对比评测/榜单文章</x:v>
      </x:c>
      <x:c r="AC295" s="9" t="str">
        <x:v>Reviews - STRAWBERRY WATERMELON - ExDivo KUZ 25K Replaceable Pod Vape - ExDivo</x:v>
      </x:c>
      <x:c r="AD295" s="10" t="str">
        <x:v>48</x:v>
      </x:c>
    </x:row>
    <x:row r="296">
      <x:c r="A296" s="34" t="n">
        <x:v>296</x:v>
      </x:c>
      <x:c r="B296" s="9" t="str">
        <x:v>https://exdivo.com/comments/exdivo-kuz-25k-replaceable-pod-vape_b963acca?writeComment=true</x:v>
      </x:c>
      <x:c r="C296" s="9" t="str">
        <x:v>replaceable pod vape strawberry watermelon</x:v>
      </x:c>
      <x:c r="D296" s="9" t="str">
        <x:v>recommended</x:v>
      </x:c>
      <x:c r="E296" s="36" t="n">
        <x:v>0</x:v>
      </x:c>
      <x:c r="F296" s="36" t="n">
        <x:v>0</x:v>
      </x:c>
      <x:c r="G296" s="9" t="str">
        <x:v>48</x:v>
      </x:c>
      <x:c r="H296" s="9" t="str">
        <x:v>Pod Kit / Pod System</x:v>
      </x:c>
      <x:c r="I296" s="9" t="str">
        <x:v>内容词</x:v>
      </x:c>
      <x:c r="J296" s="9" t="str">
        <x:v>博客A-知识教程</x:v>
      </x:c>
      <x:c r="K296" s="9" t="str"/>
      <x:c r="L296" s="9" t="str">
        <x:f>IF(K296="",J296,K296)</x:f>
        <x:v>博客A-知识教程</x:v>
      </x:c>
      <x:c r="M296" s="9" t="str">
        <x:v>知识/教程文章</x:v>
      </x:c>
      <x:c r="N296" s="9" t="str">
        <x:v>Guide angle: explain replaceable pod vape strawberry watermelon, answer common questions, and avoid sales-first writing</x:v>
      </x:c>
      <x:c r="O296" s="9" t="str">
        <x:v>/collections/disposable-vapes 或最接近的产品集合页</x:v>
      </x:c>
      <x:c r="P296" s="9" t="str">
        <x:v>谨慎</x:v>
      </x:c>
      <x:c r="Q296" s="9" t="str">
        <x:v>品牌词/自然句</x:v>
      </x:c>
      <x:c r="R296" s="9" t="str">
        <x:v>低风险：按常规内容质量和搜索意图校验</x:v>
      </x:c>
      <x:c r="S296" s="9" t="str">
        <x:v>先看 Google SERP：如果首页多数为产品集合页，改回主站；如果多数为教程/问答，保持博客。</x:v>
      </x:c>
      <x:c r="T296" s="38" t="n">
        <x:v>1</x:v>
      </x:c>
      <x:c r="U296" s="38" t="n">
        <x:v>15</x:v>
      </x:c>
      <x:c r="V296" s="38" t="n">
        <x:v>10</x:v>
      </x:c>
      <x:c r="W296" s="38" t="n">
        <x:v>12</x:v>
      </x:c>
      <x:c r="X296" s="38" t="n">
        <x:v>12</x:v>
      </x:c>
      <x:c r="Y296" s="38" t="n">
        <x:v>4</x:v>
      </x:c>
      <x:c r="Z296" s="38" t="n">
        <x:f>MAX(0,MIN(100,ROUND(((T296+U296+V296+W296+X296)-Y296)/85*100,0)))</x:f>
        <x:v>54</x:v>
      </x:c>
      <x:c r="AA296" s="9" t="str">
        <x:f>IF(L296="暂不做","P3 暂缓",IF(Z296&gt;=75,"P0 本周做",IF(Z296&gt;=60,"P1 近期做",IF(Z296&gt;=45,"P2 备选","P3 暂缓"))))</x:f>
        <x:v>P2 备选</x:v>
      </x:c>
      <x:c r="AB296" s="9" t="str">
        <x:f>IF(Y296&gt;=15,"先做合规/相关性复核，不建议直接商业导流",IF(L296="主站","建/优化主站商业页",IF(L296="博客A-知识教程","写知识教程/FAQ文章",IF(L296="博客B-场景人群","写场景需求/选购指南文章",IF(L296="博客C-对比评测","写对比评测/榜单文章","暂不做或人工复核")))))</x:f>
        <x:v>写知识教程/FAQ文章</x:v>
      </x:c>
      <x:c r="AC296" s="9" t="str">
        <x:v>Reviews - STRAWBERRY WATERMELON - ExDivo KUZ 25K Replaceable Pod Vape - ExDivo</x:v>
      </x:c>
      <x:c r="AD296" s="10" t="str">
        <x:v>48</x:v>
      </x:c>
    </x:row>
    <x:row r="297">
      <x:c r="A297" s="34" t="n">
        <x:v>297</x:v>
      </x:c>
      <x:c r="B297" s="9" t="str">
        <x:v>https://exdivo.com/comments/exdivo-kuz-25k-replaceable-pod-vape_b963acca?writeComment=true</x:v>
      </x:c>
      <x:c r="C297" s="9" t="str">
        <x:v>strawberry watermelon vape review</x:v>
      </x:c>
      <x:c r="D297" s="9" t="str">
        <x:v>recommended</x:v>
      </x:c>
      <x:c r="E297" s="36" t="n">
        <x:v>0</x:v>
      </x:c>
      <x:c r="F297" s="36" t="n">
        <x:v>0</x:v>
      </x:c>
      <x:c r="G297" s="9" t="str">
        <x:v>48</x:v>
      </x:c>
      <x:c r="H297" s="9" t="str">
        <x:v>对比评测</x:v>
      </x:c>
      <x:c r="I297" s="9" t="str">
        <x:v>商业调查词</x:v>
      </x:c>
      <x:c r="J297" s="9" t="str">
        <x:v>博客C-对比评测</x:v>
      </x:c>
      <x:c r="K297" s="9" t="str"/>
      <x:c r="L297" s="9" t="str">
        <x:f>IF(K297="",J297,K297)</x:f>
        <x:v>博客C-对比评测</x:v>
      </x:c>
      <x:c r="M297" s="9" t="str">
        <x:v>Best/Top/Review/VS/替代方案文章</x:v>
      </x:c>
      <x:c r="N297" s="9" t="str">
        <x:v>Best angle: strawberry watermelon vape review - comparison, pros/cons, and which option fits different buyers</x:v>
      </x:c>
      <x:c r="O297" s="9" t="str">
        <x:v>/collections/disposable-vapes</x:v>
      </x:c>
      <x:c r="P297" s="9" t="str">
        <x:v>是</x:v>
      </x:c>
      <x:c r="Q297" s="9" t="str">
        <x:v>自然句/品类词/品牌词</x:v>
      </x:c>
      <x:c r="R297" s="9" t="str">
        <x:v>中风险：榜单和评测必须真实、中立，避免夸大</x:v>
      </x:c>
      <x:c r="S297" s="9" t="str">
        <x:v>这类词不直接给主站，先用博客C教育和比较，再导流到最相关集合页。</x:v>
      </x:c>
      <x:c r="T297" s="38" t="n">
        <x:v>1</x:v>
      </x:c>
      <x:c r="U297" s="38" t="n">
        <x:v>15</x:v>
      </x:c>
      <x:c r="V297" s="38" t="n">
        <x:v>16</x:v>
      </x:c>
      <x:c r="W297" s="38" t="n">
        <x:v>15</x:v>
      </x:c>
      <x:c r="X297" s="38" t="n">
        <x:v>13</x:v>
      </x:c>
      <x:c r="Y297" s="38" t="n">
        <x:v>6</x:v>
      </x:c>
      <x:c r="Z297" s="38" t="n">
        <x:f>MAX(0,MIN(100,ROUND(((T297+U297+V297+W297+X297)-Y297)/85*100,0)))</x:f>
        <x:v>64</x:v>
      </x:c>
      <x:c r="AA297" s="9" t="str">
        <x:f>IF(L297="暂不做","P3 暂缓",IF(Z297&gt;=75,"P0 本周做",IF(Z297&gt;=60,"P1 近期做",IF(Z297&gt;=45,"P2 备选","P3 暂缓"))))</x:f>
        <x:v>P1 近期做</x:v>
      </x:c>
      <x:c r="AB297" s="9" t="str">
        <x:f>IF(Y297&gt;=15,"先做合规/相关性复核，不建议直接商业导流",IF(L297="主站","建/优化主站商业页",IF(L297="博客A-知识教程","写知识教程/FAQ文章",IF(L297="博客B-场景人群","写场景需求/选购指南文章",IF(L297="博客C-对比评测","写对比评测/榜单文章","暂不做或人工复核")))))</x:f>
        <x:v>写对比评测/榜单文章</x:v>
      </x:c>
      <x:c r="AC297" s="9" t="str">
        <x:v>Reviews - STRAWBERRY WATERMELON - ExDivo KUZ 25K Replaceable Pod Vape - ExDivo</x:v>
      </x:c>
      <x:c r="AD297" s="10" t="str">
        <x:v>48</x:v>
      </x:c>
    </x:row>
    <x:row r="298">
      <x:c r="A298" s="34" t="n">
        <x:v>298</x:v>
      </x:c>
      <x:c r="B298" s="9" t="str">
        <x:v>https://exdivo.com/comments/exdivo-kuz-25k-replaceable-pod-vape_b963acca?writeComment=true</x:v>
      </x:c>
      <x:c r="C298" s="9" t="str">
        <x:v>strawberry watermelon vape pod review</x:v>
      </x:c>
      <x:c r="D298" s="9" t="str">
        <x:v>recommended</x:v>
      </x:c>
      <x:c r="E298" s="36" t="n">
        <x:v>0</x:v>
      </x:c>
      <x:c r="F298" s="36" t="n">
        <x:v>0</x:v>
      </x:c>
      <x:c r="G298" s="9" t="str">
        <x:v>48</x:v>
      </x:c>
      <x:c r="H298" s="9" t="str">
        <x:v>Pod Kit / Pod System</x:v>
      </x:c>
      <x:c r="I298" s="9" t="str">
        <x:v>商业调查词</x:v>
      </x:c>
      <x:c r="J298" s="9" t="str">
        <x:v>博客C-对比评测</x:v>
      </x:c>
      <x:c r="K298" s="9" t="str"/>
      <x:c r="L298" s="9" t="str">
        <x:f>IF(K298="",J298,K298)</x:f>
        <x:v>博客C-对比评测</x:v>
      </x:c>
      <x:c r="M298" s="9" t="str">
        <x:v>Best/Top/Review/VS/替代方案文章</x:v>
      </x:c>
      <x:c r="N298" s="9" t="str">
        <x:v>Best angle: strawberry watermelon vape pod review - comparison, pros/cons, and which option fits different buyers</x:v>
      </x:c>
      <x:c r="O298" s="9" t="str">
        <x:v>/collections/pod-kits</x:v>
      </x:c>
      <x:c r="P298" s="9" t="str">
        <x:v>是</x:v>
      </x:c>
      <x:c r="Q298" s="9" t="str">
        <x:v>自然句/品类词/品牌词</x:v>
      </x:c>
      <x:c r="R298" s="9" t="str">
        <x:v>中风险：榜单和评测必须真实、中立，避免夸大</x:v>
      </x:c>
      <x:c r="S298" s="9" t="str">
        <x:v>这类词不直接给主站，先用博客C教育和比较，再导流到最相关集合页。</x:v>
      </x:c>
      <x:c r="T298" s="38" t="n">
        <x:v>1</x:v>
      </x:c>
      <x:c r="U298" s="38" t="n">
        <x:v>15</x:v>
      </x:c>
      <x:c r="V298" s="38" t="n">
        <x:v>16</x:v>
      </x:c>
      <x:c r="W298" s="38" t="n">
        <x:v>15</x:v>
      </x:c>
      <x:c r="X298" s="38" t="n">
        <x:v>13</x:v>
      </x:c>
      <x:c r="Y298" s="38" t="n">
        <x:v>6</x:v>
      </x:c>
      <x:c r="Z298" s="38" t="n">
        <x:f>MAX(0,MIN(100,ROUND(((T298+U298+V298+W298+X298)-Y298)/85*100,0)))</x:f>
        <x:v>64</x:v>
      </x:c>
      <x:c r="AA298" s="9" t="str">
        <x:f>IF(L298="暂不做","P3 暂缓",IF(Z298&gt;=75,"P0 本周做",IF(Z298&gt;=60,"P1 近期做",IF(Z298&gt;=45,"P2 备选","P3 暂缓"))))</x:f>
        <x:v>P1 近期做</x:v>
      </x:c>
      <x:c r="AB298" s="9" t="str">
        <x:f>IF(Y298&gt;=15,"先做合规/相关性复核，不建议直接商业导流",IF(L298="主站","建/优化主站商业页",IF(L298="博客A-知识教程","写知识教程/FAQ文章",IF(L298="博客B-场景人群","写场景需求/选购指南文章",IF(L298="博客C-对比评测","写对比评测/榜单文章","暂不做或人工复核")))))</x:f>
        <x:v>写对比评测/榜单文章</x:v>
      </x:c>
      <x:c r="AC298" s="9" t="str">
        <x:v>Reviews - STRAWBERRY WATERMELON - ExDivo KUZ 25K Replaceable Pod Vape - ExDivo</x:v>
      </x:c>
      <x:c r="AD298" s="10" t="str">
        <x:v>48</x:v>
      </x:c>
    </x:row>
    <x:row r="299">
      <x:c r="A299" s="34" t="n">
        <x:v>299</x:v>
      </x:c>
      <x:c r="B299" s="9" t="str">
        <x:v>https://exdivo.com/collections/interstellar/products/exdivo-interstellar-35k-disposable-vape_d6ea723a?data_from=index_index&amp;spm=index_index..block_collection_slides-11702936.1.</x:v>
      </x:c>
      <x:c r="C299" s="9" t="str">
        <x:v>nexa vape 35000 puffs</x:v>
      </x:c>
      <x:c r="D299" s="9" t="str">
        <x:v>recommended</x:v>
      </x:c>
      <x:c r="E299" s="36" t="n">
        <x:v>70</x:v>
      </x:c>
      <x:c r="F299" s="36" t="n">
        <x:v>2</x:v>
      </x:c>
      <x:c r="G299" s="9" t="str">
        <x:v>informational, commercial</x:v>
      </x:c>
      <x:c r="H299" s="9" t="str">
        <x:v>General Vape</x:v>
      </x:c>
      <x:c r="I299" s="9" t="str">
        <x:v>品类承接词</x:v>
      </x:c>
      <x:c r="J299" s="9" t="str">
        <x:v>主站</x:v>
      </x:c>
      <x:c r="K299" s="9" t="str"/>
      <x:c r="L299" s="9" t="str">
        <x:f>IF(K299="",J299,K299)</x:f>
        <x:v>主站</x:v>
      </x:c>
      <x:c r="M299" s="9" t="str">
        <x:v>品类页/集合页 + FAQ内容块</x:v>
      </x:c>
      <x:c r="N299" s="9" t="str">
        <x:v>主站品类页：用产品集合 + 选购说明承接</x:v>
      </x:c>
      <x:c r="O299" s="9" t="str">
        <x:v>/collections/disposable-vapes</x:v>
      </x:c>
      <x:c r="P299" s="9" t="str">
        <x:v>不适用</x:v>
      </x:c>
      <x:c r="Q299" s="9" t="str">
        <x:v>主站页面自身承接</x:v>
      </x:c>
      <x:c r="R299" s="9" t="str">
        <x:v>核心品类词：主站优先，博客只做长尾解释，不直接抢同一词</x:v>
      </x:c>
      <x:c r="S299" s="9" t="str">
        <x:v>如果 Google 首页产品页和指南混合，主站页要加 FAQ、选购指南、对比模块。</x:v>
      </x:c>
      <x:c r="T299" s="38" t="n">
        <x:v>4</x:v>
      </x:c>
      <x:c r="U299" s="38" t="n">
        <x:v>15</x:v>
      </x:c>
      <x:c r="V299" s="38" t="n">
        <x:v>18</x:v>
      </x:c>
      <x:c r="W299" s="38" t="n">
        <x:v>8</x:v>
      </x:c>
      <x:c r="X299" s="38" t="n">
        <x:v>15</x:v>
      </x:c>
      <x:c r="Y299" s="38" t="n">
        <x:v>4</x:v>
      </x:c>
      <x:c r="Z299" s="38" t="n">
        <x:f>MAX(0,MIN(100,ROUND(((T299+U299+V299+W299+X299)-Y299)/85*100,0)))</x:f>
        <x:v>66</x:v>
      </x:c>
      <x:c r="AA299" s="9" t="str">
        <x:f>IF(L299="暂不做","P3 暂缓",IF(Z299&gt;=75,"P0 本周做",IF(Z299&gt;=60,"P1 近期做",IF(Z299&gt;=45,"P2 备选","P3 暂缓"))))</x:f>
        <x:v>P1 近期做</x:v>
      </x:c>
      <x:c r="AB299" s="9" t="str">
        <x:f>IF(Y299&gt;=15,"先做合规/相关性复核，不建议直接商业导流",IF(L299="主站","建/优化主站商业页",IF(L299="博客A-知识教程","写知识教程/FAQ文章",IF(L299="博客B-场景人群","写场景需求/选购指南文章",IF(L299="博客C-对比评测","写对比评测/榜单文章","暂不做或人工复核")))))</x:f>
        <x:v>建/优化主站商业页</x:v>
      </x:c>
      <x:c r="AC299" s="9" t="str">
        <x:v>ExDivo INTERSTELLAR 35K Disposable Vape</x:v>
      </x:c>
      <x:c r="AD299" s="10" t="str">
        <x:v>35000 puffs</x:v>
      </x:c>
    </x:row>
    <x:row r="300">
      <x:c r="A300" s="34" t="n">
        <x:v>300</x:v>
      </x:c>
      <x:c r="B300" s="9" t="str">
        <x:v>https://exdivo.com/collections/interstellar/products/exdivo-interstellar-35k-disposable-vape_d6ea723a?data_from=index_index&amp;spm=index_index..block_collection_slides-11702936.1.</x:v>
      </x:c>
      <x:c r="C300" s="9" t="str">
        <x:v>nexa vape 35000</x:v>
      </x:c>
      <x:c r="D300" s="9" t="str">
        <x:v>recommended</x:v>
      </x:c>
      <x:c r="E300" s="36" t="n">
        <x:v>40</x:v>
      </x:c>
      <x:c r="F300" s="36" t="n">
        <x:v>2</x:v>
      </x:c>
      <x:c r="G300" s="9" t="str">
        <x:v>informational, commercial</x:v>
      </x:c>
      <x:c r="H300" s="9" t="str">
        <x:v>General Vape</x:v>
      </x:c>
      <x:c r="I300" s="9" t="str">
        <x:v>品类承接词</x:v>
      </x:c>
      <x:c r="J300" s="9" t="str">
        <x:v>主站</x:v>
      </x:c>
      <x:c r="K300" s="9" t="str"/>
      <x:c r="L300" s="9" t="str">
        <x:f>IF(K300="",J300,K300)</x:f>
        <x:v>主站</x:v>
      </x:c>
      <x:c r="M300" s="9" t="str">
        <x:v>品类页/集合页 + FAQ内容块</x:v>
      </x:c>
      <x:c r="N300" s="9" t="str">
        <x:v>主站品类页：用产品集合 + 选购说明承接</x:v>
      </x:c>
      <x:c r="O300" s="9" t="str">
        <x:v>/collections/disposable-vapes</x:v>
      </x:c>
      <x:c r="P300" s="9" t="str">
        <x:v>不适用</x:v>
      </x:c>
      <x:c r="Q300" s="9" t="str">
        <x:v>主站页面自身承接</x:v>
      </x:c>
      <x:c r="R300" s="9" t="str">
        <x:v>核心品类词：主站优先，博客只做长尾解释，不直接抢同一词</x:v>
      </x:c>
      <x:c r="S300" s="9" t="str">
        <x:v>如果 Google 首页产品页和指南混合，主站页要加 FAQ、选购指南、对比模块。</x:v>
      </x:c>
      <x:c r="T300" s="38" t="n">
        <x:v>4</x:v>
      </x:c>
      <x:c r="U300" s="38" t="n">
        <x:v>15</x:v>
      </x:c>
      <x:c r="V300" s="38" t="n">
        <x:v>18</x:v>
      </x:c>
      <x:c r="W300" s="38" t="n">
        <x:v>8</x:v>
      </x:c>
      <x:c r="X300" s="38" t="n">
        <x:v>15</x:v>
      </x:c>
      <x:c r="Y300" s="38" t="n">
        <x:v>4</x:v>
      </x:c>
      <x:c r="Z300" s="38" t="n">
        <x:f>MAX(0,MIN(100,ROUND(((T300+U300+V300+W300+X300)-Y300)/85*100,0)))</x:f>
        <x:v>66</x:v>
      </x:c>
      <x:c r="AA300" s="9" t="str">
        <x:f>IF(L300="暂不做","P3 暂缓",IF(Z300&gt;=75,"P0 本周做",IF(Z300&gt;=60,"P1 近期做",IF(Z300&gt;=45,"P2 备选","P3 暂缓"))))</x:f>
        <x:v>P1 近期做</x:v>
      </x:c>
      <x:c r="AB300" s="9" t="str">
        <x:f>IF(Y300&gt;=15,"先做合规/相关性复核，不建议直接商业导流",IF(L300="主站","建/优化主站商业页",IF(L300="博客A-知识教程","写知识教程/FAQ文章",IF(L300="博客B-场景人群","写场景需求/选购指南文章",IF(L300="博客C-对比评测","写对比评测/榜单文章","暂不做或人工复核")))))</x:f>
        <x:v>建/优化主站商业页</x:v>
      </x:c>
      <x:c r="AC300" s="9" t="str">
        <x:v>ExDivo INTERSTELLAR 35K Disposable Vape</x:v>
      </x:c>
      <x:c r="AD300" s="10" t="str">
        <x:v>35000 puffs</x:v>
      </x:c>
    </x:row>
    <x:row r="301">
      <x:c r="A301" s="34" t="n">
        <x:v>301</x:v>
      </x:c>
      <x:c r="B301" s="9" t="str">
        <x:v>https://exdivo.com/collections/interstellar/products/exdivo-interstellar-35k-disposable-vape_d6ea723a?data_from=index_index&amp;spm=index_index..block_collection_slides-11702936.1.</x:v>
      </x:c>
      <x:c r="C301" s="9" t="str">
        <x:v>fasta vape 35000</x:v>
      </x:c>
      <x:c r="D301" s="9" t="str">
        <x:v>recommended</x:v>
      </x:c>
      <x:c r="E301" s="36" t="n">
        <x:v>40</x:v>
      </x:c>
      <x:c r="F301" s="36" t="n">
        <x:v>6</x:v>
      </x:c>
      <x:c r="G301" s="9" t="str">
        <x:v>informational, commercial</x:v>
      </x:c>
      <x:c r="H301" s="9" t="str">
        <x:v>General Vape</x:v>
      </x:c>
      <x:c r="I301" s="9" t="str">
        <x:v>品类承接词</x:v>
      </x:c>
      <x:c r="J301" s="9" t="str">
        <x:v>主站</x:v>
      </x:c>
      <x:c r="K301" s="9" t="str"/>
      <x:c r="L301" s="9" t="str">
        <x:f>IF(K301="",J301,K301)</x:f>
        <x:v>主站</x:v>
      </x:c>
      <x:c r="M301" s="9" t="str">
        <x:v>品类页/集合页 + FAQ内容块</x:v>
      </x:c>
      <x:c r="N301" s="9" t="str">
        <x:v>主站品类页：用产品集合 + 选购说明承接</x:v>
      </x:c>
      <x:c r="O301" s="9" t="str">
        <x:v>/collections/disposable-vapes</x:v>
      </x:c>
      <x:c r="P301" s="9" t="str">
        <x:v>不适用</x:v>
      </x:c>
      <x:c r="Q301" s="9" t="str">
        <x:v>主站页面自身承接</x:v>
      </x:c>
      <x:c r="R301" s="9" t="str">
        <x:v>核心品类词：主站优先，博客只做长尾解释，不直接抢同一词</x:v>
      </x:c>
      <x:c r="S301" s="9" t="str">
        <x:v>如果 Google 首页产品页和指南混合，主站页要加 FAQ、选购指南、对比模块。</x:v>
      </x:c>
      <x:c r="T301" s="38" t="n">
        <x:v>4</x:v>
      </x:c>
      <x:c r="U301" s="38" t="n">
        <x:v>15</x:v>
      </x:c>
      <x:c r="V301" s="38" t="n">
        <x:v>18</x:v>
      </x:c>
      <x:c r="W301" s="38" t="n">
        <x:v>8</x:v>
      </x:c>
      <x:c r="X301" s="38" t="n">
        <x:v>15</x:v>
      </x:c>
      <x:c r="Y301" s="38" t="n">
        <x:v>4</x:v>
      </x:c>
      <x:c r="Z301" s="38" t="n">
        <x:f>MAX(0,MIN(100,ROUND(((T301+U301+V301+W301+X301)-Y301)/85*100,0)))</x:f>
        <x:v>66</x:v>
      </x:c>
      <x:c r="AA301" s="9" t="str">
        <x:f>IF(L301="暂不做","P3 暂缓",IF(Z301&gt;=75,"P0 本周做",IF(Z301&gt;=60,"P1 近期做",IF(Z301&gt;=45,"P2 备选","P3 暂缓"))))</x:f>
        <x:v>P1 近期做</x:v>
      </x:c>
      <x:c r="AB301" s="9" t="str">
        <x:f>IF(Y301&gt;=15,"先做合规/相关性复核，不建议直接商业导流",IF(L301="主站","建/优化主站商业页",IF(L301="博客A-知识教程","写知识教程/FAQ文章",IF(L301="博客B-场景人群","写场景需求/选购指南文章",IF(L301="博客C-对比评测","写对比评测/榜单文章","暂不做或人工复核")))))</x:f>
        <x:v>建/优化主站商业页</x:v>
      </x:c>
      <x:c r="AC301" s="9" t="str">
        <x:v>ExDivo INTERSTELLAR 35K Disposable Vape</x:v>
      </x:c>
      <x:c r="AD301" s="10" t="str">
        <x:v>35000 puffs</x:v>
      </x:c>
    </x:row>
    <x:row r="302">
      <x:c r="A302" s="34" t="n">
        <x:v>302</x:v>
      </x:c>
      <x:c r="B302" s="9" t="str">
        <x:v>https://exdivo.com/collections/interstellar/products/exdivo-interstellar-35k-disposable-vape_d6ea723a?data_from=index_index&amp;spm=index_index..block_collection_slides-11702936.1.</x:v>
      </x:c>
      <x:c r="C302" s="9" t="str">
        <x:v>exdivo 35k puffs</x:v>
      </x:c>
      <x:c r="D302" s="9" t="str">
        <x:v>recommended</x:v>
      </x:c>
      <x:c r="E302" s="36" t="n">
        <x:v>0</x:v>
      </x:c>
      <x:c r="F302" s="36" t="n">
        <x:v>0</x:v>
      </x:c>
      <x:c r="G302" s="9" t="str">
        <x:v>48</x:v>
      </x:c>
      <x:c r="H302" s="9" t="str">
        <x:v>General Vape</x:v>
      </x:c>
      <x:c r="I302" s="9" t="str">
        <x:v>弱相关词</x:v>
      </x:c>
      <x:c r="J302" s="9" t="str">
        <x:v>暂不做</x:v>
      </x:c>
      <x:c r="K302" s="9" t="str"/>
      <x:c r="L302" s="9" t="str">
        <x:f>IF(K302="",J302,K302)</x:f>
        <x:v>暂不做</x:v>
      </x:c>
      <x:c r="M302" s="9" t="str">
        <x:v>不建议建页</x:v>
      </x:c>
      <x:c r="N302" s="9" t="str">
        <x:v>不进入内容生产</x:v>
      </x:c>
      <x:c r="O302" s="9" t="str">
        <x:v>无</x:v>
      </x:c>
      <x:c r="P302" s="9" t="str">
        <x:v>否</x:v>
      </x:c>
      <x:c r="Q302" s="9" t="str">
        <x:v>不导流</x:v>
      </x:c>
      <x:c r="R302" s="9" t="str">
        <x:v>相关性弱：可能带来无效流量或偏离产品定位</x:v>
      </x:c>
      <x:c r="S302" s="9" t="str">
        <x:v>除非人工确认与核心产品强相关，否则不要进入内容排期。</x:v>
      </x:c>
      <x:c r="T302" s="38" t="n">
        <x:v>1</x:v>
      </x:c>
      <x:c r="U302" s="38" t="n">
        <x:v>15</x:v>
      </x:c>
      <x:c r="V302" s="38" t="n">
        <x:v>2</x:v>
      </x:c>
      <x:c r="W302" s="38" t="n">
        <x:v>3</x:v>
      </x:c>
      <x:c r="X302" s="38" t="n">
        <x:v>2</x:v>
      </x:c>
      <x:c r="Y302" s="38" t="n">
        <x:v>16</x:v>
      </x:c>
      <x:c r="Z302" s="38" t="n">
        <x:f>MAX(0,MIN(100,ROUND(((T302+U302+V302+W302+X302)-Y302)/85*100,0)))</x:f>
        <x:v>8</x:v>
      </x:c>
      <x:c r="AA302" s="9" t="str">
        <x:f>IF(L302="暂不做","P3 暂缓",IF(Z302&gt;=75,"P0 本周做",IF(Z302&gt;=60,"P1 近期做",IF(Z302&gt;=45,"P2 备选","P3 暂缓"))))</x:f>
        <x:v>P3 暂缓</x:v>
      </x:c>
      <x:c r="AB302" s="9" t="str">
        <x:f>IF(Y302&gt;=15,"先做合规/相关性复核，不建议直接商业导流",IF(L302="主站","建/优化主站商业页",IF(L302="博客A-知识教程","写知识教程/FAQ文章",IF(L302="博客B-场景人群","写场景需求/选购指南文章",IF(L302="博客C-对比评测","写对比评测/榜单文章","暂不做或人工复核")))))</x:f>
        <x:v>先做合规/相关性复核，不建议直接商业导流</x:v>
      </x:c>
      <x:c r="AC302" s="9" t="str">
        <x:v>ExDivo INTERSTELLAR 35K Disposable Vape</x:v>
      </x:c>
      <x:c r="AD302" s="10" t="str">
        <x:v>35000 puffs</x:v>
      </x:c>
    </x:row>
    <x:row r="303">
      <x:c r="A303" s="34" t="n">
        <x:v>303</x:v>
      </x:c>
      <x:c r="B303" s="9" t="str">
        <x:v>https://exdivo.com/collections/interstellar/products/exdivo-interstellar-35k-disposable-vape_d6ea723a?data_from=index_index&amp;spm=index_index..block_collection_slides-11702936.1.</x:v>
      </x:c>
      <x:c r="C303" s="9" t="str">
        <x:v>exdivo vape flavors 35000</x:v>
      </x:c>
      <x:c r="D303" s="9" t="str">
        <x:v>recommended</x:v>
      </x:c>
      <x:c r="E303" s="36" t="n">
        <x:v>0</x:v>
      </x:c>
      <x:c r="F303" s="36" t="n">
        <x:v>0</x:v>
      </x:c>
      <x:c r="G303" s="9" t="str">
        <x:v>48</x:v>
      </x:c>
      <x:c r="H303" s="9" t="str">
        <x:v>Flavor / 口味</x:v>
      </x:c>
      <x:c r="I303" s="9" t="str">
        <x:v>场景/需求词</x:v>
      </x:c>
      <x:c r="J303" s="9" t="str">
        <x:v>博客B-场景人群</x:v>
      </x:c>
      <x:c r="K303" s="9" t="str"/>
      <x:c r="L303" s="9" t="str">
        <x:f>IF(K303="",J303,K303)</x:f>
        <x:v>博客B-场景人群</x:v>
      </x:c>
      <x:c r="M303" s="9" t="str">
        <x:v>场景解决方案/选购指南文章</x:v>
      </x:c>
      <x:c r="N303" s="9" t="str">
        <x:v>Scenario angle: how to choose exdivo vape flavors 35000 based on use case, flavor, nicotine, and budget</x:v>
      </x:c>
      <x:c r="O303" s="9" t="str">
        <x:v>/collections/flavored-disposable-vapes</x:v>
      </x:c>
      <x:c r="P303" s="9" t="str">
        <x:v>是</x:v>
      </x:c>
      <x:c r="Q303" s="9" t="str">
        <x:v>自然句/品类词</x:v>
      </x:c>
      <x:c r="R303" s="9" t="str">
        <x:v>低中风险：适合软性导流，但不要夸大效果或触碰健康疗效</x:v>
      </x:c>
      <x:c r="S303" s="9" t="str">
        <x:v>围绕使用场景、口味、尼古丁需求、便携性等写，不和主站品类页抢词。</x:v>
      </x:c>
      <x:c r="T303" s="38" t="n">
        <x:v>1</x:v>
      </x:c>
      <x:c r="U303" s="38" t="n">
        <x:v>15</x:v>
      </x:c>
      <x:c r="V303" s="38" t="n">
        <x:v>13</x:v>
      </x:c>
      <x:c r="W303" s="38" t="n">
        <x:v>14</x:v>
      </x:c>
      <x:c r="X303" s="38" t="n">
        <x:v>13</x:v>
      </x:c>
      <x:c r="Y303" s="38" t="n">
        <x:v>5</x:v>
      </x:c>
      <x:c r="Z303" s="38" t="n">
        <x:f>MAX(0,MIN(100,ROUND(((T303+U303+V303+W303+X303)-Y303)/85*100,0)))</x:f>
        <x:v>60</x:v>
      </x:c>
      <x:c r="AA303" s="9" t="str">
        <x:f>IF(L303="暂不做","P3 暂缓",IF(Z303&gt;=75,"P0 本周做",IF(Z303&gt;=60,"P1 近期做",IF(Z303&gt;=45,"P2 备选","P3 暂缓"))))</x:f>
        <x:v>P1 近期做</x:v>
      </x:c>
      <x:c r="AB303" s="9" t="str">
        <x:f>IF(Y303&gt;=15,"先做合规/相关性复核，不建议直接商业导流",IF(L303="主站","建/优化主站商业页",IF(L303="博客A-知识教程","写知识教程/FAQ文章",IF(L303="博客B-场景人群","写场景需求/选购指南文章",IF(L303="博客C-对比评测","写对比评测/榜单文章","暂不做或人工复核")))))</x:f>
        <x:v>写场景需求/选购指南文章</x:v>
      </x:c>
      <x:c r="AC303" s="9" t="str">
        <x:v>ExDivo INTERSTELLAR 35K Disposable Vape</x:v>
      </x:c>
      <x:c r="AD303" s="10" t="str">
        <x:v>35000 puffs</x:v>
      </x:c>
    </x:row>
    <x:row r="304">
      <x:c r="A304" s="34" t="n">
        <x:v>304</x:v>
      </x:c>
      <x:c r="B304" s="9" t="str">
        <x:v>https://exdivo.com/collections/interstellar/products/exdivo-interstellar-35k-disposable-vape_d6ea723a?data_from=index_index&amp;spm=index_index..block_collection_slides-11702936.1.</x:v>
      </x:c>
      <x:c r="C304" s="9" t="str">
        <x:v>35k puffs vape</x:v>
      </x:c>
      <x:c r="D304" s="9" t="str">
        <x:v>recommended</x:v>
      </x:c>
      <x:c r="E304" s="36" t="n">
        <x:v>0</x:v>
      </x:c>
      <x:c r="F304" s="36" t="n">
        <x:v>0</x:v>
      </x:c>
      <x:c r="G304" s="9" t="str">
        <x:v>48</x:v>
      </x:c>
      <x:c r="H304" s="9" t="str">
        <x:v>General Vape</x:v>
      </x:c>
      <x:c r="I304" s="9" t="str">
        <x:v>品类承接词</x:v>
      </x:c>
      <x:c r="J304" s="9" t="str">
        <x:v>主站</x:v>
      </x:c>
      <x:c r="K304" s="9" t="str"/>
      <x:c r="L304" s="9" t="str">
        <x:f>IF(K304="",J304,K304)</x:f>
        <x:v>主站</x:v>
      </x:c>
      <x:c r="M304" s="9" t="str">
        <x:v>品类页/集合页 + FAQ内容块</x:v>
      </x:c>
      <x:c r="N304" s="9" t="str">
        <x:v>主站品类页：用产品集合 + 选购说明承接</x:v>
      </x:c>
      <x:c r="O304" s="9" t="str">
        <x:v>/collections/disposable-vapes</x:v>
      </x:c>
      <x:c r="P304" s="9" t="str">
        <x:v>不适用</x:v>
      </x:c>
      <x:c r="Q304" s="9" t="str">
        <x:v>主站页面自身承接</x:v>
      </x:c>
      <x:c r="R304" s="9" t="str">
        <x:v>核心品类词：主站优先，博客只做长尾解释，不直接抢同一词</x:v>
      </x:c>
      <x:c r="S304" s="9" t="str">
        <x:v>如果 Google 首页产品页和指南混合，主站页要加 FAQ、选购指南、对比模块。</x:v>
      </x:c>
      <x:c r="T304" s="38" t="n">
        <x:v>1</x:v>
      </x:c>
      <x:c r="U304" s="38" t="n">
        <x:v>15</x:v>
      </x:c>
      <x:c r="V304" s="38" t="n">
        <x:v>16</x:v>
      </x:c>
      <x:c r="W304" s="38" t="n">
        <x:v>8</x:v>
      </x:c>
      <x:c r="X304" s="38" t="n">
        <x:v>15</x:v>
      </x:c>
      <x:c r="Y304" s="38" t="n">
        <x:v>4</x:v>
      </x:c>
      <x:c r="Z304" s="38" t="n">
        <x:f>MAX(0,MIN(100,ROUND(((T304+U304+V304+W304+X304)-Y304)/85*100,0)))</x:f>
        <x:v>60</x:v>
      </x:c>
      <x:c r="AA304" s="9" t="str">
        <x:f>IF(L304="暂不做","P3 暂缓",IF(Z304&gt;=75,"P0 本周做",IF(Z304&gt;=60,"P1 近期做",IF(Z304&gt;=45,"P2 备选","P3 暂缓"))))</x:f>
        <x:v>P1 近期做</x:v>
      </x:c>
      <x:c r="AB304" s="9" t="str">
        <x:f>IF(Y304&gt;=15,"先做合规/相关性复核，不建议直接商业导流",IF(L304="主站","建/优化主站商业页",IF(L304="博客A-知识教程","写知识教程/FAQ文章",IF(L304="博客B-场景人群","写场景需求/选购指南文章",IF(L304="博客C-对比评测","写对比评测/榜单文章","暂不做或人工复核")))))</x:f>
        <x:v>建/优化主站商业页</x:v>
      </x:c>
      <x:c r="AC304" s="9" t="str">
        <x:v>ExDivo INTERSTELLAR 35K Disposable Vape</x:v>
      </x:c>
      <x:c r="AD304" s="10" t="str">
        <x:v>35000 puffs</x:v>
      </x:c>
    </x:row>
    <x:row r="305">
      <x:c r="A305" s="34" t="n">
        <x:v>305</x:v>
      </x:c>
      <x:c r="B305" s="9" t="str">
        <x:v>https://exdivo.com/collections/interstellar/products/exdivo-interstellar-35k-disposable-vape_d6ea723a?data_from=index_index&amp;spm=index_index..block_collection_slides-11702936.1.</x:v>
      </x:c>
      <x:c r="C305" s="9" t="str">
        <x:v>30k vape</x:v>
      </x:c>
      <x:c r="D305" s="9" t="str">
        <x:v>recommended</x:v>
      </x:c>
      <x:c r="E305" s="36" t="n">
        <x:v>50</x:v>
      </x:c>
      <x:c r="F305" s="36" t="n">
        <x:v>10</x:v>
      </x:c>
      <x:c r="G305" s="9" t="str">
        <x:v>commercial</x:v>
      </x:c>
      <x:c r="H305" s="9" t="str">
        <x:v>General Vape</x:v>
      </x:c>
      <x:c r="I305" s="9" t="str">
        <x:v>品类承接词</x:v>
      </x:c>
      <x:c r="J305" s="9" t="str">
        <x:v>主站</x:v>
      </x:c>
      <x:c r="K305" s="9" t="str"/>
      <x:c r="L305" s="9" t="str">
        <x:f>IF(K305="",J305,K305)</x:f>
        <x:v>主站</x:v>
      </x:c>
      <x:c r="M305" s="9" t="str">
        <x:v>品类页/集合页 + FAQ内容块</x:v>
      </x:c>
      <x:c r="N305" s="9" t="str">
        <x:v>主站品类页：用产品集合 + 选购说明承接</x:v>
      </x:c>
      <x:c r="O305" s="9" t="str">
        <x:v>/collections/disposable-vapes</x:v>
      </x:c>
      <x:c r="P305" s="9" t="str">
        <x:v>不适用</x:v>
      </x:c>
      <x:c r="Q305" s="9" t="str">
        <x:v>主站页面自身承接</x:v>
      </x:c>
      <x:c r="R305" s="9" t="str">
        <x:v>核心品类词：主站优先，博客只做长尾解释，不直接抢同一词</x:v>
      </x:c>
      <x:c r="S305" s="9" t="str">
        <x:v>如果 Google 首页产品页和指南混合，主站页要加 FAQ、选购指南、对比模块。</x:v>
      </x:c>
      <x:c r="T305" s="38" t="n">
        <x:v>4</x:v>
      </x:c>
      <x:c r="U305" s="38" t="n">
        <x:v>15</x:v>
      </x:c>
      <x:c r="V305" s="38" t="n">
        <x:v>18</x:v>
      </x:c>
      <x:c r="W305" s="38" t="n">
        <x:v>8</x:v>
      </x:c>
      <x:c r="X305" s="38" t="n">
        <x:v>15</x:v>
      </x:c>
      <x:c r="Y305" s="38" t="n">
        <x:v>4</x:v>
      </x:c>
      <x:c r="Z305" s="38" t="n">
        <x:f>MAX(0,MIN(100,ROUND(((T305+U305+V305+W305+X305)-Y305)/85*100,0)))</x:f>
        <x:v>66</x:v>
      </x:c>
      <x:c r="AA305" s="9" t="str">
        <x:f>IF(L305="暂不做","P3 暂缓",IF(Z305&gt;=75,"P0 本周做",IF(Z305&gt;=60,"P1 近期做",IF(Z305&gt;=45,"P2 备选","P3 暂缓"))))</x:f>
        <x:v>P1 近期做</x:v>
      </x:c>
      <x:c r="AB305" s="9" t="str">
        <x:f>IF(Y305&gt;=15,"先做合规/相关性复核，不建议直接商业导流",IF(L305="主站","建/优化主站商业页",IF(L305="博客A-知识教程","写知识教程/FAQ文章",IF(L305="博客B-场景人群","写场景需求/选购指南文章",IF(L305="博客C-对比评测","写对比评测/榜单文章","暂不做或人工复核")))))</x:f>
        <x:v>建/优化主站商业页</x:v>
      </x:c>
      <x:c r="AC305" s="9" t="str">
        <x:v>ExDivo INTERSTELLAR 35K Disposable Vape</x:v>
      </x:c>
      <x:c r="AD305" s="10" t="str">
        <x:v>35000 puffs</x:v>
      </x:c>
    </x:row>
    <x:row r="306">
      <x:c r="A306" s="34" t="n">
        <x:v>306</x:v>
      </x:c>
      <x:c r="B306" s="9" t="str">
        <x:v>https://exdivo.com/blogs/best-disposable-vape-flavors-in-2026-top-10-most-popular-choices</x:v>
      </x:c>
      <x:c r="C306" s="9" t="str">
        <x:v>what are the best disposable vapes</x:v>
      </x:c>
      <x:c r="D306" s="9" t="str">
        <x:v>recommended</x:v>
      </x:c>
      <x:c r="E306" s="36" t="n">
        <x:v>170</x:v>
      </x:c>
      <x:c r="F306" s="36" t="n">
        <x:v>22</x:v>
      </x:c>
      <x:c r="G306" s="9" t="str">
        <x:v>commercial</x:v>
      </x:c>
      <x:c r="H306" s="9" t="str">
        <x:v>Disposable Vape</x:v>
      </x:c>
      <x:c r="I306" s="9" t="str">
        <x:v>商业调查词</x:v>
      </x:c>
      <x:c r="J306" s="9" t="str">
        <x:v>博客C-对比评测</x:v>
      </x:c>
      <x:c r="K306" s="9" t="str"/>
      <x:c r="L306" s="9" t="str">
        <x:f>IF(K306="",J306,K306)</x:f>
        <x:v>博客C-对比评测</x:v>
      </x:c>
      <x:c r="M306" s="9" t="str">
        <x:v>Best/Top/Review/VS/替代方案文章</x:v>
      </x:c>
      <x:c r="N306" s="9" t="str">
        <x:v>Best angle: what are the best disposable vapes - comparison, pros/cons, and which option fits different buyers</x:v>
      </x:c>
      <x:c r="O306" s="9" t="str">
        <x:v>/collections/disposable-vapes</x:v>
      </x:c>
      <x:c r="P306" s="9" t="str">
        <x:v>是</x:v>
      </x:c>
      <x:c r="Q306" s="9" t="str">
        <x:v>自然句/品类词/品牌词</x:v>
      </x:c>
      <x:c r="R306" s="9" t="str">
        <x:v>中风险：榜单和评测必须真实、中立，避免夸大</x:v>
      </x:c>
      <x:c r="S306" s="9" t="str">
        <x:v>这类词不直接给主站，先用博客C教育和比较，再导流到最相关集合页。</x:v>
      </x:c>
      <x:c r="T306" s="38" t="n">
        <x:v>7</x:v>
      </x:c>
      <x:c r="U306" s="38" t="n">
        <x:v>12</x:v>
      </x:c>
      <x:c r="V306" s="38" t="n">
        <x:v>16</x:v>
      </x:c>
      <x:c r="W306" s="38" t="n">
        <x:v>15</x:v>
      </x:c>
      <x:c r="X306" s="38" t="n">
        <x:v>13</x:v>
      </x:c>
      <x:c r="Y306" s="38" t="n">
        <x:v>6</x:v>
      </x:c>
      <x:c r="Z306" s="38" t="n">
        <x:f>MAX(0,MIN(100,ROUND(((T306+U306+V306+W306+X306)-Y306)/85*100,0)))</x:f>
        <x:v>67</x:v>
      </x:c>
      <x:c r="AA306" s="9" t="str">
        <x:f>IF(L306="暂不做","P3 暂缓",IF(Z306&gt;=75,"P0 本周做",IF(Z306&gt;=60,"P1 近期做",IF(Z306&gt;=45,"P2 备选","P3 暂缓"))))</x:f>
        <x:v>P1 近期做</x:v>
      </x:c>
      <x:c r="AB306" s="9" t="str">
        <x:f>IF(Y306&gt;=15,"先做合规/相关性复核，不建议直接商业导流",IF(L306="主站","建/优化主站商业页",IF(L306="博客A-知识教程","写知识教程/FAQ文章",IF(L306="博客B-场景人群","写场景需求/选购指南文章",IF(L306="博客C-对比评测","写对比评测/榜单文章","暂不做或人工复核")))))</x:f>
        <x:v>写对比评测/榜单文章</x:v>
      </x:c>
      <x:c r="AC306" s="9" t="str">
        <x:v>Best Disposable Vape Flavors in 2026: Top 10 Most Popular Choices - ExDivo</x:v>
      </x:c>
      <x:c r="AD306" s="10" t="str">
        <x:v>best disposable vape flavors in 2026: top 10 most popular choices</x:v>
      </x:c>
    </x:row>
    <x:row r="307">
      <x:c r="A307" s="34" t="n">
        <x:v>307</x:v>
      </x:c>
      <x:c r="B307" s="9" t="str">
        <x:v>https://exdivo.com/blogs/best-disposable-vape-flavors-in-2026-top-10-most-popular-choices</x:v>
      </x:c>
      <x:c r="C307" s="9" t="str">
        <x:v>what is the most popular vape</x:v>
      </x:c>
      <x:c r="D307" s="9" t="str">
        <x:v>recommended</x:v>
      </x:c>
      <x:c r="E307" s="36" t="n">
        <x:v>70</x:v>
      </x:c>
      <x:c r="F307" s="36" t="n">
        <x:v>21</x:v>
      </x:c>
      <x:c r="G307" s="9" t="str">
        <x:v>informational, commercial</x:v>
      </x:c>
      <x:c r="H307" s="9" t="str">
        <x:v>对比评测</x:v>
      </x:c>
      <x:c r="I307" s="9" t="str">
        <x:v>商业调查词</x:v>
      </x:c>
      <x:c r="J307" s="9" t="str">
        <x:v>博客C-对比评测</x:v>
      </x:c>
      <x:c r="K307" s="9" t="str"/>
      <x:c r="L307" s="9" t="str">
        <x:f>IF(K307="",J307,K307)</x:f>
        <x:v>博客C-对比评测</x:v>
      </x:c>
      <x:c r="M307" s="9" t="str">
        <x:v>Best/Top/Review/VS/替代方案文章</x:v>
      </x:c>
      <x:c r="N307" s="9" t="str">
        <x:v>Best angle: what is the most popular vape - comparison, pros/cons, and which option fits different buyers</x:v>
      </x:c>
      <x:c r="O307" s="9" t="str">
        <x:v>/collections/disposable-vapes</x:v>
      </x:c>
      <x:c r="P307" s="9" t="str">
        <x:v>是</x:v>
      </x:c>
      <x:c r="Q307" s="9" t="str">
        <x:v>自然句/品类词/品牌词</x:v>
      </x:c>
      <x:c r="R307" s="9" t="str">
        <x:v>中风险：榜单和评测必须真实、中立，避免夸大</x:v>
      </x:c>
      <x:c r="S307" s="9" t="str">
        <x:v>这类词不直接给主站，先用博客C教育和比较，再导流到最相关集合页。</x:v>
      </x:c>
      <x:c r="T307" s="38" t="n">
        <x:v>4</x:v>
      </x:c>
      <x:c r="U307" s="38" t="n">
        <x:v>12</x:v>
      </x:c>
      <x:c r="V307" s="38" t="n">
        <x:v>16</x:v>
      </x:c>
      <x:c r="W307" s="38" t="n">
        <x:v>15</x:v>
      </x:c>
      <x:c r="X307" s="38" t="n">
        <x:v>13</x:v>
      </x:c>
      <x:c r="Y307" s="38" t="n">
        <x:v>6</x:v>
      </x:c>
      <x:c r="Z307" s="38" t="n">
        <x:f>MAX(0,MIN(100,ROUND(((T307+U307+V307+W307+X307)-Y307)/85*100,0)))</x:f>
        <x:v>64</x:v>
      </x:c>
      <x:c r="AA307" s="9" t="str">
        <x:f>IF(L307="暂不做","P3 暂缓",IF(Z307&gt;=75,"P0 本周做",IF(Z307&gt;=60,"P1 近期做",IF(Z307&gt;=45,"P2 备选","P3 暂缓"))))</x:f>
        <x:v>P1 近期做</x:v>
      </x:c>
      <x:c r="AB307" s="9" t="str">
        <x:f>IF(Y307&gt;=15,"先做合规/相关性复核，不建议直接商业导流",IF(L307="主站","建/优化主站商业页",IF(L307="博客A-知识教程","写知识教程/FAQ文章",IF(L307="博客B-场景人群","写场景需求/选购指南文章",IF(L307="博客C-对比评测","写对比评测/榜单文章","暂不做或人工复核")))))</x:f>
        <x:v>写对比评测/榜单文章</x:v>
      </x:c>
      <x:c r="AC307" s="9" t="str">
        <x:v>Best Disposable Vape Flavors in 2026: Top 10 Most Popular Choices - ExDivo</x:v>
      </x:c>
      <x:c r="AD307" s="10" t="str">
        <x:v>best disposable vape flavors in 2026: top 10 most popular choices</x:v>
      </x:c>
    </x:row>
    <x:row r="308">
      <x:c r="A308" s="34" t="n">
        <x:v>308</x:v>
      </x:c>
      <x:c r="B308" s="9" t="str">
        <x:v>https://exdivo.com/blogs/best-disposable-vape-flavors-in-2026-top-10-most-popular-choices</x:v>
      </x:c>
      <x:c r="C308" s="9" t="str">
        <x:v>what is the most popular vape brand</x:v>
      </x:c>
      <x:c r="D308" s="9" t="str">
        <x:v>recommended</x:v>
      </x:c>
      <x:c r="E308" s="36" t="n">
        <x:v>50</x:v>
      </x:c>
      <x:c r="F308" s="36" t="n">
        <x:v>14</x:v>
      </x:c>
      <x:c r="G308" s="9" t="str">
        <x:v>informational, commercial</x:v>
      </x:c>
      <x:c r="H308" s="9" t="str">
        <x:v>对比评测</x:v>
      </x:c>
      <x:c r="I308" s="9" t="str">
        <x:v>商业调查词</x:v>
      </x:c>
      <x:c r="J308" s="9" t="str">
        <x:v>博客C-对比评测</x:v>
      </x:c>
      <x:c r="K308" s="9" t="str"/>
      <x:c r="L308" s="9" t="str">
        <x:f>IF(K308="",J308,K308)</x:f>
        <x:v>博客C-对比评测</x:v>
      </x:c>
      <x:c r="M308" s="9" t="str">
        <x:v>Best/Top/Review/VS/替代方案文章</x:v>
      </x:c>
      <x:c r="N308" s="9" t="str">
        <x:v>Best angle: what is the most popular vape brand - comparison, pros/cons, and which option fits different buyers</x:v>
      </x:c>
      <x:c r="O308" s="9" t="str">
        <x:v>/collections/disposable-vapes</x:v>
      </x:c>
      <x:c r="P308" s="9" t="str">
        <x:v>是</x:v>
      </x:c>
      <x:c r="Q308" s="9" t="str">
        <x:v>自然句/品类词/品牌词</x:v>
      </x:c>
      <x:c r="R308" s="9" t="str">
        <x:v>中风险：榜单和评测必须真实、中立，避免夸大</x:v>
      </x:c>
      <x:c r="S308" s="9" t="str">
        <x:v>这类词不直接给主站，先用博客C教育和比较，再导流到最相关集合页。</x:v>
      </x:c>
      <x:c r="T308" s="38" t="n">
        <x:v>4</x:v>
      </x:c>
      <x:c r="U308" s="38" t="n">
        <x:v>15</x:v>
      </x:c>
      <x:c r="V308" s="38" t="n">
        <x:v>16</x:v>
      </x:c>
      <x:c r="W308" s="38" t="n">
        <x:v>15</x:v>
      </x:c>
      <x:c r="X308" s="38" t="n">
        <x:v>13</x:v>
      </x:c>
      <x:c r="Y308" s="38" t="n">
        <x:v>6</x:v>
      </x:c>
      <x:c r="Z308" s="38" t="n">
        <x:f>MAX(0,MIN(100,ROUND(((T308+U308+V308+W308+X308)-Y308)/85*100,0)))</x:f>
        <x:v>67</x:v>
      </x:c>
      <x:c r="AA308" s="9" t="str">
        <x:f>IF(L308="暂不做","P3 暂缓",IF(Z308&gt;=75,"P0 本周做",IF(Z308&gt;=60,"P1 近期做",IF(Z308&gt;=45,"P2 备选","P3 暂缓"))))</x:f>
        <x:v>P1 近期做</x:v>
      </x:c>
      <x:c r="AB308" s="9" t="str">
        <x:f>IF(Y308&gt;=15,"先做合规/相关性复核，不建议直接商业导流",IF(L308="主站","建/优化主站商业页",IF(L308="博客A-知识教程","写知识教程/FAQ文章",IF(L308="博客B-场景人群","写场景需求/选购指南文章",IF(L308="博客C-对比评测","写对比评测/榜单文章","暂不做或人工复核")))))</x:f>
        <x:v>写对比评测/榜单文章</x:v>
      </x:c>
      <x:c r="AC308" s="9" t="str">
        <x:v>Best Disposable Vape Flavors in 2026: Top 10 Most Popular Choices - ExDivo</x:v>
      </x:c>
      <x:c r="AD308" s="10" t="str">
        <x:v>best disposable vape flavors in 2026: top 10 most popular choices</x:v>
      </x:c>
    </x:row>
    <x:row r="309">
      <x:c r="A309" s="34" t="n">
        <x:v>309</x:v>
      </x:c>
      <x:c r="B309" s="9" t="str">
        <x:v>https://exdivo.com/blogs/best-disposable-vape-flavors-in-2026-top-10-most-popular-choices</x:v>
      </x:c>
      <x:c r="C309" s="9" t="str">
        <x:v>best vape brands</x:v>
      </x:c>
      <x:c r="D309" s="9" t="str">
        <x:v>recommended</x:v>
      </x:c>
      <x:c r="E309" s="36" t="n">
        <x:v>3600</x:v>
      </x:c>
      <x:c r="F309" s="36" t="n">
        <x:v>16</x:v>
      </x:c>
      <x:c r="G309" s="9" t="str">
        <x:v>commercial</x:v>
      </x:c>
      <x:c r="H309" s="9" t="str">
        <x:v>对比评测</x:v>
      </x:c>
      <x:c r="I309" s="9" t="str">
        <x:v>商业调查词</x:v>
      </x:c>
      <x:c r="J309" s="9" t="str">
        <x:v>博客C-对比评测</x:v>
      </x:c>
      <x:c r="K309" s="9" t="str"/>
      <x:c r="L309" s="9" t="str">
        <x:f>IF(K309="",J309,K309)</x:f>
        <x:v>博客C-对比评测</x:v>
      </x:c>
      <x:c r="M309" s="9" t="str">
        <x:v>Best/Top/Review/VS/替代方案文章</x:v>
      </x:c>
      <x:c r="N309" s="9" t="str">
        <x:v>Best angle: best vape brands - comparison, pros/cons, and which option fits different buyers</x:v>
      </x:c>
      <x:c r="O309" s="9" t="str">
        <x:v>/collections/disposable-vapes</x:v>
      </x:c>
      <x:c r="P309" s="9" t="str">
        <x:v>是</x:v>
      </x:c>
      <x:c r="Q309" s="9" t="str">
        <x:v>自然句/品类词/品牌词</x:v>
      </x:c>
      <x:c r="R309" s="9" t="str">
        <x:v>中风险：榜单和评测必须真实、中立，避免夸大</x:v>
      </x:c>
      <x:c r="S309" s="9" t="str">
        <x:v>这类词不直接给主站，先用博客C教育和比较，再导流到最相关集合页。</x:v>
      </x:c>
      <x:c r="T309" s="38" t="n">
        <x:v>13</x:v>
      </x:c>
      <x:c r="U309" s="38" t="n">
        <x:v>12</x:v>
      </x:c>
      <x:c r="V309" s="38" t="n">
        <x:v>16</x:v>
      </x:c>
      <x:c r="W309" s="38" t="n">
        <x:v>15</x:v>
      </x:c>
      <x:c r="X309" s="38" t="n">
        <x:v>13</x:v>
      </x:c>
      <x:c r="Y309" s="38" t="n">
        <x:v>6</x:v>
      </x:c>
      <x:c r="Z309" s="38" t="n">
        <x:f>MAX(0,MIN(100,ROUND(((T309+U309+V309+W309+X309)-Y309)/85*100,0)))</x:f>
        <x:v>74</x:v>
      </x:c>
      <x:c r="AA309" s="9" t="str">
        <x:f>IF(L309="暂不做","P3 暂缓",IF(Z309&gt;=75,"P0 本周做",IF(Z309&gt;=60,"P1 近期做",IF(Z309&gt;=45,"P2 备选","P3 暂缓"))))</x:f>
        <x:v>P1 近期做</x:v>
      </x:c>
      <x:c r="AB309" s="9" t="str">
        <x:f>IF(Y309&gt;=15,"先做合规/相关性复核，不建议直接商业导流",IF(L309="主站","建/优化主站商业页",IF(L309="博客A-知识教程","写知识教程/FAQ文章",IF(L309="博客B-场景人群","写场景需求/选购指南文章",IF(L309="博客C-对比评测","写对比评测/榜单文章","暂不做或人工复核")))))</x:f>
        <x:v>写对比评测/榜单文章</x:v>
      </x:c>
      <x:c r="AC309" s="9" t="str">
        <x:v>Best Disposable Vape Flavors in 2026: Top 10 Most Popular Choices - ExDivo</x:v>
      </x:c>
      <x:c r="AD309" s="10" t="str">
        <x:v>best disposable vape flavors in 2026: top 10 most popular choices</x:v>
      </x:c>
    </x:row>
    <x:row r="310">
      <x:c r="A310" s="34" t="n">
        <x:v>310</x:v>
      </x:c>
      <x:c r="B310" s="9" t="str">
        <x:v>https://exdivo.com/blogs/best-disposable-vape-flavors-in-2026-top-10-most-popular-choices</x:v>
      </x:c>
      <x:c r="C310" s="9" t="str">
        <x:v>popular disposable vape brands</x:v>
      </x:c>
      <x:c r="D310" s="9" t="str">
        <x:v>recommended</x:v>
      </x:c>
      <x:c r="E310" s="36" t="n">
        <x:v>1600</x:v>
      </x:c>
      <x:c r="F310" s="36" t="n">
        <x:v>25</x:v>
      </x:c>
      <x:c r="G310" s="9" t="str">
        <x:v>commercial</x:v>
      </x:c>
      <x:c r="H310" s="9" t="str">
        <x:v>Disposable Vape</x:v>
      </x:c>
      <x:c r="I310" s="9" t="str">
        <x:v>商业调查词</x:v>
      </x:c>
      <x:c r="J310" s="9" t="str">
        <x:v>博客C-对比评测</x:v>
      </x:c>
      <x:c r="K310" s="9" t="str"/>
      <x:c r="L310" s="9" t="str">
        <x:f>IF(K310="",J310,K310)</x:f>
        <x:v>博客C-对比评测</x:v>
      </x:c>
      <x:c r="M310" s="9" t="str">
        <x:v>Best/Top/Review/VS/替代方案文章</x:v>
      </x:c>
      <x:c r="N310" s="9" t="str">
        <x:v>Best angle: popular disposable vape brands - comparison, pros/cons, and which option fits different buyers</x:v>
      </x:c>
      <x:c r="O310" s="9" t="str">
        <x:v>/collections/disposable-vapes</x:v>
      </x:c>
      <x:c r="P310" s="9" t="str">
        <x:v>是</x:v>
      </x:c>
      <x:c r="Q310" s="9" t="str">
        <x:v>自然句/品类词/品牌词</x:v>
      </x:c>
      <x:c r="R310" s="9" t="str">
        <x:v>中风险：榜单和评测必须真实、中立，避免夸大</x:v>
      </x:c>
      <x:c r="S310" s="9" t="str">
        <x:v>这类词不直接给主站，先用博客C教育和比较，再导流到最相关集合页。</x:v>
      </x:c>
      <x:c r="T310" s="38" t="n">
        <x:v>13</x:v>
      </x:c>
      <x:c r="U310" s="38" t="n">
        <x:v>12</x:v>
      </x:c>
      <x:c r="V310" s="38" t="n">
        <x:v>16</x:v>
      </x:c>
      <x:c r="W310" s="38" t="n">
        <x:v>15</x:v>
      </x:c>
      <x:c r="X310" s="38" t="n">
        <x:v>13</x:v>
      </x:c>
      <x:c r="Y310" s="38" t="n">
        <x:v>6</x:v>
      </x:c>
      <x:c r="Z310" s="38" t="n">
        <x:f>MAX(0,MIN(100,ROUND(((T310+U310+V310+W310+X310)-Y310)/85*100,0)))</x:f>
        <x:v>74</x:v>
      </x:c>
      <x:c r="AA310" s="9" t="str">
        <x:f>IF(L310="暂不做","P3 暂缓",IF(Z310&gt;=75,"P0 本周做",IF(Z310&gt;=60,"P1 近期做",IF(Z310&gt;=45,"P2 备选","P3 暂缓"))))</x:f>
        <x:v>P1 近期做</x:v>
      </x:c>
      <x:c r="AB310" s="9" t="str">
        <x:f>IF(Y310&gt;=15,"先做合规/相关性复核，不建议直接商业导流",IF(L310="主站","建/优化主站商业页",IF(L310="博客A-知识教程","写知识教程/FAQ文章",IF(L310="博客B-场景人群","写场景需求/选购指南文章",IF(L310="博客C-对比评测","写对比评测/榜单文章","暂不做或人工复核")))))</x:f>
        <x:v>写对比评测/榜单文章</x:v>
      </x:c>
      <x:c r="AC310" s="9" t="str">
        <x:v>Best Disposable Vape Flavors in 2026: Top 10 Most Popular Choices - ExDivo</x:v>
      </x:c>
      <x:c r="AD310" s="10" t="str">
        <x:v>best disposable vape flavors in 2026: top 10 most popular choices</x:v>
      </x:c>
    </x:row>
    <x:row r="311">
      <x:c r="A311" s="34" t="n">
        <x:v>311</x:v>
      </x:c>
      <x:c r="B311" s="9" t="str">
        <x:v>https://exdivo.com/blogs/best-disposable-vape-flavors-in-2026-top-10-most-popular-choices</x:v>
      </x:c>
      <x:c r="C311" s="9" t="str">
        <x:v>most popular vapes</x:v>
      </x:c>
      <x:c r="D311" s="9" t="str">
        <x:v>recommended</x:v>
      </x:c>
      <x:c r="E311" s="36" t="n">
        <x:v>1000</x:v>
      </x:c>
      <x:c r="F311" s="36" t="n">
        <x:v>26</x:v>
      </x:c>
      <x:c r="G311" s="9" t="str">
        <x:v>informational, commercial</x:v>
      </x:c>
      <x:c r="H311" s="9" t="str">
        <x:v>对比评测</x:v>
      </x:c>
      <x:c r="I311" s="9" t="str">
        <x:v>商业调查词</x:v>
      </x:c>
      <x:c r="J311" s="9" t="str">
        <x:v>博客C-对比评测</x:v>
      </x:c>
      <x:c r="K311" s="9" t="str"/>
      <x:c r="L311" s="9" t="str">
        <x:f>IF(K311="",J311,K311)</x:f>
        <x:v>博客C-对比评测</x:v>
      </x:c>
      <x:c r="M311" s="9" t="str">
        <x:v>Best/Top/Review/VS/替代方案文章</x:v>
      </x:c>
      <x:c r="N311" s="9" t="str">
        <x:v>Best angle: most popular vapes - comparison, pros/cons, and which option fits different buyers</x:v>
      </x:c>
      <x:c r="O311" s="9" t="str">
        <x:v>/collections/disposable-vapes</x:v>
      </x:c>
      <x:c r="P311" s="9" t="str">
        <x:v>是</x:v>
      </x:c>
      <x:c r="Q311" s="9" t="str">
        <x:v>自然句/品类词/品牌词</x:v>
      </x:c>
      <x:c r="R311" s="9" t="str">
        <x:v>中风险：榜单和评测必须真实、中立，避免夸大</x:v>
      </x:c>
      <x:c r="S311" s="9" t="str">
        <x:v>这类词不直接给主站，先用博客C教育和比较，再导流到最相关集合页。</x:v>
      </x:c>
      <x:c r="T311" s="38" t="n">
        <x:v>13</x:v>
      </x:c>
      <x:c r="U311" s="38" t="n">
        <x:v>12</x:v>
      </x:c>
      <x:c r="V311" s="38" t="n">
        <x:v>16</x:v>
      </x:c>
      <x:c r="W311" s="38" t="n">
        <x:v>15</x:v>
      </x:c>
      <x:c r="X311" s="38" t="n">
        <x:v>13</x:v>
      </x:c>
      <x:c r="Y311" s="38" t="n">
        <x:v>6</x:v>
      </x:c>
      <x:c r="Z311" s="38" t="n">
        <x:f>MAX(0,MIN(100,ROUND(((T311+U311+V311+W311+X311)-Y311)/85*100,0)))</x:f>
        <x:v>74</x:v>
      </x:c>
      <x:c r="AA311" s="9" t="str">
        <x:f>IF(L311="暂不做","P3 暂缓",IF(Z311&gt;=75,"P0 本周做",IF(Z311&gt;=60,"P1 近期做",IF(Z311&gt;=45,"P2 备选","P3 暂缓"))))</x:f>
        <x:v>P1 近期做</x:v>
      </x:c>
      <x:c r="AB311" s="9" t="str">
        <x:f>IF(Y311&gt;=15,"先做合规/相关性复核，不建议直接商业导流",IF(L311="主站","建/优化主站商业页",IF(L311="博客A-知识教程","写知识教程/FAQ文章",IF(L311="博客B-场景人群","写场景需求/选购指南文章",IF(L311="博客C-对比评测","写对比评测/榜单文章","暂不做或人工复核")))))</x:f>
        <x:v>写对比评测/榜单文章</x:v>
      </x:c>
      <x:c r="AC311" s="9" t="str">
        <x:v>Best Disposable Vape Flavors in 2026: Top 10 Most Popular Choices - ExDivo</x:v>
      </x:c>
      <x:c r="AD311" s="10" t="str">
        <x:v>best disposable vape flavors in 2026: top 10 most popular choices</x:v>
      </x:c>
    </x:row>
    <x:row r="312">
      <x:c r="A312" s="34" t="n">
        <x:v>312</x:v>
      </x:c>
      <x:c r="B312" s="9" t="str">
        <x:v>https://exdivo.com/blogs/best-disposable-vape-flavors-in-2026-top-10-most-popular-choices</x:v>
      </x:c>
      <x:c r="C312" s="9" t="str">
        <x:v>most popular vape</x:v>
      </x:c>
      <x:c r="D312" s="9" t="str">
        <x:v>recommended</x:v>
      </x:c>
      <x:c r="E312" s="36" t="n">
        <x:v>720</x:v>
      </x:c>
      <x:c r="F312" s="36" t="n">
        <x:v>27</x:v>
      </x:c>
      <x:c r="G312" s="9" t="str">
        <x:v>informational, commercial</x:v>
      </x:c>
      <x:c r="H312" s="9" t="str">
        <x:v>对比评测</x:v>
      </x:c>
      <x:c r="I312" s="9" t="str">
        <x:v>商业调查词</x:v>
      </x:c>
      <x:c r="J312" s="9" t="str">
        <x:v>博客C-对比评测</x:v>
      </x:c>
      <x:c r="K312" s="9" t="str"/>
      <x:c r="L312" s="9" t="str">
        <x:f>IF(K312="",J312,K312)</x:f>
        <x:v>博客C-对比评测</x:v>
      </x:c>
      <x:c r="M312" s="9" t="str">
        <x:v>Best/Top/Review/VS/替代方案文章</x:v>
      </x:c>
      <x:c r="N312" s="9" t="str">
        <x:v>Best angle: most popular vape - comparison, pros/cons, and which option fits different buyers</x:v>
      </x:c>
      <x:c r="O312" s="9" t="str">
        <x:v>/collections/disposable-vapes</x:v>
      </x:c>
      <x:c r="P312" s="9" t="str">
        <x:v>是</x:v>
      </x:c>
      <x:c r="Q312" s="9" t="str">
        <x:v>自然句/品类词/品牌词</x:v>
      </x:c>
      <x:c r="R312" s="9" t="str">
        <x:v>中风险：榜单和评测必须真实、中立，避免夸大</x:v>
      </x:c>
      <x:c r="S312" s="9" t="str">
        <x:v>这类词不直接给主站，先用博客C教育和比较，再导流到最相关集合页。</x:v>
      </x:c>
      <x:c r="T312" s="38" t="n">
        <x:v>10</x:v>
      </x:c>
      <x:c r="U312" s="38" t="n">
        <x:v>12</x:v>
      </x:c>
      <x:c r="V312" s="38" t="n">
        <x:v>16</x:v>
      </x:c>
      <x:c r="W312" s="38" t="n">
        <x:v>15</x:v>
      </x:c>
      <x:c r="X312" s="38" t="n">
        <x:v>13</x:v>
      </x:c>
      <x:c r="Y312" s="38" t="n">
        <x:v>6</x:v>
      </x:c>
      <x:c r="Z312" s="38" t="n">
        <x:f>MAX(0,MIN(100,ROUND(((T312+U312+V312+W312+X312)-Y312)/85*100,0)))</x:f>
        <x:v>71</x:v>
      </x:c>
      <x:c r="AA312" s="9" t="str">
        <x:f>IF(L312="暂不做","P3 暂缓",IF(Z312&gt;=75,"P0 本周做",IF(Z312&gt;=60,"P1 近期做",IF(Z312&gt;=45,"P2 备选","P3 暂缓"))))</x:f>
        <x:v>P1 近期做</x:v>
      </x:c>
      <x:c r="AB312" s="9" t="str">
        <x:f>IF(Y312&gt;=15,"先做合规/相关性复核，不建议直接商业导流",IF(L312="主站","建/优化主站商业页",IF(L312="博客A-知识教程","写知识教程/FAQ文章",IF(L312="博客B-场景人群","写场景需求/选购指南文章",IF(L312="博客C-对比评测","写对比评测/榜单文章","暂不做或人工复核")))))</x:f>
        <x:v>写对比评测/榜单文章</x:v>
      </x:c>
      <x:c r="AC312" s="9" t="str">
        <x:v>Best Disposable Vape Flavors in 2026: Top 10 Most Popular Choices - ExDivo</x:v>
      </x:c>
      <x:c r="AD312" s="10" t="str">
        <x:v>best disposable vape flavors in 2026: top 10 most popular choices</x:v>
      </x:c>
    </x:row>
    <x:row r="313">
      <x:c r="A313" s="34" t="n">
        <x:v>313</x:v>
      </x:c>
      <x:c r="B313" s="9" t="str">
        <x:v>https://exdivo.com/blogs/best-disposable-vape-flavors-in-2026-top-10-most-popular-choices</x:v>
      </x:c>
      <x:c r="C313" s="9" t="str">
        <x:v>best disposable vape brands</x:v>
      </x:c>
      <x:c r="D313" s="9" t="str">
        <x:v>recommended</x:v>
      </x:c>
      <x:c r="E313" s="36" t="n">
        <x:v>590</x:v>
      </x:c>
      <x:c r="F313" s="36" t="n">
        <x:v>29</x:v>
      </x:c>
      <x:c r="G313" s="9" t="str">
        <x:v>commercial</x:v>
      </x:c>
      <x:c r="H313" s="9" t="str">
        <x:v>Disposable Vape</x:v>
      </x:c>
      <x:c r="I313" s="9" t="str">
        <x:v>商业调查词</x:v>
      </x:c>
      <x:c r="J313" s="9" t="str">
        <x:v>博客C-对比评测</x:v>
      </x:c>
      <x:c r="K313" s="9" t="str"/>
      <x:c r="L313" s="9" t="str">
        <x:f>IF(K313="",J313,K313)</x:f>
        <x:v>博客C-对比评测</x:v>
      </x:c>
      <x:c r="M313" s="9" t="str">
        <x:v>Best/Top/Review/VS/替代方案文章</x:v>
      </x:c>
      <x:c r="N313" s="9" t="str">
        <x:v>Best angle: best disposable vape brands - comparison, pros/cons, and which option fits different buyers</x:v>
      </x:c>
      <x:c r="O313" s="9" t="str">
        <x:v>/collections/disposable-vapes</x:v>
      </x:c>
      <x:c r="P313" s="9" t="str">
        <x:v>是</x:v>
      </x:c>
      <x:c r="Q313" s="9" t="str">
        <x:v>自然句/品类词/品牌词</x:v>
      </x:c>
      <x:c r="R313" s="9" t="str">
        <x:v>中风险：榜单和评测必须真实、中立，避免夸大</x:v>
      </x:c>
      <x:c r="S313" s="9" t="str">
        <x:v>这类词不直接给主站，先用博客C教育和比较，再导流到最相关集合页。</x:v>
      </x:c>
      <x:c r="T313" s="38" t="n">
        <x:v>10</x:v>
      </x:c>
      <x:c r="U313" s="38" t="n">
        <x:v>12</x:v>
      </x:c>
      <x:c r="V313" s="38" t="n">
        <x:v>16</x:v>
      </x:c>
      <x:c r="W313" s="38" t="n">
        <x:v>15</x:v>
      </x:c>
      <x:c r="X313" s="38" t="n">
        <x:v>13</x:v>
      </x:c>
      <x:c r="Y313" s="38" t="n">
        <x:v>6</x:v>
      </x:c>
      <x:c r="Z313" s="38" t="n">
        <x:f>MAX(0,MIN(100,ROUND(((T313+U313+V313+W313+X313)-Y313)/85*100,0)))</x:f>
        <x:v>71</x:v>
      </x:c>
      <x:c r="AA313" s="9" t="str">
        <x:f>IF(L313="暂不做","P3 暂缓",IF(Z313&gt;=75,"P0 本周做",IF(Z313&gt;=60,"P1 近期做",IF(Z313&gt;=45,"P2 备选","P3 暂缓"))))</x:f>
        <x:v>P1 近期做</x:v>
      </x:c>
      <x:c r="AB313" s="9" t="str">
        <x:f>IF(Y313&gt;=15,"先做合规/相关性复核，不建议直接商业导流",IF(L313="主站","建/优化主站商业页",IF(L313="博客A-知识教程","写知识教程/FAQ文章",IF(L313="博客B-场景人群","写场景需求/选购指南文章",IF(L313="博客C-对比评测","写对比评测/榜单文章","暂不做或人工复核")))))</x:f>
        <x:v>写对比评测/榜单文章</x:v>
      </x:c>
      <x:c r="AC313" s="9" t="str">
        <x:v>Best Disposable Vape Flavors in 2026: Top 10 Most Popular Choices - ExDivo</x:v>
      </x:c>
      <x:c r="AD313" s="10" t="str">
        <x:v>best disposable vape flavors in 2026: top 10 most popular choices</x:v>
      </x:c>
    </x:row>
    <x:row r="314">
      <x:c r="A314" s="34" t="n">
        <x:v>314</x:v>
      </x:c>
      <x:c r="B314" s="9" t="str">
        <x:v>https://exdivo.com/blogs/best-disposable-vape-flavors-in-2026-top-10-most-popular-choices</x:v>
      </x:c>
      <x:c r="C314" s="9" t="str">
        <x:v>most popular vape flavors</x:v>
      </x:c>
      <x:c r="D314" s="9" t="str">
        <x:v>recommended</x:v>
      </x:c>
      <x:c r="E314" s="36" t="n">
        <x:v>390</x:v>
      </x:c>
      <x:c r="F314" s="36" t="n">
        <x:v>17</x:v>
      </x:c>
      <x:c r="G314" s="9" t="str">
        <x:v>informational</x:v>
      </x:c>
      <x:c r="H314" s="9" t="str">
        <x:v>Flavor / 口味</x:v>
      </x:c>
      <x:c r="I314" s="9" t="str">
        <x:v>商业调查词</x:v>
      </x:c>
      <x:c r="J314" s="9" t="str">
        <x:v>博客C-对比评测</x:v>
      </x:c>
      <x:c r="K314" s="9" t="str"/>
      <x:c r="L314" s="9" t="str">
        <x:f>IF(K314="",J314,K314)</x:f>
        <x:v>博客C-对比评测</x:v>
      </x:c>
      <x:c r="M314" s="9" t="str">
        <x:v>Best/Top/Review/VS/替代方案文章</x:v>
      </x:c>
      <x:c r="N314" s="9" t="str">
        <x:v>Best angle: most popular vape flavors - comparison, pros/cons, and which option fits different buyers</x:v>
      </x:c>
      <x:c r="O314" s="9" t="str">
        <x:v>/collections/flavored-disposable-vapes</x:v>
      </x:c>
      <x:c r="P314" s="9" t="str">
        <x:v>是</x:v>
      </x:c>
      <x:c r="Q314" s="9" t="str">
        <x:v>自然句/品类词/品牌词</x:v>
      </x:c>
      <x:c r="R314" s="9" t="str">
        <x:v>中风险：榜单和评测必须真实、中立，避免夸大</x:v>
      </x:c>
      <x:c r="S314" s="9" t="str">
        <x:v>这类词不直接给主站，先用博客C教育和比较，再导流到最相关集合页。</x:v>
      </x:c>
      <x:c r="T314" s="38" t="n">
        <x:v>7</x:v>
      </x:c>
      <x:c r="U314" s="38" t="n">
        <x:v>12</x:v>
      </x:c>
      <x:c r="V314" s="38" t="n">
        <x:v>16</x:v>
      </x:c>
      <x:c r="W314" s="38" t="n">
        <x:v>15</x:v>
      </x:c>
      <x:c r="X314" s="38" t="n">
        <x:v>13</x:v>
      </x:c>
      <x:c r="Y314" s="38" t="n">
        <x:v>6</x:v>
      </x:c>
      <x:c r="Z314" s="38" t="n">
        <x:f>MAX(0,MIN(100,ROUND(((T314+U314+V314+W314+X314)-Y314)/85*100,0)))</x:f>
        <x:v>67</x:v>
      </x:c>
      <x:c r="AA314" s="9" t="str">
        <x:f>IF(L314="暂不做","P3 暂缓",IF(Z314&gt;=75,"P0 本周做",IF(Z314&gt;=60,"P1 近期做",IF(Z314&gt;=45,"P2 备选","P3 暂缓"))))</x:f>
        <x:v>P1 近期做</x:v>
      </x:c>
      <x:c r="AB314" s="9" t="str">
        <x:f>IF(Y314&gt;=15,"先做合规/相关性复核，不建议直接商业导流",IF(L314="主站","建/优化主站商业页",IF(L314="博客A-知识教程","写知识教程/FAQ文章",IF(L314="博客B-场景人群","写场景需求/选购指南文章",IF(L314="博客C-对比评测","写对比评测/榜单文章","暂不做或人工复核")))))</x:f>
        <x:v>写对比评测/榜单文章</x:v>
      </x:c>
      <x:c r="AC314" s="9" t="str">
        <x:v>Best Disposable Vape Flavors in 2026: Top 10 Most Popular Choices - ExDivo</x:v>
      </x:c>
      <x:c r="AD314" s="10" t="str">
        <x:v>best disposable vape flavors in 2026: top 10 most popular choices</x:v>
      </x:c>
    </x:row>
    <x:row r="315">
      <x:c r="A315" s="34" t="n">
        <x:v>315</x:v>
      </x:c>
      <x:c r="B315" s="9" t="str">
        <x:v>https://exdivo.com/blogs/best-disposable-vape-flavors-in-2026-top-10-most-popular-choices</x:v>
      </x:c>
      <x:c r="C315" s="9" t="str">
        <x:v>popular disposable vapes</x:v>
      </x:c>
      <x:c r="D315" s="9" t="str">
        <x:v>recommended</x:v>
      </x:c>
      <x:c r="E315" s="36" t="n">
        <x:v>480</x:v>
      </x:c>
      <x:c r="F315" s="36" t="n">
        <x:v>32</x:v>
      </x:c>
      <x:c r="G315" s="9" t="str">
        <x:v>informational</x:v>
      </x:c>
      <x:c r="H315" s="9" t="str">
        <x:v>Disposable Vape</x:v>
      </x:c>
      <x:c r="I315" s="9" t="str">
        <x:v>商业调查词</x:v>
      </x:c>
      <x:c r="J315" s="9" t="str">
        <x:v>博客C-对比评测</x:v>
      </x:c>
      <x:c r="K315" s="9" t="str"/>
      <x:c r="L315" s="9" t="str">
        <x:f>IF(K315="",J315,K315)</x:f>
        <x:v>博客C-对比评测</x:v>
      </x:c>
      <x:c r="M315" s="9" t="str">
        <x:v>Best/Top/Review/VS/替代方案文章</x:v>
      </x:c>
      <x:c r="N315" s="9" t="str">
        <x:v>Best angle: popular disposable vapes - comparison, pros/cons, and which option fits different buyers</x:v>
      </x:c>
      <x:c r="O315" s="9" t="str">
        <x:v>/collections/disposable-vapes</x:v>
      </x:c>
      <x:c r="P315" s="9" t="str">
        <x:v>是</x:v>
      </x:c>
      <x:c r="Q315" s="9" t="str">
        <x:v>自然句/品类词/品牌词</x:v>
      </x:c>
      <x:c r="R315" s="9" t="str">
        <x:v>中风险：榜单和评测必须真实、中立，避免夸大</x:v>
      </x:c>
      <x:c r="S315" s="9" t="str">
        <x:v>这类词不直接给主站，先用博客C教育和比较，再导流到最相关集合页。</x:v>
      </x:c>
      <x:c r="T315" s="38" t="n">
        <x:v>7</x:v>
      </x:c>
      <x:c r="U315" s="38" t="n">
        <x:v>9</x:v>
      </x:c>
      <x:c r="V315" s="38" t="n">
        <x:v>16</x:v>
      </x:c>
      <x:c r="W315" s="38" t="n">
        <x:v>15</x:v>
      </x:c>
      <x:c r="X315" s="38" t="n">
        <x:v>13</x:v>
      </x:c>
      <x:c r="Y315" s="38" t="n">
        <x:v>6</x:v>
      </x:c>
      <x:c r="Z315" s="38" t="n">
        <x:f>MAX(0,MIN(100,ROUND(((T315+U315+V315+W315+X315)-Y315)/85*100,0)))</x:f>
        <x:v>64</x:v>
      </x:c>
      <x:c r="AA315" s="9" t="str">
        <x:f>IF(L315="暂不做","P3 暂缓",IF(Z315&gt;=75,"P0 本周做",IF(Z315&gt;=60,"P1 近期做",IF(Z315&gt;=45,"P2 备选","P3 暂缓"))))</x:f>
        <x:v>P1 近期做</x:v>
      </x:c>
      <x:c r="AB315" s="9" t="str">
        <x:f>IF(Y315&gt;=15,"先做合规/相关性复核，不建议直接商业导流",IF(L315="主站","建/优化主站商业页",IF(L315="博客A-知识教程","写知识教程/FAQ文章",IF(L315="博客B-场景人群","写场景需求/选购指南文章",IF(L315="博客C-对比评测","写对比评测/榜单文章","暂不做或人工复核")))))</x:f>
        <x:v>写对比评测/榜单文章</x:v>
      </x:c>
      <x:c r="AC315" s="9" t="str">
        <x:v>Best Disposable Vape Flavors in 2026: Top 10 Most Popular Choices - ExDivo</x:v>
      </x:c>
      <x:c r="AD315" s="10" t="str">
        <x:v>best disposable vape flavors in 2026: top 10 most popular choices</x:v>
      </x:c>
    </x:row>
    <x:row r="316">
      <x:c r="A316" s="34" t="n">
        <x:v>316</x:v>
      </x:c>
      <x:c r="B316" s="9" t="str">
        <x:v>https://exdivo.com/blogs/best-disposable-vape-flavors-in-2026-top-10-most-popular-choices</x:v>
      </x:c>
      <x:c r="C316" s="9" t="str">
        <x:v>top 10 disposable vape brands</x:v>
      </x:c>
      <x:c r="D316" s="9" t="str">
        <x:v>recommended</x:v>
      </x:c>
      <x:c r="E316" s="36" t="n">
        <x:v>260</x:v>
      </x:c>
      <x:c r="F316" s="36" t="n">
        <x:v>21</x:v>
      </x:c>
      <x:c r="G316" s="9" t="str">
        <x:v>informational, commercial</x:v>
      </x:c>
      <x:c r="H316" s="9" t="str">
        <x:v>Disposable Vape</x:v>
      </x:c>
      <x:c r="I316" s="9" t="str">
        <x:v>商业调查词</x:v>
      </x:c>
      <x:c r="J316" s="9" t="str">
        <x:v>博客C-对比评测</x:v>
      </x:c>
      <x:c r="K316" s="9" t="str"/>
      <x:c r="L316" s="9" t="str">
        <x:f>IF(K316="",J316,K316)</x:f>
        <x:v>博客C-对比评测</x:v>
      </x:c>
      <x:c r="M316" s="9" t="str">
        <x:v>Best/Top/Review/VS/替代方案文章</x:v>
      </x:c>
      <x:c r="N316" s="9" t="str">
        <x:v>Best angle: top 10 disposable vape brands - comparison, pros/cons, and which option fits different buyers</x:v>
      </x:c>
      <x:c r="O316" s="9" t="str">
        <x:v>/collections/disposable-vapes</x:v>
      </x:c>
      <x:c r="P316" s="9" t="str">
        <x:v>是</x:v>
      </x:c>
      <x:c r="Q316" s="9" t="str">
        <x:v>自然句/品类词/品牌词</x:v>
      </x:c>
      <x:c r="R316" s="9" t="str">
        <x:v>中风险：榜单和评测必须真实、中立，避免夸大</x:v>
      </x:c>
      <x:c r="S316" s="9" t="str">
        <x:v>这类词不直接给主站，先用博客C教育和比较，再导流到最相关集合页。</x:v>
      </x:c>
      <x:c r="T316" s="38" t="n">
        <x:v>7</x:v>
      </x:c>
      <x:c r="U316" s="38" t="n">
        <x:v>12</x:v>
      </x:c>
      <x:c r="V316" s="38" t="n">
        <x:v>16</x:v>
      </x:c>
      <x:c r="W316" s="38" t="n">
        <x:v>15</x:v>
      </x:c>
      <x:c r="X316" s="38" t="n">
        <x:v>13</x:v>
      </x:c>
      <x:c r="Y316" s="38" t="n">
        <x:v>6</x:v>
      </x:c>
      <x:c r="Z316" s="38" t="n">
        <x:f>MAX(0,MIN(100,ROUND(((T316+U316+V316+W316+X316)-Y316)/85*100,0)))</x:f>
        <x:v>67</x:v>
      </x:c>
      <x:c r="AA316" s="9" t="str">
        <x:f>IF(L316="暂不做","P3 暂缓",IF(Z316&gt;=75,"P0 本周做",IF(Z316&gt;=60,"P1 近期做",IF(Z316&gt;=45,"P2 备选","P3 暂缓"))))</x:f>
        <x:v>P1 近期做</x:v>
      </x:c>
      <x:c r="AB316" s="9" t="str">
        <x:f>IF(Y316&gt;=15,"先做合规/相关性复核，不建议直接商业导流",IF(L316="主站","建/优化主站商业页",IF(L316="博客A-知识教程","写知识教程/FAQ文章",IF(L316="博客B-场景人群","写场景需求/选购指南文章",IF(L316="博客C-对比评测","写对比评测/榜单文章","暂不做或人工复核")))))</x:f>
        <x:v>写对比评测/榜单文章</x:v>
      </x:c>
      <x:c r="AC316" s="9" t="str">
        <x:v>Best Disposable Vape Flavors in 2026: Top 10 Most Popular Choices - ExDivo</x:v>
      </x:c>
      <x:c r="AD316" s="10" t="str">
        <x:v>best disposable vape flavors in 2026: top 10 most popular choices</x:v>
      </x:c>
    </x:row>
    <x:row r="317">
      <x:c r="A317" s="34" t="n">
        <x:v>317</x:v>
      </x:c>
      <x:c r="B317" s="9" t="str">
        <x:v>https://exdivo.com/blogs/best-disposable-vape-flavors-in-2026-top-10-most-popular-choices</x:v>
      </x:c>
      <x:c r="C317" s="9" t="str">
        <x:v>popular vape</x:v>
      </x:c>
      <x:c r="D317" s="9" t="str">
        <x:v>recommended</x:v>
      </x:c>
      <x:c r="E317" s="36" t="n">
        <x:v>260</x:v>
      </x:c>
      <x:c r="F317" s="36" t="n">
        <x:v>34</x:v>
      </x:c>
      <x:c r="G317" s="9" t="str">
        <x:v>informational, commercial</x:v>
      </x:c>
      <x:c r="H317" s="9" t="str">
        <x:v>对比评测</x:v>
      </x:c>
      <x:c r="I317" s="9" t="str">
        <x:v>商业调查词</x:v>
      </x:c>
      <x:c r="J317" s="9" t="str">
        <x:v>博客C-对比评测</x:v>
      </x:c>
      <x:c r="K317" s="9" t="str"/>
      <x:c r="L317" s="9" t="str">
        <x:f>IF(K317="",J317,K317)</x:f>
        <x:v>博客C-对比评测</x:v>
      </x:c>
      <x:c r="M317" s="9" t="str">
        <x:v>Best/Top/Review/VS/替代方案文章</x:v>
      </x:c>
      <x:c r="N317" s="9" t="str">
        <x:v>Best angle: popular vape - comparison, pros/cons, and which option fits different buyers</x:v>
      </x:c>
      <x:c r="O317" s="9" t="str">
        <x:v>/collections/disposable-vapes</x:v>
      </x:c>
      <x:c r="P317" s="9" t="str">
        <x:v>是</x:v>
      </x:c>
      <x:c r="Q317" s="9" t="str">
        <x:v>自然句/品类词/品牌词</x:v>
      </x:c>
      <x:c r="R317" s="9" t="str">
        <x:v>中风险：榜单和评测必须真实、中立，避免夸大</x:v>
      </x:c>
      <x:c r="S317" s="9" t="str">
        <x:v>这类词不直接给主站，先用博客C教育和比较，再导流到最相关集合页。</x:v>
      </x:c>
      <x:c r="T317" s="38" t="n">
        <x:v>7</x:v>
      </x:c>
      <x:c r="U317" s="38" t="n">
        <x:v>9</x:v>
      </x:c>
      <x:c r="V317" s="38" t="n">
        <x:v>16</x:v>
      </x:c>
      <x:c r="W317" s="38" t="n">
        <x:v>15</x:v>
      </x:c>
      <x:c r="X317" s="38" t="n">
        <x:v>13</x:v>
      </x:c>
      <x:c r="Y317" s="38" t="n">
        <x:v>6</x:v>
      </x:c>
      <x:c r="Z317" s="38" t="n">
        <x:f>MAX(0,MIN(100,ROUND(((T317+U317+V317+W317+X317)-Y317)/85*100,0)))</x:f>
        <x:v>64</x:v>
      </x:c>
      <x:c r="AA317" s="9" t="str">
        <x:f>IF(L317="暂不做","P3 暂缓",IF(Z317&gt;=75,"P0 本周做",IF(Z317&gt;=60,"P1 近期做",IF(Z317&gt;=45,"P2 备选","P3 暂缓"))))</x:f>
        <x:v>P1 近期做</x:v>
      </x:c>
      <x:c r="AB317" s="9" t="str">
        <x:f>IF(Y317&gt;=15,"先做合规/相关性复核，不建议直接商业导流",IF(L317="主站","建/优化主站商业页",IF(L317="博客A-知识教程","写知识教程/FAQ文章",IF(L317="博客B-场景人群","写场景需求/选购指南文章",IF(L317="博客C-对比评测","写对比评测/榜单文章","暂不做或人工复核")))))</x:f>
        <x:v>写对比评测/榜单文章</x:v>
      </x:c>
      <x:c r="AC317" s="9" t="str">
        <x:v>Best Disposable Vape Flavors in 2026: Top 10 Most Popular Choices - ExDivo</x:v>
      </x:c>
      <x:c r="AD317" s="10" t="str">
        <x:v>best disposable vape flavors in 2026: top 10 most popular choices</x:v>
      </x:c>
    </x:row>
    <x:row r="318">
      <x:c r="A318" s="34" t="n">
        <x:v>318</x:v>
      </x:c>
      <x:c r="B318" s="9" t="str">
        <x:v>https://exdivo.com/blogs/best-disposable-vape-flavors-in-2026-top-10-most-popular-choices</x:v>
      </x:c>
      <x:c r="C318" s="9" t="str">
        <x:v>top rated vapes</x:v>
      </x:c>
      <x:c r="D318" s="9" t="str">
        <x:v>recommended</x:v>
      </x:c>
      <x:c r="E318" s="36" t="n">
        <x:v>170</x:v>
      </x:c>
      <x:c r="F318" s="36" t="n">
        <x:v>24</x:v>
      </x:c>
      <x:c r="G318" s="9" t="str">
        <x:v>informational, commercial</x:v>
      </x:c>
      <x:c r="H318" s="9" t="str">
        <x:v>对比评测</x:v>
      </x:c>
      <x:c r="I318" s="9" t="str">
        <x:v>商业调查词</x:v>
      </x:c>
      <x:c r="J318" s="9" t="str">
        <x:v>博客C-对比评测</x:v>
      </x:c>
      <x:c r="K318" s="9" t="str"/>
      <x:c r="L318" s="9" t="str">
        <x:f>IF(K318="",J318,K318)</x:f>
        <x:v>博客C-对比评测</x:v>
      </x:c>
      <x:c r="M318" s="9" t="str">
        <x:v>Best/Top/Review/VS/替代方案文章</x:v>
      </x:c>
      <x:c r="N318" s="9" t="str">
        <x:v>Best angle: top rated vapes - comparison, pros/cons, and which option fits different buyers</x:v>
      </x:c>
      <x:c r="O318" s="9" t="str">
        <x:v>/collections/disposable-vapes</x:v>
      </x:c>
      <x:c r="P318" s="9" t="str">
        <x:v>是</x:v>
      </x:c>
      <x:c r="Q318" s="9" t="str">
        <x:v>自然句/品类词/品牌词</x:v>
      </x:c>
      <x:c r="R318" s="9" t="str">
        <x:v>中风险：榜单和评测必须真实、中立，避免夸大</x:v>
      </x:c>
      <x:c r="S318" s="9" t="str">
        <x:v>这类词不直接给主站，先用博客C教育和比较，再导流到最相关集合页。</x:v>
      </x:c>
      <x:c r="T318" s="38" t="n">
        <x:v>7</x:v>
      </x:c>
      <x:c r="U318" s="38" t="n">
        <x:v>12</x:v>
      </x:c>
      <x:c r="V318" s="38" t="n">
        <x:v>16</x:v>
      </x:c>
      <x:c r="W318" s="38" t="n">
        <x:v>15</x:v>
      </x:c>
      <x:c r="X318" s="38" t="n">
        <x:v>13</x:v>
      </x:c>
      <x:c r="Y318" s="38" t="n">
        <x:v>6</x:v>
      </x:c>
      <x:c r="Z318" s="38" t="n">
        <x:f>MAX(0,MIN(100,ROUND(((T318+U318+V318+W318+X318)-Y318)/85*100,0)))</x:f>
        <x:v>67</x:v>
      </x:c>
      <x:c r="AA318" s="9" t="str">
        <x:f>IF(L318="暂不做","P3 暂缓",IF(Z318&gt;=75,"P0 本周做",IF(Z318&gt;=60,"P1 近期做",IF(Z318&gt;=45,"P2 备选","P3 暂缓"))))</x:f>
        <x:v>P1 近期做</x:v>
      </x:c>
      <x:c r="AB318" s="9" t="str">
        <x:f>IF(Y318&gt;=15,"先做合规/相关性复核，不建议直接商业导流",IF(L318="主站","建/优化主站商业页",IF(L318="博客A-知识教程","写知识教程/FAQ文章",IF(L318="博客B-场景人群","写场景需求/选购指南文章",IF(L318="博客C-对比评测","写对比评测/榜单文章","暂不做或人工复核")))))</x:f>
        <x:v>写对比评测/榜单文章</x:v>
      </x:c>
      <x:c r="AC318" s="9" t="str">
        <x:v>Best Disposable Vape Flavors in 2026: Top 10 Most Popular Choices - ExDivo</x:v>
      </x:c>
      <x:c r="AD318" s="10" t="str">
        <x:v>best disposable vape flavors in 2026: top 10 most popular choices</x:v>
      </x:c>
    </x:row>
    <x:row r="319">
      <x:c r="A319" s="34" t="n">
        <x:v>319</x:v>
      </x:c>
      <x:c r="B319" s="9" t="str">
        <x:v>https://exdivo.com/blogs/best-disposable-vape-flavors-in-2026-top-10-most-popular-choices</x:v>
      </x:c>
      <x:c r="C319" s="9" t="str">
        <x:v>popular vape flavors</x:v>
      </x:c>
      <x:c r="D319" s="9" t="str">
        <x:v>recommended</x:v>
      </x:c>
      <x:c r="E319" s="36" t="n">
        <x:v>590</x:v>
      </x:c>
      <x:c r="F319" s="36" t="n">
        <x:v>16</x:v>
      </x:c>
      <x:c r="G319" s="9" t="str">
        <x:v>informational</x:v>
      </x:c>
      <x:c r="H319" s="9" t="str">
        <x:v>Flavor / 口味</x:v>
      </x:c>
      <x:c r="I319" s="9" t="str">
        <x:v>商业调查词</x:v>
      </x:c>
      <x:c r="J319" s="9" t="str">
        <x:v>博客C-对比评测</x:v>
      </x:c>
      <x:c r="K319" s="9" t="str"/>
      <x:c r="L319" s="9" t="str">
        <x:f>IF(K319="",J319,K319)</x:f>
        <x:v>博客C-对比评测</x:v>
      </x:c>
      <x:c r="M319" s="9" t="str">
        <x:v>Best/Top/Review/VS/替代方案文章</x:v>
      </x:c>
      <x:c r="N319" s="9" t="str">
        <x:v>Best angle: popular vape flavors - comparison, pros/cons, and which option fits different buyers</x:v>
      </x:c>
      <x:c r="O319" s="9" t="str">
        <x:v>/collections/flavored-disposable-vapes</x:v>
      </x:c>
      <x:c r="P319" s="9" t="str">
        <x:v>是</x:v>
      </x:c>
      <x:c r="Q319" s="9" t="str">
        <x:v>自然句/品类词/品牌词</x:v>
      </x:c>
      <x:c r="R319" s="9" t="str">
        <x:v>中风险：榜单和评测必须真实、中立，避免夸大</x:v>
      </x:c>
      <x:c r="S319" s="9" t="str">
        <x:v>这类词不直接给主站，先用博客C教育和比较，再导流到最相关集合页。</x:v>
      </x:c>
      <x:c r="T319" s="38" t="n">
        <x:v>10</x:v>
      </x:c>
      <x:c r="U319" s="38" t="n">
        <x:v>12</x:v>
      </x:c>
      <x:c r="V319" s="38" t="n">
        <x:v>16</x:v>
      </x:c>
      <x:c r="W319" s="38" t="n">
        <x:v>15</x:v>
      </x:c>
      <x:c r="X319" s="38" t="n">
        <x:v>13</x:v>
      </x:c>
      <x:c r="Y319" s="38" t="n">
        <x:v>6</x:v>
      </x:c>
      <x:c r="Z319" s="38" t="n">
        <x:f>MAX(0,MIN(100,ROUND(((T319+U319+V319+W319+X319)-Y319)/85*100,0)))</x:f>
        <x:v>71</x:v>
      </x:c>
      <x:c r="AA319" s="9" t="str">
        <x:f>IF(L319="暂不做","P3 暂缓",IF(Z319&gt;=75,"P0 本周做",IF(Z319&gt;=60,"P1 近期做",IF(Z319&gt;=45,"P2 备选","P3 暂缓"))))</x:f>
        <x:v>P1 近期做</x:v>
      </x:c>
      <x:c r="AB319" s="9" t="str">
        <x:f>IF(Y319&gt;=15,"先做合规/相关性复核，不建议直接商业导流",IF(L319="主站","建/优化主站商业页",IF(L319="博客A-知识教程","写知识教程/FAQ文章",IF(L319="博客B-场景人群","写场景需求/选购指南文章",IF(L319="博客C-对比评测","写对比评测/榜单文章","暂不做或人工复核")))))</x:f>
        <x:v>写对比评测/榜单文章</x:v>
      </x:c>
      <x:c r="AC319" s="9" t="str">
        <x:v>Best Disposable Vape Flavors in 2026: Top 10 Most Popular Choices - ExDivo</x:v>
      </x:c>
      <x:c r="AD319" s="10" t="str">
        <x:v>best disposable vape flavors in 2026: top 10 most popular choices</x:v>
      </x:c>
    </x:row>
    <x:row r="320">
      <x:c r="A320" s="34" t="n">
        <x:v>320</x:v>
      </x:c>
      <x:c r="B320" s="9" t="str">
        <x:v>https://exdivo.com/blogs/best-disposable-vape-flavors-in-2026-top-10-most-popular-choices</x:v>
      </x:c>
      <x:c r="C320" s="9" t="str">
        <x:v>top disposable vapes</x:v>
      </x:c>
      <x:c r="D320" s="9" t="str">
        <x:v>recommended</x:v>
      </x:c>
      <x:c r="E320" s="36" t="n">
        <x:v>140</x:v>
      </x:c>
      <x:c r="F320" s="36" t="n">
        <x:v>20</x:v>
      </x:c>
      <x:c r="G320" s="9" t="str">
        <x:v>commercial</x:v>
      </x:c>
      <x:c r="H320" s="9" t="str">
        <x:v>Disposable Vape</x:v>
      </x:c>
      <x:c r="I320" s="9" t="str">
        <x:v>商业调查词</x:v>
      </x:c>
      <x:c r="J320" s="9" t="str">
        <x:v>博客C-对比评测</x:v>
      </x:c>
      <x:c r="K320" s="9" t="str"/>
      <x:c r="L320" s="9" t="str">
        <x:f>IF(K320="",J320,K320)</x:f>
        <x:v>博客C-对比评测</x:v>
      </x:c>
      <x:c r="M320" s="9" t="str">
        <x:v>Best/Top/Review/VS/替代方案文章</x:v>
      </x:c>
      <x:c r="N320" s="9" t="str">
        <x:v>Best angle: top disposable vapes - comparison, pros/cons, and which option fits different buyers</x:v>
      </x:c>
      <x:c r="O320" s="9" t="str">
        <x:v>/collections/disposable-vapes</x:v>
      </x:c>
      <x:c r="P320" s="9" t="str">
        <x:v>是</x:v>
      </x:c>
      <x:c r="Q320" s="9" t="str">
        <x:v>自然句/品类词/品牌词</x:v>
      </x:c>
      <x:c r="R320" s="9" t="str">
        <x:v>中风险：榜单和评测必须真实、中立，避免夸大</x:v>
      </x:c>
      <x:c r="S320" s="9" t="str">
        <x:v>这类词不直接给主站，先用博客C教育和比较，再导流到最相关集合页。</x:v>
      </x:c>
      <x:c r="T320" s="38" t="n">
        <x:v>7</x:v>
      </x:c>
      <x:c r="U320" s="38" t="n">
        <x:v>12</x:v>
      </x:c>
      <x:c r="V320" s="38" t="n">
        <x:v>16</x:v>
      </x:c>
      <x:c r="W320" s="38" t="n">
        <x:v>15</x:v>
      </x:c>
      <x:c r="X320" s="38" t="n">
        <x:v>13</x:v>
      </x:c>
      <x:c r="Y320" s="38" t="n">
        <x:v>6</x:v>
      </x:c>
      <x:c r="Z320" s="38" t="n">
        <x:f>MAX(0,MIN(100,ROUND(((T320+U320+V320+W320+X320)-Y320)/85*100,0)))</x:f>
        <x:v>67</x:v>
      </x:c>
      <x:c r="AA320" s="9" t="str">
        <x:f>IF(L320="暂不做","P3 暂缓",IF(Z320&gt;=75,"P0 本周做",IF(Z320&gt;=60,"P1 近期做",IF(Z320&gt;=45,"P2 备选","P3 暂缓"))))</x:f>
        <x:v>P1 近期做</x:v>
      </x:c>
      <x:c r="AB320" s="9" t="str">
        <x:f>IF(Y320&gt;=15,"先做合规/相关性复核，不建议直接商业导流",IF(L320="主站","建/优化主站商业页",IF(L320="博客A-知识教程","写知识教程/FAQ文章",IF(L320="博客B-场景人群","写场景需求/选购指南文章",IF(L320="博客C-对比评测","写对比评测/榜单文章","暂不做或人工复核")))))</x:f>
        <x:v>写对比评测/榜单文章</x:v>
      </x:c>
      <x:c r="AC320" s="9" t="str">
        <x:v>Best Disposable Vape Flavors in 2026: Top 10 Most Popular Choices - ExDivo</x:v>
      </x:c>
      <x:c r="AD320" s="10" t="str">
        <x:v>best disposable vape flavors in 2026: top 10 most popular choices</x:v>
      </x:c>
    </x:row>
    <x:row r="321">
      <x:c r="A321" s="34" t="n">
        <x:v>321</x:v>
      </x:c>
      <x:c r="B321" s="9" t="str">
        <x:v>https://exdivo.com/blogs/best-disposable-vape-flavors-in-2026-top-10-most-popular-choices</x:v>
      </x:c>
      <x:c r="C321" s="9" t="str">
        <x:v>top 10 vapes</x:v>
      </x:c>
      <x:c r="D321" s="9" t="str">
        <x:v>recommended</x:v>
      </x:c>
      <x:c r="E321" s="36" t="n">
        <x:v>140</x:v>
      </x:c>
      <x:c r="F321" s="36" t="n">
        <x:v>24</x:v>
      </x:c>
      <x:c r="G321" s="9" t="str">
        <x:v>informational, commercial</x:v>
      </x:c>
      <x:c r="H321" s="9" t="str">
        <x:v>对比评测</x:v>
      </x:c>
      <x:c r="I321" s="9" t="str">
        <x:v>商业调查词</x:v>
      </x:c>
      <x:c r="J321" s="9" t="str">
        <x:v>博客C-对比评测</x:v>
      </x:c>
      <x:c r="K321" s="9" t="str"/>
      <x:c r="L321" s="9" t="str">
        <x:f>IF(K321="",J321,K321)</x:f>
        <x:v>博客C-对比评测</x:v>
      </x:c>
      <x:c r="M321" s="9" t="str">
        <x:v>Best/Top/Review/VS/替代方案文章</x:v>
      </x:c>
      <x:c r="N321" s="9" t="str">
        <x:v>Best angle: top 10 vapes - comparison, pros/cons, and which option fits different buyers</x:v>
      </x:c>
      <x:c r="O321" s="9" t="str">
        <x:v>/collections/disposable-vapes</x:v>
      </x:c>
      <x:c r="P321" s="9" t="str">
        <x:v>是</x:v>
      </x:c>
      <x:c r="Q321" s="9" t="str">
        <x:v>自然句/品类词/品牌词</x:v>
      </x:c>
      <x:c r="R321" s="9" t="str">
        <x:v>中风险：榜单和评测必须真实、中立，避免夸大</x:v>
      </x:c>
      <x:c r="S321" s="9" t="str">
        <x:v>这类词不直接给主站，先用博客C教育和比较，再导流到最相关集合页。</x:v>
      </x:c>
      <x:c r="T321" s="38" t="n">
        <x:v>7</x:v>
      </x:c>
      <x:c r="U321" s="38" t="n">
        <x:v>12</x:v>
      </x:c>
      <x:c r="V321" s="38" t="n">
        <x:v>16</x:v>
      </x:c>
      <x:c r="W321" s="38" t="n">
        <x:v>15</x:v>
      </x:c>
      <x:c r="X321" s="38" t="n">
        <x:v>13</x:v>
      </x:c>
      <x:c r="Y321" s="38" t="n">
        <x:v>6</x:v>
      </x:c>
      <x:c r="Z321" s="38" t="n">
        <x:f>MAX(0,MIN(100,ROUND(((T321+U321+V321+W321+X321)-Y321)/85*100,0)))</x:f>
        <x:v>67</x:v>
      </x:c>
      <x:c r="AA321" s="9" t="str">
        <x:f>IF(L321="暂不做","P3 暂缓",IF(Z321&gt;=75,"P0 本周做",IF(Z321&gt;=60,"P1 近期做",IF(Z321&gt;=45,"P2 备选","P3 暂缓"))))</x:f>
        <x:v>P1 近期做</x:v>
      </x:c>
      <x:c r="AB321" s="9" t="str">
        <x:f>IF(Y321&gt;=15,"先做合规/相关性复核，不建议直接商业导流",IF(L321="主站","建/优化主站商业页",IF(L321="博客A-知识教程","写知识教程/FAQ文章",IF(L321="博客B-场景人群","写场景需求/选购指南文章",IF(L321="博客C-对比评测","写对比评测/榜单文章","暂不做或人工复核")))))</x:f>
        <x:v>写对比评测/榜单文章</x:v>
      </x:c>
      <x:c r="AC321" s="9" t="str">
        <x:v>Best Disposable Vape Flavors in 2026: Top 10 Most Popular Choices - ExDivo</x:v>
      </x:c>
      <x:c r="AD321" s="10" t="str">
        <x:v>best disposable vape flavors in 2026: top 10 most popular choices</x:v>
      </x:c>
    </x:row>
    <x:row r="322">
      <x:c r="A322" s="34" t="n">
        <x:v>322</x:v>
      </x:c>
      <x:c r="B322" s="9" t="str">
        <x:v>https://exdivo.com/blogs/best-disposable-vape-flavors-in-2026-top-10-most-popular-choices</x:v>
      </x:c>
      <x:c r="C322" s="9" t="str">
        <x:v>best selling vapes</x:v>
      </x:c>
      <x:c r="D322" s="9" t="str">
        <x:v>recommended</x:v>
      </x:c>
      <x:c r="E322" s="36" t="n">
        <x:v>110</x:v>
      </x:c>
      <x:c r="F322" s="36" t="n">
        <x:v>19</x:v>
      </x:c>
      <x:c r="G322" s="9" t="str">
        <x:v>commercial</x:v>
      </x:c>
      <x:c r="H322" s="9" t="str">
        <x:v>对比评测</x:v>
      </x:c>
      <x:c r="I322" s="9" t="str">
        <x:v>商业调查词</x:v>
      </x:c>
      <x:c r="J322" s="9" t="str">
        <x:v>博客C-对比评测</x:v>
      </x:c>
      <x:c r="K322" s="9" t="str"/>
      <x:c r="L322" s="9" t="str">
        <x:f>IF(K322="",J322,K322)</x:f>
        <x:v>博客C-对比评测</x:v>
      </x:c>
      <x:c r="M322" s="9" t="str">
        <x:v>Best/Top/Review/VS/替代方案文章</x:v>
      </x:c>
      <x:c r="N322" s="9" t="str">
        <x:v>Best angle: best selling vapes - comparison, pros/cons, and which option fits different buyers</x:v>
      </x:c>
      <x:c r="O322" s="9" t="str">
        <x:v>/collections/disposable-vapes</x:v>
      </x:c>
      <x:c r="P322" s="9" t="str">
        <x:v>是</x:v>
      </x:c>
      <x:c r="Q322" s="9" t="str">
        <x:v>自然句/品类词/品牌词</x:v>
      </x:c>
      <x:c r="R322" s="9" t="str">
        <x:v>中风险：榜单和评测必须真实、中立，避免夸大</x:v>
      </x:c>
      <x:c r="S322" s="9" t="str">
        <x:v>这类词不直接给主站，先用博客C教育和比较，再导流到最相关集合页。</x:v>
      </x:c>
      <x:c r="T322" s="38" t="n">
        <x:v>7</x:v>
      </x:c>
      <x:c r="U322" s="38" t="n">
        <x:v>12</x:v>
      </x:c>
      <x:c r="V322" s="38" t="n">
        <x:v>16</x:v>
      </x:c>
      <x:c r="W322" s="38" t="n">
        <x:v>15</x:v>
      </x:c>
      <x:c r="X322" s="38" t="n">
        <x:v>13</x:v>
      </x:c>
      <x:c r="Y322" s="38" t="n">
        <x:v>6</x:v>
      </x:c>
      <x:c r="Z322" s="38" t="n">
        <x:f>MAX(0,MIN(100,ROUND(((T322+U322+V322+W322+X322)-Y322)/85*100,0)))</x:f>
        <x:v>67</x:v>
      </x:c>
      <x:c r="AA322" s="9" t="str">
        <x:f>IF(L322="暂不做","P3 暂缓",IF(Z322&gt;=75,"P0 本周做",IF(Z322&gt;=60,"P1 近期做",IF(Z322&gt;=45,"P2 备选","P3 暂缓"))))</x:f>
        <x:v>P1 近期做</x:v>
      </x:c>
      <x:c r="AB322" s="9" t="str">
        <x:f>IF(Y322&gt;=15,"先做合规/相关性复核，不建议直接商业导流",IF(L322="主站","建/优化主站商业页",IF(L322="博客A-知识教程","写知识教程/FAQ文章",IF(L322="博客B-场景人群","写场景需求/选购指南文章",IF(L322="博客C-对比评测","写对比评测/榜单文章","暂不做或人工复核")))))</x:f>
        <x:v>写对比评测/榜单文章</x:v>
      </x:c>
      <x:c r="AC322" s="9" t="str">
        <x:v>Best Disposable Vape Flavors in 2026: Top 10 Most Popular Choices - ExDivo</x:v>
      </x:c>
      <x:c r="AD322" s="10" t="str">
        <x:v>best disposable vape flavors in 2026: top 10 most popular choices</x:v>
      </x:c>
    </x:row>
    <x:row r="323">
      <x:c r="A323" s="34" t="n">
        <x:v>323</x:v>
      </x:c>
      <x:c r="B323" s="9" t="str">
        <x:v>https://exdivo.com/blogs/best-disposable-vape-flavors-in-2026-top-10-most-popular-choices</x:v>
      </x:c>
      <x:c r="C323" s="9" t="str">
        <x:v>common vape brands</x:v>
      </x:c>
      <x:c r="D323" s="9" t="str">
        <x:v>recommended</x:v>
      </x:c>
      <x:c r="E323" s="36" t="n">
        <x:v>110</x:v>
      </x:c>
      <x:c r="F323" s="36" t="n">
        <x:v>20</x:v>
      </x:c>
      <x:c r="G323" s="9" t="str">
        <x:v>informational, commercial</x:v>
      </x:c>
      <x:c r="H323" s="9" t="str">
        <x:v>对比评测</x:v>
      </x:c>
      <x:c r="I323" s="9" t="str">
        <x:v>商业调查词</x:v>
      </x:c>
      <x:c r="J323" s="9" t="str">
        <x:v>博客C-对比评测</x:v>
      </x:c>
      <x:c r="K323" s="9" t="str"/>
      <x:c r="L323" s="9" t="str">
        <x:f>IF(K323="",J323,K323)</x:f>
        <x:v>博客C-对比评测</x:v>
      </x:c>
      <x:c r="M323" s="9" t="str">
        <x:v>Best/Top/Review/VS/替代方案文章</x:v>
      </x:c>
      <x:c r="N323" s="9" t="str">
        <x:v>Best angle: common vape brands - comparison, pros/cons, and which option fits different buyers</x:v>
      </x:c>
      <x:c r="O323" s="9" t="str">
        <x:v>/collections/disposable-vapes</x:v>
      </x:c>
      <x:c r="P323" s="9" t="str">
        <x:v>是</x:v>
      </x:c>
      <x:c r="Q323" s="9" t="str">
        <x:v>自然句/品类词/品牌词</x:v>
      </x:c>
      <x:c r="R323" s="9" t="str">
        <x:v>中风险：榜单和评测必须真实、中立，避免夸大</x:v>
      </x:c>
      <x:c r="S323" s="9" t="str">
        <x:v>这类词不直接给主站，先用博客C教育和比较，再导流到最相关集合页。</x:v>
      </x:c>
      <x:c r="T323" s="38" t="n">
        <x:v>7</x:v>
      </x:c>
      <x:c r="U323" s="38" t="n">
        <x:v>12</x:v>
      </x:c>
      <x:c r="V323" s="38" t="n">
        <x:v>16</x:v>
      </x:c>
      <x:c r="W323" s="38" t="n">
        <x:v>15</x:v>
      </x:c>
      <x:c r="X323" s="38" t="n">
        <x:v>13</x:v>
      </x:c>
      <x:c r="Y323" s="38" t="n">
        <x:v>6</x:v>
      </x:c>
      <x:c r="Z323" s="38" t="n">
        <x:f>MAX(0,MIN(100,ROUND(((T323+U323+V323+W323+X323)-Y323)/85*100,0)))</x:f>
        <x:v>67</x:v>
      </x:c>
      <x:c r="AA323" s="9" t="str">
        <x:f>IF(L323="暂不做","P3 暂缓",IF(Z323&gt;=75,"P0 本周做",IF(Z323&gt;=60,"P1 近期做",IF(Z323&gt;=45,"P2 备选","P3 暂缓"))))</x:f>
        <x:v>P1 近期做</x:v>
      </x:c>
      <x:c r="AB323" s="9" t="str">
        <x:f>IF(Y323&gt;=15,"先做合规/相关性复核，不建议直接商业导流",IF(L323="主站","建/优化主站商业页",IF(L323="博客A-知识教程","写知识教程/FAQ文章",IF(L323="博客B-场景人群","写场景需求/选购指南文章",IF(L323="博客C-对比评测","写对比评测/榜单文章","暂不做或人工复核")))))</x:f>
        <x:v>写对比评测/榜单文章</x:v>
      </x:c>
      <x:c r="AC323" s="9" t="str">
        <x:v>Best Disposable Vape Flavors in 2026: Top 10 Most Popular Choices - ExDivo</x:v>
      </x:c>
      <x:c r="AD323" s="10" t="str">
        <x:v>best disposable vape flavors in 2026: top 10 most popular choices</x:v>
      </x:c>
    </x:row>
    <x:row r="324">
      <x:c r="A324" s="34" t="n">
        <x:v>324</x:v>
      </x:c>
      <x:c r="B324" s="9" t="str">
        <x:v>https://exdivo.com/blogs/best-disposable-vape-flavors-in-2026-top-10-most-popular-choices</x:v>
      </x:c>
      <x:c r="C324" s="9" t="str">
        <x:v>top 10 vape flavors</x:v>
      </x:c>
      <x:c r="D324" s="9" t="str">
        <x:v>recommended</x:v>
      </x:c>
      <x:c r="E324" s="36" t="n">
        <x:v>50</x:v>
      </x:c>
      <x:c r="F324" s="36" t="n">
        <x:v>0</x:v>
      </x:c>
      <x:c r="G324" s="9" t="str">
        <x:v>informational, commercial</x:v>
      </x:c>
      <x:c r="H324" s="9" t="str">
        <x:v>Flavor / 口味</x:v>
      </x:c>
      <x:c r="I324" s="9" t="str">
        <x:v>商业调查词</x:v>
      </x:c>
      <x:c r="J324" s="9" t="str">
        <x:v>博客C-对比评测</x:v>
      </x:c>
      <x:c r="K324" s="9" t="str"/>
      <x:c r="L324" s="9" t="str">
        <x:f>IF(K324="",J324,K324)</x:f>
        <x:v>博客C-对比评测</x:v>
      </x:c>
      <x:c r="M324" s="9" t="str">
        <x:v>Best/Top/Review/VS/替代方案文章</x:v>
      </x:c>
      <x:c r="N324" s="9" t="str">
        <x:v>Best angle: top 10 vape flavors - comparison, pros/cons, and which option fits different buyers</x:v>
      </x:c>
      <x:c r="O324" s="9" t="str">
        <x:v>/collections/flavored-disposable-vapes</x:v>
      </x:c>
      <x:c r="P324" s="9" t="str">
        <x:v>是</x:v>
      </x:c>
      <x:c r="Q324" s="9" t="str">
        <x:v>自然句/品类词/品牌词</x:v>
      </x:c>
      <x:c r="R324" s="9" t="str">
        <x:v>中风险：榜单和评测必须真实、中立，避免夸大</x:v>
      </x:c>
      <x:c r="S324" s="9" t="str">
        <x:v>这类词不直接给主站，先用博客C教育和比较，再导流到最相关集合页。</x:v>
      </x:c>
      <x:c r="T324" s="38" t="n">
        <x:v>4</x:v>
      </x:c>
      <x:c r="U324" s="38" t="n">
        <x:v>15</x:v>
      </x:c>
      <x:c r="V324" s="38" t="n">
        <x:v>16</x:v>
      </x:c>
      <x:c r="W324" s="38" t="n">
        <x:v>15</x:v>
      </x:c>
      <x:c r="X324" s="38" t="n">
        <x:v>13</x:v>
      </x:c>
      <x:c r="Y324" s="38" t="n">
        <x:v>6</x:v>
      </x:c>
      <x:c r="Z324" s="38" t="n">
        <x:f>MAX(0,MIN(100,ROUND(((T324+U324+V324+W324+X324)-Y324)/85*100,0)))</x:f>
        <x:v>67</x:v>
      </x:c>
      <x:c r="AA324" s="9" t="str">
        <x:f>IF(L324="暂不做","P3 暂缓",IF(Z324&gt;=75,"P0 本周做",IF(Z324&gt;=60,"P1 近期做",IF(Z324&gt;=45,"P2 备选","P3 暂缓"))))</x:f>
        <x:v>P1 近期做</x:v>
      </x:c>
      <x:c r="AB324" s="9" t="str">
        <x:f>IF(Y324&gt;=15,"先做合规/相关性复核，不建议直接商业导流",IF(L324="主站","建/优化主站商业页",IF(L324="博客A-知识教程","写知识教程/FAQ文章",IF(L324="博客B-场景人群","写场景需求/选购指南文章",IF(L324="博客C-对比评测","写对比评测/榜单文章","暂不做或人工复核")))))</x:f>
        <x:v>写对比评测/榜单文章</x:v>
      </x:c>
      <x:c r="AC324" s="9" t="str">
        <x:v>Best Disposable Vape Flavors in 2026: Top 10 Most Popular Choices - ExDivo</x:v>
      </x:c>
      <x:c r="AD324" s="10" t="str">
        <x:v>best disposable vape flavors in 2026: top 10 most popular choices</x:v>
      </x:c>
    </x:row>
    <x:row r="325">
      <x:c r="A325" s="34" t="n">
        <x:v>325</x:v>
      </x:c>
      <x:c r="B325" s="9" t="str">
        <x:v>https://exdivo.com/blogs/best-disposable-vape-flavors-in-2026-top-10-most-popular-choices</x:v>
      </x:c>
      <x:c r="C325" s="9" t="str">
        <x:v>most popular disposable vape brands</x:v>
      </x:c>
      <x:c r="D325" s="9" t="str">
        <x:v>recommended</x:v>
      </x:c>
      <x:c r="E325" s="36" t="n">
        <x:v>90</x:v>
      </x:c>
      <x:c r="F325" s="36" t="n">
        <x:v>25</x:v>
      </x:c>
      <x:c r="G325" s="9" t="str">
        <x:v>informational</x:v>
      </x:c>
      <x:c r="H325" s="9" t="str">
        <x:v>Disposable Vape</x:v>
      </x:c>
      <x:c r="I325" s="9" t="str">
        <x:v>商业调查词</x:v>
      </x:c>
      <x:c r="J325" s="9" t="str">
        <x:v>博客C-对比评测</x:v>
      </x:c>
      <x:c r="K325" s="9" t="str"/>
      <x:c r="L325" s="9" t="str">
        <x:f>IF(K325="",J325,K325)</x:f>
        <x:v>博客C-对比评测</x:v>
      </x:c>
      <x:c r="M325" s="9" t="str">
        <x:v>Best/Top/Review/VS/替代方案文章</x:v>
      </x:c>
      <x:c r="N325" s="9" t="str">
        <x:v>Best angle: most popular disposable vape brands - comparison, pros/cons, and which option fits different buyers</x:v>
      </x:c>
      <x:c r="O325" s="9" t="str">
        <x:v>/collections/disposable-vapes</x:v>
      </x:c>
      <x:c r="P325" s="9" t="str">
        <x:v>是</x:v>
      </x:c>
      <x:c r="Q325" s="9" t="str">
        <x:v>自然句/品类词/品牌词</x:v>
      </x:c>
      <x:c r="R325" s="9" t="str">
        <x:v>中风险：榜单和评测必须真实、中立，避免夸大</x:v>
      </x:c>
      <x:c r="S325" s="9" t="str">
        <x:v>这类词不直接给主站，先用博客C教育和比较，再导流到最相关集合页。</x:v>
      </x:c>
      <x:c r="T325" s="38" t="n">
        <x:v>4</x:v>
      </x:c>
      <x:c r="U325" s="38" t="n">
        <x:v>12</x:v>
      </x:c>
      <x:c r="V325" s="38" t="n">
        <x:v>16</x:v>
      </x:c>
      <x:c r="W325" s="38" t="n">
        <x:v>15</x:v>
      </x:c>
      <x:c r="X325" s="38" t="n">
        <x:v>13</x:v>
      </x:c>
      <x:c r="Y325" s="38" t="n">
        <x:v>6</x:v>
      </x:c>
      <x:c r="Z325" s="38" t="n">
        <x:f>MAX(0,MIN(100,ROUND(((T325+U325+V325+W325+X325)-Y325)/85*100,0)))</x:f>
        <x:v>64</x:v>
      </x:c>
      <x:c r="AA325" s="9" t="str">
        <x:f>IF(L325="暂不做","P3 暂缓",IF(Z325&gt;=75,"P0 本周做",IF(Z325&gt;=60,"P1 近期做",IF(Z325&gt;=45,"P2 备选","P3 暂缓"))))</x:f>
        <x:v>P1 近期做</x:v>
      </x:c>
      <x:c r="AB325" s="9" t="str">
        <x:f>IF(Y325&gt;=15,"先做合规/相关性复核，不建议直接商业导流",IF(L325="主站","建/优化主站商业页",IF(L325="博客A-知识教程","写知识教程/FAQ文章",IF(L325="博客B-场景人群","写场景需求/选购指南文章",IF(L325="博客C-对比评测","写对比评测/榜单文章","暂不做或人工复核")))))</x:f>
        <x:v>写对比评测/榜单文章</x:v>
      </x:c>
      <x:c r="AC325" s="9" t="str">
        <x:v>Best Disposable Vape Flavors in 2026: Top 10 Most Popular Choices - ExDivo</x:v>
      </x:c>
      <x:c r="AD325" s="10" t="str">
        <x:v>best disposable vape flavors in 2026: top 10 most popular choices</x:v>
      </x:c>
    </x:row>
    <x:row r="326">
      <x:c r="A326" s="34" t="n">
        <x:v>326</x:v>
      </x:c>
      <x:c r="B326" s="9" t="str">
        <x:v>https://exdivo.com/blogs/best-disposable-vape-flavors-in-2026-top-10-most-popular-choices</x:v>
      </x:c>
      <x:c r="C326" s="9" t="str">
        <x:v>most popular vape flavor</x:v>
      </x:c>
      <x:c r="D326" s="9" t="str">
        <x:v>recommended</x:v>
      </x:c>
      <x:c r="E326" s="36" t="n">
        <x:v>50</x:v>
      </x:c>
      <x:c r="F326" s="36" t="n">
        <x:v>16</x:v>
      </x:c>
      <x:c r="G326" s="9" t="str">
        <x:v>commercial</x:v>
      </x:c>
      <x:c r="H326" s="9" t="str">
        <x:v>Flavor / 口味</x:v>
      </x:c>
      <x:c r="I326" s="9" t="str">
        <x:v>商业调查词</x:v>
      </x:c>
      <x:c r="J326" s="9" t="str">
        <x:v>博客C-对比评测</x:v>
      </x:c>
      <x:c r="K326" s="9" t="str"/>
      <x:c r="L326" s="9" t="str">
        <x:f>IF(K326="",J326,K326)</x:f>
        <x:v>博客C-对比评测</x:v>
      </x:c>
      <x:c r="M326" s="9" t="str">
        <x:v>Best/Top/Review/VS/替代方案文章</x:v>
      </x:c>
      <x:c r="N326" s="9" t="str">
        <x:v>Best angle: most popular vape flavor - comparison, pros/cons, and which option fits different buyers</x:v>
      </x:c>
      <x:c r="O326" s="9" t="str">
        <x:v>/collections/flavored-disposable-vapes</x:v>
      </x:c>
      <x:c r="P326" s="9" t="str">
        <x:v>是</x:v>
      </x:c>
      <x:c r="Q326" s="9" t="str">
        <x:v>自然句/品类词/品牌词</x:v>
      </x:c>
      <x:c r="R326" s="9" t="str">
        <x:v>中风险：榜单和评测必须真实、中立，避免夸大</x:v>
      </x:c>
      <x:c r="S326" s="9" t="str">
        <x:v>这类词不直接给主站，先用博客C教育和比较，再导流到最相关集合页。</x:v>
      </x:c>
      <x:c r="T326" s="38" t="n">
        <x:v>4</x:v>
      </x:c>
      <x:c r="U326" s="38" t="n">
        <x:v>12</x:v>
      </x:c>
      <x:c r="V326" s="38" t="n">
        <x:v>16</x:v>
      </x:c>
      <x:c r="W326" s="38" t="n">
        <x:v>15</x:v>
      </x:c>
      <x:c r="X326" s="38" t="n">
        <x:v>13</x:v>
      </x:c>
      <x:c r="Y326" s="38" t="n">
        <x:v>6</x:v>
      </x:c>
      <x:c r="Z326" s="38" t="n">
        <x:f>MAX(0,MIN(100,ROUND(((T326+U326+V326+W326+X326)-Y326)/85*100,0)))</x:f>
        <x:v>64</x:v>
      </x:c>
      <x:c r="AA326" s="9" t="str">
        <x:f>IF(L326="暂不做","P3 暂缓",IF(Z326&gt;=75,"P0 本周做",IF(Z326&gt;=60,"P1 近期做",IF(Z326&gt;=45,"P2 备选","P3 暂缓"))))</x:f>
        <x:v>P1 近期做</x:v>
      </x:c>
      <x:c r="AB326" s="9" t="str">
        <x:f>IF(Y326&gt;=15,"先做合规/相关性复核，不建议直接商业导流",IF(L326="主站","建/优化主站商业页",IF(L326="博客A-知识教程","写知识教程/FAQ文章",IF(L326="博客B-场景人群","写场景需求/选购指南文章",IF(L326="博客C-对比评测","写对比评测/榜单文章","暂不做或人工复核")))))</x:f>
        <x:v>写对比评测/榜单文章</x:v>
      </x:c>
      <x:c r="AC326" s="9" t="str">
        <x:v>Best Disposable Vape Flavors in 2026: Top 10 Most Popular Choices - ExDivo</x:v>
      </x:c>
      <x:c r="AD326" s="10" t="str">
        <x:v>best disposable vape flavors in 2026: top 10 most popular choices</x:v>
      </x:c>
    </x:row>
    <x:row r="327">
      <x:c r="A327" s="34" t="n">
        <x:v>327</x:v>
      </x:c>
      <x:c r="B327" s="9" t="str">
        <x:v>https://exdivo.com/blogs/best-disposable-vape-flavors-in-2026-top-10-most-popular-choices</x:v>
      </x:c>
      <x:c r="C327" s="9" t="str">
        <x:v>top 10 disposable vapes</x:v>
      </x:c>
      <x:c r="D327" s="9" t="str">
        <x:v>recommended</x:v>
      </x:c>
      <x:c r="E327" s="36" t="n">
        <x:v>70</x:v>
      </x:c>
      <x:c r="F327" s="36" t="n">
        <x:v>25</x:v>
      </x:c>
      <x:c r="G327" s="9" t="str">
        <x:v>informational, commercial</x:v>
      </x:c>
      <x:c r="H327" s="9" t="str">
        <x:v>Disposable Vape</x:v>
      </x:c>
      <x:c r="I327" s="9" t="str">
        <x:v>商业调查词</x:v>
      </x:c>
      <x:c r="J327" s="9" t="str">
        <x:v>博客C-对比评测</x:v>
      </x:c>
      <x:c r="K327" s="9" t="str"/>
      <x:c r="L327" s="9" t="str">
        <x:f>IF(K327="",J327,K327)</x:f>
        <x:v>博客C-对比评测</x:v>
      </x:c>
      <x:c r="M327" s="9" t="str">
        <x:v>Best/Top/Review/VS/替代方案文章</x:v>
      </x:c>
      <x:c r="N327" s="9" t="str">
        <x:v>Best angle: top 10 disposable vapes - comparison, pros/cons, and which option fits different buyers</x:v>
      </x:c>
      <x:c r="O327" s="9" t="str">
        <x:v>/collections/disposable-vapes</x:v>
      </x:c>
      <x:c r="P327" s="9" t="str">
        <x:v>是</x:v>
      </x:c>
      <x:c r="Q327" s="9" t="str">
        <x:v>自然句/品类词/品牌词</x:v>
      </x:c>
      <x:c r="R327" s="9" t="str">
        <x:v>中风险：榜单和评测必须真实、中立，避免夸大</x:v>
      </x:c>
      <x:c r="S327" s="9" t="str">
        <x:v>这类词不直接给主站，先用博客C教育和比较，再导流到最相关集合页。</x:v>
      </x:c>
      <x:c r="T327" s="38" t="n">
        <x:v>4</x:v>
      </x:c>
      <x:c r="U327" s="38" t="n">
        <x:v>12</x:v>
      </x:c>
      <x:c r="V327" s="38" t="n">
        <x:v>16</x:v>
      </x:c>
      <x:c r="W327" s="38" t="n">
        <x:v>15</x:v>
      </x:c>
      <x:c r="X327" s="38" t="n">
        <x:v>13</x:v>
      </x:c>
      <x:c r="Y327" s="38" t="n">
        <x:v>6</x:v>
      </x:c>
      <x:c r="Z327" s="38" t="n">
        <x:f>MAX(0,MIN(100,ROUND(((T327+U327+V327+W327+X327)-Y327)/85*100,0)))</x:f>
        <x:v>64</x:v>
      </x:c>
      <x:c r="AA327" s="9" t="str">
        <x:f>IF(L327="暂不做","P3 暂缓",IF(Z327&gt;=75,"P0 本周做",IF(Z327&gt;=60,"P1 近期做",IF(Z327&gt;=45,"P2 备选","P3 暂缓"))))</x:f>
        <x:v>P1 近期做</x:v>
      </x:c>
      <x:c r="AB327" s="9" t="str">
        <x:f>IF(Y327&gt;=15,"先做合规/相关性复核，不建议直接商业导流",IF(L327="主站","建/优化主站商业页",IF(L327="博客A-知识教程","写知识教程/FAQ文章",IF(L327="博客B-场景人群","写场景需求/选购指南文章",IF(L327="博客C-对比评测","写对比评测/榜单文章","暂不做或人工复核")))))</x:f>
        <x:v>写对比评测/榜单文章</x:v>
      </x:c>
      <x:c r="AC327" s="9" t="str">
        <x:v>Best Disposable Vape Flavors in 2026: Top 10 Most Popular Choices - ExDivo</x:v>
      </x:c>
      <x:c r="AD327" s="10" t="str">
        <x:v>best disposable vape flavors in 2026: top 10 most popular choices</x:v>
      </x:c>
    </x:row>
    <x:row r="328">
      <x:c r="A328" s="34" t="n">
        <x:v>328</x:v>
      </x:c>
      <x:c r="B328" s="9" t="str">
        <x:v>https://exdivo.com/blogs/best-disposable-vape-flavors-in-2026-top-10-most-popular-choices</x:v>
      </x:c>
      <x:c r="C328" s="9" t="str">
        <x:v>popular vapes brands</x:v>
      </x:c>
      <x:c r="D328" s="9" t="str">
        <x:v>recommended</x:v>
      </x:c>
      <x:c r="E328" s="36" t="n">
        <x:v>70</x:v>
      </x:c>
      <x:c r="F328" s="36" t="n">
        <x:v>21</x:v>
      </x:c>
      <x:c r="G328" s="9" t="str">
        <x:v>informational, commercial</x:v>
      </x:c>
      <x:c r="H328" s="9" t="str">
        <x:v>对比评测</x:v>
      </x:c>
      <x:c r="I328" s="9" t="str">
        <x:v>商业调查词</x:v>
      </x:c>
      <x:c r="J328" s="9" t="str">
        <x:v>博客C-对比评测</x:v>
      </x:c>
      <x:c r="K328" s="9" t="str"/>
      <x:c r="L328" s="9" t="str">
        <x:f>IF(K328="",J328,K328)</x:f>
        <x:v>博客C-对比评测</x:v>
      </x:c>
      <x:c r="M328" s="9" t="str">
        <x:v>Best/Top/Review/VS/替代方案文章</x:v>
      </x:c>
      <x:c r="N328" s="9" t="str">
        <x:v>Best angle: popular vapes brands - comparison, pros/cons, and which option fits different buyers</x:v>
      </x:c>
      <x:c r="O328" s="9" t="str">
        <x:v>/collections/disposable-vapes</x:v>
      </x:c>
      <x:c r="P328" s="9" t="str">
        <x:v>是</x:v>
      </x:c>
      <x:c r="Q328" s="9" t="str">
        <x:v>自然句/品类词/品牌词</x:v>
      </x:c>
      <x:c r="R328" s="9" t="str">
        <x:v>中风险：榜单和评测必须真实、中立，避免夸大</x:v>
      </x:c>
      <x:c r="S328" s="9" t="str">
        <x:v>这类词不直接给主站，先用博客C教育和比较，再导流到最相关集合页。</x:v>
      </x:c>
      <x:c r="T328" s="38" t="n">
        <x:v>4</x:v>
      </x:c>
      <x:c r="U328" s="38" t="n">
        <x:v>12</x:v>
      </x:c>
      <x:c r="V328" s="38" t="n">
        <x:v>16</x:v>
      </x:c>
      <x:c r="W328" s="38" t="n">
        <x:v>15</x:v>
      </x:c>
      <x:c r="X328" s="38" t="n">
        <x:v>13</x:v>
      </x:c>
      <x:c r="Y328" s="38" t="n">
        <x:v>6</x:v>
      </x:c>
      <x:c r="Z328" s="38" t="n">
        <x:f>MAX(0,MIN(100,ROUND(((T328+U328+V328+W328+X328)-Y328)/85*100,0)))</x:f>
        <x:v>64</x:v>
      </x:c>
      <x:c r="AA328" s="9" t="str">
        <x:f>IF(L328="暂不做","P3 暂缓",IF(Z328&gt;=75,"P0 本周做",IF(Z328&gt;=60,"P1 近期做",IF(Z328&gt;=45,"P2 备选","P3 暂缓"))))</x:f>
        <x:v>P1 近期做</x:v>
      </x:c>
      <x:c r="AB328" s="9" t="str">
        <x:f>IF(Y328&gt;=15,"先做合规/相关性复核，不建议直接商业导流",IF(L328="主站","建/优化主站商业页",IF(L328="博客A-知识教程","写知识教程/FAQ文章",IF(L328="博客B-场景人群","写场景需求/选购指南文章",IF(L328="博客C-对比评测","写对比评测/榜单文章","暂不做或人工复核")))))</x:f>
        <x:v>写对比评测/榜单文章</x:v>
      </x:c>
      <x:c r="AC328" s="9" t="str">
        <x:v>Best Disposable Vape Flavors in 2026: Top 10 Most Popular Choices - ExDivo</x:v>
      </x:c>
      <x:c r="AD328" s="10" t="str">
        <x:v>best disposable vape flavors in 2026: top 10 most popular choices</x:v>
      </x:c>
    </x:row>
    <x:row r="329">
      <x:c r="A329" s="34" t="n">
        <x:v>329</x:v>
      </x:c>
      <x:c r="B329" s="9" t="str">
        <x:v>https://exdivo.com/blogs/best-disposable-vape-flavors-in-2026-top-10-most-popular-choices</x:v>
      </x:c>
      <x:c r="C329" s="9" t="str">
        <x:v>most common vapes</x:v>
      </x:c>
      <x:c r="D329" s="9" t="str">
        <x:v>recommended</x:v>
      </x:c>
      <x:c r="E329" s="36" t="n">
        <x:v>50</x:v>
      </x:c>
      <x:c r="F329" s="36" t="n">
        <x:v>12</x:v>
      </x:c>
      <x:c r="G329" s="9" t="str">
        <x:v>informational, commercial</x:v>
      </x:c>
      <x:c r="H329" s="9" t="str">
        <x:v>General Vape</x:v>
      </x:c>
      <x:c r="I329" s="9" t="str">
        <x:v>品类承接词</x:v>
      </x:c>
      <x:c r="J329" s="9" t="str">
        <x:v>主站</x:v>
      </x:c>
      <x:c r="K329" s="9" t="str"/>
      <x:c r="L329" s="9" t="str">
        <x:f>IF(K329="",J329,K329)</x:f>
        <x:v>主站</x:v>
      </x:c>
      <x:c r="M329" s="9" t="str">
        <x:v>品类页/集合页 + FAQ内容块</x:v>
      </x:c>
      <x:c r="N329" s="9" t="str">
        <x:v>主站品类页：用产品集合 + 选购说明承接</x:v>
      </x:c>
      <x:c r="O329" s="9" t="str">
        <x:v>/collections/disposable-vapes</x:v>
      </x:c>
      <x:c r="P329" s="9" t="str">
        <x:v>不适用</x:v>
      </x:c>
      <x:c r="Q329" s="9" t="str">
        <x:v>主站页面自身承接</x:v>
      </x:c>
      <x:c r="R329" s="9" t="str">
        <x:v>核心品类词：主站优先，博客只做长尾解释，不直接抢同一词</x:v>
      </x:c>
      <x:c r="S329" s="9" t="str">
        <x:v>如果 Google 首页产品页和指南混合，主站页要加 FAQ、选购指南、对比模块。</x:v>
      </x:c>
      <x:c r="T329" s="38" t="n">
        <x:v>4</x:v>
      </x:c>
      <x:c r="U329" s="38" t="n">
        <x:v>15</x:v>
      </x:c>
      <x:c r="V329" s="38" t="n">
        <x:v>18</x:v>
      </x:c>
      <x:c r="W329" s="38" t="n">
        <x:v>8</x:v>
      </x:c>
      <x:c r="X329" s="38" t="n">
        <x:v>15</x:v>
      </x:c>
      <x:c r="Y329" s="38" t="n">
        <x:v>4</x:v>
      </x:c>
      <x:c r="Z329" s="38" t="n">
        <x:f>MAX(0,MIN(100,ROUND(((T329+U329+V329+W329+X329)-Y329)/85*100,0)))</x:f>
        <x:v>66</x:v>
      </x:c>
      <x:c r="AA329" s="9" t="str">
        <x:f>IF(L329="暂不做","P3 暂缓",IF(Z329&gt;=75,"P0 本周做",IF(Z329&gt;=60,"P1 近期做",IF(Z329&gt;=45,"P2 备选","P3 暂缓"))))</x:f>
        <x:v>P1 近期做</x:v>
      </x:c>
      <x:c r="AB329" s="9" t="str">
        <x:f>IF(Y329&gt;=15,"先做合规/相关性复核，不建议直接商业导流",IF(L329="主站","建/优化主站商业页",IF(L329="博客A-知识教程","写知识教程/FAQ文章",IF(L329="博客B-场景人群","写场景需求/选购指南文章",IF(L329="博客C-对比评测","写对比评测/榜单文章","暂不做或人工复核")))))</x:f>
        <x:v>建/优化主站商业页</x:v>
      </x:c>
      <x:c r="AC329" s="9" t="str">
        <x:v>Best Disposable Vape Flavors in 2026: Top 10 Most Popular Choices - ExDivo</x:v>
      </x:c>
      <x:c r="AD329" s="10" t="str">
        <x:v>best disposable vape flavors in 2026: top 10 most popular choices</x:v>
      </x:c>
    </x:row>
    <x:row r="330">
      <x:c r="A330" s="34" t="n">
        <x:v>330</x:v>
      </x:c>
      <x:c r="B330" s="9" t="str">
        <x:v>https://exdivo.com/blogs/best-disposable-vape-flavors-in-2026-top-10-most-popular-choices</x:v>
      </x:c>
      <x:c r="C330" s="9" t="str">
        <x:v>best selling vape juice</x:v>
      </x:c>
      <x:c r="D330" s="9" t="str">
        <x:v>recommended</x:v>
      </x:c>
      <x:c r="E330" s="36" t="n">
        <x:v>40</x:v>
      </x:c>
      <x:c r="F330" s="36" t="n">
        <x:v>11</x:v>
      </x:c>
      <x:c r="G330" s="9" t="str">
        <x:v>commercial</x:v>
      </x:c>
      <x:c r="H330" s="9" t="str">
        <x:v>对比评测</x:v>
      </x:c>
      <x:c r="I330" s="9" t="str">
        <x:v>商业调查词</x:v>
      </x:c>
      <x:c r="J330" s="9" t="str">
        <x:v>博客C-对比评测</x:v>
      </x:c>
      <x:c r="K330" s="9" t="str"/>
      <x:c r="L330" s="9" t="str">
        <x:f>IF(K330="",J330,K330)</x:f>
        <x:v>博客C-对比评测</x:v>
      </x:c>
      <x:c r="M330" s="9" t="str">
        <x:v>Best/Top/Review/VS/替代方案文章</x:v>
      </x:c>
      <x:c r="N330" s="9" t="str">
        <x:v>Best angle: best selling vape juice - comparison, pros/cons, and which option fits different buyers</x:v>
      </x:c>
      <x:c r="O330" s="9" t="str">
        <x:v>/collections/disposable-vapes</x:v>
      </x:c>
      <x:c r="P330" s="9" t="str">
        <x:v>是</x:v>
      </x:c>
      <x:c r="Q330" s="9" t="str">
        <x:v>自然句/品类词/品牌词</x:v>
      </x:c>
      <x:c r="R330" s="9" t="str">
        <x:v>中风险：榜单和评测必须真实、中立，避免夸大</x:v>
      </x:c>
      <x:c r="S330" s="9" t="str">
        <x:v>这类词不直接给主站，先用博客C教育和比较，再导流到最相关集合页。</x:v>
      </x:c>
      <x:c r="T330" s="38" t="n">
        <x:v>4</x:v>
      </x:c>
      <x:c r="U330" s="38" t="n">
        <x:v>15</x:v>
      </x:c>
      <x:c r="V330" s="38" t="n">
        <x:v>16</x:v>
      </x:c>
      <x:c r="W330" s="38" t="n">
        <x:v>15</x:v>
      </x:c>
      <x:c r="X330" s="38" t="n">
        <x:v>13</x:v>
      </x:c>
      <x:c r="Y330" s="38" t="n">
        <x:v>6</x:v>
      </x:c>
      <x:c r="Z330" s="38" t="n">
        <x:f>MAX(0,MIN(100,ROUND(((T330+U330+V330+W330+X330)-Y330)/85*100,0)))</x:f>
        <x:v>67</x:v>
      </x:c>
      <x:c r="AA330" s="9" t="str">
        <x:f>IF(L330="暂不做","P3 暂缓",IF(Z330&gt;=75,"P0 本周做",IF(Z330&gt;=60,"P1 近期做",IF(Z330&gt;=45,"P2 备选","P3 暂缓"))))</x:f>
        <x:v>P1 近期做</x:v>
      </x:c>
      <x:c r="AB330" s="9" t="str">
        <x:f>IF(Y330&gt;=15,"先做合规/相关性复核，不建议直接商业导流",IF(L330="主站","建/优化主站商业页",IF(L330="博客A-知识教程","写知识教程/FAQ文章",IF(L330="博客B-场景人群","写场景需求/选购指南文章",IF(L330="博客C-对比评测","写对比评测/榜单文章","暂不做或人工复核")))))</x:f>
        <x:v>写对比评测/榜单文章</x:v>
      </x:c>
      <x:c r="AC330" s="9" t="str">
        <x:v>Best Disposable Vape Flavors in 2026: Top 10 Most Popular Choices - ExDivo</x:v>
      </x:c>
      <x:c r="AD330" s="10" t="str">
        <x:v>best disposable vape flavors in 2026: top 10 most popular choices</x:v>
      </x:c>
    </x:row>
    <x:row r="331">
      <x:c r="A331" s="34" t="n">
        <x:v>331</x:v>
      </x:c>
      <x:c r="B331" s="9" t="str">
        <x:v>https://exdivo.com/blogs/best-disposable-vape-flavors-in-2026-top-10-most-popular-choices</x:v>
      </x:c>
      <x:c r="C331" s="9" t="str">
        <x:v>top selling vapes</x:v>
      </x:c>
      <x:c r="D331" s="9" t="str">
        <x:v>recommended</x:v>
      </x:c>
      <x:c r="E331" s="36" t="n">
        <x:v>50</x:v>
      </x:c>
      <x:c r="F331" s="36" t="n">
        <x:v>19</x:v>
      </x:c>
      <x:c r="G331" s="9" t="str">
        <x:v>informational, commercial</x:v>
      </x:c>
      <x:c r="H331" s="9" t="str">
        <x:v>对比评测</x:v>
      </x:c>
      <x:c r="I331" s="9" t="str">
        <x:v>商业调查词</x:v>
      </x:c>
      <x:c r="J331" s="9" t="str">
        <x:v>博客C-对比评测</x:v>
      </x:c>
      <x:c r="K331" s="9" t="str"/>
      <x:c r="L331" s="9" t="str">
        <x:f>IF(K331="",J331,K331)</x:f>
        <x:v>博客C-对比评测</x:v>
      </x:c>
      <x:c r="M331" s="9" t="str">
        <x:v>Best/Top/Review/VS/替代方案文章</x:v>
      </x:c>
      <x:c r="N331" s="9" t="str">
        <x:v>Best angle: top selling vapes - comparison, pros/cons, and which option fits different buyers</x:v>
      </x:c>
      <x:c r="O331" s="9" t="str">
        <x:v>/collections/disposable-vapes</x:v>
      </x:c>
      <x:c r="P331" s="9" t="str">
        <x:v>是</x:v>
      </x:c>
      <x:c r="Q331" s="9" t="str">
        <x:v>自然句/品类词/品牌词</x:v>
      </x:c>
      <x:c r="R331" s="9" t="str">
        <x:v>中风险：榜单和评测必须真实、中立，避免夸大</x:v>
      </x:c>
      <x:c r="S331" s="9" t="str">
        <x:v>这类词不直接给主站，先用博客C教育和比较，再导流到最相关集合页。</x:v>
      </x:c>
      <x:c r="T331" s="38" t="n">
        <x:v>4</x:v>
      </x:c>
      <x:c r="U331" s="38" t="n">
        <x:v>12</x:v>
      </x:c>
      <x:c r="V331" s="38" t="n">
        <x:v>16</x:v>
      </x:c>
      <x:c r="W331" s="38" t="n">
        <x:v>15</x:v>
      </x:c>
      <x:c r="X331" s="38" t="n">
        <x:v>13</x:v>
      </x:c>
      <x:c r="Y331" s="38" t="n">
        <x:v>6</x:v>
      </x:c>
      <x:c r="Z331" s="38" t="n">
        <x:f>MAX(0,MIN(100,ROUND(((T331+U331+V331+W331+X331)-Y331)/85*100,0)))</x:f>
        <x:v>64</x:v>
      </x:c>
      <x:c r="AA331" s="9" t="str">
        <x:f>IF(L331="暂不做","P3 暂缓",IF(Z331&gt;=75,"P0 本周做",IF(Z331&gt;=60,"P1 近期做",IF(Z331&gt;=45,"P2 备选","P3 暂缓"))))</x:f>
        <x:v>P1 近期做</x:v>
      </x:c>
      <x:c r="AB331" s="9" t="str">
        <x:f>IF(Y331&gt;=15,"先做合规/相关性复核，不建议直接商业导流",IF(L331="主站","建/优化主站商业页",IF(L331="博客A-知识教程","写知识教程/FAQ文章",IF(L331="博客B-场景人群","写场景需求/选购指南文章",IF(L331="博客C-对比评测","写对比评测/榜单文章","暂不做或人工复核")))))</x:f>
        <x:v>写对比评测/榜单文章</x:v>
      </x:c>
      <x:c r="AC331" s="9" t="str">
        <x:v>Best Disposable Vape Flavors in 2026: Top 10 Most Popular Choices - ExDivo</x:v>
      </x:c>
      <x:c r="AD331" s="10" t="str">
        <x:v>best disposable vape flavors in 2026: top 10 most popular choices</x:v>
      </x:c>
    </x:row>
    <x:row r="332">
      <x:c r="A332" s="34" t="n">
        <x:v>332</x:v>
      </x:c>
      <x:c r="B332" s="9" t="str">
        <x:v>https://exdivo.com/blogs/best-disposable-vape-flavors-in-2026-top-10-most-popular-choices</x:v>
      </x:c>
      <x:c r="C332" s="9" t="str">
        <x:v>best selling vape brands</x:v>
      </x:c>
      <x:c r="D332" s="9" t="str">
        <x:v>recommended</x:v>
      </x:c>
      <x:c r="E332" s="36" t="n">
        <x:v>40</x:v>
      </x:c>
      <x:c r="F332" s="36" t="n">
        <x:v>14</x:v>
      </x:c>
      <x:c r="G332" s="9" t="str">
        <x:v>commercial</x:v>
      </x:c>
      <x:c r="H332" s="9" t="str">
        <x:v>对比评测</x:v>
      </x:c>
      <x:c r="I332" s="9" t="str">
        <x:v>商业调查词</x:v>
      </x:c>
      <x:c r="J332" s="9" t="str">
        <x:v>博客C-对比评测</x:v>
      </x:c>
      <x:c r="K332" s="9" t="str"/>
      <x:c r="L332" s="9" t="str">
        <x:f>IF(K332="",J332,K332)</x:f>
        <x:v>博客C-对比评测</x:v>
      </x:c>
      <x:c r="M332" s="9" t="str">
        <x:v>Best/Top/Review/VS/替代方案文章</x:v>
      </x:c>
      <x:c r="N332" s="9" t="str">
        <x:v>Best angle: best selling vape brands - comparison, pros/cons, and which option fits different buyers</x:v>
      </x:c>
      <x:c r="O332" s="9" t="str">
        <x:v>/collections/disposable-vapes</x:v>
      </x:c>
      <x:c r="P332" s="9" t="str">
        <x:v>是</x:v>
      </x:c>
      <x:c r="Q332" s="9" t="str">
        <x:v>自然句/品类词/品牌词</x:v>
      </x:c>
      <x:c r="R332" s="9" t="str">
        <x:v>中风险：榜单和评测必须真实、中立，避免夸大</x:v>
      </x:c>
      <x:c r="S332" s="9" t="str">
        <x:v>这类词不直接给主站，先用博客C教育和比较，再导流到最相关集合页。</x:v>
      </x:c>
      <x:c r="T332" s="38" t="n">
        <x:v>4</x:v>
      </x:c>
      <x:c r="U332" s="38" t="n">
        <x:v>15</x:v>
      </x:c>
      <x:c r="V332" s="38" t="n">
        <x:v>16</x:v>
      </x:c>
      <x:c r="W332" s="38" t="n">
        <x:v>15</x:v>
      </x:c>
      <x:c r="X332" s="38" t="n">
        <x:v>13</x:v>
      </x:c>
      <x:c r="Y332" s="38" t="n">
        <x:v>6</x:v>
      </x:c>
      <x:c r="Z332" s="38" t="n">
        <x:f>MAX(0,MIN(100,ROUND(((T332+U332+V332+W332+X332)-Y332)/85*100,0)))</x:f>
        <x:v>67</x:v>
      </x:c>
      <x:c r="AA332" s="9" t="str">
        <x:f>IF(L332="暂不做","P3 暂缓",IF(Z332&gt;=75,"P0 本周做",IF(Z332&gt;=60,"P1 近期做",IF(Z332&gt;=45,"P2 备选","P3 暂缓"))))</x:f>
        <x:v>P1 近期做</x:v>
      </x:c>
      <x:c r="AB332" s="9" t="str">
        <x:f>IF(Y332&gt;=15,"先做合规/相关性复核，不建议直接商业导流",IF(L332="主站","建/优化主站商业页",IF(L332="博客A-知识教程","写知识教程/FAQ文章",IF(L332="博客B-场景人群","写场景需求/选购指南文章",IF(L332="博客C-对比评测","写对比评测/榜单文章","暂不做或人工复核")))))</x:f>
        <x:v>写对比评测/榜单文章</x:v>
      </x:c>
      <x:c r="AC332" s="9" t="str">
        <x:v>Best Disposable Vape Flavors in 2026: Top 10 Most Popular Choices - ExDivo</x:v>
      </x:c>
      <x:c r="AD332" s="10" t="str">
        <x:v>best disposable vape flavors in 2026: top 10 most popular choices</x:v>
      </x:c>
    </x:row>
    <x:row r="333">
      <x:c r="A333" s="34" t="n">
        <x:v>333</x:v>
      </x:c>
      <x:c r="B333" s="9" t="str">
        <x:v>https://exdivo.com/blogs/best-disposable-vape-flavors-in-2026-top-10-most-popular-choices</x:v>
      </x:c>
      <x:c r="C333" s="9" t="str">
        <x:v>popular kinds of vape</x:v>
      </x:c>
      <x:c r="D333" s="9" t="str">
        <x:v>recommended</x:v>
      </x:c>
      <x:c r="E333" s="36" t="n">
        <x:v>50</x:v>
      </x:c>
      <x:c r="F333" s="36" t="n">
        <x:v>20</x:v>
      </x:c>
      <x:c r="G333" s="9" t="str">
        <x:v>informational, commercial</x:v>
      </x:c>
      <x:c r="H333" s="9" t="str">
        <x:v>对比评测</x:v>
      </x:c>
      <x:c r="I333" s="9" t="str">
        <x:v>商业调查词</x:v>
      </x:c>
      <x:c r="J333" s="9" t="str">
        <x:v>博客C-对比评测</x:v>
      </x:c>
      <x:c r="K333" s="9" t="str"/>
      <x:c r="L333" s="9" t="str">
        <x:f>IF(K333="",J333,K333)</x:f>
        <x:v>博客C-对比评测</x:v>
      </x:c>
      <x:c r="M333" s="9" t="str">
        <x:v>Best/Top/Review/VS/替代方案文章</x:v>
      </x:c>
      <x:c r="N333" s="9" t="str">
        <x:v>Best angle: popular kinds of vape - comparison, pros/cons, and which option fits different buyers</x:v>
      </x:c>
      <x:c r="O333" s="9" t="str">
        <x:v>/collections/disposable-vapes</x:v>
      </x:c>
      <x:c r="P333" s="9" t="str">
        <x:v>是</x:v>
      </x:c>
      <x:c r="Q333" s="9" t="str">
        <x:v>自然句/品类词/品牌词</x:v>
      </x:c>
      <x:c r="R333" s="9" t="str">
        <x:v>中风险：榜单和评测必须真实、中立，避免夸大</x:v>
      </x:c>
      <x:c r="S333" s="9" t="str">
        <x:v>这类词不直接给主站，先用博客C教育和比较，再导流到最相关集合页。</x:v>
      </x:c>
      <x:c r="T333" s="38" t="n">
        <x:v>4</x:v>
      </x:c>
      <x:c r="U333" s="38" t="n">
        <x:v>12</x:v>
      </x:c>
      <x:c r="V333" s="38" t="n">
        <x:v>16</x:v>
      </x:c>
      <x:c r="W333" s="38" t="n">
        <x:v>15</x:v>
      </x:c>
      <x:c r="X333" s="38" t="n">
        <x:v>13</x:v>
      </x:c>
      <x:c r="Y333" s="38" t="n">
        <x:v>6</x:v>
      </x:c>
      <x:c r="Z333" s="38" t="n">
        <x:f>MAX(0,MIN(100,ROUND(((T333+U333+V333+W333+X333)-Y333)/85*100,0)))</x:f>
        <x:v>64</x:v>
      </x:c>
      <x:c r="AA333" s="9" t="str">
        <x:f>IF(L333="暂不做","P3 暂缓",IF(Z333&gt;=75,"P0 本周做",IF(Z333&gt;=60,"P1 近期做",IF(Z333&gt;=45,"P2 备选","P3 暂缓"))))</x:f>
        <x:v>P1 近期做</x:v>
      </x:c>
      <x:c r="AB333" s="9" t="str">
        <x:f>IF(Y333&gt;=15,"先做合规/相关性复核，不建议直接商业导流",IF(L333="主站","建/优化主站商业页",IF(L333="博客A-知识教程","写知识教程/FAQ文章",IF(L333="博客B-场景人群","写场景需求/选购指南文章",IF(L333="博客C-对比评测","写对比评测/榜单文章","暂不做或人工复核")))))</x:f>
        <x:v>写对比评测/榜单文章</x:v>
      </x:c>
      <x:c r="AC333" s="9" t="str">
        <x:v>Best Disposable Vape Flavors in 2026: Top 10 Most Popular Choices - ExDivo</x:v>
      </x:c>
      <x:c r="AD333" s="10" t="str">
        <x:v>best disposable vape flavors in 2026: top 10 most popular choices</x:v>
      </x:c>
    </x:row>
    <x:row r="334">
      <x:c r="A334" s="34" t="n">
        <x:v>334</x:v>
      </x:c>
      <x:c r="B334" s="9" t="str">
        <x:v>https://exdivo.com/blogs/best-disposable-vape-flavors-in-2026-top-10-most-popular-choices</x:v>
      </x:c>
      <x:c r="C334" s="9" t="str">
        <x:v>most popular vape pens</x:v>
      </x:c>
      <x:c r="D334" s="9" t="str">
        <x:v>recommended</x:v>
      </x:c>
      <x:c r="E334" s="36" t="n">
        <x:v>50</x:v>
      </x:c>
      <x:c r="F334" s="36" t="n">
        <x:v>20</x:v>
      </x:c>
      <x:c r="G334" s="9" t="str">
        <x:v>informational, commercial</x:v>
      </x:c>
      <x:c r="H334" s="9" t="str">
        <x:v>对比评测</x:v>
      </x:c>
      <x:c r="I334" s="9" t="str">
        <x:v>商业调查词</x:v>
      </x:c>
      <x:c r="J334" s="9" t="str">
        <x:v>博客C-对比评测</x:v>
      </x:c>
      <x:c r="K334" s="9" t="str"/>
      <x:c r="L334" s="9" t="str">
        <x:f>IF(K334="",J334,K334)</x:f>
        <x:v>博客C-对比评测</x:v>
      </x:c>
      <x:c r="M334" s="9" t="str">
        <x:v>Best/Top/Review/VS/替代方案文章</x:v>
      </x:c>
      <x:c r="N334" s="9" t="str">
        <x:v>Best angle: most popular vape pens - comparison, pros/cons, and which option fits different buyers</x:v>
      </x:c>
      <x:c r="O334" s="9" t="str">
        <x:v>/collections/disposable-vapes</x:v>
      </x:c>
      <x:c r="P334" s="9" t="str">
        <x:v>是</x:v>
      </x:c>
      <x:c r="Q334" s="9" t="str">
        <x:v>自然句/品类词/品牌词</x:v>
      </x:c>
      <x:c r="R334" s="9" t="str">
        <x:v>中风险：榜单和评测必须真实、中立，避免夸大</x:v>
      </x:c>
      <x:c r="S334" s="9" t="str">
        <x:v>这类词不直接给主站，先用博客C教育和比较，再导流到最相关集合页。</x:v>
      </x:c>
      <x:c r="T334" s="38" t="n">
        <x:v>4</x:v>
      </x:c>
      <x:c r="U334" s="38" t="n">
        <x:v>12</x:v>
      </x:c>
      <x:c r="V334" s="38" t="n">
        <x:v>16</x:v>
      </x:c>
      <x:c r="W334" s="38" t="n">
        <x:v>15</x:v>
      </x:c>
      <x:c r="X334" s="38" t="n">
        <x:v>13</x:v>
      </x:c>
      <x:c r="Y334" s="38" t="n">
        <x:v>6</x:v>
      </x:c>
      <x:c r="Z334" s="38" t="n">
        <x:f>MAX(0,MIN(100,ROUND(((T334+U334+V334+W334+X334)-Y334)/85*100,0)))</x:f>
        <x:v>64</x:v>
      </x:c>
      <x:c r="AA334" s="9" t="str">
        <x:f>IF(L334="暂不做","P3 暂缓",IF(Z334&gt;=75,"P0 本周做",IF(Z334&gt;=60,"P1 近期做",IF(Z334&gt;=45,"P2 备选","P3 暂缓"))))</x:f>
        <x:v>P1 近期做</x:v>
      </x:c>
      <x:c r="AB334" s="9" t="str">
        <x:f>IF(Y334&gt;=15,"先做合规/相关性复核，不建议直接商业导流",IF(L334="主站","建/优化主站商业页",IF(L334="博客A-知识教程","写知识教程/FAQ文章",IF(L334="博客B-场景人群","写场景需求/选购指南文章",IF(L334="博客C-对比评测","写对比评测/榜单文章","暂不做或人工复核")))))</x:f>
        <x:v>写对比评测/榜单文章</x:v>
      </x:c>
      <x:c r="AC334" s="9" t="str">
        <x:v>Best Disposable Vape Flavors in 2026: Top 10 Most Popular Choices - ExDivo</x:v>
      </x:c>
      <x:c r="AD334" s="10" t="str">
        <x:v>best disposable vape flavors in 2026: top 10 most popular choices</x:v>
      </x:c>
    </x:row>
    <x:row r="335">
      <x:c r="A335" s="34" t="n">
        <x:v>335</x:v>
      </x:c>
      <x:c r="B335" s="9" t="str">
        <x:v>https://exdivo.com/blogs/best-disposable-vape-flavors-in-2026-top-10-most-popular-choices</x:v>
      </x:c>
      <x:c r="C335" s="9" t="str">
        <x:v>top 5 disposable vapes</x:v>
      </x:c>
      <x:c r="D335" s="9" t="str">
        <x:v>recommended</x:v>
      </x:c>
      <x:c r="E335" s="36" t="n">
        <x:v>40</x:v>
      </x:c>
      <x:c r="F335" s="36" t="n">
        <x:v>24</x:v>
      </x:c>
      <x:c r="G335" s="9" t="str">
        <x:v>informational, commercial</x:v>
      </x:c>
      <x:c r="H335" s="9" t="str">
        <x:v>Disposable Vape</x:v>
      </x:c>
      <x:c r="I335" s="9" t="str">
        <x:v>商业调查词</x:v>
      </x:c>
      <x:c r="J335" s="9" t="str">
        <x:v>博客C-对比评测</x:v>
      </x:c>
      <x:c r="K335" s="9" t="str"/>
      <x:c r="L335" s="9" t="str">
        <x:f>IF(K335="",J335,K335)</x:f>
        <x:v>博客C-对比评测</x:v>
      </x:c>
      <x:c r="M335" s="9" t="str">
        <x:v>Best/Top/Review/VS/替代方案文章</x:v>
      </x:c>
      <x:c r="N335" s="9" t="str">
        <x:v>Best angle: top 5 disposable vapes - comparison, pros/cons, and which option fits different buyers</x:v>
      </x:c>
      <x:c r="O335" s="9" t="str">
        <x:v>/collections/disposable-vapes</x:v>
      </x:c>
      <x:c r="P335" s="9" t="str">
        <x:v>是</x:v>
      </x:c>
      <x:c r="Q335" s="9" t="str">
        <x:v>自然句/品类词/品牌词</x:v>
      </x:c>
      <x:c r="R335" s="9" t="str">
        <x:v>中风险：榜单和评测必须真实、中立，避免夸大</x:v>
      </x:c>
      <x:c r="S335" s="9" t="str">
        <x:v>这类词不直接给主站，先用博客C教育和比较，再导流到最相关集合页。</x:v>
      </x:c>
      <x:c r="T335" s="38" t="n">
        <x:v>4</x:v>
      </x:c>
      <x:c r="U335" s="38" t="n">
        <x:v>12</x:v>
      </x:c>
      <x:c r="V335" s="38" t="n">
        <x:v>16</x:v>
      </x:c>
      <x:c r="W335" s="38" t="n">
        <x:v>15</x:v>
      </x:c>
      <x:c r="X335" s="38" t="n">
        <x:v>13</x:v>
      </x:c>
      <x:c r="Y335" s="38" t="n">
        <x:v>6</x:v>
      </x:c>
      <x:c r="Z335" s="38" t="n">
        <x:f>MAX(0,MIN(100,ROUND(((T335+U335+V335+W335+X335)-Y335)/85*100,0)))</x:f>
        <x:v>64</x:v>
      </x:c>
      <x:c r="AA335" s="9" t="str">
        <x:f>IF(L335="暂不做","P3 暂缓",IF(Z335&gt;=75,"P0 本周做",IF(Z335&gt;=60,"P1 近期做",IF(Z335&gt;=45,"P2 备选","P3 暂缓"))))</x:f>
        <x:v>P1 近期做</x:v>
      </x:c>
      <x:c r="AB335" s="9" t="str">
        <x:f>IF(Y335&gt;=15,"先做合规/相关性复核，不建议直接商业导流",IF(L335="主站","建/优化主站商业页",IF(L335="博客A-知识教程","写知识教程/FAQ文章",IF(L335="博客B-场景人群","写场景需求/选购指南文章",IF(L335="博客C-对比评测","写对比评测/榜单文章","暂不做或人工复核")))))</x:f>
        <x:v>写对比评测/榜单文章</x:v>
      </x:c>
      <x:c r="AC335" s="9" t="str">
        <x:v>Best Disposable Vape Flavors in 2026: Top 10 Most Popular Choices - ExDivo</x:v>
      </x:c>
      <x:c r="AD335" s="10" t="str">
        <x:v>best disposable vape flavors in 2026: top 10 most popular choices</x:v>
      </x:c>
    </x:row>
    <x:row r="336">
      <x:c r="A336" s="34" t="n">
        <x:v>336</x:v>
      </x:c>
      <x:c r="B336" s="9" t="str">
        <x:v>https://exdivo.com/comments/exdivo-interstellar-35k-disposable-vape_45a63f07</x:v>
      </x:c>
      <x:c r="C336" s="9" t="str">
        <x:v>disposable vape strawberry banana</x:v>
      </x:c>
      <x:c r="D336" s="9" t="str">
        <x:v>recommended</x:v>
      </x:c>
      <x:c r="E336" s="36" t="n">
        <x:v>0</x:v>
      </x:c>
      <x:c r="F336" s="36" t="n">
        <x:v>0</x:v>
      </x:c>
      <x:c r="G336" s="9" t="str">
        <x:v>48</x:v>
      </x:c>
      <x:c r="H336" s="9" t="str">
        <x:v>合规科普</x:v>
      </x:c>
      <x:c r="I336" s="9" t="str">
        <x:v>合规/YMYL科普词</x:v>
      </x:c>
      <x:c r="J336" s="9" t="str">
        <x:v>博客A-知识教程</x:v>
      </x:c>
      <x:c r="K336" s="9" t="str"/>
      <x:c r="L336" s="9" t="str">
        <x:f>IF(K336="",J336,K336)</x:f>
        <x:v>博客A-知识教程</x:v>
      </x:c>
      <x:c r="M336" s="9" t="str">
        <x:v>合规/健康风险科普文章</x:v>
      </x:c>
      <x:c r="N336" s="9" t="str">
        <x:v>Guide angle: explain disposable vape strawberry banana, answer common questions, and avoid sales-first writing</x:v>
      </x:c>
      <x:c r="O336" s="9" t="str">
        <x:v>无商业内链</x:v>
      </x:c>
      <x:c r="P336" s="9" t="str">
        <x:v>否</x:v>
      </x:c>
      <x:c r="Q336" s="9" t="str">
        <x:v>不导流</x:v>
      </x:c>
      <x:c r="R336" s="9" t="str">
        <x:v>高风险：健康、戒烟、法律等 YMYL 主题，不写疗效承诺，不直接卖货</x:v>
      </x:c>
      <x:c r="S336" s="9" t="str">
        <x:v>需要引用权威资料，语气中立；如果不能做到合规审核，暂缓。</x:v>
      </x:c>
      <x:c r="T336" s="38" t="n">
        <x:v>1</x:v>
      </x:c>
      <x:c r="U336" s="38" t="n">
        <x:v>15</x:v>
      </x:c>
      <x:c r="V336" s="38" t="n">
        <x:v>4</x:v>
      </x:c>
      <x:c r="W336" s="38" t="n">
        <x:v>10</x:v>
      </x:c>
      <x:c r="X336" s="38" t="n">
        <x:v>8</x:v>
      </x:c>
      <x:c r="Y336" s="38" t="n">
        <x:v>15</x:v>
      </x:c>
      <x:c r="Z336" s="38" t="n">
        <x:f>MAX(0,MIN(100,ROUND(((T336+U336+V336+W336+X336)-Y336)/85*100,0)))</x:f>
        <x:v>27</x:v>
      </x:c>
      <x:c r="AA336" s="9" t="str">
        <x:f>IF(L336="暂不做","P3 暂缓",IF(Z336&gt;=75,"P0 本周做",IF(Z336&gt;=60,"P1 近期做",IF(Z336&gt;=45,"P2 备选","P3 暂缓"))))</x:f>
        <x:v>P3 暂缓</x:v>
      </x:c>
      <x:c r="AB336" s="9" t="str">
        <x:f>IF(Y336&gt;=15,"先做合规/相关性复核，不建议直接商业导流",IF(L336="主站","建/优化主站商业页",IF(L336="博客A-知识教程","写知识教程/FAQ文章",IF(L336="博客B-场景人群","写场景需求/选购指南文章",IF(L336="博客C-对比评测","写对比评测/榜单文章","暂不做或人工复核")))))</x:f>
        <x:v>先做合规/相关性复核，不建议直接商业导流</x:v>
      </x:c>
      <x:c r="AC336" s="9" t="str">
        <x:v>Reviews - Strawberry Banana - ExDivo INTERSTELLAR 35K Disposable Vape - ExDivo</x:v>
      </x:c>
      <x:c r="AD336" s="10" t="str">
        <x:v>48</x:v>
      </x:c>
    </x:row>
    <x:row r="337">
      <x:c r="A337" s="34" t="n">
        <x:v>337</x:v>
      </x:c>
      <x:c r="B337" s="9" t="str">
        <x:v>https://exdivo.com/comments/exdivo-interstellar-35k-disposable-vape_45a63f07</x:v>
      </x:c>
      <x:c r="C337" s="9" t="str">
        <x:v>best strawberry banana disposable vape</x:v>
      </x:c>
      <x:c r="D337" s="9" t="str">
        <x:v>recommended</x:v>
      </x:c>
      <x:c r="E337" s="36" t="n">
        <x:v>0</x:v>
      </x:c>
      <x:c r="F337" s="36" t="n">
        <x:v>0</x:v>
      </x:c>
      <x:c r="G337" s="9" t="str">
        <x:v>48</x:v>
      </x:c>
      <x:c r="H337" s="9" t="str">
        <x:v>合规科普</x:v>
      </x:c>
      <x:c r="I337" s="9" t="str">
        <x:v>合规/YMYL科普词</x:v>
      </x:c>
      <x:c r="J337" s="9" t="str">
        <x:v>博客A-知识教程</x:v>
      </x:c>
      <x:c r="K337" s="9" t="str"/>
      <x:c r="L337" s="9" t="str">
        <x:f>IF(K337="",J337,K337)</x:f>
        <x:v>博客A-知识教程</x:v>
      </x:c>
      <x:c r="M337" s="9" t="str">
        <x:v>合规/健康风险科普文章</x:v>
      </x:c>
      <x:c r="N337" s="9" t="str">
        <x:v>Guide angle: explain best strawberry banana disposable vape, answer common questions, and avoid sales-first writing</x:v>
      </x:c>
      <x:c r="O337" s="9" t="str">
        <x:v>无商业内链</x:v>
      </x:c>
      <x:c r="P337" s="9" t="str">
        <x:v>否</x:v>
      </x:c>
      <x:c r="Q337" s="9" t="str">
        <x:v>不导流</x:v>
      </x:c>
      <x:c r="R337" s="9" t="str">
        <x:v>高风险：健康、戒烟、法律等 YMYL 主题，不写疗效承诺，不直接卖货</x:v>
      </x:c>
      <x:c r="S337" s="9" t="str">
        <x:v>需要引用权威资料，语气中立；如果不能做到合规审核，暂缓。</x:v>
      </x:c>
      <x:c r="T337" s="38" t="n">
        <x:v>1</x:v>
      </x:c>
      <x:c r="U337" s="38" t="n">
        <x:v>15</x:v>
      </x:c>
      <x:c r="V337" s="38" t="n">
        <x:v>4</x:v>
      </x:c>
      <x:c r="W337" s="38" t="n">
        <x:v>10</x:v>
      </x:c>
      <x:c r="X337" s="38" t="n">
        <x:v>8</x:v>
      </x:c>
      <x:c r="Y337" s="38" t="n">
        <x:v>15</x:v>
      </x:c>
      <x:c r="Z337" s="38" t="n">
        <x:f>MAX(0,MIN(100,ROUND(((T337+U337+V337+W337+X337)-Y337)/85*100,0)))</x:f>
        <x:v>27</x:v>
      </x:c>
      <x:c r="AA337" s="9" t="str">
        <x:f>IF(L337="暂不做","P3 暂缓",IF(Z337&gt;=75,"P0 本周做",IF(Z337&gt;=60,"P1 近期做",IF(Z337&gt;=45,"P2 备选","P3 暂缓"))))</x:f>
        <x:v>P3 暂缓</x:v>
      </x:c>
      <x:c r="AB337" s="9" t="str">
        <x:f>IF(Y337&gt;=15,"先做合规/相关性复核，不建议直接商业导流",IF(L337="主站","建/优化主站商业页",IF(L337="博客A-知识教程","写知识教程/FAQ文章",IF(L337="博客B-场景人群","写场景需求/选购指南文章",IF(L337="博客C-对比评测","写对比评测/榜单文章","暂不做或人工复核")))))</x:f>
        <x:v>先做合规/相关性复核，不建议直接商业导流</x:v>
      </x:c>
      <x:c r="AC337" s="9" t="str">
        <x:v>Reviews - Strawberry Banana - ExDivo INTERSTELLAR 35K Disposable Vape - ExDivo</x:v>
      </x:c>
      <x:c r="AD337" s="10" t="str">
        <x:v>48</x:v>
      </x:c>
    </x:row>
    <x:row r="338">
      <x:c r="A338" s="34" t="n">
        <x:v>338</x:v>
      </x:c>
      <x:c r="B338" s="9" t="str">
        <x:v>https://exdivo.com/comments/exdivo-interstellar-35k-disposable-vape_45a63f07</x:v>
      </x:c>
      <x:c r="C338" s="9" t="str">
        <x:v>strawberry banana vape review</x:v>
      </x:c>
      <x:c r="D338" s="9" t="str">
        <x:v>recommended</x:v>
      </x:c>
      <x:c r="E338" s="36" t="n">
        <x:v>0</x:v>
      </x:c>
      <x:c r="F338" s="36" t="n">
        <x:v>0</x:v>
      </x:c>
      <x:c r="G338" s="9" t="str">
        <x:v>48</x:v>
      </x:c>
      <x:c r="H338" s="9" t="str">
        <x:v>合规科普</x:v>
      </x:c>
      <x:c r="I338" s="9" t="str">
        <x:v>合规/YMYL科普词</x:v>
      </x:c>
      <x:c r="J338" s="9" t="str">
        <x:v>博客A-知识教程</x:v>
      </x:c>
      <x:c r="K338" s="9" t="str"/>
      <x:c r="L338" s="9" t="str">
        <x:f>IF(K338="",J338,K338)</x:f>
        <x:v>博客A-知识教程</x:v>
      </x:c>
      <x:c r="M338" s="9" t="str">
        <x:v>合规/健康风险科普文章</x:v>
      </x:c>
      <x:c r="N338" s="9" t="str">
        <x:v>Guide angle: explain strawberry banana vape review, answer common questions, and avoid sales-first writing</x:v>
      </x:c>
      <x:c r="O338" s="9" t="str">
        <x:v>无商业内链</x:v>
      </x:c>
      <x:c r="P338" s="9" t="str">
        <x:v>否</x:v>
      </x:c>
      <x:c r="Q338" s="9" t="str">
        <x:v>不导流</x:v>
      </x:c>
      <x:c r="R338" s="9" t="str">
        <x:v>高风险：健康、戒烟、法律等 YMYL 主题，不写疗效承诺，不直接卖货</x:v>
      </x:c>
      <x:c r="S338" s="9" t="str">
        <x:v>需要引用权威资料，语气中立；如果不能做到合规审核，暂缓。</x:v>
      </x:c>
      <x:c r="T338" s="38" t="n">
        <x:v>1</x:v>
      </x:c>
      <x:c r="U338" s="38" t="n">
        <x:v>15</x:v>
      </x:c>
      <x:c r="V338" s="38" t="n">
        <x:v>4</x:v>
      </x:c>
      <x:c r="W338" s="38" t="n">
        <x:v>10</x:v>
      </x:c>
      <x:c r="X338" s="38" t="n">
        <x:v>8</x:v>
      </x:c>
      <x:c r="Y338" s="38" t="n">
        <x:v>15</x:v>
      </x:c>
      <x:c r="Z338" s="38" t="n">
        <x:f>MAX(0,MIN(100,ROUND(((T338+U338+V338+W338+X338)-Y338)/85*100,0)))</x:f>
        <x:v>27</x:v>
      </x:c>
      <x:c r="AA338" s="9" t="str">
        <x:f>IF(L338="暂不做","P3 暂缓",IF(Z338&gt;=75,"P0 本周做",IF(Z338&gt;=60,"P1 近期做",IF(Z338&gt;=45,"P2 备选","P3 暂缓"))))</x:f>
        <x:v>P3 暂缓</x:v>
      </x:c>
      <x:c r="AB338" s="9" t="str">
        <x:f>IF(Y338&gt;=15,"先做合规/相关性复核，不建议直接商业导流",IF(L338="主站","建/优化主站商业页",IF(L338="博客A-知识教程","写知识教程/FAQ文章",IF(L338="博客B-场景人群","写场景需求/选购指南文章",IF(L338="博客C-对比评测","写对比评测/榜单文章","暂不做或人工复核")))))</x:f>
        <x:v>先做合规/相关性复核，不建议直接商业导流</x:v>
      </x:c>
      <x:c r="AC338" s="9" t="str">
        <x:v>Reviews - Strawberry Banana - ExDivo INTERSTELLAR 35K Disposable Vape - ExDivo</x:v>
      </x:c>
      <x:c r="AD338" s="10" t="str">
        <x:v>48</x:v>
      </x:c>
    </x:row>
    <x:row r="339">
      <x:c r="A339" s="34" t="n">
        <x:v>339</x:v>
      </x:c>
      <x:c r="B339" s="9" t="str">
        <x:v>https://exdivo.com/comments/exdivo-interstellar-35k-disposable-vape_45a63f07</x:v>
      </x:c>
      <x:c r="C339" s="9" t="str">
        <x:v>strawberry banana vapes</x:v>
      </x:c>
      <x:c r="D339" s="9" t="str">
        <x:v>recommended</x:v>
      </x:c>
      <x:c r="E339" s="36" t="n">
        <x:v>90</x:v>
      </x:c>
      <x:c r="F339" s="36" t="n">
        <x:v>1</x:v>
      </x:c>
      <x:c r="G339" s="9" t="str">
        <x:v>informational</x:v>
      </x:c>
      <x:c r="H339" s="9" t="str">
        <x:v>合规科普</x:v>
      </x:c>
      <x:c r="I339" s="9" t="str">
        <x:v>合规/YMYL科普词</x:v>
      </x:c>
      <x:c r="J339" s="9" t="str">
        <x:v>博客A-知识教程</x:v>
      </x:c>
      <x:c r="K339" s="9" t="str"/>
      <x:c r="L339" s="9" t="str">
        <x:f>IF(K339="",J339,K339)</x:f>
        <x:v>博客A-知识教程</x:v>
      </x:c>
      <x:c r="M339" s="9" t="str">
        <x:v>合规/健康风险科普文章</x:v>
      </x:c>
      <x:c r="N339" s="9" t="str">
        <x:v>Guide angle: explain strawberry banana vapes, answer common questions, and avoid sales-first writing</x:v>
      </x:c>
      <x:c r="O339" s="9" t="str">
        <x:v>无商业内链</x:v>
      </x:c>
      <x:c r="P339" s="9" t="str">
        <x:v>否</x:v>
      </x:c>
      <x:c r="Q339" s="9" t="str">
        <x:v>不导流</x:v>
      </x:c>
      <x:c r="R339" s="9" t="str">
        <x:v>高风险：健康、戒烟、法律等 YMYL 主题，不写疗效承诺，不直接卖货</x:v>
      </x:c>
      <x:c r="S339" s="9" t="str">
        <x:v>需要引用权威资料，语气中立；如果不能做到合规审核，暂缓。</x:v>
      </x:c>
      <x:c r="T339" s="38" t="n">
        <x:v>4</x:v>
      </x:c>
      <x:c r="U339" s="38" t="n">
        <x:v>15</x:v>
      </x:c>
      <x:c r="V339" s="38" t="n">
        <x:v>4</x:v>
      </x:c>
      <x:c r="W339" s="38" t="n">
        <x:v>10</x:v>
      </x:c>
      <x:c r="X339" s="38" t="n">
        <x:v>8</x:v>
      </x:c>
      <x:c r="Y339" s="38" t="n">
        <x:v>15</x:v>
      </x:c>
      <x:c r="Z339" s="38" t="n">
        <x:f>MAX(0,MIN(100,ROUND(((T339+U339+V339+W339+X339)-Y339)/85*100,0)))</x:f>
        <x:v>31</x:v>
      </x:c>
      <x:c r="AA339" s="9" t="str">
        <x:f>IF(L339="暂不做","P3 暂缓",IF(Z339&gt;=75,"P0 本周做",IF(Z339&gt;=60,"P1 近期做",IF(Z339&gt;=45,"P2 备选","P3 暂缓"))))</x:f>
        <x:v>P3 暂缓</x:v>
      </x:c>
      <x:c r="AB339" s="9" t="str">
        <x:f>IF(Y339&gt;=15,"先做合规/相关性复核，不建议直接商业导流",IF(L339="主站","建/优化主站商业页",IF(L339="博客A-知识教程","写知识教程/FAQ文章",IF(L339="博客B-场景人群","写场景需求/选购指南文章",IF(L339="博客C-对比评测","写对比评测/榜单文章","暂不做或人工复核")))))</x:f>
        <x:v>先做合规/相关性复核，不建议直接商业导流</x:v>
      </x:c>
      <x:c r="AC339" s="9" t="str">
        <x:v>Reviews - Strawberry Banana - ExDivo INTERSTELLAR 35K Disposable Vape - ExDivo</x:v>
      </x:c>
      <x:c r="AD339" s="10" t="str">
        <x:v>48</x:v>
      </x:c>
    </x:row>
    <x:row r="340">
      <x:c r="A340" s="34" t="n">
        <x:v>340</x:v>
      </x:c>
      <x:c r="B340" s="9" t="str">
        <x:v>https://exdivo.com/comments/exdivo-interstellar-35k-disposable-vape_45a63f07</x:v>
      </x:c>
      <x:c r="C340" s="9" t="str">
        <x:v>strawberry banana vape</x:v>
      </x:c>
      <x:c r="D340" s="9" t="str">
        <x:v>recommended</x:v>
      </x:c>
      <x:c r="E340" s="36" t="n">
        <x:v>880</x:v>
      </x:c>
      <x:c r="F340" s="36" t="n">
        <x:v>10</x:v>
      </x:c>
      <x:c r="G340" s="9" t="str">
        <x:v>informational</x:v>
      </x:c>
      <x:c r="H340" s="9" t="str">
        <x:v>合规科普</x:v>
      </x:c>
      <x:c r="I340" s="9" t="str">
        <x:v>合规/YMYL科普词</x:v>
      </x:c>
      <x:c r="J340" s="9" t="str">
        <x:v>博客A-知识教程</x:v>
      </x:c>
      <x:c r="K340" s="9" t="str"/>
      <x:c r="L340" s="9" t="str">
        <x:f>IF(K340="",J340,K340)</x:f>
        <x:v>博客A-知识教程</x:v>
      </x:c>
      <x:c r="M340" s="9" t="str">
        <x:v>合规/健康风险科普文章</x:v>
      </x:c>
      <x:c r="N340" s="9" t="str">
        <x:v>Guide angle: explain strawberry banana vape, answer common questions, and avoid sales-first writing</x:v>
      </x:c>
      <x:c r="O340" s="9" t="str">
        <x:v>无商业内链</x:v>
      </x:c>
      <x:c r="P340" s="9" t="str">
        <x:v>否</x:v>
      </x:c>
      <x:c r="Q340" s="9" t="str">
        <x:v>不导流</x:v>
      </x:c>
      <x:c r="R340" s="9" t="str">
        <x:v>高风险：健康、戒烟、法律等 YMYL 主题，不写疗效承诺，不直接卖货</x:v>
      </x:c>
      <x:c r="S340" s="9" t="str">
        <x:v>需要引用权威资料，语气中立；如果不能做到合规审核，暂缓。</x:v>
      </x:c>
      <x:c r="T340" s="38" t="n">
        <x:v>10</x:v>
      </x:c>
      <x:c r="U340" s="38" t="n">
        <x:v>15</x:v>
      </x:c>
      <x:c r="V340" s="38" t="n">
        <x:v>4</x:v>
      </x:c>
      <x:c r="W340" s="38" t="n">
        <x:v>10</x:v>
      </x:c>
      <x:c r="X340" s="38" t="n">
        <x:v>8</x:v>
      </x:c>
      <x:c r="Y340" s="38" t="n">
        <x:v>15</x:v>
      </x:c>
      <x:c r="Z340" s="38" t="n">
        <x:f>MAX(0,MIN(100,ROUND(((T340+U340+V340+W340+X340)-Y340)/85*100,0)))</x:f>
        <x:v>38</x:v>
      </x:c>
      <x:c r="AA340" s="9" t="str">
        <x:f>IF(L340="暂不做","P3 暂缓",IF(Z340&gt;=75,"P0 本周做",IF(Z340&gt;=60,"P1 近期做",IF(Z340&gt;=45,"P2 备选","P3 暂缓"))))</x:f>
        <x:v>P3 暂缓</x:v>
      </x:c>
      <x:c r="AB340" s="9" t="str">
        <x:f>IF(Y340&gt;=15,"先做合规/相关性复核，不建议直接商业导流",IF(L340="主站","建/优化主站商业页",IF(L340="博客A-知识教程","写知识教程/FAQ文章",IF(L340="博客B-场景人群","写场景需求/选购指南文章",IF(L340="博客C-对比评测","写对比评测/榜单文章","暂不做或人工复核")))))</x:f>
        <x:v>先做合规/相关性复核，不建议直接商业导流</x:v>
      </x:c>
      <x:c r="AC340" s="9" t="str">
        <x:v>Reviews - Strawberry Banana - ExDivo INTERSTELLAR 35K Disposable Vape - ExDivo</x:v>
      </x:c>
      <x:c r="AD340" s="10" t="str">
        <x:v>48</x:v>
      </x:c>
    </x:row>
    <x:row r="341">
      <x:c r="A341" s="34" t="n">
        <x:v>341</x:v>
      </x:c>
      <x:c r="B341" s="9" t="str">
        <x:v>https://exdivo.com/products/exdivo-kuz-25k-replaceable-pod-vape_11a813e7?data_from=blog_detail&amp;spm=</x:v>
      </x:c>
      <x:c r="C341" s="9" t="str">
        <x:v>vape pod</x:v>
      </x:c>
      <x:c r="D341" s="9" t="str">
        <x:v>recommended</x:v>
      </x:c>
      <x:c r="E341" s="36" t="n">
        <x:v>2900</x:v>
      </x:c>
      <x:c r="F341" s="36" t="n">
        <x:v>38</x:v>
      </x:c>
      <x:c r="G341" s="9" t="str">
        <x:v>informational</x:v>
      </x:c>
      <x:c r="H341" s="9" t="str">
        <x:v>Pod Kit / Pod System</x:v>
      </x:c>
      <x:c r="I341" s="9" t="str">
        <x:v>品类承接词</x:v>
      </x:c>
      <x:c r="J341" s="9" t="str">
        <x:v>主站</x:v>
      </x:c>
      <x:c r="K341" s="9" t="str"/>
      <x:c r="L341" s="9" t="str">
        <x:f>IF(K341="",J341,K341)</x:f>
        <x:v>主站</x:v>
      </x:c>
      <x:c r="M341" s="9" t="str">
        <x:v>品类页/集合页 + FAQ内容块</x:v>
      </x:c>
      <x:c r="N341" s="9" t="str">
        <x:v>主站品类页：用产品集合 + 选购说明承接</x:v>
      </x:c>
      <x:c r="O341" s="9" t="str">
        <x:v>/collections/pod-kits</x:v>
      </x:c>
      <x:c r="P341" s="9" t="str">
        <x:v>不适用</x:v>
      </x:c>
      <x:c r="Q341" s="9" t="str">
        <x:v>主站页面自身承接</x:v>
      </x:c>
      <x:c r="R341" s="9" t="str">
        <x:v>核心品类词：主站优先，博客只做长尾解释，不直接抢同一词</x:v>
      </x:c>
      <x:c r="S341" s="9" t="str">
        <x:v>如果 Google 首页产品页和指南混合，主站页要加 FAQ、选购指南、对比模块。</x:v>
      </x:c>
      <x:c r="T341" s="38" t="n">
        <x:v>13</x:v>
      </x:c>
      <x:c r="U341" s="38" t="n">
        <x:v>9</x:v>
      </x:c>
      <x:c r="V341" s="38" t="n">
        <x:v>16</x:v>
      </x:c>
      <x:c r="W341" s="38" t="n">
        <x:v>8</x:v>
      </x:c>
      <x:c r="X341" s="38" t="n">
        <x:v>15</x:v>
      </x:c>
      <x:c r="Y341" s="38" t="n">
        <x:v>4</x:v>
      </x:c>
      <x:c r="Z341" s="38" t="n">
        <x:f>MAX(0,MIN(100,ROUND(((T341+U341+V341+W341+X341)-Y341)/85*100,0)))</x:f>
        <x:v>67</x:v>
      </x:c>
      <x:c r="AA341" s="9" t="str">
        <x:f>IF(L341="暂不做","P3 暂缓",IF(Z341&gt;=75,"P0 本周做",IF(Z341&gt;=60,"P1 近期做",IF(Z341&gt;=45,"P2 备选","P3 暂缓"))))</x:f>
        <x:v>P1 近期做</x:v>
      </x:c>
      <x:c r="AB341" s="9" t="str">
        <x:f>IF(Y341&gt;=15,"先做合规/相关性复核，不建议直接商业导流",IF(L341="主站","建/优化主站商业页",IF(L341="博客A-知识教程","写知识教程/FAQ文章",IF(L341="博客B-场景人群","写场景需求/选购指南文章",IF(L341="博客C-对比评测","写对比评测/榜单文章","暂不做或人工复核")))))</x:f>
        <x:v>建/优化主站商业页</x:v>
      </x:c>
      <x:c r="AC341" s="9" t="str">
        <x:v>ExDivo KUZ 25K Replaceable Pod Vape</x:v>
      </x:c>
      <x:c r="AD341" s="10" t="str">
        <x:v>25000 puffs</x:v>
      </x:c>
    </x:row>
    <x:row r="342">
      <x:c r="A342" s="34" t="n">
        <x:v>342</x:v>
      </x:c>
      <x:c r="B342" s="9" t="str">
        <x:v>https://exdivo.com/products/exdivo-kuz-25k-replaceable-pod-vape_11a813e7?data_from=blog_detail&amp;spm=</x:v>
      </x:c>
      <x:c r="C342" s="9" t="str">
        <x:v>best pod vape</x:v>
      </x:c>
      <x:c r="D342" s="9" t="str">
        <x:v>recommended</x:v>
      </x:c>
      <x:c r="E342" s="36" t="n">
        <x:v>1600</x:v>
      </x:c>
      <x:c r="F342" s="36" t="n">
        <x:v>21</x:v>
      </x:c>
      <x:c r="G342" s="9" t="str">
        <x:v>commercial</x:v>
      </x:c>
      <x:c r="H342" s="9" t="str">
        <x:v>Pod Kit / Pod System</x:v>
      </x:c>
      <x:c r="I342" s="9" t="str">
        <x:v>商业调查词</x:v>
      </x:c>
      <x:c r="J342" s="9" t="str">
        <x:v>博客C-对比评测</x:v>
      </x:c>
      <x:c r="K342" s="9" t="str"/>
      <x:c r="L342" s="9" t="str">
        <x:f>IF(K342="",J342,K342)</x:f>
        <x:v>博客C-对比评测</x:v>
      </x:c>
      <x:c r="M342" s="9" t="str">
        <x:v>Best/Top/Review/VS/替代方案文章</x:v>
      </x:c>
      <x:c r="N342" s="9" t="str">
        <x:v>Best angle: best pod vape - comparison, pros/cons, and which option fits different buyers</x:v>
      </x:c>
      <x:c r="O342" s="9" t="str">
        <x:v>/collections/pod-kits</x:v>
      </x:c>
      <x:c r="P342" s="9" t="str">
        <x:v>是</x:v>
      </x:c>
      <x:c r="Q342" s="9" t="str">
        <x:v>自然句/品类词/品牌词</x:v>
      </x:c>
      <x:c r="R342" s="9" t="str">
        <x:v>中风险：榜单和评测必须真实、中立，避免夸大</x:v>
      </x:c>
      <x:c r="S342" s="9" t="str">
        <x:v>这类词不直接给主站，先用博客C教育和比较，再导流到最相关集合页。</x:v>
      </x:c>
      <x:c r="T342" s="38" t="n">
        <x:v>13</x:v>
      </x:c>
      <x:c r="U342" s="38" t="n">
        <x:v>12</x:v>
      </x:c>
      <x:c r="V342" s="38" t="n">
        <x:v>16</x:v>
      </x:c>
      <x:c r="W342" s="38" t="n">
        <x:v>15</x:v>
      </x:c>
      <x:c r="X342" s="38" t="n">
        <x:v>13</x:v>
      </x:c>
      <x:c r="Y342" s="38" t="n">
        <x:v>6</x:v>
      </x:c>
      <x:c r="Z342" s="38" t="n">
        <x:f>MAX(0,MIN(100,ROUND(((T342+U342+V342+W342+X342)-Y342)/85*100,0)))</x:f>
        <x:v>74</x:v>
      </x:c>
      <x:c r="AA342" s="9" t="str">
        <x:f>IF(L342="暂不做","P3 暂缓",IF(Z342&gt;=75,"P0 本周做",IF(Z342&gt;=60,"P1 近期做",IF(Z342&gt;=45,"P2 备选","P3 暂缓"))))</x:f>
        <x:v>P1 近期做</x:v>
      </x:c>
      <x:c r="AB342" s="9" t="str">
        <x:f>IF(Y342&gt;=15,"先做合规/相关性复核，不建议直接商业导流",IF(L342="主站","建/优化主站商业页",IF(L342="博客A-知识教程","写知识教程/FAQ文章",IF(L342="博客B-场景人群","写场景需求/选购指南文章",IF(L342="博客C-对比评测","写对比评测/榜单文章","暂不做或人工复核")))))</x:f>
        <x:v>写对比评测/榜单文章</x:v>
      </x:c>
      <x:c r="AC342" s="9" t="str">
        <x:v>ExDivo KUZ 25K Replaceable Pod Vape</x:v>
      </x:c>
      <x:c r="AD342" s="10" t="str">
        <x:v>25000 puffs</x:v>
      </x:c>
    </x:row>
    <x:row r="343">
      <x:c r="A343" s="34" t="n">
        <x:v>343</x:v>
      </x:c>
      <x:c r="B343" s="9" t="str">
        <x:v>https://exdivo.com/products/exdivo-kuz-25k-replaceable-pod-vape_11a813e7?data_from=blog_detail&amp;spm=</x:v>
      </x:c>
      <x:c r="C343" s="9" t="str">
        <x:v>pod ecig</x:v>
      </x:c>
      <x:c r="D343" s="9" t="str">
        <x:v>recommended</x:v>
      </x:c>
      <x:c r="E343" s="36" t="n">
        <x:v>2400</x:v>
      </x:c>
      <x:c r="F343" s="36" t="n">
        <x:v>49</x:v>
      </x:c>
      <x:c r="G343" s="9" t="str">
        <x:v>commercial</x:v>
      </x:c>
      <x:c r="H343" s="9" t="str">
        <x:v>Pod Kit / Pod System</x:v>
      </x:c>
      <x:c r="I343" s="9" t="str">
        <x:v>品类承接词</x:v>
      </x:c>
      <x:c r="J343" s="9" t="str">
        <x:v>主站</x:v>
      </x:c>
      <x:c r="K343" s="9" t="str"/>
      <x:c r="L343" s="9" t="str">
        <x:f>IF(K343="",J343,K343)</x:f>
        <x:v>主站</x:v>
      </x:c>
      <x:c r="M343" s="9" t="str">
        <x:v>品类页/集合页 + FAQ内容块</x:v>
      </x:c>
      <x:c r="N343" s="9" t="str">
        <x:v>主站品类页：用产品集合 + 选购说明承接</x:v>
      </x:c>
      <x:c r="O343" s="9" t="str">
        <x:v>/collections/pod-kits</x:v>
      </x:c>
      <x:c r="P343" s="9" t="str">
        <x:v>不适用</x:v>
      </x:c>
      <x:c r="Q343" s="9" t="str">
        <x:v>主站页面自身承接</x:v>
      </x:c>
      <x:c r="R343" s="9" t="str">
        <x:v>核心品类词：主站优先，博客只做长尾解释，不直接抢同一词</x:v>
      </x:c>
      <x:c r="S343" s="9" t="str">
        <x:v>如果 Google 首页产品页和指南混合，主站页要加 FAQ、选购指南、对比模块。</x:v>
      </x:c>
      <x:c r="T343" s="38" t="n">
        <x:v>13</x:v>
      </x:c>
      <x:c r="U343" s="38" t="n">
        <x:v>6</x:v>
      </x:c>
      <x:c r="V343" s="38" t="n">
        <x:v>18</x:v>
      </x:c>
      <x:c r="W343" s="38" t="n">
        <x:v>8</x:v>
      </x:c>
      <x:c r="X343" s="38" t="n">
        <x:v>15</x:v>
      </x:c>
      <x:c r="Y343" s="38" t="n">
        <x:v>4</x:v>
      </x:c>
      <x:c r="Z343" s="38" t="n">
        <x:f>MAX(0,MIN(100,ROUND(((T343+U343+V343+W343+X343)-Y343)/85*100,0)))</x:f>
        <x:v>66</x:v>
      </x:c>
      <x:c r="AA343" s="9" t="str">
        <x:f>IF(L343="暂不做","P3 暂缓",IF(Z343&gt;=75,"P0 本周做",IF(Z343&gt;=60,"P1 近期做",IF(Z343&gt;=45,"P2 备选","P3 暂缓"))))</x:f>
        <x:v>P1 近期做</x:v>
      </x:c>
      <x:c r="AB343" s="9" t="str">
        <x:f>IF(Y343&gt;=15,"先做合规/相关性复核，不建议直接商业导流",IF(L343="主站","建/优化主站商业页",IF(L343="博客A-知识教程","写知识教程/FAQ文章",IF(L343="博客B-场景人群","写场景需求/选购指南文章",IF(L343="博客C-对比评测","写对比评测/榜单文章","暂不做或人工复核")))))</x:f>
        <x:v>建/优化主站商业页</x:v>
      </x:c>
      <x:c r="AC343" s="9" t="str">
        <x:v>ExDivo KUZ 25K Replaceable Pod Vape</x:v>
      </x:c>
      <x:c r="AD343" s="10" t="str">
        <x:v>25000 puffs</x:v>
      </x:c>
    </x:row>
    <x:row r="344">
      <x:c r="A344" s="34" t="n">
        <x:v>344</x:v>
      </x:c>
      <x:c r="B344" s="9" t="str">
        <x:v>https://exdivo.com/products/exdivo-kuz-25k-replaceable-pod-vape_11a813e7?data_from=blog_detail&amp;spm=</x:v>
      </x:c>
      <x:c r="C344" s="9" t="str">
        <x:v>pod vapes</x:v>
      </x:c>
      <x:c r="D344" s="9" t="str">
        <x:v>recommended</x:v>
      </x:c>
      <x:c r="E344" s="36" t="n">
        <x:v>1900</x:v>
      </x:c>
      <x:c r="F344" s="36" t="n">
        <x:v>45</x:v>
      </x:c>
      <x:c r="G344" s="9" t="str">
        <x:v>commercial</x:v>
      </x:c>
      <x:c r="H344" s="9" t="str">
        <x:v>Pod Kit / Pod System</x:v>
      </x:c>
      <x:c r="I344" s="9" t="str">
        <x:v>品类承接词</x:v>
      </x:c>
      <x:c r="J344" s="9" t="str">
        <x:v>主站</x:v>
      </x:c>
      <x:c r="K344" s="9" t="str"/>
      <x:c r="L344" s="9" t="str">
        <x:f>IF(K344="",J344,K344)</x:f>
        <x:v>主站</x:v>
      </x:c>
      <x:c r="M344" s="9" t="str">
        <x:v>品类页/集合页 + FAQ内容块</x:v>
      </x:c>
      <x:c r="N344" s="9" t="str">
        <x:v>主站品类页：用产品集合 + 选购说明承接</x:v>
      </x:c>
      <x:c r="O344" s="9" t="str">
        <x:v>/collections/pod-kits</x:v>
      </x:c>
      <x:c r="P344" s="9" t="str">
        <x:v>不适用</x:v>
      </x:c>
      <x:c r="Q344" s="9" t="str">
        <x:v>主站页面自身承接</x:v>
      </x:c>
      <x:c r="R344" s="9" t="str">
        <x:v>核心品类词：主站优先，博客只做长尾解释，不直接抢同一词</x:v>
      </x:c>
      <x:c r="S344" s="9" t="str">
        <x:v>如果 Google 首页产品页和指南混合，主站页要加 FAQ、选购指南、对比模块。</x:v>
      </x:c>
      <x:c r="T344" s="38" t="n">
        <x:v>13</x:v>
      </x:c>
      <x:c r="U344" s="38" t="n">
        <x:v>9</x:v>
      </x:c>
      <x:c r="V344" s="38" t="n">
        <x:v>18</x:v>
      </x:c>
      <x:c r="W344" s="38" t="n">
        <x:v>8</x:v>
      </x:c>
      <x:c r="X344" s="38" t="n">
        <x:v>15</x:v>
      </x:c>
      <x:c r="Y344" s="38" t="n">
        <x:v>4</x:v>
      </x:c>
      <x:c r="Z344" s="38" t="n">
        <x:f>MAX(0,MIN(100,ROUND(((T344+U344+V344+W344+X344)-Y344)/85*100,0)))</x:f>
        <x:v>69</x:v>
      </x:c>
      <x:c r="AA344" s="9" t="str">
        <x:f>IF(L344="暂不做","P3 暂缓",IF(Z344&gt;=75,"P0 本周做",IF(Z344&gt;=60,"P1 近期做",IF(Z344&gt;=45,"P2 备选","P3 暂缓"))))</x:f>
        <x:v>P1 近期做</x:v>
      </x:c>
      <x:c r="AB344" s="9" t="str">
        <x:f>IF(Y344&gt;=15,"先做合规/相关性复核，不建议直接商业导流",IF(L344="主站","建/优化主站商业页",IF(L344="博客A-知识教程","写知识教程/FAQ文章",IF(L344="博客B-场景人群","写场景需求/选购指南文章",IF(L344="博客C-对比评测","写对比评测/榜单文章","暂不做或人工复核")))))</x:f>
        <x:v>建/优化主站商业页</x:v>
      </x:c>
      <x:c r="AC344" s="9" t="str">
        <x:v>ExDivo KUZ 25K Replaceable Pod Vape</x:v>
      </x:c>
      <x:c r="AD344" s="10" t="str">
        <x:v>25000 puffs</x:v>
      </x:c>
    </x:row>
    <x:row r="345">
      <x:c r="A345" s="34" t="n">
        <x:v>345</x:v>
      </x:c>
      <x:c r="B345" s="9" t="str">
        <x:v>https://exdivo.com/products/exdivo-kuz-25k-replaceable-pod-vape_11a813e7?data_from=blog_detail&amp;spm=</x:v>
      </x:c>
      <x:c r="C345" s="9" t="str">
        <x:v>pod system vape</x:v>
      </x:c>
      <x:c r="D345" s="9" t="str">
        <x:v>recommended</x:v>
      </x:c>
      <x:c r="E345" s="36" t="n">
        <x:v>1300</x:v>
      </x:c>
      <x:c r="F345" s="36" t="n">
        <x:v>39</x:v>
      </x:c>
      <x:c r="G345" s="9" t="str">
        <x:v>informational, commercial</x:v>
      </x:c>
      <x:c r="H345" s="9" t="str">
        <x:v>Pod Kit / Pod System</x:v>
      </x:c>
      <x:c r="I345" s="9" t="str">
        <x:v>品类承接词</x:v>
      </x:c>
      <x:c r="J345" s="9" t="str">
        <x:v>主站</x:v>
      </x:c>
      <x:c r="K345" s="9" t="str"/>
      <x:c r="L345" s="9" t="str">
        <x:f>IF(K345="",J345,K345)</x:f>
        <x:v>主站</x:v>
      </x:c>
      <x:c r="M345" s="9" t="str">
        <x:v>品类页/集合页 + FAQ内容块</x:v>
      </x:c>
      <x:c r="N345" s="9" t="str">
        <x:v>主站品类页：用产品集合 + 选购说明承接</x:v>
      </x:c>
      <x:c r="O345" s="9" t="str">
        <x:v>/collections/pod-kits</x:v>
      </x:c>
      <x:c r="P345" s="9" t="str">
        <x:v>不适用</x:v>
      </x:c>
      <x:c r="Q345" s="9" t="str">
        <x:v>主站页面自身承接</x:v>
      </x:c>
      <x:c r="R345" s="9" t="str">
        <x:v>核心品类词：主站优先，博客只做长尾解释，不直接抢同一词</x:v>
      </x:c>
      <x:c r="S345" s="9" t="str">
        <x:v>如果 Google 首页产品页和指南混合，主站页要加 FAQ、选购指南、对比模块。</x:v>
      </x:c>
      <x:c r="T345" s="38" t="n">
        <x:v>13</x:v>
      </x:c>
      <x:c r="U345" s="38" t="n">
        <x:v>9</x:v>
      </x:c>
      <x:c r="V345" s="38" t="n">
        <x:v>18</x:v>
      </x:c>
      <x:c r="W345" s="38" t="n">
        <x:v>8</x:v>
      </x:c>
      <x:c r="X345" s="38" t="n">
        <x:v>15</x:v>
      </x:c>
      <x:c r="Y345" s="38" t="n">
        <x:v>4</x:v>
      </x:c>
      <x:c r="Z345" s="38" t="n">
        <x:f>MAX(0,MIN(100,ROUND(((T345+U345+V345+W345+X345)-Y345)/85*100,0)))</x:f>
        <x:v>69</x:v>
      </x:c>
      <x:c r="AA345" s="9" t="str">
        <x:f>IF(L345="暂不做","P3 暂缓",IF(Z345&gt;=75,"P0 本周做",IF(Z345&gt;=60,"P1 近期做",IF(Z345&gt;=45,"P2 备选","P3 暂缓"))))</x:f>
        <x:v>P1 近期做</x:v>
      </x:c>
      <x:c r="AB345" s="9" t="str">
        <x:f>IF(Y345&gt;=15,"先做合规/相关性复核，不建议直接商业导流",IF(L345="主站","建/优化主站商业页",IF(L345="博客A-知识教程","写知识教程/FAQ文章",IF(L345="博客B-场景人群","写场景需求/选购指南文章",IF(L345="博客C-对比评测","写对比评测/榜单文章","暂不做或人工复核")))))</x:f>
        <x:v>建/优化主站商业页</x:v>
      </x:c>
      <x:c r="AC345" s="9" t="str">
        <x:v>ExDivo KUZ 25K Replaceable Pod Vape</x:v>
      </x:c>
      <x:c r="AD345" s="10" t="str">
        <x:v>25000 puffs</x:v>
      </x:c>
    </x:row>
    <x:row r="346">
      <x:c r="A346" s="34" t="n">
        <x:v>346</x:v>
      </x:c>
      <x:c r="B346" s="9" t="str">
        <x:v>https://exdivo.com/products/exdivo-kuz-25k-replaceable-pod-vape_11a813e7?data_from=blog_detail&amp;spm=</x:v>
      </x:c>
      <x:c r="C346" s="9" t="str">
        <x:v>best vape pod system</x:v>
      </x:c>
      <x:c r="D346" s="9" t="str">
        <x:v>recommended</x:v>
      </x:c>
      <x:c r="E346" s="36" t="n">
        <x:v>390</x:v>
      </x:c>
      <x:c r="F346" s="36" t="n">
        <x:v>18</x:v>
      </x:c>
      <x:c r="G346" s="9" t="str">
        <x:v>commercial</x:v>
      </x:c>
      <x:c r="H346" s="9" t="str">
        <x:v>Pod Kit / Pod System</x:v>
      </x:c>
      <x:c r="I346" s="9" t="str">
        <x:v>商业调查词</x:v>
      </x:c>
      <x:c r="J346" s="9" t="str">
        <x:v>博客C-对比评测</x:v>
      </x:c>
      <x:c r="K346" s="9" t="str"/>
      <x:c r="L346" s="9" t="str">
        <x:f>IF(K346="",J346,K346)</x:f>
        <x:v>博客C-对比评测</x:v>
      </x:c>
      <x:c r="M346" s="9" t="str">
        <x:v>Best/Top/Review/VS/替代方案文章</x:v>
      </x:c>
      <x:c r="N346" s="9" t="str">
        <x:v>Best angle: best vape pod system - comparison, pros/cons, and which option fits different buyers</x:v>
      </x:c>
      <x:c r="O346" s="9" t="str">
        <x:v>/collections/pod-kits</x:v>
      </x:c>
      <x:c r="P346" s="9" t="str">
        <x:v>是</x:v>
      </x:c>
      <x:c r="Q346" s="9" t="str">
        <x:v>自然句/品类词/品牌词</x:v>
      </x:c>
      <x:c r="R346" s="9" t="str">
        <x:v>中风险：榜单和评测必须真实、中立，避免夸大</x:v>
      </x:c>
      <x:c r="S346" s="9" t="str">
        <x:v>这类词不直接给主站，先用博客C教育和比较，再导流到最相关集合页。</x:v>
      </x:c>
      <x:c r="T346" s="38" t="n">
        <x:v>7</x:v>
      </x:c>
      <x:c r="U346" s="38" t="n">
        <x:v>12</x:v>
      </x:c>
      <x:c r="V346" s="38" t="n">
        <x:v>16</x:v>
      </x:c>
      <x:c r="W346" s="38" t="n">
        <x:v>15</x:v>
      </x:c>
      <x:c r="X346" s="38" t="n">
        <x:v>13</x:v>
      </x:c>
      <x:c r="Y346" s="38" t="n">
        <x:v>6</x:v>
      </x:c>
      <x:c r="Z346" s="38" t="n">
        <x:f>MAX(0,MIN(100,ROUND(((T346+U346+V346+W346+X346)-Y346)/85*100,0)))</x:f>
        <x:v>67</x:v>
      </x:c>
      <x:c r="AA346" s="9" t="str">
        <x:f>IF(L346="暂不做","P3 暂缓",IF(Z346&gt;=75,"P0 本周做",IF(Z346&gt;=60,"P1 近期做",IF(Z346&gt;=45,"P2 备选","P3 暂缓"))))</x:f>
        <x:v>P1 近期做</x:v>
      </x:c>
      <x:c r="AB346" s="9" t="str">
        <x:f>IF(Y346&gt;=15,"先做合规/相关性复核，不建议直接商业导流",IF(L346="主站","建/优化主站商业页",IF(L346="博客A-知识教程","写知识教程/FAQ文章",IF(L346="博客B-场景人群","写场景需求/选购指南文章",IF(L346="博客C-对比评测","写对比评测/榜单文章","暂不做或人工复核")))))</x:f>
        <x:v>写对比评测/榜单文章</x:v>
      </x:c>
      <x:c r="AC346" s="9" t="str">
        <x:v>ExDivo KUZ 25K Replaceable Pod Vape</x:v>
      </x:c>
      <x:c r="AD346" s="10" t="str">
        <x:v>25000 puffs</x:v>
      </x:c>
    </x:row>
    <x:row r="347">
      <x:c r="A347" s="34" t="n">
        <x:v>347</x:v>
      </x:c>
      <x:c r="B347" s="9" t="str">
        <x:v>https://exdivo.com/products/exdivo-kuz-25k-replaceable-pod-vape_11a813e7?data_from=blog_detail&amp;spm=</x:v>
      </x:c>
      <x:c r="C347" s="9" t="str">
        <x:v>refillable pod vape</x:v>
      </x:c>
      <x:c r="D347" s="9" t="str">
        <x:v>recommended</x:v>
      </x:c>
      <x:c r="E347" s="36" t="n">
        <x:v>320</x:v>
      </x:c>
      <x:c r="F347" s="36" t="n">
        <x:v>24</x:v>
      </x:c>
      <x:c r="G347" s="9" t="str">
        <x:v>commercial</x:v>
      </x:c>
      <x:c r="H347" s="9" t="str">
        <x:v>Pod Kit / Pod System</x:v>
      </x:c>
      <x:c r="I347" s="9" t="str">
        <x:v>品类承接词</x:v>
      </x:c>
      <x:c r="J347" s="9" t="str">
        <x:v>主站</x:v>
      </x:c>
      <x:c r="K347" s="9" t="str"/>
      <x:c r="L347" s="9" t="str">
        <x:f>IF(K347="",J347,K347)</x:f>
        <x:v>主站</x:v>
      </x:c>
      <x:c r="M347" s="9" t="str">
        <x:v>品类页/集合页 + FAQ内容块</x:v>
      </x:c>
      <x:c r="N347" s="9" t="str">
        <x:v>主站品类页：用产品集合 + 选购说明承接</x:v>
      </x:c>
      <x:c r="O347" s="9" t="str">
        <x:v>/collections/pod-kits</x:v>
      </x:c>
      <x:c r="P347" s="9" t="str">
        <x:v>不适用</x:v>
      </x:c>
      <x:c r="Q347" s="9" t="str">
        <x:v>主站页面自身承接</x:v>
      </x:c>
      <x:c r="R347" s="9" t="str">
        <x:v>核心品类词：主站优先，博客只做长尾解释，不直接抢同一词</x:v>
      </x:c>
      <x:c r="S347" s="9" t="str">
        <x:v>如果 Google 首页产品页和指南混合，主站页要加 FAQ、选购指南、对比模块。</x:v>
      </x:c>
      <x:c r="T347" s="38" t="n">
        <x:v>7</x:v>
      </x:c>
      <x:c r="U347" s="38" t="n">
        <x:v>12</x:v>
      </x:c>
      <x:c r="V347" s="38" t="n">
        <x:v>18</x:v>
      </x:c>
      <x:c r="W347" s="38" t="n">
        <x:v>8</x:v>
      </x:c>
      <x:c r="X347" s="38" t="n">
        <x:v>15</x:v>
      </x:c>
      <x:c r="Y347" s="38" t="n">
        <x:v>4</x:v>
      </x:c>
      <x:c r="Z347" s="38" t="n">
        <x:f>MAX(0,MIN(100,ROUND(((T347+U347+V347+W347+X347)-Y347)/85*100,0)))</x:f>
        <x:v>66</x:v>
      </x:c>
      <x:c r="AA347" s="9" t="str">
        <x:f>IF(L347="暂不做","P3 暂缓",IF(Z347&gt;=75,"P0 本周做",IF(Z347&gt;=60,"P1 近期做",IF(Z347&gt;=45,"P2 备选","P3 暂缓"))))</x:f>
        <x:v>P1 近期做</x:v>
      </x:c>
      <x:c r="AB347" s="9" t="str">
        <x:f>IF(Y347&gt;=15,"先做合规/相关性复核，不建议直接商业导流",IF(L347="主站","建/优化主站商业页",IF(L347="博客A-知识教程","写知识教程/FAQ文章",IF(L347="博客B-场景人群","写场景需求/选购指南文章",IF(L347="博客C-对比评测","写对比评测/榜单文章","暂不做或人工复核")))))</x:f>
        <x:v>建/优化主站商业页</x:v>
      </x:c>
      <x:c r="AC347" s="9" t="str">
        <x:v>ExDivo KUZ 25K Replaceable Pod Vape</x:v>
      </x:c>
      <x:c r="AD347" s="10" t="str">
        <x:v>25000 puffs</x:v>
      </x:c>
    </x:row>
    <x:row r="348">
      <x:c r="A348" s="34" t="n">
        <x:v>348</x:v>
      </x:c>
      <x:c r="B348" s="9" t="str">
        <x:v>https://exdivo.com/products/exdivo-kuz-25k-replaceable-pod-vape_11a813e7?data_from=blog_detail&amp;spm=</x:v>
      </x:c>
      <x:c r="C348" s="9" t="str">
        <x:v>vape pods refillable</x:v>
      </x:c>
      <x:c r="D348" s="9" t="str">
        <x:v>recommended</x:v>
      </x:c>
      <x:c r="E348" s="36" t="n">
        <x:v>260</x:v>
      </x:c>
      <x:c r="F348" s="36" t="n">
        <x:v>17</x:v>
      </x:c>
      <x:c r="G348" s="9" t="str">
        <x:v>commercial</x:v>
      </x:c>
      <x:c r="H348" s="9" t="str">
        <x:v>Pod Kit / Pod System</x:v>
      </x:c>
      <x:c r="I348" s="9" t="str">
        <x:v>品类承接词</x:v>
      </x:c>
      <x:c r="J348" s="9" t="str">
        <x:v>主站</x:v>
      </x:c>
      <x:c r="K348" s="9" t="str"/>
      <x:c r="L348" s="9" t="str">
        <x:f>IF(K348="",J348,K348)</x:f>
        <x:v>主站</x:v>
      </x:c>
      <x:c r="M348" s="9" t="str">
        <x:v>品类页/集合页 + FAQ内容块</x:v>
      </x:c>
      <x:c r="N348" s="9" t="str">
        <x:v>主站品类页：用产品集合 + 选购说明承接</x:v>
      </x:c>
      <x:c r="O348" s="9" t="str">
        <x:v>/collections/pod-kits</x:v>
      </x:c>
      <x:c r="P348" s="9" t="str">
        <x:v>不适用</x:v>
      </x:c>
      <x:c r="Q348" s="9" t="str">
        <x:v>主站页面自身承接</x:v>
      </x:c>
      <x:c r="R348" s="9" t="str">
        <x:v>核心品类词：主站优先，博客只做长尾解释，不直接抢同一词</x:v>
      </x:c>
      <x:c r="S348" s="9" t="str">
        <x:v>如果 Google 首页产品页和指南混合，主站页要加 FAQ、选购指南、对比模块。</x:v>
      </x:c>
      <x:c r="T348" s="38" t="n">
        <x:v>7</x:v>
      </x:c>
      <x:c r="U348" s="38" t="n">
        <x:v>12</x:v>
      </x:c>
      <x:c r="V348" s="38" t="n">
        <x:v>18</x:v>
      </x:c>
      <x:c r="W348" s="38" t="n">
        <x:v>8</x:v>
      </x:c>
      <x:c r="X348" s="38" t="n">
        <x:v>15</x:v>
      </x:c>
      <x:c r="Y348" s="38" t="n">
        <x:v>4</x:v>
      </x:c>
      <x:c r="Z348" s="38" t="n">
        <x:f>MAX(0,MIN(100,ROUND(((T348+U348+V348+W348+X348)-Y348)/85*100,0)))</x:f>
        <x:v>66</x:v>
      </x:c>
      <x:c r="AA348" s="9" t="str">
        <x:f>IF(L348="暂不做","P3 暂缓",IF(Z348&gt;=75,"P0 本周做",IF(Z348&gt;=60,"P1 近期做",IF(Z348&gt;=45,"P2 备选","P3 暂缓"))))</x:f>
        <x:v>P1 近期做</x:v>
      </x:c>
      <x:c r="AB348" s="9" t="str">
        <x:f>IF(Y348&gt;=15,"先做合规/相关性复核，不建议直接商业导流",IF(L348="主站","建/优化主站商业页",IF(L348="博客A-知识教程","写知识教程/FAQ文章",IF(L348="博客B-场景人群","写场景需求/选购指南文章",IF(L348="博客C-对比评测","写对比评测/榜单文章","暂不做或人工复核")))))</x:f>
        <x:v>建/优化主站商业页</x:v>
      </x:c>
      <x:c r="AC348" s="9" t="str">
        <x:v>ExDivo KUZ 25K Replaceable Pod Vape</x:v>
      </x:c>
      <x:c r="AD348" s="10" t="str">
        <x:v>25000 puffs</x:v>
      </x:c>
    </x:row>
    <x:row r="349">
      <x:c r="A349" s="34" t="n">
        <x:v>349</x:v>
      </x:c>
      <x:c r="B349" s="9" t="str">
        <x:v>https://exdivo.com/products/exdivo-kuz-25k-replaceable-pod-vape_11a813e7?data_from=blog_detail&amp;spm=</x:v>
      </x:c>
      <x:c r="C349" s="9" t="str">
        <x:v>pods vape</x:v>
      </x:c>
      <x:c r="D349" s="9" t="str">
        <x:v>recommended</x:v>
      </x:c>
      <x:c r="E349" s="36" t="n">
        <x:v>880</x:v>
      </x:c>
      <x:c r="F349" s="36" t="n">
        <x:v>44</x:v>
      </x:c>
      <x:c r="G349" s="9" t="str">
        <x:v>informational, commercial</x:v>
      </x:c>
      <x:c r="H349" s="9" t="str">
        <x:v>Pod Kit / Pod System</x:v>
      </x:c>
      <x:c r="I349" s="9" t="str">
        <x:v>品类承接词</x:v>
      </x:c>
      <x:c r="J349" s="9" t="str">
        <x:v>主站</x:v>
      </x:c>
      <x:c r="K349" s="9" t="str"/>
      <x:c r="L349" s="9" t="str">
        <x:f>IF(K349="",J349,K349)</x:f>
        <x:v>主站</x:v>
      </x:c>
      <x:c r="M349" s="9" t="str">
        <x:v>品类页/集合页 + FAQ内容块</x:v>
      </x:c>
      <x:c r="N349" s="9" t="str">
        <x:v>主站品类页：用产品集合 + 选购说明承接</x:v>
      </x:c>
      <x:c r="O349" s="9" t="str">
        <x:v>/collections/pod-kits</x:v>
      </x:c>
      <x:c r="P349" s="9" t="str">
        <x:v>不适用</x:v>
      </x:c>
      <x:c r="Q349" s="9" t="str">
        <x:v>主站页面自身承接</x:v>
      </x:c>
      <x:c r="R349" s="9" t="str">
        <x:v>核心品类词：主站优先，博客只做长尾解释，不直接抢同一词</x:v>
      </x:c>
      <x:c r="S349" s="9" t="str">
        <x:v>如果 Google 首页产品页和指南混合，主站页要加 FAQ、选购指南、对比模块。</x:v>
      </x:c>
      <x:c r="T349" s="38" t="n">
        <x:v>10</x:v>
      </x:c>
      <x:c r="U349" s="38" t="n">
        <x:v>9</x:v>
      </x:c>
      <x:c r="V349" s="38" t="n">
        <x:v>18</x:v>
      </x:c>
      <x:c r="W349" s="38" t="n">
        <x:v>8</x:v>
      </x:c>
      <x:c r="X349" s="38" t="n">
        <x:v>15</x:v>
      </x:c>
      <x:c r="Y349" s="38" t="n">
        <x:v>4</x:v>
      </x:c>
      <x:c r="Z349" s="38" t="n">
        <x:f>MAX(0,MIN(100,ROUND(((T349+U349+V349+W349+X349)-Y349)/85*100,0)))</x:f>
        <x:v>66</x:v>
      </x:c>
      <x:c r="AA349" s="9" t="str">
        <x:f>IF(L349="暂不做","P3 暂缓",IF(Z349&gt;=75,"P0 本周做",IF(Z349&gt;=60,"P1 近期做",IF(Z349&gt;=45,"P2 备选","P3 暂缓"))))</x:f>
        <x:v>P1 近期做</x:v>
      </x:c>
      <x:c r="AB349" s="9" t="str">
        <x:f>IF(Y349&gt;=15,"先做合规/相关性复核，不建议直接商业导流",IF(L349="主站","建/优化主站商业页",IF(L349="博客A-知识教程","写知识教程/FAQ文章",IF(L349="博客B-场景人群","写场景需求/选购指南文章",IF(L349="博客C-对比评测","写对比评测/榜单文章","暂不做或人工复核")))))</x:f>
        <x:v>建/优化主站商业页</x:v>
      </x:c>
      <x:c r="AC349" s="9" t="str">
        <x:v>ExDivo KUZ 25K Replaceable Pod Vape</x:v>
      </x:c>
      <x:c r="AD349" s="10" t="str">
        <x:v>25000 puffs</x:v>
      </x:c>
    </x:row>
    <x:row r="350">
      <x:c r="A350" s="34" t="n">
        <x:v>350</x:v>
      </x:c>
      <x:c r="B350" s="9" t="str">
        <x:v>https://exdivo.com/products/exdivo-kuz-25k-replaceable-pod-vape_11a813e7?data_from=blog_detail&amp;spm=</x:v>
      </x:c>
      <x:c r="C350" s="9" t="str">
        <x:v>best pod vapes</x:v>
      </x:c>
      <x:c r="D350" s="9" t="str">
        <x:v>recommended</x:v>
      </x:c>
      <x:c r="E350" s="36" t="n">
        <x:v>390</x:v>
      </x:c>
      <x:c r="F350" s="36" t="n">
        <x:v>33</x:v>
      </x:c>
      <x:c r="G350" s="9" t="str">
        <x:v>commercial</x:v>
      </x:c>
      <x:c r="H350" s="9" t="str">
        <x:v>Pod Kit / Pod System</x:v>
      </x:c>
      <x:c r="I350" s="9" t="str">
        <x:v>商业调查词</x:v>
      </x:c>
      <x:c r="J350" s="9" t="str">
        <x:v>博客C-对比评测</x:v>
      </x:c>
      <x:c r="K350" s="9" t="str"/>
      <x:c r="L350" s="9" t="str">
        <x:f>IF(K350="",J350,K350)</x:f>
        <x:v>博客C-对比评测</x:v>
      </x:c>
      <x:c r="M350" s="9" t="str">
        <x:v>Best/Top/Review/VS/替代方案文章</x:v>
      </x:c>
      <x:c r="N350" s="9" t="str">
        <x:v>Best angle: best pod vapes - comparison, pros/cons, and which option fits different buyers</x:v>
      </x:c>
      <x:c r="O350" s="9" t="str">
        <x:v>/collections/pod-kits</x:v>
      </x:c>
      <x:c r="P350" s="9" t="str">
        <x:v>是</x:v>
      </x:c>
      <x:c r="Q350" s="9" t="str">
        <x:v>自然句/品类词/品牌词</x:v>
      </x:c>
      <x:c r="R350" s="9" t="str">
        <x:v>中风险：榜单和评测必须真实、中立，避免夸大</x:v>
      </x:c>
      <x:c r="S350" s="9" t="str">
        <x:v>这类词不直接给主站，先用博客C教育和比较，再导流到最相关集合页。</x:v>
      </x:c>
      <x:c r="T350" s="38" t="n">
        <x:v>7</x:v>
      </x:c>
      <x:c r="U350" s="38" t="n">
        <x:v>9</x:v>
      </x:c>
      <x:c r="V350" s="38" t="n">
        <x:v>16</x:v>
      </x:c>
      <x:c r="W350" s="38" t="n">
        <x:v>15</x:v>
      </x:c>
      <x:c r="X350" s="38" t="n">
        <x:v>13</x:v>
      </x:c>
      <x:c r="Y350" s="38" t="n">
        <x:v>6</x:v>
      </x:c>
      <x:c r="Z350" s="38" t="n">
        <x:f>MAX(0,MIN(100,ROUND(((T350+U350+V350+W350+X350)-Y350)/85*100,0)))</x:f>
        <x:v>64</x:v>
      </x:c>
      <x:c r="AA350" s="9" t="str">
        <x:f>IF(L350="暂不做","P3 暂缓",IF(Z350&gt;=75,"P0 本周做",IF(Z350&gt;=60,"P1 近期做",IF(Z350&gt;=45,"P2 备选","P3 暂缓"))))</x:f>
        <x:v>P1 近期做</x:v>
      </x:c>
      <x:c r="AB350" s="9" t="str">
        <x:f>IF(Y350&gt;=15,"先做合规/相关性复核，不建议直接商业导流",IF(L350="主站","建/优化主站商业页",IF(L350="博客A-知识教程","写知识教程/FAQ文章",IF(L350="博客B-场景人群","写场景需求/选购指南文章",IF(L350="博客C-对比评测","写对比评测/榜单文章","暂不做或人工复核")))))</x:f>
        <x:v>写对比评测/榜单文章</x:v>
      </x:c>
      <x:c r="AC350" s="9" t="str">
        <x:v>ExDivo KUZ 25K Replaceable Pod Vape</x:v>
      </x:c>
      <x:c r="AD350" s="10" t="str">
        <x:v>25000 puffs</x:v>
      </x:c>
    </x:row>
    <x:row r="351">
      <x:c r="A351" s="34" t="n">
        <x:v>351</x:v>
      </x:c>
      <x:c r="B351" s="9" t="str">
        <x:v>https://exdivo.com/products/exdivo-kuz-25k-replaceable-pod-vape_11a813e7?data_from=blog_detail&amp;spm=</x:v>
      </x:c>
      <x:c r="C351" s="9" t="str">
        <x:v>best refillable pod vape</x:v>
      </x:c>
      <x:c r="D351" s="9" t="str">
        <x:v>recommended</x:v>
      </x:c>
      <x:c r="E351" s="36" t="n">
        <x:v>390</x:v>
      </x:c>
      <x:c r="F351" s="36" t="n">
        <x:v>32</x:v>
      </x:c>
      <x:c r="G351" s="9" t="str">
        <x:v>commercial</x:v>
      </x:c>
      <x:c r="H351" s="9" t="str">
        <x:v>Pod Kit / Pod System</x:v>
      </x:c>
      <x:c r="I351" s="9" t="str">
        <x:v>商业调查词</x:v>
      </x:c>
      <x:c r="J351" s="9" t="str">
        <x:v>博客C-对比评测</x:v>
      </x:c>
      <x:c r="K351" s="9" t="str"/>
      <x:c r="L351" s="9" t="str">
        <x:f>IF(K351="",J351,K351)</x:f>
        <x:v>博客C-对比评测</x:v>
      </x:c>
      <x:c r="M351" s="9" t="str">
        <x:v>Best/Top/Review/VS/替代方案文章</x:v>
      </x:c>
      <x:c r="N351" s="9" t="str">
        <x:v>Best angle: best refillable pod vape - comparison, pros/cons, and which option fits different buyers</x:v>
      </x:c>
      <x:c r="O351" s="9" t="str">
        <x:v>/collections/pod-kits</x:v>
      </x:c>
      <x:c r="P351" s="9" t="str">
        <x:v>是</x:v>
      </x:c>
      <x:c r="Q351" s="9" t="str">
        <x:v>自然句/品类词/品牌词</x:v>
      </x:c>
      <x:c r="R351" s="9" t="str">
        <x:v>中风险：榜单和评测必须真实、中立，避免夸大</x:v>
      </x:c>
      <x:c r="S351" s="9" t="str">
        <x:v>这类词不直接给主站，先用博客C教育和比较，再导流到最相关集合页。</x:v>
      </x:c>
      <x:c r="T351" s="38" t="n">
        <x:v>7</x:v>
      </x:c>
      <x:c r="U351" s="38" t="n">
        <x:v>9</x:v>
      </x:c>
      <x:c r="V351" s="38" t="n">
        <x:v>16</x:v>
      </x:c>
      <x:c r="W351" s="38" t="n">
        <x:v>15</x:v>
      </x:c>
      <x:c r="X351" s="38" t="n">
        <x:v>13</x:v>
      </x:c>
      <x:c r="Y351" s="38" t="n">
        <x:v>6</x:v>
      </x:c>
      <x:c r="Z351" s="38" t="n">
        <x:f>MAX(0,MIN(100,ROUND(((T351+U351+V351+W351+X351)-Y351)/85*100,0)))</x:f>
        <x:v>64</x:v>
      </x:c>
      <x:c r="AA351" s="9" t="str">
        <x:f>IF(L351="暂不做","P3 暂缓",IF(Z351&gt;=75,"P0 本周做",IF(Z351&gt;=60,"P1 近期做",IF(Z351&gt;=45,"P2 备选","P3 暂缓"))))</x:f>
        <x:v>P1 近期做</x:v>
      </x:c>
      <x:c r="AB351" s="9" t="str">
        <x:f>IF(Y351&gt;=15,"先做合规/相关性复核，不建议直接商业导流",IF(L351="主站","建/优化主站商业页",IF(L351="博客A-知识教程","写知识教程/FAQ文章",IF(L351="博客B-场景人群","写场景需求/选购指南文章",IF(L351="博客C-对比评测","写对比评测/榜单文章","暂不做或人工复核")))))</x:f>
        <x:v>写对比评测/榜单文章</x:v>
      </x:c>
      <x:c r="AC351" s="9" t="str">
        <x:v>ExDivo KUZ 25K Replaceable Pod Vape</x:v>
      </x:c>
      <x:c r="AD351" s="10" t="str">
        <x:v>25000 puffs</x:v>
      </x:c>
    </x:row>
    <x:row r="352">
      <x:c r="A352" s="34" t="n">
        <x:v>352</x:v>
      </x:c>
      <x:c r="B352" s="9" t="str">
        <x:v>https://exdivo.com/products/exdivo-kuz-25k-replaceable-pod-vape_11a813e7?data_from=blog_detail&amp;spm=</x:v>
      </x:c>
      <x:c r="C352" s="9" t="str">
        <x:v>vape with refillable pods</x:v>
      </x:c>
      <x:c r="D352" s="9" t="str">
        <x:v>recommended</x:v>
      </x:c>
      <x:c r="E352" s="36" t="n">
        <x:v>320</x:v>
      </x:c>
      <x:c r="F352" s="36" t="n">
        <x:v>36</x:v>
      </x:c>
      <x:c r="G352" s="9" t="str">
        <x:v>informational, commercial</x:v>
      </x:c>
      <x:c r="H352" s="9" t="str">
        <x:v>Pod Kit / Pod System</x:v>
      </x:c>
      <x:c r="I352" s="9" t="str">
        <x:v>品类承接词</x:v>
      </x:c>
      <x:c r="J352" s="9" t="str">
        <x:v>主站</x:v>
      </x:c>
      <x:c r="K352" s="9" t="str"/>
      <x:c r="L352" s="9" t="str">
        <x:f>IF(K352="",J352,K352)</x:f>
        <x:v>主站</x:v>
      </x:c>
      <x:c r="M352" s="9" t="str">
        <x:v>品类页/集合页 + FAQ内容块</x:v>
      </x:c>
      <x:c r="N352" s="9" t="str">
        <x:v>主站品类页：用产品集合 + 选购说明承接</x:v>
      </x:c>
      <x:c r="O352" s="9" t="str">
        <x:v>/collections/pod-kits</x:v>
      </x:c>
      <x:c r="P352" s="9" t="str">
        <x:v>不适用</x:v>
      </x:c>
      <x:c r="Q352" s="9" t="str">
        <x:v>主站页面自身承接</x:v>
      </x:c>
      <x:c r="R352" s="9" t="str">
        <x:v>核心品类词：主站优先，博客只做长尾解释，不直接抢同一词</x:v>
      </x:c>
      <x:c r="S352" s="9" t="str">
        <x:v>如果 Google 首页产品页和指南混合，主站页要加 FAQ、选购指南、对比模块。</x:v>
      </x:c>
      <x:c r="T352" s="38" t="n">
        <x:v>7</x:v>
      </x:c>
      <x:c r="U352" s="38" t="n">
        <x:v>9</x:v>
      </x:c>
      <x:c r="V352" s="38" t="n">
        <x:v>18</x:v>
      </x:c>
      <x:c r="W352" s="38" t="n">
        <x:v>8</x:v>
      </x:c>
      <x:c r="X352" s="38" t="n">
        <x:v>15</x:v>
      </x:c>
      <x:c r="Y352" s="38" t="n">
        <x:v>4</x:v>
      </x:c>
      <x:c r="Z352" s="38" t="n">
        <x:f>MAX(0,MIN(100,ROUND(((T352+U352+V352+W352+X352)-Y352)/85*100,0)))</x:f>
        <x:v>62</x:v>
      </x:c>
      <x:c r="AA352" s="9" t="str">
        <x:f>IF(L352="暂不做","P3 暂缓",IF(Z352&gt;=75,"P0 本周做",IF(Z352&gt;=60,"P1 近期做",IF(Z352&gt;=45,"P2 备选","P3 暂缓"))))</x:f>
        <x:v>P1 近期做</x:v>
      </x:c>
      <x:c r="AB352" s="9" t="str">
        <x:f>IF(Y352&gt;=15,"先做合规/相关性复核，不建议直接商业导流",IF(L352="主站","建/优化主站商业页",IF(L352="博客A-知识教程","写知识教程/FAQ文章",IF(L352="博客B-场景人群","写场景需求/选购指南文章",IF(L352="博客C-对比评测","写对比评测/榜单文章","暂不做或人工复核")))))</x:f>
        <x:v>建/优化主站商业页</x:v>
      </x:c>
      <x:c r="AC352" s="9" t="str">
        <x:v>ExDivo KUZ 25K Replaceable Pod Vape</x:v>
      </x:c>
      <x:c r="AD352" s="10" t="str">
        <x:v>25000 puffs</x:v>
      </x:c>
    </x:row>
    <x:row r="353">
      <x:c r="A353" s="34" t="n">
        <x:v>353</x:v>
      </x:c>
      <x:c r="B353" s="9" t="str">
        <x:v>https://exdivo.com/products/exdivo-kuz-25k-replaceable-pod-vape_11a813e7?data_from=blog_detail&amp;spm=</x:v>
      </x:c>
      <x:c r="C353" s="9" t="str">
        <x:v>vape pod systems</x:v>
      </x:c>
      <x:c r="D353" s="9" t="str">
        <x:v>recommended</x:v>
      </x:c>
      <x:c r="E353" s="36" t="n">
        <x:v>260</x:v>
      </x:c>
      <x:c r="F353" s="36" t="n">
        <x:v>39</x:v>
      </x:c>
      <x:c r="G353" s="9" t="str">
        <x:v>commercial</x:v>
      </x:c>
      <x:c r="H353" s="9" t="str">
        <x:v>Pod Kit / Pod System</x:v>
      </x:c>
      <x:c r="I353" s="9" t="str">
        <x:v>品类承接词</x:v>
      </x:c>
      <x:c r="J353" s="9" t="str">
        <x:v>主站</x:v>
      </x:c>
      <x:c r="K353" s="9" t="str"/>
      <x:c r="L353" s="9" t="str">
        <x:f>IF(K353="",J353,K353)</x:f>
        <x:v>主站</x:v>
      </x:c>
      <x:c r="M353" s="9" t="str">
        <x:v>品类页/集合页 + FAQ内容块</x:v>
      </x:c>
      <x:c r="N353" s="9" t="str">
        <x:v>主站品类页：用产品集合 + 选购说明承接</x:v>
      </x:c>
      <x:c r="O353" s="9" t="str">
        <x:v>/collections/pod-kits</x:v>
      </x:c>
      <x:c r="P353" s="9" t="str">
        <x:v>不适用</x:v>
      </x:c>
      <x:c r="Q353" s="9" t="str">
        <x:v>主站页面自身承接</x:v>
      </x:c>
      <x:c r="R353" s="9" t="str">
        <x:v>核心品类词：主站优先，博客只做长尾解释，不直接抢同一词</x:v>
      </x:c>
      <x:c r="S353" s="9" t="str">
        <x:v>如果 Google 首页产品页和指南混合，主站页要加 FAQ、选购指南、对比模块。</x:v>
      </x:c>
      <x:c r="T353" s="38" t="n">
        <x:v>7</x:v>
      </x:c>
      <x:c r="U353" s="38" t="n">
        <x:v>9</x:v>
      </x:c>
      <x:c r="V353" s="38" t="n">
        <x:v>18</x:v>
      </x:c>
      <x:c r="W353" s="38" t="n">
        <x:v>8</x:v>
      </x:c>
      <x:c r="X353" s="38" t="n">
        <x:v>15</x:v>
      </x:c>
      <x:c r="Y353" s="38" t="n">
        <x:v>4</x:v>
      </x:c>
      <x:c r="Z353" s="38" t="n">
        <x:f>MAX(0,MIN(100,ROUND(((T353+U353+V353+W353+X353)-Y353)/85*100,0)))</x:f>
        <x:v>62</x:v>
      </x:c>
      <x:c r="AA353" s="9" t="str">
        <x:f>IF(L353="暂不做","P3 暂缓",IF(Z353&gt;=75,"P0 本周做",IF(Z353&gt;=60,"P1 近期做",IF(Z353&gt;=45,"P2 备选","P3 暂缓"))))</x:f>
        <x:v>P1 近期做</x:v>
      </x:c>
      <x:c r="AB353" s="9" t="str">
        <x:f>IF(Y353&gt;=15,"先做合规/相关性复核，不建议直接商业导流",IF(L353="主站","建/优化主站商业页",IF(L353="博客A-知识教程","写知识教程/FAQ文章",IF(L353="博客B-场景人群","写场景需求/选购指南文章",IF(L353="博客C-对比评测","写对比评测/榜单文章","暂不做或人工复核")))))</x:f>
        <x:v>建/优化主站商业页</x:v>
      </x:c>
      <x:c r="AC353" s="9" t="str">
        <x:v>ExDivo KUZ 25K Replaceable Pod Vape</x:v>
      </x:c>
      <x:c r="AD353" s="10" t="str">
        <x:v>25000 puffs</x:v>
      </x:c>
    </x:row>
    <x:row r="354">
      <x:c r="A354" s="34" t="n">
        <x:v>354</x:v>
      </x:c>
      <x:c r="B354" s="9" t="str">
        <x:v>https://exdivo.com/products/exdivo-kuz-25k-replaceable-pod-vape_11a813e7?data_from=blog_detail&amp;spm=</x:v>
      </x:c>
      <x:c r="C354" s="9" t="str">
        <x:v>standard pod vape</x:v>
      </x:c>
      <x:c r="D354" s="9" t="str">
        <x:v>recommended</x:v>
      </x:c>
      <x:c r="E354" s="36" t="n">
        <x:v>260</x:v>
      </x:c>
      <x:c r="F354" s="36" t="n">
        <x:v>23</x:v>
      </x:c>
      <x:c r="G354" s="9" t="str">
        <x:v>commercial</x:v>
      </x:c>
      <x:c r="H354" s="9" t="str">
        <x:v>Pod Kit / Pod System</x:v>
      </x:c>
      <x:c r="I354" s="9" t="str">
        <x:v>品类承接词</x:v>
      </x:c>
      <x:c r="J354" s="9" t="str">
        <x:v>主站</x:v>
      </x:c>
      <x:c r="K354" s="9" t="str"/>
      <x:c r="L354" s="9" t="str">
        <x:f>IF(K354="",J354,K354)</x:f>
        <x:v>主站</x:v>
      </x:c>
      <x:c r="M354" s="9" t="str">
        <x:v>品类页/集合页 + FAQ内容块</x:v>
      </x:c>
      <x:c r="N354" s="9" t="str">
        <x:v>主站品类页：用产品集合 + 选购说明承接</x:v>
      </x:c>
      <x:c r="O354" s="9" t="str">
        <x:v>/collections/pod-kits</x:v>
      </x:c>
      <x:c r="P354" s="9" t="str">
        <x:v>不适用</x:v>
      </x:c>
      <x:c r="Q354" s="9" t="str">
        <x:v>主站页面自身承接</x:v>
      </x:c>
      <x:c r="R354" s="9" t="str">
        <x:v>核心品类词：主站优先，博客只做长尾解释，不直接抢同一词</x:v>
      </x:c>
      <x:c r="S354" s="9" t="str">
        <x:v>如果 Google 首页产品页和指南混合，主站页要加 FAQ、选购指南、对比模块。</x:v>
      </x:c>
      <x:c r="T354" s="38" t="n">
        <x:v>7</x:v>
      </x:c>
      <x:c r="U354" s="38" t="n">
        <x:v>12</x:v>
      </x:c>
      <x:c r="V354" s="38" t="n">
        <x:v>18</x:v>
      </x:c>
      <x:c r="W354" s="38" t="n">
        <x:v>8</x:v>
      </x:c>
      <x:c r="X354" s="38" t="n">
        <x:v>15</x:v>
      </x:c>
      <x:c r="Y354" s="38" t="n">
        <x:v>4</x:v>
      </x:c>
      <x:c r="Z354" s="38" t="n">
        <x:f>MAX(0,MIN(100,ROUND(((T354+U354+V354+W354+X354)-Y354)/85*100,0)))</x:f>
        <x:v>66</x:v>
      </x:c>
      <x:c r="AA354" s="9" t="str">
        <x:f>IF(L354="暂不做","P3 暂缓",IF(Z354&gt;=75,"P0 本周做",IF(Z354&gt;=60,"P1 近期做",IF(Z354&gt;=45,"P2 备选","P3 暂缓"))))</x:f>
        <x:v>P1 近期做</x:v>
      </x:c>
      <x:c r="AB354" s="9" t="str">
        <x:f>IF(Y354&gt;=15,"先做合规/相关性复核，不建议直接商业导流",IF(L354="主站","建/优化主站商业页",IF(L354="博客A-知识教程","写知识教程/FAQ文章",IF(L354="博客B-场景人群","写场景需求/选购指南文章",IF(L354="博客C-对比评测","写对比评测/榜单文章","暂不做或人工复核")))))</x:f>
        <x:v>建/优化主站商业页</x:v>
      </x:c>
      <x:c r="AC354" s="9" t="str">
        <x:v>ExDivo KUZ 25K Replaceable Pod Vape</x:v>
      </x:c>
      <x:c r="AD354" s="10" t="str">
        <x:v>25000 puffs</x:v>
      </x:c>
    </x:row>
    <x:row r="355">
      <x:c r="A355" s="34" t="n">
        <x:v>355</x:v>
      </x:c>
      <x:c r="B355" s="9" t="str">
        <x:v>https://exdivo.com/products/exdivo-kuz-25k-replaceable-pod-vape_11a813e7?data_from=blog_detail&amp;spm=</x:v>
      </x:c>
      <x:c r="C355" s="9" t="str">
        <x:v>vape with pods</x:v>
      </x:c>
      <x:c r="D355" s="9" t="str">
        <x:v>recommended</x:v>
      </x:c>
      <x:c r="E355" s="36" t="n">
        <x:v>110</x:v>
      </x:c>
      <x:c r="F355" s="36" t="n">
        <x:v>40</x:v>
      </x:c>
      <x:c r="G355" s="9" t="str">
        <x:v>informational</x:v>
      </x:c>
      <x:c r="H355" s="9" t="str">
        <x:v>Pod Kit / Pod System</x:v>
      </x:c>
      <x:c r="I355" s="9" t="str">
        <x:v>场景/需求词</x:v>
      </x:c>
      <x:c r="J355" s="9" t="str">
        <x:v>博客B-场景人群</x:v>
      </x:c>
      <x:c r="K355" s="9" t="str"/>
      <x:c r="L355" s="9" t="str">
        <x:f>IF(K355="",J355,K355)</x:f>
        <x:v>博客B-场景人群</x:v>
      </x:c>
      <x:c r="M355" s="9" t="str">
        <x:v>场景解决方案/选购指南文章</x:v>
      </x:c>
      <x:c r="N355" s="9" t="str">
        <x:v>Scenario angle: how to choose vape with pods based on use case, flavor, nicotine, and budget</x:v>
      </x:c>
      <x:c r="O355" s="9" t="str">
        <x:v>/collections/pod-kits</x:v>
      </x:c>
      <x:c r="P355" s="9" t="str">
        <x:v>是</x:v>
      </x:c>
      <x:c r="Q355" s="9" t="str">
        <x:v>自然句/品类词</x:v>
      </x:c>
      <x:c r="R355" s="9" t="str">
        <x:v>低中风险：适合软性导流，但不要夸大效果或触碰健康疗效</x:v>
      </x:c>
      <x:c r="S355" s="9" t="str">
        <x:v>围绕使用场景、口味、尼古丁需求、便携性等写，不和主站品类页抢词。</x:v>
      </x:c>
      <x:c r="T355" s="38" t="n">
        <x:v>7</x:v>
      </x:c>
      <x:c r="U355" s="38" t="n">
        <x:v>9</x:v>
      </x:c>
      <x:c r="V355" s="38" t="n">
        <x:v>13</x:v>
      </x:c>
      <x:c r="W355" s="38" t="n">
        <x:v>14</x:v>
      </x:c>
      <x:c r="X355" s="38" t="n">
        <x:v>13</x:v>
      </x:c>
      <x:c r="Y355" s="38" t="n">
        <x:v>5</x:v>
      </x:c>
      <x:c r="Z355" s="38" t="n">
        <x:f>MAX(0,MIN(100,ROUND(((T355+U355+V355+W355+X355)-Y355)/85*100,0)))</x:f>
        <x:v>60</x:v>
      </x:c>
      <x:c r="AA355" s="9" t="str">
        <x:f>IF(L355="暂不做","P3 暂缓",IF(Z355&gt;=75,"P0 本周做",IF(Z355&gt;=60,"P1 近期做",IF(Z355&gt;=45,"P2 备选","P3 暂缓"))))</x:f>
        <x:v>P1 近期做</x:v>
      </x:c>
      <x:c r="AB355" s="9" t="str">
        <x:f>IF(Y355&gt;=15,"先做合规/相关性复核，不建议直接商业导流",IF(L355="主站","建/优化主站商业页",IF(L355="博客A-知识教程","写知识教程/FAQ文章",IF(L355="博客B-场景人群","写场景需求/选购指南文章",IF(L355="博客C-对比评测","写对比评测/榜单文章","暂不做或人工复核")))))</x:f>
        <x:v>写场景需求/选购指南文章</x:v>
      </x:c>
      <x:c r="AC355" s="9" t="str">
        <x:v>ExDivo KUZ 25K Replaceable Pod Vape</x:v>
      </x:c>
      <x:c r="AD355" s="10" t="str">
        <x:v>25000 puffs</x:v>
      </x:c>
    </x:row>
    <x:row r="356">
      <x:c r="A356" s="34" t="n">
        <x:v>356</x:v>
      </x:c>
      <x:c r="B356" s="9" t="str">
        <x:v>https://exdivo.com/products/exdivo-kuz-25k-replaceable-pod-vape_11a813e7?data_from=blog_detail&amp;spm=</x:v>
      </x:c>
      <x:c r="C356" s="9" t="str">
        <x:v>vape pod kit</x:v>
      </x:c>
      <x:c r="D356" s="9" t="str">
        <x:v>recommended</x:v>
      </x:c>
      <x:c r="E356" s="36" t="n">
        <x:v>170</x:v>
      </x:c>
      <x:c r="F356" s="36" t="n">
        <x:v>50</x:v>
      </x:c>
      <x:c r="G356" s="9" t="str">
        <x:v>informational, commercial</x:v>
      </x:c>
      <x:c r="H356" s="9" t="str">
        <x:v>Pod Kit / Pod System</x:v>
      </x:c>
      <x:c r="I356" s="9" t="str">
        <x:v>品类承接词</x:v>
      </x:c>
      <x:c r="J356" s="9" t="str">
        <x:v>主站</x:v>
      </x:c>
      <x:c r="K356" s="9" t="str"/>
      <x:c r="L356" s="9" t="str">
        <x:f>IF(K356="",J356,K356)</x:f>
        <x:v>主站</x:v>
      </x:c>
      <x:c r="M356" s="9" t="str">
        <x:v>品类页/集合页 + FAQ内容块</x:v>
      </x:c>
      <x:c r="N356" s="9" t="str">
        <x:v>主站品类页：用产品集合 + 选购说明承接</x:v>
      </x:c>
      <x:c r="O356" s="9" t="str">
        <x:v>/collections/pod-kits</x:v>
      </x:c>
      <x:c r="P356" s="9" t="str">
        <x:v>不适用</x:v>
      </x:c>
      <x:c r="Q356" s="9" t="str">
        <x:v>主站页面自身承接</x:v>
      </x:c>
      <x:c r="R356" s="9" t="str">
        <x:v>核心品类词：主站优先，博客只做长尾解释，不直接抢同一词</x:v>
      </x:c>
      <x:c r="S356" s="9" t="str">
        <x:v>如果 Google 首页产品页和指南混合，主站页要加 FAQ、选购指南、对比模块。</x:v>
      </x:c>
      <x:c r="T356" s="38" t="n">
        <x:v>7</x:v>
      </x:c>
      <x:c r="U356" s="38" t="n">
        <x:v>6</x:v>
      </x:c>
      <x:c r="V356" s="38" t="n">
        <x:v>18</x:v>
      </x:c>
      <x:c r="W356" s="38" t="n">
        <x:v>8</x:v>
      </x:c>
      <x:c r="X356" s="38" t="n">
        <x:v>15</x:v>
      </x:c>
      <x:c r="Y356" s="38" t="n">
        <x:v>4</x:v>
      </x:c>
      <x:c r="Z356" s="38" t="n">
        <x:f>MAX(0,MIN(100,ROUND(((T356+U356+V356+W356+X356)-Y356)/85*100,0)))</x:f>
        <x:v>59</x:v>
      </x:c>
      <x:c r="AA356" s="9" t="str">
        <x:f>IF(L356="暂不做","P3 暂缓",IF(Z356&gt;=75,"P0 本周做",IF(Z356&gt;=60,"P1 近期做",IF(Z356&gt;=45,"P2 备选","P3 暂缓"))))</x:f>
        <x:v>P2 备选</x:v>
      </x:c>
      <x:c r="AB356" s="9" t="str">
        <x:f>IF(Y356&gt;=15,"先做合规/相关性复核，不建议直接商业导流",IF(L356="主站","建/优化主站商业页",IF(L356="博客A-知识教程","写知识教程/FAQ文章",IF(L356="博客B-场景人群","写场景需求/选购指南文章",IF(L356="博客C-对比评测","写对比评测/榜单文章","暂不做或人工复核")))))</x:f>
        <x:v>建/优化主站商业页</x:v>
      </x:c>
      <x:c r="AC356" s="9" t="str">
        <x:v>ExDivo KUZ 25K Replaceable Pod Vape</x:v>
      </x:c>
      <x:c r="AD356" s="10" t="str">
        <x:v>25000 puffs</x:v>
      </x:c>
    </x:row>
    <x:row r="357">
      <x:c r="A357" s="34" t="n">
        <x:v>357</x:v>
      </x:c>
      <x:c r="B357" s="9" t="str">
        <x:v>https://exdivo.com/products/exdivo-kuz-25k-replaceable-pod-vape_11a813e7?data_from=blog_detail&amp;spm=</x:v>
      </x:c>
      <x:c r="C357" s="9" t="str">
        <x:v>refillable pod vapes</x:v>
      </x:c>
      <x:c r="D357" s="9" t="str">
        <x:v>recommended</x:v>
      </x:c>
      <x:c r="E357" s="36" t="n">
        <x:v>70</x:v>
      </x:c>
      <x:c r="F357" s="36" t="n">
        <x:v>42</x:v>
      </x:c>
      <x:c r="G357" s="9" t="str">
        <x:v>commercial</x:v>
      </x:c>
      <x:c r="H357" s="9" t="str">
        <x:v>Pod Kit / Pod System</x:v>
      </x:c>
      <x:c r="I357" s="9" t="str">
        <x:v>品类承接词</x:v>
      </x:c>
      <x:c r="J357" s="9" t="str">
        <x:v>主站</x:v>
      </x:c>
      <x:c r="K357" s="9" t="str"/>
      <x:c r="L357" s="9" t="str">
        <x:f>IF(K357="",J357,K357)</x:f>
        <x:v>主站</x:v>
      </x:c>
      <x:c r="M357" s="9" t="str">
        <x:v>品类页/集合页 + FAQ内容块</x:v>
      </x:c>
      <x:c r="N357" s="9" t="str">
        <x:v>主站品类页：用产品集合 + 选购说明承接</x:v>
      </x:c>
      <x:c r="O357" s="9" t="str">
        <x:v>/collections/pod-kits</x:v>
      </x:c>
      <x:c r="P357" s="9" t="str">
        <x:v>不适用</x:v>
      </x:c>
      <x:c r="Q357" s="9" t="str">
        <x:v>主站页面自身承接</x:v>
      </x:c>
      <x:c r="R357" s="9" t="str">
        <x:v>核心品类词：主站优先，博客只做长尾解释，不直接抢同一词</x:v>
      </x:c>
      <x:c r="S357" s="9" t="str">
        <x:v>如果 Google 首页产品页和指南混合，主站页要加 FAQ、选购指南、对比模块。</x:v>
      </x:c>
      <x:c r="T357" s="38" t="n">
        <x:v>4</x:v>
      </x:c>
      <x:c r="U357" s="38" t="n">
        <x:v>9</x:v>
      </x:c>
      <x:c r="V357" s="38" t="n">
        <x:v>18</x:v>
      </x:c>
      <x:c r="W357" s="38" t="n">
        <x:v>8</x:v>
      </x:c>
      <x:c r="X357" s="38" t="n">
        <x:v>15</x:v>
      </x:c>
      <x:c r="Y357" s="38" t="n">
        <x:v>4</x:v>
      </x:c>
      <x:c r="Z357" s="38" t="n">
        <x:f>MAX(0,MIN(100,ROUND(((T357+U357+V357+W357+X357)-Y357)/85*100,0)))</x:f>
        <x:v>59</x:v>
      </x:c>
      <x:c r="AA357" s="9" t="str">
        <x:f>IF(L357="暂不做","P3 暂缓",IF(Z357&gt;=75,"P0 本周做",IF(Z357&gt;=60,"P1 近期做",IF(Z357&gt;=45,"P2 备选","P3 暂缓"))))</x:f>
        <x:v>P2 备选</x:v>
      </x:c>
      <x:c r="AB357" s="9" t="str">
        <x:f>IF(Y357&gt;=15,"先做合规/相关性复核，不建议直接商业导流",IF(L357="主站","建/优化主站商业页",IF(L357="博客A-知识教程","写知识教程/FAQ文章",IF(L357="博客B-场景人群","写场景需求/选购指南文章",IF(L357="博客C-对比评测","写对比评测/榜单文章","暂不做或人工复核")))))</x:f>
        <x:v>建/优化主站商业页</x:v>
      </x:c>
      <x:c r="AC357" s="9" t="str">
        <x:v>ExDivo KUZ 25K Replaceable Pod Vape</x:v>
      </x:c>
      <x:c r="AD357" s="10" t="str">
        <x:v>25000 puffs</x:v>
      </x:c>
    </x:row>
    <x:row r="358">
      <x:c r="A358" s="34" t="n">
        <x:v>358</x:v>
      </x:c>
      <x:c r="B358" s="9" t="str">
        <x:v>https://exdivo.com/products/exdivo-kuz-25k-replaceable-pod-vape_11a813e7?data_from=blog_detail&amp;spm=</x:v>
      </x:c>
      <x:c r="C358" s="9" t="str">
        <x:v>best vape pod kit</x:v>
      </x:c>
      <x:c r="D358" s="9" t="str">
        <x:v>recommended</x:v>
      </x:c>
      <x:c r="E358" s="36" t="n">
        <x:v>50</x:v>
      </x:c>
      <x:c r="F358" s="36" t="n">
        <x:v>17</x:v>
      </x:c>
      <x:c r="G358" s="9" t="str">
        <x:v>commercial</x:v>
      </x:c>
      <x:c r="H358" s="9" t="str">
        <x:v>Pod Kit / Pod System</x:v>
      </x:c>
      <x:c r="I358" s="9" t="str">
        <x:v>商业调查词</x:v>
      </x:c>
      <x:c r="J358" s="9" t="str">
        <x:v>博客C-对比评测</x:v>
      </x:c>
      <x:c r="K358" s="9" t="str"/>
      <x:c r="L358" s="9" t="str">
        <x:f>IF(K358="",J358,K358)</x:f>
        <x:v>博客C-对比评测</x:v>
      </x:c>
      <x:c r="M358" s="9" t="str">
        <x:v>Best/Top/Review/VS/替代方案文章</x:v>
      </x:c>
      <x:c r="N358" s="9" t="str">
        <x:v>Best angle: best vape pod kit - comparison, pros/cons, and which option fits different buyers</x:v>
      </x:c>
      <x:c r="O358" s="9" t="str">
        <x:v>/collections/pod-kits</x:v>
      </x:c>
      <x:c r="P358" s="9" t="str">
        <x:v>是</x:v>
      </x:c>
      <x:c r="Q358" s="9" t="str">
        <x:v>自然句/品类词/品牌词</x:v>
      </x:c>
      <x:c r="R358" s="9" t="str">
        <x:v>中风险：榜单和评测必须真实、中立，避免夸大</x:v>
      </x:c>
      <x:c r="S358" s="9" t="str">
        <x:v>这类词不直接给主站，先用博客C教育和比较，再导流到最相关集合页。</x:v>
      </x:c>
      <x:c r="T358" s="38" t="n">
        <x:v>4</x:v>
      </x:c>
      <x:c r="U358" s="38" t="n">
        <x:v>12</x:v>
      </x:c>
      <x:c r="V358" s="38" t="n">
        <x:v>16</x:v>
      </x:c>
      <x:c r="W358" s="38" t="n">
        <x:v>15</x:v>
      </x:c>
      <x:c r="X358" s="38" t="n">
        <x:v>13</x:v>
      </x:c>
      <x:c r="Y358" s="38" t="n">
        <x:v>6</x:v>
      </x:c>
      <x:c r="Z358" s="38" t="n">
        <x:f>MAX(0,MIN(100,ROUND(((T358+U358+V358+W358+X358)-Y358)/85*100,0)))</x:f>
        <x:v>64</x:v>
      </x:c>
      <x:c r="AA358" s="9" t="str">
        <x:f>IF(L358="暂不做","P3 暂缓",IF(Z358&gt;=75,"P0 本周做",IF(Z358&gt;=60,"P1 近期做",IF(Z358&gt;=45,"P2 备选","P3 暂缓"))))</x:f>
        <x:v>P1 近期做</x:v>
      </x:c>
      <x:c r="AB358" s="9" t="str">
        <x:f>IF(Y358&gt;=15,"先做合规/相关性复核，不建议直接商业导流",IF(L358="主站","建/优化主站商业页",IF(L358="博客A-知识教程","写知识教程/FAQ文章",IF(L358="博客B-场景人群","写场景需求/选购指南文章",IF(L358="博客C-对比评测","写对比评测/榜单文章","暂不做或人工复核")))))</x:f>
        <x:v>写对比评测/榜单文章</x:v>
      </x:c>
      <x:c r="AC358" s="9" t="str">
        <x:v>ExDivo KUZ 25K Replaceable Pod Vape</x:v>
      </x:c>
      <x:c r="AD358" s="10" t="str">
        <x:v>25000 puffs</x:v>
      </x:c>
    </x:row>
    <x:row r="359">
      <x:c r="A359" s="34" t="n">
        <x:v>359</x:v>
      </x:c>
      <x:c r="B359" s="9" t="str">
        <x:v>https://exdivo.com/products/exdivo-kuz-25k-replaceable-pod-vape_11a813e7?data_from=blog_detail&amp;spm=</x:v>
      </x:c>
      <x:c r="C359" s="9" t="str">
        <x:v>pod juice vapes</x:v>
      </x:c>
      <x:c r="D359" s="9" t="str">
        <x:v>recommended</x:v>
      </x:c>
      <x:c r="E359" s="36" t="n">
        <x:v>50</x:v>
      </x:c>
      <x:c r="F359" s="36" t="n">
        <x:v>5</x:v>
      </x:c>
      <x:c r="G359" s="9" t="str">
        <x:v>informational, commercial</x:v>
      </x:c>
      <x:c r="H359" s="9" t="str">
        <x:v>Pod Kit / Pod System</x:v>
      </x:c>
      <x:c r="I359" s="9" t="str">
        <x:v>品类承接词</x:v>
      </x:c>
      <x:c r="J359" s="9" t="str">
        <x:v>主站</x:v>
      </x:c>
      <x:c r="K359" s="9" t="str"/>
      <x:c r="L359" s="9" t="str">
        <x:f>IF(K359="",J359,K359)</x:f>
        <x:v>主站</x:v>
      </x:c>
      <x:c r="M359" s="9" t="str">
        <x:v>品类页/集合页 + FAQ内容块</x:v>
      </x:c>
      <x:c r="N359" s="9" t="str">
        <x:v>主站品类页：用产品集合 + 选购说明承接</x:v>
      </x:c>
      <x:c r="O359" s="9" t="str">
        <x:v>/collections/pod-kits</x:v>
      </x:c>
      <x:c r="P359" s="9" t="str">
        <x:v>不适用</x:v>
      </x:c>
      <x:c r="Q359" s="9" t="str">
        <x:v>主站页面自身承接</x:v>
      </x:c>
      <x:c r="R359" s="9" t="str">
        <x:v>核心品类词：主站优先，博客只做长尾解释，不直接抢同一词</x:v>
      </x:c>
      <x:c r="S359" s="9" t="str">
        <x:v>如果 Google 首页产品页和指南混合，主站页要加 FAQ、选购指南、对比模块。</x:v>
      </x:c>
      <x:c r="T359" s="38" t="n">
        <x:v>4</x:v>
      </x:c>
      <x:c r="U359" s="38" t="n">
        <x:v>15</x:v>
      </x:c>
      <x:c r="V359" s="38" t="n">
        <x:v>18</x:v>
      </x:c>
      <x:c r="W359" s="38" t="n">
        <x:v>8</x:v>
      </x:c>
      <x:c r="X359" s="38" t="n">
        <x:v>15</x:v>
      </x:c>
      <x:c r="Y359" s="38" t="n">
        <x:v>4</x:v>
      </x:c>
      <x:c r="Z359" s="38" t="n">
        <x:f>MAX(0,MIN(100,ROUND(((T359+U359+V359+W359+X359)-Y359)/85*100,0)))</x:f>
        <x:v>66</x:v>
      </x:c>
      <x:c r="AA359" s="9" t="str">
        <x:f>IF(L359="暂不做","P3 暂缓",IF(Z359&gt;=75,"P0 本周做",IF(Z359&gt;=60,"P1 近期做",IF(Z359&gt;=45,"P2 备选","P3 暂缓"))))</x:f>
        <x:v>P1 近期做</x:v>
      </x:c>
      <x:c r="AB359" s="9" t="str">
        <x:f>IF(Y359&gt;=15,"先做合规/相关性复核，不建议直接商业导流",IF(L359="主站","建/优化主站商业页",IF(L359="博客A-知识教程","写知识教程/FAQ文章",IF(L359="博客B-场景人群","写场景需求/选购指南文章",IF(L359="博客C-对比评测","写对比评测/榜单文章","暂不做或人工复核")))))</x:f>
        <x:v>建/优化主站商业页</x:v>
      </x:c>
      <x:c r="AC359" s="9" t="str">
        <x:v>ExDivo KUZ 25K Replaceable Pod Vape</x:v>
      </x:c>
      <x:c r="AD359" s="10" t="str">
        <x:v>25000 puffs</x:v>
      </x:c>
    </x:row>
    <x:row r="360">
      <x:c r="A360" s="34" t="n">
        <x:v>360</x:v>
      </x:c>
      <x:c r="B360" s="9" t="str">
        <x:v>https://exdivo.com/products/exdivo-kuz-25k-replaceable-pod-vape_11a813e7?data_from=blog_detail&amp;spm=</x:v>
      </x:c>
      <x:c r="C360" s="9" t="str">
        <x:v>juice pod vape</x:v>
      </x:c>
      <x:c r="D360" s="9" t="str">
        <x:v>recommended</x:v>
      </x:c>
      <x:c r="E360" s="36" t="n">
        <x:v>70</x:v>
      </x:c>
      <x:c r="F360" s="36" t="n">
        <x:v>32</x:v>
      </x:c>
      <x:c r="G360" s="9" t="str">
        <x:v>commercial</x:v>
      </x:c>
      <x:c r="H360" s="9" t="str">
        <x:v>Pod Kit / Pod System</x:v>
      </x:c>
      <x:c r="I360" s="9" t="str">
        <x:v>品类承接词</x:v>
      </x:c>
      <x:c r="J360" s="9" t="str">
        <x:v>主站</x:v>
      </x:c>
      <x:c r="K360" s="9" t="str"/>
      <x:c r="L360" s="9" t="str">
        <x:f>IF(K360="",J360,K360)</x:f>
        <x:v>主站</x:v>
      </x:c>
      <x:c r="M360" s="9" t="str">
        <x:v>品类页/集合页 + FAQ内容块</x:v>
      </x:c>
      <x:c r="N360" s="9" t="str">
        <x:v>主站品类页：用产品集合 + 选购说明承接</x:v>
      </x:c>
      <x:c r="O360" s="9" t="str">
        <x:v>/collections/pod-kits</x:v>
      </x:c>
      <x:c r="P360" s="9" t="str">
        <x:v>不适用</x:v>
      </x:c>
      <x:c r="Q360" s="9" t="str">
        <x:v>主站页面自身承接</x:v>
      </x:c>
      <x:c r="R360" s="9" t="str">
        <x:v>核心品类词：主站优先，博客只做长尾解释，不直接抢同一词</x:v>
      </x:c>
      <x:c r="S360" s="9" t="str">
        <x:v>如果 Google 首页产品页和指南混合，主站页要加 FAQ、选购指南、对比模块。</x:v>
      </x:c>
      <x:c r="T360" s="38" t="n">
        <x:v>4</x:v>
      </x:c>
      <x:c r="U360" s="38" t="n">
        <x:v>9</x:v>
      </x:c>
      <x:c r="V360" s="38" t="n">
        <x:v>18</x:v>
      </x:c>
      <x:c r="W360" s="38" t="n">
        <x:v>8</x:v>
      </x:c>
      <x:c r="X360" s="38" t="n">
        <x:v>15</x:v>
      </x:c>
      <x:c r="Y360" s="38" t="n">
        <x:v>4</x:v>
      </x:c>
      <x:c r="Z360" s="38" t="n">
        <x:f>MAX(0,MIN(100,ROUND(((T360+U360+V360+W360+X360)-Y360)/85*100,0)))</x:f>
        <x:v>59</x:v>
      </x:c>
      <x:c r="AA360" s="9" t="str">
        <x:f>IF(L360="暂不做","P3 暂缓",IF(Z360&gt;=75,"P0 本周做",IF(Z360&gt;=60,"P1 近期做",IF(Z360&gt;=45,"P2 备选","P3 暂缓"))))</x:f>
        <x:v>P2 备选</x:v>
      </x:c>
      <x:c r="AB360" s="9" t="str">
        <x:f>IF(Y360&gt;=15,"先做合规/相关性复核，不建议直接商业导流",IF(L360="主站","建/优化主站商业页",IF(L360="博客A-知识教程","写知识教程/FAQ文章",IF(L360="博客B-场景人群","写场景需求/选购指南文章",IF(L360="博客C-对比评测","写对比评测/榜单文章","暂不做或人工复核")))))</x:f>
        <x:v>建/优化主站商业页</x:v>
      </x:c>
      <x:c r="AC360" s="9" t="str">
        <x:v>ExDivo KUZ 25K Replaceable Pod Vape</x:v>
      </x:c>
      <x:c r="AD360" s="10" t="str">
        <x:v>25000 puffs</x:v>
      </x:c>
    </x:row>
    <x:row r="361">
      <x:c r="A361" s="34" t="n">
        <x:v>361</x:v>
      </x:c>
      <x:c r="B361" s="9" t="str">
        <x:v>https://exdivo.com/products/exdivo-kuz-25k-replaceable-pod-vape_11a813e7?data_from=blog_detail&amp;spm=</x:v>
      </x:c>
      <x:c r="C361" s="9" t="str">
        <x:v>disposable pod vape</x:v>
      </x:c>
      <x:c r="D361" s="9" t="str">
        <x:v>recommended</x:v>
      </x:c>
      <x:c r="E361" s="36" t="n">
        <x:v>50</x:v>
      </x:c>
      <x:c r="F361" s="36" t="n">
        <x:v>38</x:v>
      </x:c>
      <x:c r="G361" s="9" t="str">
        <x:v>informational</x:v>
      </x:c>
      <x:c r="H361" s="9" t="str">
        <x:v>Pod Kit / Pod System</x:v>
      </x:c>
      <x:c r="I361" s="9" t="str">
        <x:v>品类承接词</x:v>
      </x:c>
      <x:c r="J361" s="9" t="str">
        <x:v>主站</x:v>
      </x:c>
      <x:c r="K361" s="9" t="str"/>
      <x:c r="L361" s="9" t="str">
        <x:f>IF(K361="",J361,K361)</x:f>
        <x:v>主站</x:v>
      </x:c>
      <x:c r="M361" s="9" t="str">
        <x:v>品类页/集合页 + FAQ内容块</x:v>
      </x:c>
      <x:c r="N361" s="9" t="str">
        <x:v>主站品类页：用产品集合 + 选购说明承接</x:v>
      </x:c>
      <x:c r="O361" s="9" t="str">
        <x:v>/collections/pod-kits</x:v>
      </x:c>
      <x:c r="P361" s="9" t="str">
        <x:v>不适用</x:v>
      </x:c>
      <x:c r="Q361" s="9" t="str">
        <x:v>主站页面自身承接</x:v>
      </x:c>
      <x:c r="R361" s="9" t="str">
        <x:v>核心品类词：主站优先，博客只做长尾解释，不直接抢同一词</x:v>
      </x:c>
      <x:c r="S361" s="9" t="str">
        <x:v>如果 Google 首页产品页和指南混合，主站页要加 FAQ、选购指南、对比模块。</x:v>
      </x:c>
      <x:c r="T361" s="38" t="n">
        <x:v>4</x:v>
      </x:c>
      <x:c r="U361" s="38" t="n">
        <x:v>9</x:v>
      </x:c>
      <x:c r="V361" s="38" t="n">
        <x:v>16</x:v>
      </x:c>
      <x:c r="W361" s="38" t="n">
        <x:v>8</x:v>
      </x:c>
      <x:c r="X361" s="38" t="n">
        <x:v>15</x:v>
      </x:c>
      <x:c r="Y361" s="38" t="n">
        <x:v>4</x:v>
      </x:c>
      <x:c r="Z361" s="38" t="n">
        <x:f>MAX(0,MIN(100,ROUND(((T361+U361+V361+W361+X361)-Y361)/85*100,0)))</x:f>
        <x:v>56</x:v>
      </x:c>
      <x:c r="AA361" s="9" t="str">
        <x:f>IF(L361="暂不做","P3 暂缓",IF(Z361&gt;=75,"P0 本周做",IF(Z361&gt;=60,"P1 近期做",IF(Z361&gt;=45,"P2 备选","P3 暂缓"))))</x:f>
        <x:v>P2 备选</x:v>
      </x:c>
      <x:c r="AB361" s="9" t="str">
        <x:f>IF(Y361&gt;=15,"先做合规/相关性复核，不建议直接商业导流",IF(L361="主站","建/优化主站商业页",IF(L361="博客A-知识教程","写知识教程/FAQ文章",IF(L361="博客B-场景人群","写场景需求/选购指南文章",IF(L361="博客C-对比评测","写对比评测/榜单文章","暂不做或人工复核")))))</x:f>
        <x:v>建/优化主站商业页</x:v>
      </x:c>
      <x:c r="AC361" s="9" t="str">
        <x:v>ExDivo KUZ 25K Replaceable Pod Vape</x:v>
      </x:c>
      <x:c r="AD361" s="10" t="str">
        <x:v>25000 puffs</x:v>
      </x:c>
    </x:row>
    <x:row r="362">
      <x:c r="A362" s="34" t="n">
        <x:v>362</x:v>
      </x:c>
      <x:c r="B362" s="9" t="str">
        <x:v>https://exdivo.com/products/exdivo-kuz-25k-replaceable-pod-vape_11a813e7?data_from=blog_detail&amp;spm=</x:v>
      </x:c>
      <x:c r="C362" s="9" t="str">
        <x:v>pods for vape</x:v>
      </x:c>
      <x:c r="D362" s="9" t="str">
        <x:v>recommended</x:v>
      </x:c>
      <x:c r="E362" s="36" t="n">
        <x:v>90</x:v>
      </x:c>
      <x:c r="F362" s="36" t="n">
        <x:v>40</x:v>
      </x:c>
      <x:c r="G362" s="9" t="str">
        <x:v>informational, commercial</x:v>
      </x:c>
      <x:c r="H362" s="9" t="str">
        <x:v>Pod Kit / Pod System</x:v>
      </x:c>
      <x:c r="I362" s="9" t="str">
        <x:v>品类承接词</x:v>
      </x:c>
      <x:c r="J362" s="9" t="str">
        <x:v>主站</x:v>
      </x:c>
      <x:c r="K362" s="9" t="str"/>
      <x:c r="L362" s="9" t="str">
        <x:f>IF(K362="",J362,K362)</x:f>
        <x:v>主站</x:v>
      </x:c>
      <x:c r="M362" s="9" t="str">
        <x:v>品类页/集合页 + FAQ内容块</x:v>
      </x:c>
      <x:c r="N362" s="9" t="str">
        <x:v>主站品类页：用产品集合 + 选购说明承接</x:v>
      </x:c>
      <x:c r="O362" s="9" t="str">
        <x:v>/collections/pod-kits</x:v>
      </x:c>
      <x:c r="P362" s="9" t="str">
        <x:v>不适用</x:v>
      </x:c>
      <x:c r="Q362" s="9" t="str">
        <x:v>主站页面自身承接</x:v>
      </x:c>
      <x:c r="R362" s="9" t="str">
        <x:v>核心品类词：主站优先，博客只做长尾解释，不直接抢同一词</x:v>
      </x:c>
      <x:c r="S362" s="9" t="str">
        <x:v>如果 Google 首页产品页和指南混合，主站页要加 FAQ、选购指南、对比模块。</x:v>
      </x:c>
      <x:c r="T362" s="38" t="n">
        <x:v>4</x:v>
      </x:c>
      <x:c r="U362" s="38" t="n">
        <x:v>9</x:v>
      </x:c>
      <x:c r="V362" s="38" t="n">
        <x:v>18</x:v>
      </x:c>
      <x:c r="W362" s="38" t="n">
        <x:v>8</x:v>
      </x:c>
      <x:c r="X362" s="38" t="n">
        <x:v>15</x:v>
      </x:c>
      <x:c r="Y362" s="38" t="n">
        <x:v>4</x:v>
      </x:c>
      <x:c r="Z362" s="38" t="n">
        <x:f>MAX(0,MIN(100,ROUND(((T362+U362+V362+W362+X362)-Y362)/85*100,0)))</x:f>
        <x:v>59</x:v>
      </x:c>
      <x:c r="AA362" s="9" t="str">
        <x:f>IF(L362="暂不做","P3 暂缓",IF(Z362&gt;=75,"P0 本周做",IF(Z362&gt;=60,"P1 近期做",IF(Z362&gt;=45,"P2 备选","P3 暂缓"))))</x:f>
        <x:v>P2 备选</x:v>
      </x:c>
      <x:c r="AB362" s="9" t="str">
        <x:f>IF(Y362&gt;=15,"先做合规/相关性复核，不建议直接商业导流",IF(L362="主站","建/优化主站商业页",IF(L362="博客A-知识教程","写知识教程/FAQ文章",IF(L362="博客B-场景人群","写场景需求/选购指南文章",IF(L362="博客C-对比评测","写对比评测/榜单文章","暂不做或人工复核")))))</x:f>
        <x:v>建/优化主站商业页</x:v>
      </x:c>
      <x:c r="AC362" s="9" t="str">
        <x:v>ExDivo KUZ 25K Replaceable Pod Vape</x:v>
      </x:c>
      <x:c r="AD362" s="10" t="str">
        <x:v>25000 puffs</x:v>
      </x:c>
    </x:row>
    <x:row r="363">
      <x:c r="A363" s="34" t="n">
        <x:v>363</x:v>
      </x:c>
      <x:c r="B363" s="9" t="str">
        <x:v>https://exdivo.com/products/exdivo-kuz-25k-replaceable-pod-vape_11a813e7?data_from=blog_detail&amp;spm=</x:v>
      </x:c>
      <x:c r="C363" s="9" t="str">
        <x:v>nicotine vape pods</x:v>
      </x:c>
      <x:c r="D363" s="9" t="str">
        <x:v>recommended</x:v>
      </x:c>
      <x:c r="E363" s="36" t="n">
        <x:v>50</x:v>
      </x:c>
      <x:c r="F363" s="36" t="n">
        <x:v>26</x:v>
      </x:c>
      <x:c r="G363" s="9" t="str">
        <x:v>commercial</x:v>
      </x:c>
      <x:c r="H363" s="9" t="str">
        <x:v>Pod Kit / Pod System</x:v>
      </x:c>
      <x:c r="I363" s="9" t="str">
        <x:v>品类承接词</x:v>
      </x:c>
      <x:c r="J363" s="9" t="str">
        <x:v>主站</x:v>
      </x:c>
      <x:c r="K363" s="9" t="str"/>
      <x:c r="L363" s="9" t="str">
        <x:f>IF(K363="",J363,K363)</x:f>
        <x:v>主站</x:v>
      </x:c>
      <x:c r="M363" s="9" t="str">
        <x:v>品类页/集合页 + FAQ内容块</x:v>
      </x:c>
      <x:c r="N363" s="9" t="str">
        <x:v>主站品类页：用产品集合 + 选购说明承接</x:v>
      </x:c>
      <x:c r="O363" s="9" t="str">
        <x:v>/collections/pod-kits</x:v>
      </x:c>
      <x:c r="P363" s="9" t="str">
        <x:v>不适用</x:v>
      </x:c>
      <x:c r="Q363" s="9" t="str">
        <x:v>主站页面自身承接</x:v>
      </x:c>
      <x:c r="R363" s="9" t="str">
        <x:v>核心品类词：主站优先，博客只做长尾解释，不直接抢同一词</x:v>
      </x:c>
      <x:c r="S363" s="9" t="str">
        <x:v>如果 Google 首页产品页和指南混合，主站页要加 FAQ、选购指南、对比模块。</x:v>
      </x:c>
      <x:c r="T363" s="38" t="n">
        <x:v>4</x:v>
      </x:c>
      <x:c r="U363" s="38" t="n">
        <x:v>12</x:v>
      </x:c>
      <x:c r="V363" s="38" t="n">
        <x:v>18</x:v>
      </x:c>
      <x:c r="W363" s="38" t="n">
        <x:v>8</x:v>
      </x:c>
      <x:c r="X363" s="38" t="n">
        <x:v>15</x:v>
      </x:c>
      <x:c r="Y363" s="38" t="n">
        <x:v>4</x:v>
      </x:c>
      <x:c r="Z363" s="38" t="n">
        <x:f>MAX(0,MIN(100,ROUND(((T363+U363+V363+W363+X363)-Y363)/85*100,0)))</x:f>
        <x:v>62</x:v>
      </x:c>
      <x:c r="AA363" s="9" t="str">
        <x:f>IF(L363="暂不做","P3 暂缓",IF(Z363&gt;=75,"P0 本周做",IF(Z363&gt;=60,"P1 近期做",IF(Z363&gt;=45,"P2 备选","P3 暂缓"))))</x:f>
        <x:v>P1 近期做</x:v>
      </x:c>
      <x:c r="AB363" s="9" t="str">
        <x:f>IF(Y363&gt;=15,"先做合规/相关性复核，不建议直接商业导流",IF(L363="主站","建/优化主站商业页",IF(L363="博客A-知识教程","写知识教程/FAQ文章",IF(L363="博客B-场景人群","写场景需求/选购指南文章",IF(L363="博客C-对比评测","写对比评测/榜单文章","暂不做或人工复核")))))</x:f>
        <x:v>建/优化主站商业页</x:v>
      </x:c>
      <x:c r="AC363" s="9" t="str">
        <x:v>ExDivo KUZ 25K Replaceable Pod Vape</x:v>
      </x:c>
      <x:c r="AD363" s="10" t="str">
        <x:v>25000 puffs</x:v>
      </x:c>
    </x:row>
    <x:row r="364">
      <x:c r="A364" s="34" t="n">
        <x:v>364</x:v>
      </x:c>
      <x:c r="B364" s="9" t="str">
        <x:v>https://exdivo.com/products/exdivo-kuz-25k-replaceable-pod-vape_11a813e7?data_from=blog_detail&amp;spm=</x:v>
      </x:c>
      <x:c r="C364" s="9" t="str">
        <x:v>best vape pod systems</x:v>
      </x:c>
      <x:c r="D364" s="9" t="str">
        <x:v>recommended</x:v>
      </x:c>
      <x:c r="E364" s="36" t="n">
        <x:v>50</x:v>
      </x:c>
      <x:c r="F364" s="36" t="n">
        <x:v>22</x:v>
      </x:c>
      <x:c r="G364" s="9" t="str">
        <x:v>commercial</x:v>
      </x:c>
      <x:c r="H364" s="9" t="str">
        <x:v>Pod Kit / Pod System</x:v>
      </x:c>
      <x:c r="I364" s="9" t="str">
        <x:v>商业调查词</x:v>
      </x:c>
      <x:c r="J364" s="9" t="str">
        <x:v>博客C-对比评测</x:v>
      </x:c>
      <x:c r="K364" s="9" t="str"/>
      <x:c r="L364" s="9" t="str">
        <x:f>IF(K364="",J364,K364)</x:f>
        <x:v>博客C-对比评测</x:v>
      </x:c>
      <x:c r="M364" s="9" t="str">
        <x:v>Best/Top/Review/VS/替代方案文章</x:v>
      </x:c>
      <x:c r="N364" s="9" t="str">
        <x:v>Best angle: best vape pod systems - comparison, pros/cons, and which option fits different buyers</x:v>
      </x:c>
      <x:c r="O364" s="9" t="str">
        <x:v>/collections/pod-kits</x:v>
      </x:c>
      <x:c r="P364" s="9" t="str">
        <x:v>是</x:v>
      </x:c>
      <x:c r="Q364" s="9" t="str">
        <x:v>自然句/品类词/品牌词</x:v>
      </x:c>
      <x:c r="R364" s="9" t="str">
        <x:v>中风险：榜单和评测必须真实、中立，避免夸大</x:v>
      </x:c>
      <x:c r="S364" s="9" t="str">
        <x:v>这类词不直接给主站，先用博客C教育和比较，再导流到最相关集合页。</x:v>
      </x:c>
      <x:c r="T364" s="38" t="n">
        <x:v>4</x:v>
      </x:c>
      <x:c r="U364" s="38" t="n">
        <x:v>12</x:v>
      </x:c>
      <x:c r="V364" s="38" t="n">
        <x:v>16</x:v>
      </x:c>
      <x:c r="W364" s="38" t="n">
        <x:v>15</x:v>
      </x:c>
      <x:c r="X364" s="38" t="n">
        <x:v>13</x:v>
      </x:c>
      <x:c r="Y364" s="38" t="n">
        <x:v>6</x:v>
      </x:c>
      <x:c r="Z364" s="38" t="n">
        <x:f>MAX(0,MIN(100,ROUND(((T364+U364+V364+W364+X364)-Y364)/85*100,0)))</x:f>
        <x:v>64</x:v>
      </x:c>
      <x:c r="AA364" s="9" t="str">
        <x:f>IF(L364="暂不做","P3 暂缓",IF(Z364&gt;=75,"P0 本周做",IF(Z364&gt;=60,"P1 近期做",IF(Z364&gt;=45,"P2 备选","P3 暂缓"))))</x:f>
        <x:v>P1 近期做</x:v>
      </x:c>
      <x:c r="AB364" s="9" t="str">
        <x:f>IF(Y364&gt;=15,"先做合规/相关性复核，不建议直接商业导流",IF(L364="主站","建/优化主站商业页",IF(L364="博客A-知识教程","写知识教程/FAQ文章",IF(L364="博客B-场景人群","写场景需求/选购指南文章",IF(L364="博客C-对比评测","写对比评测/榜单文章","暂不做或人工复核")))))</x:f>
        <x:v>写对比评测/榜单文章</x:v>
      </x:c>
      <x:c r="AC364" s="9" t="str">
        <x:v>ExDivo KUZ 25K Replaceable Pod Vape</x:v>
      </x:c>
      <x:c r="AD364" s="10" t="str">
        <x:v>25000 puffs</x:v>
      </x:c>
    </x:row>
    <x:row r="365">
      <x:c r="A365" s="34" t="n">
        <x:v>365</x:v>
      </x:c>
      <x:c r="B365" s="9" t="str">
        <x:v>https://exdivo.com/products/exdivo-kuz-25k-replaceable-pod-vape_11a813e7?data_from=blog_detail&amp;spm=</x:v>
      </x:c>
      <x:c r="C365" s="9" t="str">
        <x:v>pod mod vape kits</x:v>
      </x:c>
      <x:c r="D365" s="9" t="str">
        <x:v>recommended</x:v>
      </x:c>
      <x:c r="E365" s="36" t="n">
        <x:v>40</x:v>
      </x:c>
      <x:c r="F365" s="36" t="n">
        <x:v>33</x:v>
      </x:c>
      <x:c r="G365" s="9" t="str">
        <x:v>informational</x:v>
      </x:c>
      <x:c r="H365" s="9" t="str">
        <x:v>Pod Kit / Pod System</x:v>
      </x:c>
      <x:c r="I365" s="9" t="str">
        <x:v>知识/教程词</x:v>
      </x:c>
      <x:c r="J365" s="9" t="str">
        <x:v>博客A-知识教程</x:v>
      </x:c>
      <x:c r="K365" s="9" t="str"/>
      <x:c r="L365" s="9" t="str">
        <x:f>IF(K365="",J365,K365)</x:f>
        <x:v>博客A-知识教程</x:v>
      </x:c>
      <x:c r="M365" s="9" t="str">
        <x:v>百科/How-to/FAQ文章</x:v>
      </x:c>
      <x:c r="N365" s="9" t="str">
        <x:v>Guide angle: explain pod mod vape kits, answer common questions, and avoid sales-first writing</x:v>
      </x:c>
      <x:c r="O365" s="9" t="str">
        <x:v>/collections/pod-kits</x:v>
      </x:c>
      <x:c r="P365" s="9" t="str">
        <x:v>谨慎</x:v>
      </x:c>
      <x:c r="Q365" s="9" t="str">
        <x:v>自然句/品牌词</x:v>
      </x:c>
      <x:c r="R365" s="9" t="str">
        <x:v>低中风险：先满足信息意图，导流要克制</x:v>
      </x:c>
      <x:c r="S365" s="9" t="str">
        <x:v>如果文章能自然回答下一步购买问题，再放 1 个主站内链；否则只做知识闭环。</x:v>
      </x:c>
      <x:c r="T365" s="38" t="n">
        <x:v>4</x:v>
      </x:c>
      <x:c r="U365" s="38" t="n">
        <x:v>9</x:v>
      </x:c>
      <x:c r="V365" s="38" t="n">
        <x:v>9</x:v>
      </x:c>
      <x:c r="W365" s="38" t="n">
        <x:v>14</x:v>
      </x:c>
      <x:c r="X365" s="38" t="n">
        <x:v>12</x:v>
      </x:c>
      <x:c r="Y365" s="38" t="n">
        <x:v>5</x:v>
      </x:c>
      <x:c r="Z365" s="38" t="n">
        <x:f>MAX(0,MIN(100,ROUND(((T365+U365+V365+W365+X365)-Y365)/85*100,0)))</x:f>
        <x:v>51</x:v>
      </x:c>
      <x:c r="AA365" s="9" t="str">
        <x:f>IF(L365="暂不做","P3 暂缓",IF(Z365&gt;=75,"P0 本周做",IF(Z365&gt;=60,"P1 近期做",IF(Z365&gt;=45,"P2 备选","P3 暂缓"))))</x:f>
        <x:v>P2 备选</x:v>
      </x:c>
      <x:c r="AB365" s="9" t="str">
        <x:f>IF(Y365&gt;=15,"先做合规/相关性复核，不建议直接商业导流",IF(L365="主站","建/优化主站商业页",IF(L365="博客A-知识教程","写知识教程/FAQ文章",IF(L365="博客B-场景人群","写场景需求/选购指南文章",IF(L365="博客C-对比评测","写对比评测/榜单文章","暂不做或人工复核")))))</x:f>
        <x:v>写知识教程/FAQ文章</x:v>
      </x:c>
      <x:c r="AC365" s="9" t="str">
        <x:v>ExDivo KUZ 25K Replaceable Pod Vape</x:v>
      </x:c>
      <x:c r="AD365" s="10" t="str">
        <x:v>25000 puffs</x:v>
      </x:c>
    </x:row>
    <x:row r="366">
      <x:c r="A366" s="34" t="n">
        <x:v>366</x:v>
      </x:c>
      <x:c r="B366" s="9" t="str">
        <x:v>https://exdivo.com/products/exdivo-kuz-25k-replaceable-pod-vape_11a813e7?data_from=blog_detail&amp;spm=</x:v>
      </x:c>
      <x:c r="C366" s="9" t="str">
        <x:v>reusable vape pods</x:v>
      </x:c>
      <x:c r="D366" s="9" t="str">
        <x:v>recommended</x:v>
      </x:c>
      <x:c r="E366" s="36" t="n">
        <x:v>40</x:v>
      </x:c>
      <x:c r="F366" s="36" t="n">
        <x:v>24</x:v>
      </x:c>
      <x:c r="G366" s="9" t="str">
        <x:v>commercial</x:v>
      </x:c>
      <x:c r="H366" s="9" t="str">
        <x:v>Pod Kit / Pod System</x:v>
      </x:c>
      <x:c r="I366" s="9" t="str">
        <x:v>品类承接词</x:v>
      </x:c>
      <x:c r="J366" s="9" t="str">
        <x:v>主站</x:v>
      </x:c>
      <x:c r="K366" s="9" t="str"/>
      <x:c r="L366" s="9" t="str">
        <x:f>IF(K366="",J366,K366)</x:f>
        <x:v>主站</x:v>
      </x:c>
      <x:c r="M366" s="9" t="str">
        <x:v>品类页/集合页 + FAQ内容块</x:v>
      </x:c>
      <x:c r="N366" s="9" t="str">
        <x:v>主站品类页：用产品集合 + 选购说明承接</x:v>
      </x:c>
      <x:c r="O366" s="9" t="str">
        <x:v>/collections/pod-kits</x:v>
      </x:c>
      <x:c r="P366" s="9" t="str">
        <x:v>不适用</x:v>
      </x:c>
      <x:c r="Q366" s="9" t="str">
        <x:v>主站页面自身承接</x:v>
      </x:c>
      <x:c r="R366" s="9" t="str">
        <x:v>核心品类词：主站优先，博客只做长尾解释，不直接抢同一词</x:v>
      </x:c>
      <x:c r="S366" s="9" t="str">
        <x:v>如果 Google 首页产品页和指南混合，主站页要加 FAQ、选购指南、对比模块。</x:v>
      </x:c>
      <x:c r="T366" s="38" t="n">
        <x:v>4</x:v>
      </x:c>
      <x:c r="U366" s="38" t="n">
        <x:v>12</x:v>
      </x:c>
      <x:c r="V366" s="38" t="n">
        <x:v>18</x:v>
      </x:c>
      <x:c r="W366" s="38" t="n">
        <x:v>8</x:v>
      </x:c>
      <x:c r="X366" s="38" t="n">
        <x:v>15</x:v>
      </x:c>
      <x:c r="Y366" s="38" t="n">
        <x:v>4</x:v>
      </x:c>
      <x:c r="Z366" s="38" t="n">
        <x:f>MAX(0,MIN(100,ROUND(((T366+U366+V366+W366+X366)-Y366)/85*100,0)))</x:f>
        <x:v>62</x:v>
      </x:c>
      <x:c r="AA366" s="9" t="str">
        <x:f>IF(L366="暂不做","P3 暂缓",IF(Z366&gt;=75,"P0 本周做",IF(Z366&gt;=60,"P1 近期做",IF(Z366&gt;=45,"P2 备选","P3 暂缓"))))</x:f>
        <x:v>P1 近期做</x:v>
      </x:c>
      <x:c r="AB366" s="9" t="str">
        <x:f>IF(Y366&gt;=15,"先做合规/相关性复核，不建议直接商业导流",IF(L366="主站","建/优化主站商业页",IF(L366="博客A-知识教程","写知识教程/FAQ文章",IF(L366="博客B-场景人群","写场景需求/选购指南文章",IF(L366="博客C-对比评测","写对比评测/榜单文章","暂不做或人工复核")))))</x:f>
        <x:v>建/优化主站商业页</x:v>
      </x:c>
      <x:c r="AC366" s="9" t="str">
        <x:v>ExDivo KUZ 25K Replaceable Pod Vape</x:v>
      </x:c>
      <x:c r="AD366" s="10" t="str">
        <x:v>25000 puffs</x:v>
      </x:c>
    </x:row>
    <x:row r="367">
      <x:c r="A367" s="34" t="n">
        <x:v>367</x:v>
      </x:c>
      <x:c r="B367" s="9" t="str">
        <x:v>https://exdivo.com/products/exdivo-kuz-25k-replaceable-pod-vape_11a813e7?data_from=blog_detail&amp;spm=</x:v>
      </x:c>
      <x:c r="C367" s="9" t="str">
        <x:v>prefilled vape pods</x:v>
      </x:c>
      <x:c r="D367" s="9" t="str">
        <x:v>recommended</x:v>
      </x:c>
      <x:c r="E367" s="36" t="n">
        <x:v>40</x:v>
      </x:c>
      <x:c r="F367" s="36" t="n">
        <x:v>14</x:v>
      </x:c>
      <x:c r="G367" s="9" t="str">
        <x:v>commercial</x:v>
      </x:c>
      <x:c r="H367" s="9" t="str">
        <x:v>Pod Kit / Pod System</x:v>
      </x:c>
      <x:c r="I367" s="9" t="str">
        <x:v>品类承接词</x:v>
      </x:c>
      <x:c r="J367" s="9" t="str">
        <x:v>主站</x:v>
      </x:c>
      <x:c r="K367" s="9" t="str"/>
      <x:c r="L367" s="9" t="str">
        <x:f>IF(K367="",J367,K367)</x:f>
        <x:v>主站</x:v>
      </x:c>
      <x:c r="M367" s="9" t="str">
        <x:v>品类页/集合页 + FAQ内容块</x:v>
      </x:c>
      <x:c r="N367" s="9" t="str">
        <x:v>主站品类页：用产品集合 + 选购说明承接</x:v>
      </x:c>
      <x:c r="O367" s="9" t="str">
        <x:v>/collections/pod-kits</x:v>
      </x:c>
      <x:c r="P367" s="9" t="str">
        <x:v>不适用</x:v>
      </x:c>
      <x:c r="Q367" s="9" t="str">
        <x:v>主站页面自身承接</x:v>
      </x:c>
      <x:c r="R367" s="9" t="str">
        <x:v>核心品类词：主站优先，博客只做长尾解释，不直接抢同一词</x:v>
      </x:c>
      <x:c r="S367" s="9" t="str">
        <x:v>如果 Google 首页产品页和指南混合，主站页要加 FAQ、选购指南、对比模块。</x:v>
      </x:c>
      <x:c r="T367" s="38" t="n">
        <x:v>4</x:v>
      </x:c>
      <x:c r="U367" s="38" t="n">
        <x:v>15</x:v>
      </x:c>
      <x:c r="V367" s="38" t="n">
        <x:v>18</x:v>
      </x:c>
      <x:c r="W367" s="38" t="n">
        <x:v>8</x:v>
      </x:c>
      <x:c r="X367" s="38" t="n">
        <x:v>15</x:v>
      </x:c>
      <x:c r="Y367" s="38" t="n">
        <x:v>4</x:v>
      </x:c>
      <x:c r="Z367" s="38" t="n">
        <x:f>MAX(0,MIN(100,ROUND(((T367+U367+V367+W367+X367)-Y367)/85*100,0)))</x:f>
        <x:v>66</x:v>
      </x:c>
      <x:c r="AA367" s="9" t="str">
        <x:f>IF(L367="暂不做","P3 暂缓",IF(Z367&gt;=75,"P0 本周做",IF(Z367&gt;=60,"P1 近期做",IF(Z367&gt;=45,"P2 备选","P3 暂缓"))))</x:f>
        <x:v>P1 近期做</x:v>
      </x:c>
      <x:c r="AB367" s="9" t="str">
        <x:f>IF(Y367&gt;=15,"先做合规/相关性复核，不建议直接商业导流",IF(L367="主站","建/优化主站商业页",IF(L367="博客A-知识教程","写知识教程/FAQ文章",IF(L367="博客B-场景人群","写场景需求/选购指南文章",IF(L367="博客C-对比评测","写对比评测/榜单文章","暂不做或人工复核")))))</x:f>
        <x:v>建/优化主站商业页</x:v>
      </x:c>
      <x:c r="AC367" s="9" t="str">
        <x:v>ExDivo KUZ 25K Replaceable Pod Vape</x:v>
      </x:c>
      <x:c r="AD367" s="10" t="str">
        <x:v>25000 puffs</x:v>
      </x:c>
    </x:row>
    <x:row r="368">
      <x:c r="A368" s="34" t="n">
        <x:v>368</x:v>
      </x:c>
      <x:c r="B368" s="9" t="str">
        <x:v>https://exdivo.com/products/exdivo-kuz-25k-replaceable-pod-vape_11a813e7?data_from=blog_detail&amp;spm=</x:v>
      </x:c>
      <x:c r="C368" s="9" t="str">
        <x:v>open pod system vape</x:v>
      </x:c>
      <x:c r="D368" s="9" t="str">
        <x:v>recommended</x:v>
      </x:c>
      <x:c r="E368" s="36" t="n">
        <x:v>40</x:v>
      </x:c>
      <x:c r="F368" s="36" t="n">
        <x:v>32</x:v>
      </x:c>
      <x:c r="G368" s="9" t="str">
        <x:v>commercial</x:v>
      </x:c>
      <x:c r="H368" s="9" t="str">
        <x:v>Pod Kit / Pod System</x:v>
      </x:c>
      <x:c r="I368" s="9" t="str">
        <x:v>品类承接词</x:v>
      </x:c>
      <x:c r="J368" s="9" t="str">
        <x:v>主站</x:v>
      </x:c>
      <x:c r="K368" s="9" t="str"/>
      <x:c r="L368" s="9" t="str">
        <x:f>IF(K368="",J368,K368)</x:f>
        <x:v>主站</x:v>
      </x:c>
      <x:c r="M368" s="9" t="str">
        <x:v>品类页/集合页 + FAQ内容块</x:v>
      </x:c>
      <x:c r="N368" s="9" t="str">
        <x:v>主站品类页：用产品集合 + 选购说明承接</x:v>
      </x:c>
      <x:c r="O368" s="9" t="str">
        <x:v>/collections/pod-kits</x:v>
      </x:c>
      <x:c r="P368" s="9" t="str">
        <x:v>不适用</x:v>
      </x:c>
      <x:c r="Q368" s="9" t="str">
        <x:v>主站页面自身承接</x:v>
      </x:c>
      <x:c r="R368" s="9" t="str">
        <x:v>核心品类词：主站优先，博客只做长尾解释，不直接抢同一词</x:v>
      </x:c>
      <x:c r="S368" s="9" t="str">
        <x:v>如果 Google 首页产品页和指南混合，主站页要加 FAQ、选购指南、对比模块。</x:v>
      </x:c>
      <x:c r="T368" s="38" t="n">
        <x:v>4</x:v>
      </x:c>
      <x:c r="U368" s="38" t="n">
        <x:v>9</x:v>
      </x:c>
      <x:c r="V368" s="38" t="n">
        <x:v>18</x:v>
      </x:c>
      <x:c r="W368" s="38" t="n">
        <x:v>8</x:v>
      </x:c>
      <x:c r="X368" s="38" t="n">
        <x:v>15</x:v>
      </x:c>
      <x:c r="Y368" s="38" t="n">
        <x:v>4</x:v>
      </x:c>
      <x:c r="Z368" s="38" t="n">
        <x:f>MAX(0,MIN(100,ROUND(((T368+U368+V368+W368+X368)-Y368)/85*100,0)))</x:f>
        <x:v>59</x:v>
      </x:c>
      <x:c r="AA368" s="9" t="str">
        <x:f>IF(L368="暂不做","P3 暂缓",IF(Z368&gt;=75,"P0 本周做",IF(Z368&gt;=60,"P1 近期做",IF(Z368&gt;=45,"P2 备选","P3 暂缓"))))</x:f>
        <x:v>P2 备选</x:v>
      </x:c>
      <x:c r="AB368" s="9" t="str">
        <x:f>IF(Y368&gt;=15,"先做合规/相关性复核，不建议直接商业导流",IF(L368="主站","建/优化主站商业页",IF(L368="博客A-知识教程","写知识教程/FAQ文章",IF(L368="博客B-场景人群","写场景需求/选购指南文章",IF(L368="博客C-对比评测","写对比评测/榜单文章","暂不做或人工复核")))))</x:f>
        <x:v>建/优化主站商业页</x:v>
      </x:c>
      <x:c r="AC368" s="9" t="str">
        <x:v>ExDivo KUZ 25K Replaceable Pod Vape</x:v>
      </x:c>
      <x:c r="AD368" s="10" t="str">
        <x:v>25000 puffs</x:v>
      </x:c>
    </x:row>
    <x:row r="369">
      <x:c r="A369" s="34" t="n">
        <x:v>369</x:v>
      </x:c>
      <x:c r="B369" s="9" t="str">
        <x:v>https://exdivo.com/products/exdivo-kuz-25k-replaceable-pod-vape_11a813e7?data_from=blog_detail&amp;spm=</x:v>
      </x:c>
      <x:c r="C369" s="9" t="str">
        <x:v>vape pod devices</x:v>
      </x:c>
      <x:c r="D369" s="9" t="str">
        <x:v>recommended</x:v>
      </x:c>
      <x:c r="E369" s="36" t="n">
        <x:v>50</x:v>
      </x:c>
      <x:c r="F369" s="36" t="n">
        <x:v>38</x:v>
      </x:c>
      <x:c r="G369" s="9" t="str">
        <x:v>commercial</x:v>
      </x:c>
      <x:c r="H369" s="9" t="str">
        <x:v>Pod Kit / Pod System</x:v>
      </x:c>
      <x:c r="I369" s="9" t="str">
        <x:v>品类承接词</x:v>
      </x:c>
      <x:c r="J369" s="9" t="str">
        <x:v>主站</x:v>
      </x:c>
      <x:c r="K369" s="9" t="str"/>
      <x:c r="L369" s="9" t="str">
        <x:f>IF(K369="",J369,K369)</x:f>
        <x:v>主站</x:v>
      </x:c>
      <x:c r="M369" s="9" t="str">
        <x:v>品类页/集合页 + FAQ内容块</x:v>
      </x:c>
      <x:c r="N369" s="9" t="str">
        <x:v>主站品类页：用产品集合 + 选购说明承接</x:v>
      </x:c>
      <x:c r="O369" s="9" t="str">
        <x:v>/collections/pod-kits</x:v>
      </x:c>
      <x:c r="P369" s="9" t="str">
        <x:v>不适用</x:v>
      </x:c>
      <x:c r="Q369" s="9" t="str">
        <x:v>主站页面自身承接</x:v>
      </x:c>
      <x:c r="R369" s="9" t="str">
        <x:v>核心品类词：主站优先，博客只做长尾解释，不直接抢同一词</x:v>
      </x:c>
      <x:c r="S369" s="9" t="str">
        <x:v>如果 Google 首页产品页和指南混合，主站页要加 FAQ、选购指南、对比模块。</x:v>
      </x:c>
      <x:c r="T369" s="38" t="n">
        <x:v>4</x:v>
      </x:c>
      <x:c r="U369" s="38" t="n">
        <x:v>9</x:v>
      </x:c>
      <x:c r="V369" s="38" t="n">
        <x:v>18</x:v>
      </x:c>
      <x:c r="W369" s="38" t="n">
        <x:v>8</x:v>
      </x:c>
      <x:c r="X369" s="38" t="n">
        <x:v>15</x:v>
      </x:c>
      <x:c r="Y369" s="38" t="n">
        <x:v>4</x:v>
      </x:c>
      <x:c r="Z369" s="38" t="n">
        <x:f>MAX(0,MIN(100,ROUND(((T369+U369+V369+W369+X369)-Y369)/85*100,0)))</x:f>
        <x:v>59</x:v>
      </x:c>
      <x:c r="AA369" s="9" t="str">
        <x:f>IF(L369="暂不做","P3 暂缓",IF(Z369&gt;=75,"P0 本周做",IF(Z369&gt;=60,"P1 近期做",IF(Z369&gt;=45,"P2 备选","P3 暂缓"))))</x:f>
        <x:v>P2 备选</x:v>
      </x:c>
      <x:c r="AB369" s="9" t="str">
        <x:f>IF(Y369&gt;=15,"先做合规/相关性复核，不建议直接商业导流",IF(L369="主站","建/优化主站商业页",IF(L369="博客A-知识教程","写知识教程/FAQ文章",IF(L369="博客B-场景人群","写场景需求/选购指南文章",IF(L369="博客C-对比评测","写对比评测/榜单文章","暂不做或人工复核")))))</x:f>
        <x:v>建/优化主站商业页</x:v>
      </x:c>
      <x:c r="AC369" s="9" t="str">
        <x:v>ExDivo KUZ 25K Replaceable Pod Vape</x:v>
      </x:c>
      <x:c r="AD369" s="10" t="str">
        <x:v>25000 puffs</x:v>
      </x:c>
    </x:row>
    <x:row r="370">
      <x:c r="A370" s="34" t="n">
        <x:v>370</x:v>
      </x:c>
      <x:c r="B370" s="9" t="str">
        <x:v>https://exdivo.com/products/exdivo-kuz-25k-replaceable-pod-vape_11a813e7?data_from=blog_detail&amp;spm=</x:v>
      </x:c>
      <x:c r="C370" s="9" t="str">
        <x:v>best pod system vapes</x:v>
      </x:c>
      <x:c r="D370" s="9" t="str">
        <x:v>recommended</x:v>
      </x:c>
      <x:c r="E370" s="36" t="n">
        <x:v>40</x:v>
      </x:c>
      <x:c r="F370" s="36" t="n">
        <x:v>33</x:v>
      </x:c>
      <x:c r="G370" s="9" t="str">
        <x:v>commercial</x:v>
      </x:c>
      <x:c r="H370" s="9" t="str">
        <x:v>Pod Kit / Pod System</x:v>
      </x:c>
      <x:c r="I370" s="9" t="str">
        <x:v>商业调查词</x:v>
      </x:c>
      <x:c r="J370" s="9" t="str">
        <x:v>博客C-对比评测</x:v>
      </x:c>
      <x:c r="K370" s="9" t="str"/>
      <x:c r="L370" s="9" t="str">
        <x:f>IF(K370="",J370,K370)</x:f>
        <x:v>博客C-对比评测</x:v>
      </x:c>
      <x:c r="M370" s="9" t="str">
        <x:v>Best/Top/Review/VS/替代方案文章</x:v>
      </x:c>
      <x:c r="N370" s="9" t="str">
        <x:v>Best angle: best pod system vapes - comparison, pros/cons, and which option fits different buyers</x:v>
      </x:c>
      <x:c r="O370" s="9" t="str">
        <x:v>/collections/pod-kits</x:v>
      </x:c>
      <x:c r="P370" s="9" t="str">
        <x:v>是</x:v>
      </x:c>
      <x:c r="Q370" s="9" t="str">
        <x:v>自然句/品类词/品牌词</x:v>
      </x:c>
      <x:c r="R370" s="9" t="str">
        <x:v>中风险：榜单和评测必须真实、中立，避免夸大</x:v>
      </x:c>
      <x:c r="S370" s="9" t="str">
        <x:v>这类词不直接给主站，先用博客C教育和比较，再导流到最相关集合页。</x:v>
      </x:c>
      <x:c r="T370" s="38" t="n">
        <x:v>4</x:v>
      </x:c>
      <x:c r="U370" s="38" t="n">
        <x:v>9</x:v>
      </x:c>
      <x:c r="V370" s="38" t="n">
        <x:v>16</x:v>
      </x:c>
      <x:c r="W370" s="38" t="n">
        <x:v>15</x:v>
      </x:c>
      <x:c r="X370" s="38" t="n">
        <x:v>13</x:v>
      </x:c>
      <x:c r="Y370" s="38" t="n">
        <x:v>6</x:v>
      </x:c>
      <x:c r="Z370" s="38" t="n">
        <x:f>MAX(0,MIN(100,ROUND(((T370+U370+V370+W370+X370)-Y370)/85*100,0)))</x:f>
        <x:v>60</x:v>
      </x:c>
      <x:c r="AA370" s="9" t="str">
        <x:f>IF(L370="暂不做","P3 暂缓",IF(Z370&gt;=75,"P0 本周做",IF(Z370&gt;=60,"P1 近期做",IF(Z370&gt;=45,"P2 备选","P3 暂缓"))))</x:f>
        <x:v>P1 近期做</x:v>
      </x:c>
      <x:c r="AB370" s="9" t="str">
        <x:f>IF(Y370&gt;=15,"先做合规/相关性复核，不建议直接商业导流",IF(L370="主站","建/优化主站商业页",IF(L370="博客A-知识教程","写知识教程/FAQ文章",IF(L370="博客B-场景人群","写场景需求/选购指南文章",IF(L370="博客C-对比评测","写对比评测/榜单文章","暂不做或人工复核")))))</x:f>
        <x:v>写对比评测/榜单文章</x:v>
      </x:c>
      <x:c r="AC370" s="9" t="str">
        <x:v>ExDivo KUZ 25K Replaceable Pod Vape</x:v>
      </x:c>
      <x:c r="AD370" s="10" t="str">
        <x:v>25000 puffs</x:v>
      </x:c>
    </x:row>
    <x:row r="371">
      <x:c r="A371" s="34" t="n">
        <x:v>371</x:v>
      </x:c>
      <x:c r="B371" s="9" t="str">
        <x:v>https://exdivo.com/collections/all?page=3</x:v>
      </x:c>
      <x:c r="C371" s="9" t="str">
        <x:v>all exdivo products</x:v>
      </x:c>
      <x:c r="D371" s="9" t="str">
        <x:v>recommended</x:v>
      </x:c>
      <x:c r="E371" s="36" t="n">
        <x:v>0</x:v>
      </x:c>
      <x:c r="F371" s="36" t="n">
        <x:v>0</x:v>
      </x:c>
      <x:c r="G371" s="9" t="str">
        <x:v>48</x:v>
      </x:c>
      <x:c r="H371" s="9" t="str">
        <x:v>General Vape</x:v>
      </x:c>
      <x:c r="I371" s="9" t="str">
        <x:v>弱相关词</x:v>
      </x:c>
      <x:c r="J371" s="9" t="str">
        <x:v>暂不做</x:v>
      </x:c>
      <x:c r="K371" s="9" t="str"/>
      <x:c r="L371" s="9" t="str">
        <x:f>IF(K371="",J371,K371)</x:f>
        <x:v>暂不做</x:v>
      </x:c>
      <x:c r="M371" s="9" t="str">
        <x:v>不建议建页</x:v>
      </x:c>
      <x:c r="N371" s="9" t="str">
        <x:v>不进入内容生产</x:v>
      </x:c>
      <x:c r="O371" s="9" t="str">
        <x:v>无</x:v>
      </x:c>
      <x:c r="P371" s="9" t="str">
        <x:v>否</x:v>
      </x:c>
      <x:c r="Q371" s="9" t="str">
        <x:v>不导流</x:v>
      </x:c>
      <x:c r="R371" s="9" t="str">
        <x:v>相关性弱：可能带来无效流量或偏离产品定位</x:v>
      </x:c>
      <x:c r="S371" s="9" t="str">
        <x:v>除非人工确认与核心产品强相关，否则不要进入内容排期。</x:v>
      </x:c>
      <x:c r="T371" s="38" t="n">
        <x:v>1</x:v>
      </x:c>
      <x:c r="U371" s="38" t="n">
        <x:v>15</x:v>
      </x:c>
      <x:c r="V371" s="38" t="n">
        <x:v>2</x:v>
      </x:c>
      <x:c r="W371" s="38" t="n">
        <x:v>3</x:v>
      </x:c>
      <x:c r="X371" s="38" t="n">
        <x:v>2</x:v>
      </x:c>
      <x:c r="Y371" s="38" t="n">
        <x:v>16</x:v>
      </x:c>
      <x:c r="Z371" s="38" t="n">
        <x:f>MAX(0,MIN(100,ROUND(((T371+U371+V371+W371+X371)-Y371)/85*100,0)))</x:f>
        <x:v>8</x:v>
      </x:c>
      <x:c r="AA371" s="9" t="str">
        <x:f>IF(L371="暂不做","P3 暂缓",IF(Z371&gt;=75,"P0 本周做",IF(Z371&gt;=60,"P1 近期做",IF(Z371&gt;=45,"P2 备选","P3 暂缓"))))</x:f>
        <x:v>P3 暂缓</x:v>
      </x:c>
      <x:c r="AB371" s="9" t="str">
        <x:f>IF(Y371&gt;=15,"先做合规/相关性复核，不建议直接商业导流",IF(L371="主站","建/优化主站商业页",IF(L371="博客A-知识教程","写知识教程/FAQ文章",IF(L371="博客B-场景人群","写场景需求/选购指南文章",IF(L371="博客C-对比评测","写对比评测/榜单文章","暂不做或人工复核")))))</x:f>
        <x:v>先做合规/相关性复核，不建议直接商业导流</x:v>
      </x:c>
      <x:c r="AC371" s="9" t="str">
        <x:v>All Products - ExDivo</x:v>
      </x:c>
      <x:c r="AD371" s="10" t="str">
        <x:v>all products</x:v>
      </x:c>
    </x:row>
    <x:row r="372">
      <x:c r="A372" s="34" t="n">
        <x:v>372</x:v>
      </x:c>
      <x:c r="B372" s="9" t="str">
        <x:v>https://exdivo.com/collections/all?page=3</x:v>
      </x:c>
      <x:c r="C372" s="9" t="str">
        <x:v>exdivo vaporizers</x:v>
      </x:c>
      <x:c r="D372" s="9" t="str">
        <x:v>recommended</x:v>
      </x:c>
      <x:c r="E372" s="36" t="n">
        <x:v>0</x:v>
      </x:c>
      <x:c r="F372" s="36" t="n">
        <x:v>0</x:v>
      </x:c>
      <x:c r="G372" s="9" t="str">
        <x:v>48</x:v>
      </x:c>
      <x:c r="H372" s="9" t="str">
        <x:v>General Vape</x:v>
      </x:c>
      <x:c r="I372" s="9" t="str">
        <x:v>弱相关词</x:v>
      </x:c>
      <x:c r="J372" s="9" t="str">
        <x:v>暂不做</x:v>
      </x:c>
      <x:c r="K372" s="9" t="str"/>
      <x:c r="L372" s="9" t="str">
        <x:f>IF(K372="",J372,K372)</x:f>
        <x:v>暂不做</x:v>
      </x:c>
      <x:c r="M372" s="9" t="str">
        <x:v>不建议建页</x:v>
      </x:c>
      <x:c r="N372" s="9" t="str">
        <x:v>不进入内容生产</x:v>
      </x:c>
      <x:c r="O372" s="9" t="str">
        <x:v>无</x:v>
      </x:c>
      <x:c r="P372" s="9" t="str">
        <x:v>否</x:v>
      </x:c>
      <x:c r="Q372" s="9" t="str">
        <x:v>不导流</x:v>
      </x:c>
      <x:c r="R372" s="9" t="str">
        <x:v>相关性弱：可能带来无效流量或偏离产品定位</x:v>
      </x:c>
      <x:c r="S372" s="9" t="str">
        <x:v>除非人工确认与核心产品强相关，否则不要进入内容排期。</x:v>
      </x:c>
      <x:c r="T372" s="38" t="n">
        <x:v>1</x:v>
      </x:c>
      <x:c r="U372" s="38" t="n">
        <x:v>15</x:v>
      </x:c>
      <x:c r="V372" s="38" t="n">
        <x:v>2</x:v>
      </x:c>
      <x:c r="W372" s="38" t="n">
        <x:v>3</x:v>
      </x:c>
      <x:c r="X372" s="38" t="n">
        <x:v>2</x:v>
      </x:c>
      <x:c r="Y372" s="38" t="n">
        <x:v>16</x:v>
      </x:c>
      <x:c r="Z372" s="38" t="n">
        <x:f>MAX(0,MIN(100,ROUND(((T372+U372+V372+W372+X372)-Y372)/85*100,0)))</x:f>
        <x:v>8</x:v>
      </x:c>
      <x:c r="AA372" s="9" t="str">
        <x:f>IF(L372="暂不做","P3 暂缓",IF(Z372&gt;=75,"P0 本周做",IF(Z372&gt;=60,"P1 近期做",IF(Z372&gt;=45,"P2 备选","P3 暂缓"))))</x:f>
        <x:v>P3 暂缓</x:v>
      </x:c>
      <x:c r="AB372" s="9" t="str">
        <x:f>IF(Y372&gt;=15,"先做合规/相关性复核，不建议直接商业导流",IF(L372="主站","建/优化主站商业页",IF(L372="博客A-知识教程","写知识教程/FAQ文章",IF(L372="博客B-场景人群","写场景需求/选购指南文章",IF(L372="博客C-对比评测","写对比评测/榜单文章","暂不做或人工复核")))))</x:f>
        <x:v>先做合规/相关性复核，不建议直接商业导流</x:v>
      </x:c>
      <x:c r="AC372" s="9" t="str">
        <x:v>All Products - ExDivo</x:v>
      </x:c>
      <x:c r="AD372" s="10" t="str">
        <x:v>all products</x:v>
      </x:c>
    </x:row>
    <x:row r="373">
      <x:c r="A373" s="34" t="n">
        <x:v>373</x:v>
      </x:c>
      <x:c r="B373" s="9" t="str">
        <x:v>https://exdivo.com/comments/exdivo-flora-40k-disposable-vape_bd748695?writeComment=true</x:v>
      </x:c>
      <x:c r="C373" s="9" t="str">
        <x:v>best strawberry ice disposable vape</x:v>
      </x:c>
      <x:c r="D373" s="9" t="str">
        <x:v>recommended</x:v>
      </x:c>
      <x:c r="E373" s="36" t="n">
        <x:v>0</x:v>
      </x:c>
      <x:c r="F373" s="36" t="n">
        <x:v>0</x:v>
      </x:c>
      <x:c r="G373" s="9" t="str">
        <x:v>48</x:v>
      </x:c>
      <x:c r="H373" s="9" t="str">
        <x:v>Disposable Vape</x:v>
      </x:c>
      <x:c r="I373" s="9" t="str">
        <x:v>商业调查词</x:v>
      </x:c>
      <x:c r="J373" s="9" t="str">
        <x:v>博客C-对比评测</x:v>
      </x:c>
      <x:c r="K373" s="9" t="str"/>
      <x:c r="L373" s="9" t="str">
        <x:f>IF(K373="",J373,K373)</x:f>
        <x:v>博客C-对比评测</x:v>
      </x:c>
      <x:c r="M373" s="9" t="str">
        <x:v>Best/Top/Review/VS/替代方案文章</x:v>
      </x:c>
      <x:c r="N373" s="9" t="str">
        <x:v>Best angle: best strawberry ice disposable vape - comparison, pros/cons, and which option fits different buyers</x:v>
      </x:c>
      <x:c r="O373" s="9" t="str">
        <x:v>/collections/disposable-vapes</x:v>
      </x:c>
      <x:c r="P373" s="9" t="str">
        <x:v>是</x:v>
      </x:c>
      <x:c r="Q373" s="9" t="str">
        <x:v>自然句/品类词/品牌词</x:v>
      </x:c>
      <x:c r="R373" s="9" t="str">
        <x:v>中风险：榜单和评测必须真实、中立，避免夸大</x:v>
      </x:c>
      <x:c r="S373" s="9" t="str">
        <x:v>这类词不直接给主站，先用博客C教育和比较，再导流到最相关集合页。</x:v>
      </x:c>
      <x:c r="T373" s="38" t="n">
        <x:v>1</x:v>
      </x:c>
      <x:c r="U373" s="38" t="n">
        <x:v>15</x:v>
      </x:c>
      <x:c r="V373" s="38" t="n">
        <x:v>16</x:v>
      </x:c>
      <x:c r="W373" s="38" t="n">
        <x:v>15</x:v>
      </x:c>
      <x:c r="X373" s="38" t="n">
        <x:v>13</x:v>
      </x:c>
      <x:c r="Y373" s="38" t="n">
        <x:v>6</x:v>
      </x:c>
      <x:c r="Z373" s="38" t="n">
        <x:f>MAX(0,MIN(100,ROUND(((T373+U373+V373+W373+X373)-Y373)/85*100,0)))</x:f>
        <x:v>64</x:v>
      </x:c>
      <x:c r="AA373" s="9" t="str">
        <x:f>IF(L373="暂不做","P3 暂缓",IF(Z373&gt;=75,"P0 本周做",IF(Z373&gt;=60,"P1 近期做",IF(Z373&gt;=45,"P2 备选","P3 暂缓"))))</x:f>
        <x:v>P1 近期做</x:v>
      </x:c>
      <x:c r="AB373" s="9" t="str">
        <x:f>IF(Y373&gt;=15,"先做合规/相关性复核，不建议直接商业导流",IF(L373="主站","建/优化主站商业页",IF(L373="博客A-知识教程","写知识教程/FAQ文章",IF(L373="博客B-场景人群","写场景需求/选购指南文章",IF(L373="博客C-对比评测","写对比评测/榜单文章","暂不做或人工复核")))))</x:f>
        <x:v>写对比评测/榜单文章</x:v>
      </x:c>
      <x:c r="AC373" s="9" t="str">
        <x:v>Reviews - STRAWBERRY ICE - ExDivo FLORA 40K Disposable Vape - ExDivo</x:v>
      </x:c>
      <x:c r="AD373" s="10" t="str">
        <x:v>48</x:v>
      </x:c>
    </x:row>
    <x:row r="374">
      <x:c r="A374" s="34" t="n">
        <x:v>374</x:v>
      </x:c>
      <x:c r="B374" s="9" t="str">
        <x:v>https://exdivo.com/comments/exdivo-flora-40k-disposable-vape_bd748695?writeComment=true</x:v>
      </x:c>
      <x:c r="C374" s="9" t="str">
        <x:v>disposable vape strawberry ice</x:v>
      </x:c>
      <x:c r="D374" s="9" t="str">
        <x:v>recommended</x:v>
      </x:c>
      <x:c r="E374" s="36" t="n">
        <x:v>0</x:v>
      </x:c>
      <x:c r="F374" s="36" t="n">
        <x:v>0</x:v>
      </x:c>
      <x:c r="G374" s="9" t="str">
        <x:v>48</x:v>
      </x:c>
      <x:c r="H374" s="9" t="str">
        <x:v>Disposable Vape</x:v>
      </x:c>
      <x:c r="I374" s="9" t="str">
        <x:v>内容词</x:v>
      </x:c>
      <x:c r="J374" s="9" t="str">
        <x:v>博客A-知识教程</x:v>
      </x:c>
      <x:c r="K374" s="9" t="str"/>
      <x:c r="L374" s="9" t="str">
        <x:f>IF(K374="",J374,K374)</x:f>
        <x:v>博客A-知识教程</x:v>
      </x:c>
      <x:c r="M374" s="9" t="str">
        <x:v>知识/教程文章</x:v>
      </x:c>
      <x:c r="N374" s="9" t="str">
        <x:v>Guide angle: explain disposable vape strawberry ice, answer common questions, and avoid sales-first writing</x:v>
      </x:c>
      <x:c r="O374" s="9" t="str">
        <x:v>/collections/disposable-vapes 或最接近的产品集合页</x:v>
      </x:c>
      <x:c r="P374" s="9" t="str">
        <x:v>谨慎</x:v>
      </x:c>
      <x:c r="Q374" s="9" t="str">
        <x:v>品牌词/自然句</x:v>
      </x:c>
      <x:c r="R374" s="9" t="str">
        <x:v>低风险：按常规内容质量和搜索意图校验</x:v>
      </x:c>
      <x:c r="S374" s="9" t="str">
        <x:v>先看 Google SERP：如果首页多数为产品集合页，改回主站；如果多数为教程/问答，保持博客。</x:v>
      </x:c>
      <x:c r="T374" s="38" t="n">
        <x:v>1</x:v>
      </x:c>
      <x:c r="U374" s="38" t="n">
        <x:v>15</x:v>
      </x:c>
      <x:c r="V374" s="38" t="n">
        <x:v>10</x:v>
      </x:c>
      <x:c r="W374" s="38" t="n">
        <x:v>12</x:v>
      </x:c>
      <x:c r="X374" s="38" t="n">
        <x:v>12</x:v>
      </x:c>
      <x:c r="Y374" s="38" t="n">
        <x:v>4</x:v>
      </x:c>
      <x:c r="Z374" s="38" t="n">
        <x:f>MAX(0,MIN(100,ROUND(((T374+U374+V374+W374+X374)-Y374)/85*100,0)))</x:f>
        <x:v>54</x:v>
      </x:c>
      <x:c r="AA374" s="9" t="str">
        <x:f>IF(L374="暂不做","P3 暂缓",IF(Z374&gt;=75,"P0 本周做",IF(Z374&gt;=60,"P1 近期做",IF(Z374&gt;=45,"P2 备选","P3 暂缓"))))</x:f>
        <x:v>P2 备选</x:v>
      </x:c>
      <x:c r="AB374" s="9" t="str">
        <x:f>IF(Y374&gt;=15,"先做合规/相关性复核，不建议直接商业导流",IF(L374="主站","建/优化主站商业页",IF(L374="博客A-知识教程","写知识教程/FAQ文章",IF(L374="博客B-场景人群","写场景需求/选购指南文章",IF(L374="博客C-对比评测","写对比评测/榜单文章","暂不做或人工复核")))))</x:f>
        <x:v>写知识教程/FAQ文章</x:v>
      </x:c>
      <x:c r="AC374" s="9" t="str">
        <x:v>Reviews - STRAWBERRY ICE - ExDivo FLORA 40K Disposable Vape - ExDivo</x:v>
      </x:c>
      <x:c r="AD374" s="10" t="str">
        <x:v>48</x:v>
      </x:c>
    </x:row>
    <x:row r="375">
      <x:c r="A375" s="34" t="n">
        <x:v>375</x:v>
      </x:c>
      <x:c r="B375" s="9" t="str">
        <x:v>https://exdivo.com/comments/exdivo-flora-40k-disposable-vape_bd748695?writeComment=true</x:v>
      </x:c>
      <x:c r="C375" s="9" t="str">
        <x:v>strawberry ice vape review</x:v>
      </x:c>
      <x:c r="D375" s="9" t="str">
        <x:v>recommended</x:v>
      </x:c>
      <x:c r="E375" s="36" t="n">
        <x:v>0</x:v>
      </x:c>
      <x:c r="F375" s="36" t="n">
        <x:v>0</x:v>
      </x:c>
      <x:c r="G375" s="9" t="str">
        <x:v>48</x:v>
      </x:c>
      <x:c r="H375" s="9" t="str">
        <x:v>对比评测</x:v>
      </x:c>
      <x:c r="I375" s="9" t="str">
        <x:v>商业调查词</x:v>
      </x:c>
      <x:c r="J375" s="9" t="str">
        <x:v>博客C-对比评测</x:v>
      </x:c>
      <x:c r="K375" s="9" t="str"/>
      <x:c r="L375" s="9" t="str">
        <x:f>IF(K375="",J375,K375)</x:f>
        <x:v>博客C-对比评测</x:v>
      </x:c>
      <x:c r="M375" s="9" t="str">
        <x:v>Best/Top/Review/VS/替代方案文章</x:v>
      </x:c>
      <x:c r="N375" s="9" t="str">
        <x:v>Best angle: strawberry ice vape review - comparison, pros/cons, and which option fits different buyers</x:v>
      </x:c>
      <x:c r="O375" s="9" t="str">
        <x:v>/collections/disposable-vapes</x:v>
      </x:c>
      <x:c r="P375" s="9" t="str">
        <x:v>是</x:v>
      </x:c>
      <x:c r="Q375" s="9" t="str">
        <x:v>自然句/品类词/品牌词</x:v>
      </x:c>
      <x:c r="R375" s="9" t="str">
        <x:v>中风险：榜单和评测必须真实、中立，避免夸大</x:v>
      </x:c>
      <x:c r="S375" s="9" t="str">
        <x:v>这类词不直接给主站，先用博客C教育和比较，再导流到最相关集合页。</x:v>
      </x:c>
      <x:c r="T375" s="38" t="n">
        <x:v>1</x:v>
      </x:c>
      <x:c r="U375" s="38" t="n">
        <x:v>15</x:v>
      </x:c>
      <x:c r="V375" s="38" t="n">
        <x:v>16</x:v>
      </x:c>
      <x:c r="W375" s="38" t="n">
        <x:v>15</x:v>
      </x:c>
      <x:c r="X375" s="38" t="n">
        <x:v>13</x:v>
      </x:c>
      <x:c r="Y375" s="38" t="n">
        <x:v>6</x:v>
      </x:c>
      <x:c r="Z375" s="38" t="n">
        <x:f>MAX(0,MIN(100,ROUND(((T375+U375+V375+W375+X375)-Y375)/85*100,0)))</x:f>
        <x:v>64</x:v>
      </x:c>
      <x:c r="AA375" s="9" t="str">
        <x:f>IF(L375="暂不做","P3 暂缓",IF(Z375&gt;=75,"P0 本周做",IF(Z375&gt;=60,"P1 近期做",IF(Z375&gt;=45,"P2 备选","P3 暂缓"))))</x:f>
        <x:v>P1 近期做</x:v>
      </x:c>
      <x:c r="AB375" s="9" t="str">
        <x:f>IF(Y375&gt;=15,"先做合规/相关性复核，不建议直接商业导流",IF(L375="主站","建/优化主站商业页",IF(L375="博客A-知识教程","写知识教程/FAQ文章",IF(L375="博客B-场景人群","写场景需求/选购指南文章",IF(L375="博客C-对比评测","写对比评测/榜单文章","暂不做或人工复核")))))</x:f>
        <x:v>写对比评测/榜单文章</x:v>
      </x:c>
      <x:c r="AC375" s="9" t="str">
        <x:v>Reviews - STRAWBERRY ICE - ExDivo FLORA 40K Disposable Vape - ExDivo</x:v>
      </x:c>
      <x:c r="AD375" s="10" t="str">
        <x:v>48</x:v>
      </x:c>
    </x:row>
    <x:row r="376">
      <x:c r="A376" s="34" t="n">
        <x:v>376</x:v>
      </x:c>
      <x:c r="B376" s="9" t="str">
        <x:v>https://exdivo.com/products/exdivo-flora-40k-disposable-vape_bd748695</x:v>
      </x:c>
      <x:c r="C376" s="9" t="str">
        <x:v>disposable vape brands</x:v>
      </x:c>
      <x:c r="D376" s="9" t="str">
        <x:v>recommended</x:v>
      </x:c>
      <x:c r="E376" s="36" t="n">
        <x:v>2900</x:v>
      </x:c>
      <x:c r="F376" s="36" t="n">
        <x:v>35</x:v>
      </x:c>
      <x:c r="G376" s="9" t="str">
        <x:v>informational, commercial</x:v>
      </x:c>
      <x:c r="H376" s="9" t="str">
        <x:v>Disposable Vape</x:v>
      </x:c>
      <x:c r="I376" s="9" t="str">
        <x:v>商业调查词</x:v>
      </x:c>
      <x:c r="J376" s="9" t="str">
        <x:v>博客C-对比评测</x:v>
      </x:c>
      <x:c r="K376" s="9" t="str"/>
      <x:c r="L376" s="9" t="str">
        <x:f>IF(K376="",J376,K376)</x:f>
        <x:v>博客C-对比评测</x:v>
      </x:c>
      <x:c r="M376" s="9" t="str">
        <x:v>Best/Top/Review/VS/替代方案文章</x:v>
      </x:c>
      <x:c r="N376" s="9" t="str">
        <x:v>Best angle: disposable vape brands - comparison, pros/cons, and which option fits different buyers</x:v>
      </x:c>
      <x:c r="O376" s="9" t="str">
        <x:v>/collections/disposable-vapes</x:v>
      </x:c>
      <x:c r="P376" s="9" t="str">
        <x:v>是</x:v>
      </x:c>
      <x:c r="Q376" s="9" t="str">
        <x:v>自然句/品类词/品牌词</x:v>
      </x:c>
      <x:c r="R376" s="9" t="str">
        <x:v>中风险：榜单和评测必须真实、中立，避免夸大</x:v>
      </x:c>
      <x:c r="S376" s="9" t="str">
        <x:v>这类词不直接给主站，先用博客C教育和比较，再导流到最相关集合页。</x:v>
      </x:c>
      <x:c r="T376" s="38" t="n">
        <x:v>13</x:v>
      </x:c>
      <x:c r="U376" s="38" t="n">
        <x:v>9</x:v>
      </x:c>
      <x:c r="V376" s="38" t="n">
        <x:v>16</x:v>
      </x:c>
      <x:c r="W376" s="38" t="n">
        <x:v>15</x:v>
      </x:c>
      <x:c r="X376" s="38" t="n">
        <x:v>13</x:v>
      </x:c>
      <x:c r="Y376" s="38" t="n">
        <x:v>6</x:v>
      </x:c>
      <x:c r="Z376" s="38" t="n">
        <x:f>MAX(0,MIN(100,ROUND(((T376+U376+V376+W376+X376)-Y376)/85*100,0)))</x:f>
        <x:v>71</x:v>
      </x:c>
      <x:c r="AA376" s="9" t="str">
        <x:f>IF(L376="暂不做","P3 暂缓",IF(Z376&gt;=75,"P0 本周做",IF(Z376&gt;=60,"P1 近期做",IF(Z376&gt;=45,"P2 备选","P3 暂缓"))))</x:f>
        <x:v>P1 近期做</x:v>
      </x:c>
      <x:c r="AB376" s="9" t="str">
        <x:f>IF(Y376&gt;=15,"先做合规/相关性复核，不建议直接商业导流",IF(L376="主站","建/优化主站商业页",IF(L376="博客A-知识教程","写知识教程/FAQ文章",IF(L376="博客B-场景人群","写场景需求/选购指南文章",IF(L376="博客C-对比评测","写对比评测/榜单文章","暂不做或人工复核")))))</x:f>
        <x:v>写对比评测/榜单文章</x:v>
      </x:c>
      <x:c r="AC376" s="9" t="str">
        <x:v>ExDivo FLORA 40K Disposable Vape</x:v>
      </x:c>
      <x:c r="AD376" s="10" t="str">
        <x:v>40000 puffs</x:v>
      </x:c>
    </x:row>
    <x:row r="377">
      <x:c r="A377" s="34" t="n">
        <x:v>377</x:v>
      </x:c>
      <x:c r="B377" s="9" t="str">
        <x:v>https://exdivo.com/products/exdivo-flora-40k-disposable-vape_bd748695</x:v>
      </x:c>
      <x:c r="C377" s="9" t="str">
        <x:v>new disposable vapes</x:v>
      </x:c>
      <x:c r="D377" s="9" t="str">
        <x:v>recommended</x:v>
      </x:c>
      <x:c r="E377" s="36" t="n">
        <x:v>110</x:v>
      </x:c>
      <x:c r="F377" s="36" t="n">
        <x:v>18</x:v>
      </x:c>
      <x:c r="G377" s="9" t="str">
        <x:v>informational</x:v>
      </x:c>
      <x:c r="H377" s="9" t="str">
        <x:v>Disposable Vape</x:v>
      </x:c>
      <x:c r="I377" s="9" t="str">
        <x:v>品类承接词</x:v>
      </x:c>
      <x:c r="J377" s="9" t="str">
        <x:v>主站</x:v>
      </x:c>
      <x:c r="K377" s="9" t="str"/>
      <x:c r="L377" s="9" t="str">
        <x:f>IF(K377="",J377,K377)</x:f>
        <x:v>主站</x:v>
      </x:c>
      <x:c r="M377" s="9" t="str">
        <x:v>品类页/集合页 + FAQ内容块</x:v>
      </x:c>
      <x:c r="N377" s="9" t="str">
        <x:v>主站品类页：用产品集合 + 选购说明承接</x:v>
      </x:c>
      <x:c r="O377" s="9" t="str">
        <x:v>/collections/disposable-vapes</x:v>
      </x:c>
      <x:c r="P377" s="9" t="str">
        <x:v>不适用</x:v>
      </x:c>
      <x:c r="Q377" s="9" t="str">
        <x:v>主站页面自身承接</x:v>
      </x:c>
      <x:c r="R377" s="9" t="str">
        <x:v>核心品类词：主站优先，博客只做长尾解释，不直接抢同一词</x:v>
      </x:c>
      <x:c r="S377" s="9" t="str">
        <x:v>如果 Google 首页产品页和指南混合，主站页要加 FAQ、选购指南、对比模块。</x:v>
      </x:c>
      <x:c r="T377" s="38" t="n">
        <x:v>7</x:v>
      </x:c>
      <x:c r="U377" s="38" t="n">
        <x:v>12</x:v>
      </x:c>
      <x:c r="V377" s="38" t="n">
        <x:v>16</x:v>
      </x:c>
      <x:c r="W377" s="38" t="n">
        <x:v>8</x:v>
      </x:c>
      <x:c r="X377" s="38" t="n">
        <x:v>15</x:v>
      </x:c>
      <x:c r="Y377" s="38" t="n">
        <x:v>4</x:v>
      </x:c>
      <x:c r="Z377" s="38" t="n">
        <x:f>MAX(0,MIN(100,ROUND(((T377+U377+V377+W377+X377)-Y377)/85*100,0)))</x:f>
        <x:v>64</x:v>
      </x:c>
      <x:c r="AA377" s="9" t="str">
        <x:f>IF(L377="暂不做","P3 暂缓",IF(Z377&gt;=75,"P0 本周做",IF(Z377&gt;=60,"P1 近期做",IF(Z377&gt;=45,"P2 备选","P3 暂缓"))))</x:f>
        <x:v>P1 近期做</x:v>
      </x:c>
      <x:c r="AB377" s="9" t="str">
        <x:f>IF(Y377&gt;=15,"先做合规/相关性复核，不建议直接商业导流",IF(L377="主站","建/优化主站商业页",IF(L377="博客A-知识教程","写知识教程/FAQ文章",IF(L377="博客B-场景人群","写场景需求/选购指南文章",IF(L377="博客C-对比评测","写对比评测/榜单文章","暂不做或人工复核")))))</x:f>
        <x:v>建/优化主站商业页</x:v>
      </x:c>
      <x:c r="AC377" s="9" t="str">
        <x:v>ExDivo FLORA 40K Disposable Vape</x:v>
      </x:c>
      <x:c r="AD377" s="10" t="str">
        <x:v>40000 puffs</x:v>
      </x:c>
    </x:row>
    <x:row r="378">
      <x:c r="A378" s="34" t="n">
        <x:v>378</x:v>
      </x:c>
      <x:c r="B378" s="9" t="str">
        <x:v>https://exdivo.com/products/exdivo-flora-40k-disposable-vape_bd748695</x:v>
      </x:c>
      <x:c r="C378" s="9" t="str">
        <x:v>new disposable vape</x:v>
      </x:c>
      <x:c r="D378" s="9" t="str">
        <x:v>recommended</x:v>
      </x:c>
      <x:c r="E378" s="36" t="n">
        <x:v>210</x:v>
      </x:c>
      <x:c r="F378" s="36" t="n">
        <x:v>38</x:v>
      </x:c>
      <x:c r="G378" s="9" t="str">
        <x:v>informational</x:v>
      </x:c>
      <x:c r="H378" s="9" t="str">
        <x:v>Disposable Vape</x:v>
      </x:c>
      <x:c r="I378" s="9" t="str">
        <x:v>品类承接词</x:v>
      </x:c>
      <x:c r="J378" s="9" t="str">
        <x:v>主站</x:v>
      </x:c>
      <x:c r="K378" s="9" t="str"/>
      <x:c r="L378" s="9" t="str">
        <x:f>IF(K378="",J378,K378)</x:f>
        <x:v>主站</x:v>
      </x:c>
      <x:c r="M378" s="9" t="str">
        <x:v>品类页/集合页 + FAQ内容块</x:v>
      </x:c>
      <x:c r="N378" s="9" t="str">
        <x:v>主站品类页：用产品集合 + 选购说明承接</x:v>
      </x:c>
      <x:c r="O378" s="9" t="str">
        <x:v>/collections/disposable-vapes</x:v>
      </x:c>
      <x:c r="P378" s="9" t="str">
        <x:v>不适用</x:v>
      </x:c>
      <x:c r="Q378" s="9" t="str">
        <x:v>主站页面自身承接</x:v>
      </x:c>
      <x:c r="R378" s="9" t="str">
        <x:v>核心品类词：主站优先，博客只做长尾解释，不直接抢同一词</x:v>
      </x:c>
      <x:c r="S378" s="9" t="str">
        <x:v>如果 Google 首页产品页和指南混合，主站页要加 FAQ、选购指南、对比模块。</x:v>
      </x:c>
      <x:c r="T378" s="38" t="n">
        <x:v>7</x:v>
      </x:c>
      <x:c r="U378" s="38" t="n">
        <x:v>9</x:v>
      </x:c>
      <x:c r="V378" s="38" t="n">
        <x:v>16</x:v>
      </x:c>
      <x:c r="W378" s="38" t="n">
        <x:v>8</x:v>
      </x:c>
      <x:c r="X378" s="38" t="n">
        <x:v>15</x:v>
      </x:c>
      <x:c r="Y378" s="38" t="n">
        <x:v>4</x:v>
      </x:c>
      <x:c r="Z378" s="38" t="n">
        <x:f>MAX(0,MIN(100,ROUND(((T378+U378+V378+W378+X378)-Y378)/85*100,0)))</x:f>
        <x:v>60</x:v>
      </x:c>
      <x:c r="AA378" s="9" t="str">
        <x:f>IF(L378="暂不做","P3 暂缓",IF(Z378&gt;=75,"P0 本周做",IF(Z378&gt;=60,"P1 近期做",IF(Z378&gt;=45,"P2 备选","P3 暂缓"))))</x:f>
        <x:v>P1 近期做</x:v>
      </x:c>
      <x:c r="AB378" s="9" t="str">
        <x:f>IF(Y378&gt;=15,"先做合规/相关性复核，不建议直接商业导流",IF(L378="主站","建/优化主站商业页",IF(L378="博客A-知识教程","写知识教程/FAQ文章",IF(L378="博客B-场景人群","写场景需求/选购指南文章",IF(L378="博客C-对比评测","写对比评测/榜单文章","暂不做或人工复核")))))</x:f>
        <x:v>建/优化主站商业页</x:v>
      </x:c>
      <x:c r="AC378" s="9" t="str">
        <x:v>ExDivo FLORA 40K Disposable Vape</x:v>
      </x:c>
      <x:c r="AD378" s="10" t="str">
        <x:v>40000 puffs</x:v>
      </x:c>
    </x:row>
    <x:row r="379">
      <x:c r="A379" s="34" t="n">
        <x:v>379</x:v>
      </x:c>
      <x:c r="B379" s="9" t="str">
        <x:v>https://exdivo.com/products/exdivo-flora-40k-disposable-vape_bd748695</x:v>
      </x:c>
      <x:c r="C379" s="9" t="str">
        <x:v>newest disposable vapes</x:v>
      </x:c>
      <x:c r="D379" s="9" t="str">
        <x:v>recommended</x:v>
      </x:c>
      <x:c r="E379" s="36" t="n">
        <x:v>50</x:v>
      </x:c>
      <x:c r="F379" s="36" t="n">
        <x:v>20</x:v>
      </x:c>
      <x:c r="G379" s="9" t="str">
        <x:v>informational</x:v>
      </x:c>
      <x:c r="H379" s="9" t="str">
        <x:v>Disposable Vape</x:v>
      </x:c>
      <x:c r="I379" s="9" t="str">
        <x:v>品类承接词</x:v>
      </x:c>
      <x:c r="J379" s="9" t="str">
        <x:v>主站</x:v>
      </x:c>
      <x:c r="K379" s="9" t="str"/>
      <x:c r="L379" s="9" t="str">
        <x:f>IF(K379="",J379,K379)</x:f>
        <x:v>主站</x:v>
      </x:c>
      <x:c r="M379" s="9" t="str">
        <x:v>品类页/集合页 + FAQ内容块</x:v>
      </x:c>
      <x:c r="N379" s="9" t="str">
        <x:v>主站品类页：用产品集合 + 选购说明承接</x:v>
      </x:c>
      <x:c r="O379" s="9" t="str">
        <x:v>/collections/disposable-vapes</x:v>
      </x:c>
      <x:c r="P379" s="9" t="str">
        <x:v>不适用</x:v>
      </x:c>
      <x:c r="Q379" s="9" t="str">
        <x:v>主站页面自身承接</x:v>
      </x:c>
      <x:c r="R379" s="9" t="str">
        <x:v>核心品类词：主站优先，博客只做长尾解释，不直接抢同一词</x:v>
      </x:c>
      <x:c r="S379" s="9" t="str">
        <x:v>如果 Google 首页产品页和指南混合，主站页要加 FAQ、选购指南、对比模块。</x:v>
      </x:c>
      <x:c r="T379" s="38" t="n">
        <x:v>4</x:v>
      </x:c>
      <x:c r="U379" s="38" t="n">
        <x:v>12</x:v>
      </x:c>
      <x:c r="V379" s="38" t="n">
        <x:v>16</x:v>
      </x:c>
      <x:c r="W379" s="38" t="n">
        <x:v>8</x:v>
      </x:c>
      <x:c r="X379" s="38" t="n">
        <x:v>15</x:v>
      </x:c>
      <x:c r="Y379" s="38" t="n">
        <x:v>4</x:v>
      </x:c>
      <x:c r="Z379" s="38" t="n">
        <x:f>MAX(0,MIN(100,ROUND(((T379+U379+V379+W379+X379)-Y379)/85*100,0)))</x:f>
        <x:v>60</x:v>
      </x:c>
      <x:c r="AA379" s="9" t="str">
        <x:f>IF(L379="暂不做","P3 暂缓",IF(Z379&gt;=75,"P0 本周做",IF(Z379&gt;=60,"P1 近期做",IF(Z379&gt;=45,"P2 备选","P3 暂缓"))))</x:f>
        <x:v>P1 近期做</x:v>
      </x:c>
      <x:c r="AB379" s="9" t="str">
        <x:f>IF(Y379&gt;=15,"先做合规/相关性复核，不建议直接商业导流",IF(L379="主站","建/优化主站商业页",IF(L379="博客A-知识教程","写知识教程/FAQ文章",IF(L379="博客B-场景人群","写场景需求/选购指南文章",IF(L379="博客C-对比评测","写对比评测/榜单文章","暂不做或人工复核")))))</x:f>
        <x:v>建/优化主站商业页</x:v>
      </x:c>
      <x:c r="AC379" s="9" t="str">
        <x:v>ExDivo FLORA 40K Disposable Vape</x:v>
      </x:c>
      <x:c r="AD379" s="10" t="str">
        <x:v>40000 puffs</x:v>
      </x:c>
    </x:row>
    <x:row r="380">
      <x:c r="A380" s="34" t="n">
        <x:v>380</x:v>
      </x:c>
      <x:c r="B380" s="9" t="str">
        <x:v>https://exdivo.com/products/exdivo-flora-40k-disposable-vape_bd748695</x:v>
      </x:c>
      <x:c r="C380" s="9" t="str">
        <x:v>new disposable vape models</x:v>
      </x:c>
      <x:c r="D380" s="9" t="str">
        <x:v>recommended</x:v>
      </x:c>
      <x:c r="E380" s="36" t="n">
        <x:v>0</x:v>
      </x:c>
      <x:c r="F380" s="36" t="n">
        <x:v>0</x:v>
      </x:c>
      <x:c r="G380" s="9" t="str">
        <x:v>48</x:v>
      </x:c>
      <x:c r="H380" s="9" t="str">
        <x:v>Disposable Vape</x:v>
      </x:c>
      <x:c r="I380" s="9" t="str">
        <x:v>内容词</x:v>
      </x:c>
      <x:c r="J380" s="9" t="str">
        <x:v>博客A-知识教程</x:v>
      </x:c>
      <x:c r="K380" s="9" t="str"/>
      <x:c r="L380" s="9" t="str">
        <x:f>IF(K380="",J380,K380)</x:f>
        <x:v>博客A-知识教程</x:v>
      </x:c>
      <x:c r="M380" s="9" t="str">
        <x:v>知识/教程文章</x:v>
      </x:c>
      <x:c r="N380" s="9" t="str">
        <x:v>Guide angle: explain new disposable vape models, answer common questions, and avoid sales-first writing</x:v>
      </x:c>
      <x:c r="O380" s="9" t="str">
        <x:v>/collections/disposable-vapes 或最接近的产品集合页</x:v>
      </x:c>
      <x:c r="P380" s="9" t="str">
        <x:v>谨慎</x:v>
      </x:c>
      <x:c r="Q380" s="9" t="str">
        <x:v>品牌词/自然句</x:v>
      </x:c>
      <x:c r="R380" s="9" t="str">
        <x:v>低风险：按常规内容质量和搜索意图校验</x:v>
      </x:c>
      <x:c r="S380" s="9" t="str">
        <x:v>先看 Google SERP：如果首页多数为产品集合页，改回主站；如果多数为教程/问答，保持博客。</x:v>
      </x:c>
      <x:c r="T380" s="38" t="n">
        <x:v>1</x:v>
      </x:c>
      <x:c r="U380" s="38" t="n">
        <x:v>15</x:v>
      </x:c>
      <x:c r="V380" s="38" t="n">
        <x:v>10</x:v>
      </x:c>
      <x:c r="W380" s="38" t="n">
        <x:v>12</x:v>
      </x:c>
      <x:c r="X380" s="38" t="n">
        <x:v>12</x:v>
      </x:c>
      <x:c r="Y380" s="38" t="n">
        <x:v>4</x:v>
      </x:c>
      <x:c r="Z380" s="38" t="n">
        <x:f>MAX(0,MIN(100,ROUND(((T380+U380+V380+W380+X380)-Y380)/85*100,0)))</x:f>
        <x:v>54</x:v>
      </x:c>
      <x:c r="AA380" s="9" t="str">
        <x:f>IF(L380="暂不做","P3 暂缓",IF(Z380&gt;=75,"P0 本周做",IF(Z380&gt;=60,"P1 近期做",IF(Z380&gt;=45,"P2 备选","P3 暂缓"))))</x:f>
        <x:v>P2 备选</x:v>
      </x:c>
      <x:c r="AB380" s="9" t="str">
        <x:f>IF(Y380&gt;=15,"先做合规/相关性复核，不建议直接商业导流",IF(L380="主站","建/优化主站商业页",IF(L380="博客A-知识教程","写知识教程/FAQ文章",IF(L380="博客B-场景人群","写场景需求/选购指南文章",IF(L380="博客C-对比评测","写对比评测/榜单文章","暂不做或人工复核")))))</x:f>
        <x:v>写知识教程/FAQ文章</x:v>
      </x:c>
      <x:c r="AC380" s="9" t="str">
        <x:v>ExDivo FLORA 40K Disposable Vape</x:v>
      </x:c>
      <x:c r="AD380" s="10" t="str">
        <x:v>40000 puffs</x:v>
      </x:c>
    </x:row>
    <x:row r="381">
      <x:c r="A381" s="34" t="n">
        <x:v>381</x:v>
      </x:c>
      <x:c r="B381" s="9" t="str">
        <x:v>https://exdivo.com/products/exdivo-flora-40k-disposable-vape_bd748695</x:v>
      </x:c>
      <x:c r="C381" s="9" t="str">
        <x:v>new disposable vape technology</x:v>
      </x:c>
      <x:c r="D381" s="9" t="str">
        <x:v>recommended</x:v>
      </x:c>
      <x:c r="E381" s="36" t="n">
        <x:v>0</x:v>
      </x:c>
      <x:c r="F381" s="36" t="n">
        <x:v>0</x:v>
      </x:c>
      <x:c r="G381" s="9" t="str">
        <x:v>48</x:v>
      </x:c>
      <x:c r="H381" s="9" t="str">
        <x:v>Disposable Vape</x:v>
      </x:c>
      <x:c r="I381" s="9" t="str">
        <x:v>内容词</x:v>
      </x:c>
      <x:c r="J381" s="9" t="str">
        <x:v>博客A-知识教程</x:v>
      </x:c>
      <x:c r="K381" s="9" t="str"/>
      <x:c r="L381" s="9" t="str">
        <x:f>IF(K381="",J381,K381)</x:f>
        <x:v>博客A-知识教程</x:v>
      </x:c>
      <x:c r="M381" s="9" t="str">
        <x:v>知识/教程文章</x:v>
      </x:c>
      <x:c r="N381" s="9" t="str">
        <x:v>Guide angle: explain new disposable vape technology, answer common questions, and avoid sales-first writing</x:v>
      </x:c>
      <x:c r="O381" s="9" t="str">
        <x:v>/collections/disposable-vapes 或最接近的产品集合页</x:v>
      </x:c>
      <x:c r="P381" s="9" t="str">
        <x:v>谨慎</x:v>
      </x:c>
      <x:c r="Q381" s="9" t="str">
        <x:v>品牌词/自然句</x:v>
      </x:c>
      <x:c r="R381" s="9" t="str">
        <x:v>低风险：按常规内容质量和搜索意图校验</x:v>
      </x:c>
      <x:c r="S381" s="9" t="str">
        <x:v>先看 Google SERP：如果首页多数为产品集合页，改回主站；如果多数为教程/问答，保持博客。</x:v>
      </x:c>
      <x:c r="T381" s="38" t="n">
        <x:v>1</x:v>
      </x:c>
      <x:c r="U381" s="38" t="n">
        <x:v>15</x:v>
      </x:c>
      <x:c r="V381" s="38" t="n">
        <x:v>10</x:v>
      </x:c>
      <x:c r="W381" s="38" t="n">
        <x:v>12</x:v>
      </x:c>
      <x:c r="X381" s="38" t="n">
        <x:v>12</x:v>
      </x:c>
      <x:c r="Y381" s="38" t="n">
        <x:v>4</x:v>
      </x:c>
      <x:c r="Z381" s="38" t="n">
        <x:f>MAX(0,MIN(100,ROUND(((T381+U381+V381+W381+X381)-Y381)/85*100,0)))</x:f>
        <x:v>54</x:v>
      </x:c>
      <x:c r="AA381" s="9" t="str">
        <x:f>IF(L381="暂不做","P3 暂缓",IF(Z381&gt;=75,"P0 本周做",IF(Z381&gt;=60,"P1 近期做",IF(Z381&gt;=45,"P2 备选","P3 暂缓"))))</x:f>
        <x:v>P2 备选</x:v>
      </x:c>
      <x:c r="AB381" s="9" t="str">
        <x:f>IF(Y381&gt;=15,"先做合规/相关性复核，不建议直接商业导流",IF(L381="主站","建/优化主站商业页",IF(L381="博客A-知识教程","写知识教程/FAQ文章",IF(L381="博客B-场景人群","写场景需求/选购指南文章",IF(L381="博客C-对比评测","写对比评测/榜单文章","暂不做或人工复核")))))</x:f>
        <x:v>写知识教程/FAQ文章</x:v>
      </x:c>
      <x:c r="AC381" s="9" t="str">
        <x:v>ExDivo FLORA 40K Disposable Vape</x:v>
      </x:c>
      <x:c r="AD381" s="10" t="str">
        <x:v>40000 puffs</x:v>
      </x:c>
    </x:row>
    <x:row r="382">
      <x:c r="A382" s="34" t="n">
        <x:v>382</x:v>
      </x:c>
      <x:c r="B382" s="9" t="str">
        <x:v>https://exdivo.com/blogs/top-exdivo-vape-flavors-you-must-try-in-2026</x:v>
      </x:c>
      <x:c r="C382" s="9" t="str">
        <x:v>top exdivo vape flavors 2026</x:v>
      </x:c>
      <x:c r="D382" s="9" t="str">
        <x:v>recommended</x:v>
      </x:c>
      <x:c r="E382" s="36" t="n">
        <x:v>0</x:v>
      </x:c>
      <x:c r="F382" s="36" t="n">
        <x:v>0</x:v>
      </x:c>
      <x:c r="G382" s="9" t="str">
        <x:v>48</x:v>
      </x:c>
      <x:c r="H382" s="9" t="str">
        <x:v>Flavor / 口味</x:v>
      </x:c>
      <x:c r="I382" s="9" t="str">
        <x:v>商业调查词</x:v>
      </x:c>
      <x:c r="J382" s="9" t="str">
        <x:v>博客C-对比评测</x:v>
      </x:c>
      <x:c r="K382" s="9" t="str"/>
      <x:c r="L382" s="9" t="str">
        <x:f>IF(K382="",J382,K382)</x:f>
        <x:v>博客C-对比评测</x:v>
      </x:c>
      <x:c r="M382" s="9" t="str">
        <x:v>Best/Top/Review/VS/替代方案文章</x:v>
      </x:c>
      <x:c r="N382" s="9" t="str">
        <x:v>Best angle: top exdivo vape flavors 2026 - comparison, pros/cons, and which option fits different buyers</x:v>
      </x:c>
      <x:c r="O382" s="9" t="str">
        <x:v>/collections/flavored-disposable-vapes</x:v>
      </x:c>
      <x:c r="P382" s="9" t="str">
        <x:v>是</x:v>
      </x:c>
      <x:c r="Q382" s="9" t="str">
        <x:v>自然句/品类词/品牌词</x:v>
      </x:c>
      <x:c r="R382" s="9" t="str">
        <x:v>中风险：榜单和评测必须真实、中立，避免夸大</x:v>
      </x:c>
      <x:c r="S382" s="9" t="str">
        <x:v>这类词不直接给主站，先用博客C教育和比较，再导流到最相关集合页。</x:v>
      </x:c>
      <x:c r="T382" s="38" t="n">
        <x:v>1</x:v>
      </x:c>
      <x:c r="U382" s="38" t="n">
        <x:v>15</x:v>
      </x:c>
      <x:c r="V382" s="38" t="n">
        <x:v>16</x:v>
      </x:c>
      <x:c r="W382" s="38" t="n">
        <x:v>15</x:v>
      </x:c>
      <x:c r="X382" s="38" t="n">
        <x:v>13</x:v>
      </x:c>
      <x:c r="Y382" s="38" t="n">
        <x:v>6</x:v>
      </x:c>
      <x:c r="Z382" s="38" t="n">
        <x:f>MAX(0,MIN(100,ROUND(((T382+U382+V382+W382+X382)-Y382)/85*100,0)))</x:f>
        <x:v>64</x:v>
      </x:c>
      <x:c r="AA382" s="9" t="str">
        <x:f>IF(L382="暂不做","P3 暂缓",IF(Z382&gt;=75,"P0 本周做",IF(Z382&gt;=60,"P1 近期做",IF(Z382&gt;=45,"P2 备选","P3 暂缓"))))</x:f>
        <x:v>P1 近期做</x:v>
      </x:c>
      <x:c r="AB382" s="9" t="str">
        <x:f>IF(Y382&gt;=15,"先做合规/相关性复核，不建议直接商业导流",IF(L382="主站","建/优化主站商业页",IF(L382="博客A-知识教程","写知识教程/FAQ文章",IF(L382="博客B-场景人群","写场景需求/选购指南文章",IF(L382="博客C-对比评测","写对比评测/榜单文章","暂不做或人工复核")))))</x:f>
        <x:v>写对比评测/榜单文章</x:v>
      </x:c>
      <x:c r="AC382" s="9" t="str">
        <x:v>Top EXDIVO Vape Flavors You Must Try in 2026 - ExDivo</x:v>
      </x:c>
      <x:c r="AD382" s="10" t="str">
        <x:v>top exdivo vape flavors you must try in 2026</x:v>
      </x:c>
    </x:row>
    <x:row r="383">
      <x:c r="A383" s="34" t="n">
        <x:v>383</x:v>
      </x:c>
      <x:c r="B383" s="9" t="str">
        <x:v>https://exdivo.com/blogs/top-exdivo-vape-flavors-you-must-try-in-2026</x:v>
      </x:c>
      <x:c r="C383" s="9" t="str">
        <x:v>best exdivo flavors</x:v>
      </x:c>
      <x:c r="D383" s="9" t="str">
        <x:v>recommended</x:v>
      </x:c>
      <x:c r="E383" s="36" t="n">
        <x:v>0</x:v>
      </x:c>
      <x:c r="F383" s="36" t="n">
        <x:v>0</x:v>
      </x:c>
      <x:c r="G383" s="9" t="str">
        <x:v>48</x:v>
      </x:c>
      <x:c r="H383" s="9" t="str">
        <x:v>Flavor / 口味</x:v>
      </x:c>
      <x:c r="I383" s="9" t="str">
        <x:v>商业调查词</x:v>
      </x:c>
      <x:c r="J383" s="9" t="str">
        <x:v>博客C-对比评测</x:v>
      </x:c>
      <x:c r="K383" s="9" t="str"/>
      <x:c r="L383" s="9" t="str">
        <x:f>IF(K383="",J383,K383)</x:f>
        <x:v>博客C-对比评测</x:v>
      </x:c>
      <x:c r="M383" s="9" t="str">
        <x:v>Best/Top/Review/VS/替代方案文章</x:v>
      </x:c>
      <x:c r="N383" s="9" t="str">
        <x:v>Best angle: best exdivo flavors - comparison, pros/cons, and which option fits different buyers</x:v>
      </x:c>
      <x:c r="O383" s="9" t="str">
        <x:v>/collections/flavored-disposable-vapes</x:v>
      </x:c>
      <x:c r="P383" s="9" t="str">
        <x:v>是</x:v>
      </x:c>
      <x:c r="Q383" s="9" t="str">
        <x:v>自然句/品类词/品牌词</x:v>
      </x:c>
      <x:c r="R383" s="9" t="str">
        <x:v>中风险：榜单和评测必须真实、中立，避免夸大</x:v>
      </x:c>
      <x:c r="S383" s="9" t="str">
        <x:v>这类词不直接给主站，先用博客C教育和比较，再导流到最相关集合页。</x:v>
      </x:c>
      <x:c r="T383" s="38" t="n">
        <x:v>1</x:v>
      </x:c>
      <x:c r="U383" s="38" t="n">
        <x:v>15</x:v>
      </x:c>
      <x:c r="V383" s="38" t="n">
        <x:v>16</x:v>
      </x:c>
      <x:c r="W383" s="38" t="n">
        <x:v>15</x:v>
      </x:c>
      <x:c r="X383" s="38" t="n">
        <x:v>13</x:v>
      </x:c>
      <x:c r="Y383" s="38" t="n">
        <x:v>6</x:v>
      </x:c>
      <x:c r="Z383" s="38" t="n">
        <x:f>MAX(0,MIN(100,ROUND(((T383+U383+V383+W383+X383)-Y383)/85*100,0)))</x:f>
        <x:v>64</x:v>
      </x:c>
      <x:c r="AA383" s="9" t="str">
        <x:f>IF(L383="暂不做","P3 暂缓",IF(Z383&gt;=75,"P0 本周做",IF(Z383&gt;=60,"P1 近期做",IF(Z383&gt;=45,"P2 备选","P3 暂缓"))))</x:f>
        <x:v>P1 近期做</x:v>
      </x:c>
      <x:c r="AB383" s="9" t="str">
        <x:f>IF(Y383&gt;=15,"先做合规/相关性复核，不建议直接商业导流",IF(L383="主站","建/优化主站商业页",IF(L383="博客A-知识教程","写知识教程/FAQ文章",IF(L383="博客B-场景人群","写场景需求/选购指南文章",IF(L383="博客C-对比评测","写对比评测/榜单文章","暂不做或人工复核")))))</x:f>
        <x:v>写对比评测/榜单文章</x:v>
      </x:c>
      <x:c r="AC383" s="9" t="str">
        <x:v>Top EXDIVO Vape Flavors You Must Try in 2026 - ExDivo</x:v>
      </x:c>
      <x:c r="AD383" s="10" t="str">
        <x:v>top exdivo vape flavors you must try in 2026</x:v>
      </x:c>
    </x:row>
    <x:row r="384">
      <x:c r="A384" s="34" t="n">
        <x:v>384</x:v>
      </x:c>
      <x:c r="B384" s="9" t="str">
        <x:v>https://exdivo.com/blogs/top-exdivo-vape-flavors-you-must-try-in-2026</x:v>
      </x:c>
      <x:c r="C384" s="9" t="str">
        <x:v>popular exdivo vape juice</x:v>
      </x:c>
      <x:c r="D384" s="9" t="str">
        <x:v>recommended</x:v>
      </x:c>
      <x:c r="E384" s="36" t="n">
        <x:v>0</x:v>
      </x:c>
      <x:c r="F384" s="36" t="n">
        <x:v>0</x:v>
      </x:c>
      <x:c r="G384" s="9" t="str">
        <x:v>48</x:v>
      </x:c>
      <x:c r="H384" s="9" t="str">
        <x:v>对比评测</x:v>
      </x:c>
      <x:c r="I384" s="9" t="str">
        <x:v>商业调查词</x:v>
      </x:c>
      <x:c r="J384" s="9" t="str">
        <x:v>博客C-对比评测</x:v>
      </x:c>
      <x:c r="K384" s="9" t="str"/>
      <x:c r="L384" s="9" t="str">
        <x:f>IF(K384="",J384,K384)</x:f>
        <x:v>博客C-对比评测</x:v>
      </x:c>
      <x:c r="M384" s="9" t="str">
        <x:v>Best/Top/Review/VS/替代方案文章</x:v>
      </x:c>
      <x:c r="N384" s="9" t="str">
        <x:v>Best angle: popular exdivo vape juice - comparison, pros/cons, and which option fits different buyers</x:v>
      </x:c>
      <x:c r="O384" s="9" t="str">
        <x:v>/collections/disposable-vapes</x:v>
      </x:c>
      <x:c r="P384" s="9" t="str">
        <x:v>是</x:v>
      </x:c>
      <x:c r="Q384" s="9" t="str">
        <x:v>自然句/品类词/品牌词</x:v>
      </x:c>
      <x:c r="R384" s="9" t="str">
        <x:v>中风险：榜单和评测必须真实、中立，避免夸大</x:v>
      </x:c>
      <x:c r="S384" s="9" t="str">
        <x:v>这类词不直接给主站，先用博客C教育和比较，再导流到最相关集合页。</x:v>
      </x:c>
      <x:c r="T384" s="38" t="n">
        <x:v>1</x:v>
      </x:c>
      <x:c r="U384" s="38" t="n">
        <x:v>15</x:v>
      </x:c>
      <x:c r="V384" s="38" t="n">
        <x:v>16</x:v>
      </x:c>
      <x:c r="W384" s="38" t="n">
        <x:v>15</x:v>
      </x:c>
      <x:c r="X384" s="38" t="n">
        <x:v>13</x:v>
      </x:c>
      <x:c r="Y384" s="38" t="n">
        <x:v>6</x:v>
      </x:c>
      <x:c r="Z384" s="38" t="n">
        <x:f>MAX(0,MIN(100,ROUND(((T384+U384+V384+W384+X384)-Y384)/85*100,0)))</x:f>
        <x:v>64</x:v>
      </x:c>
      <x:c r="AA384" s="9" t="str">
        <x:f>IF(L384="暂不做","P3 暂缓",IF(Z384&gt;=75,"P0 本周做",IF(Z384&gt;=60,"P1 近期做",IF(Z384&gt;=45,"P2 备选","P3 暂缓"))))</x:f>
        <x:v>P1 近期做</x:v>
      </x:c>
      <x:c r="AB384" s="9" t="str">
        <x:f>IF(Y384&gt;=15,"先做合规/相关性复核，不建议直接商业导流",IF(L384="主站","建/优化主站商业页",IF(L384="博客A-知识教程","写知识教程/FAQ文章",IF(L384="博客B-场景人群","写场景需求/选购指南文章",IF(L384="博客C-对比评测","写对比评测/榜单文章","暂不做或人工复核")))))</x:f>
        <x:v>写对比评测/榜单文章</x:v>
      </x:c>
      <x:c r="AC384" s="9" t="str">
        <x:v>Top EXDIVO Vape Flavors You Must Try in 2026 - ExDivo</x:v>
      </x:c>
      <x:c r="AD384" s="10" t="str">
        <x:v>top exdivo vape flavors you must try in 2026</x:v>
      </x:c>
    </x:row>
    <x:row r="385">
      <x:c r="A385" s="34" t="n">
        <x:v>385</x:v>
      </x:c>
      <x:c r="B385" s="9" t="str">
        <x:v>https://exdivo.com/blogs/top-exdivo-vape-flavors-you-must-try-in-2026</x:v>
      </x:c>
      <x:c r="C385" s="9" t="str">
        <x:v>exdivo flavor recommendations</x:v>
      </x:c>
      <x:c r="D385" s="9" t="str">
        <x:v>recommended</x:v>
      </x:c>
      <x:c r="E385" s="36" t="n">
        <x:v>0</x:v>
      </x:c>
      <x:c r="F385" s="36" t="n">
        <x:v>0</x:v>
      </x:c>
      <x:c r="G385" s="9" t="str">
        <x:v>48</x:v>
      </x:c>
      <x:c r="H385" s="9" t="str">
        <x:v>Flavor / 口味</x:v>
      </x:c>
      <x:c r="I385" s="9" t="str">
        <x:v>场景/需求词</x:v>
      </x:c>
      <x:c r="J385" s="9" t="str">
        <x:v>博客B-场景人群</x:v>
      </x:c>
      <x:c r="K385" s="9" t="str"/>
      <x:c r="L385" s="9" t="str">
        <x:f>IF(K385="",J385,K385)</x:f>
        <x:v>博客B-场景人群</x:v>
      </x:c>
      <x:c r="M385" s="9" t="str">
        <x:v>场景解决方案/选购指南文章</x:v>
      </x:c>
      <x:c r="N385" s="9" t="str">
        <x:v>Scenario angle: how to choose exdivo flavor recommendations based on use case, flavor, nicotine, and budget</x:v>
      </x:c>
      <x:c r="O385" s="9" t="str">
        <x:v>/collections/flavored-disposable-vapes</x:v>
      </x:c>
      <x:c r="P385" s="9" t="str">
        <x:v>是</x:v>
      </x:c>
      <x:c r="Q385" s="9" t="str">
        <x:v>自然句/品类词</x:v>
      </x:c>
      <x:c r="R385" s="9" t="str">
        <x:v>低中风险：适合软性导流，但不要夸大效果或触碰健康疗效</x:v>
      </x:c>
      <x:c r="S385" s="9" t="str">
        <x:v>围绕使用场景、口味、尼古丁需求、便携性等写，不和主站品类页抢词。</x:v>
      </x:c>
      <x:c r="T385" s="38" t="n">
        <x:v>1</x:v>
      </x:c>
      <x:c r="U385" s="38" t="n">
        <x:v>15</x:v>
      </x:c>
      <x:c r="V385" s="38" t="n">
        <x:v>13</x:v>
      </x:c>
      <x:c r="W385" s="38" t="n">
        <x:v>14</x:v>
      </x:c>
      <x:c r="X385" s="38" t="n">
        <x:v>13</x:v>
      </x:c>
      <x:c r="Y385" s="38" t="n">
        <x:v>5</x:v>
      </x:c>
      <x:c r="Z385" s="38" t="n">
        <x:f>MAX(0,MIN(100,ROUND(((T385+U385+V385+W385+X385)-Y385)/85*100,0)))</x:f>
        <x:v>60</x:v>
      </x:c>
      <x:c r="AA385" s="9" t="str">
        <x:f>IF(L385="暂不做","P3 暂缓",IF(Z385&gt;=75,"P0 本周做",IF(Z385&gt;=60,"P1 近期做",IF(Z385&gt;=45,"P2 备选","P3 暂缓"))))</x:f>
        <x:v>P1 近期做</x:v>
      </x:c>
      <x:c r="AB385" s="9" t="str">
        <x:f>IF(Y385&gt;=15,"先做合规/相关性复核，不建议直接商业导流",IF(L385="主站","建/优化主站商业页",IF(L385="博客A-知识教程","写知识教程/FAQ文章",IF(L385="博客B-场景人群","写场景需求/选购指南文章",IF(L385="博客C-对比评测","写对比评测/榜单文章","暂不做或人工复核")))))</x:f>
        <x:v>写场景需求/选购指南文章</x:v>
      </x:c>
      <x:c r="AC385" s="9" t="str">
        <x:v>Top EXDIVO Vape Flavors You Must Try in 2026 - ExDivo</x:v>
      </x:c>
      <x:c r="AD385" s="10" t="str">
        <x:v>top exdivo vape flavors you must try in 2026</x:v>
      </x:c>
    </x:row>
    <x:row r="386">
      <x:c r="A386" s="34" t="n">
        <x:v>386</x:v>
      </x:c>
      <x:c r="B386" s="9" t="str">
        <x:v>https://exdivo.com/blogs/top-exdivo-vape-flavors-you-must-try-in-2026</x:v>
      </x:c>
      <x:c r="C386" s="9" t="str">
        <x:v>exdivo vape flavor reviews</x:v>
      </x:c>
      <x:c r="D386" s="9" t="str">
        <x:v>recommended</x:v>
      </x:c>
      <x:c r="E386" s="36" t="n">
        <x:v>0</x:v>
      </x:c>
      <x:c r="F386" s="36" t="n">
        <x:v>0</x:v>
      </x:c>
      <x:c r="G386" s="9" t="str">
        <x:v>48</x:v>
      </x:c>
      <x:c r="H386" s="9" t="str">
        <x:v>Flavor / 口味</x:v>
      </x:c>
      <x:c r="I386" s="9" t="str">
        <x:v>商业调查词</x:v>
      </x:c>
      <x:c r="J386" s="9" t="str">
        <x:v>博客C-对比评测</x:v>
      </x:c>
      <x:c r="K386" s="9" t="str"/>
      <x:c r="L386" s="9" t="str">
        <x:f>IF(K386="",J386,K386)</x:f>
        <x:v>博客C-对比评测</x:v>
      </x:c>
      <x:c r="M386" s="9" t="str">
        <x:v>Best/Top/Review/VS/替代方案文章</x:v>
      </x:c>
      <x:c r="N386" s="9" t="str">
        <x:v>Best angle: exdivo vape flavor reviews - comparison, pros/cons, and which option fits different buyers</x:v>
      </x:c>
      <x:c r="O386" s="9" t="str">
        <x:v>/collections/flavored-disposable-vapes</x:v>
      </x:c>
      <x:c r="P386" s="9" t="str">
        <x:v>是</x:v>
      </x:c>
      <x:c r="Q386" s="9" t="str">
        <x:v>自然句/品类词/品牌词</x:v>
      </x:c>
      <x:c r="R386" s="9" t="str">
        <x:v>中风险：榜单和评测必须真实、中立，避免夸大</x:v>
      </x:c>
      <x:c r="S386" s="9" t="str">
        <x:v>这类词不直接给主站，先用博客C教育和比较，再导流到最相关集合页。</x:v>
      </x:c>
      <x:c r="T386" s="38" t="n">
        <x:v>1</x:v>
      </x:c>
      <x:c r="U386" s="38" t="n">
        <x:v>15</x:v>
      </x:c>
      <x:c r="V386" s="38" t="n">
        <x:v>16</x:v>
      </x:c>
      <x:c r="W386" s="38" t="n">
        <x:v>15</x:v>
      </x:c>
      <x:c r="X386" s="38" t="n">
        <x:v>13</x:v>
      </x:c>
      <x:c r="Y386" s="38" t="n">
        <x:v>6</x:v>
      </x:c>
      <x:c r="Z386" s="38" t="n">
        <x:f>MAX(0,MIN(100,ROUND(((T386+U386+V386+W386+X386)-Y386)/85*100,0)))</x:f>
        <x:v>64</x:v>
      </x:c>
      <x:c r="AA386" s="9" t="str">
        <x:f>IF(L386="暂不做","P3 暂缓",IF(Z386&gt;=75,"P0 本周做",IF(Z386&gt;=60,"P1 近期做",IF(Z386&gt;=45,"P2 备选","P3 暂缓"))))</x:f>
        <x:v>P1 近期做</x:v>
      </x:c>
      <x:c r="AB386" s="9" t="str">
        <x:f>IF(Y386&gt;=15,"先做合规/相关性复核，不建议直接商业导流",IF(L386="主站","建/优化主站商业页",IF(L386="博客A-知识教程","写知识教程/FAQ文章",IF(L386="博客B-场景人群","写场景需求/选购指南文章",IF(L386="博客C-对比评测","写对比评测/榜单文章","暂不做或人工复核")))))</x:f>
        <x:v>写对比评测/榜单文章</x:v>
      </x:c>
      <x:c r="AC386" s="9" t="str">
        <x:v>Top EXDIVO Vape Flavors You Must Try in 2026 - ExDivo</x:v>
      </x:c>
      <x:c r="AD386" s="10" t="str">
        <x:v>top exdivo vape flavors you must try in 2026</x:v>
      </x:c>
    </x:row>
    <x:row r="387">
      <x:c r="A387" s="34" t="n">
        <x:v>387</x:v>
      </x:c>
      <x:c r="B387" s="9" t="str">
        <x:v>https://exdivo.com/blogs/top-exdivo-vape-flavors-you-must-try-in-2026</x:v>
      </x:c>
      <x:c r="C387" s="9" t="str">
        <x:v>exdivo vape flavors</x:v>
      </x:c>
      <x:c r="D387" s="9" t="str">
        <x:v>recommended</x:v>
      </x:c>
      <x:c r="E387" s="36" t="n">
        <x:v>0</x:v>
      </x:c>
      <x:c r="F387" s="36" t="n">
        <x:v>0</x:v>
      </x:c>
      <x:c r="G387" s="9" t="str">
        <x:v>48</x:v>
      </x:c>
      <x:c r="H387" s="9" t="str">
        <x:v>Flavor / 口味</x:v>
      </x:c>
      <x:c r="I387" s="9" t="str">
        <x:v>场景/需求词</x:v>
      </x:c>
      <x:c r="J387" s="9" t="str">
        <x:v>博客B-场景人群</x:v>
      </x:c>
      <x:c r="K387" s="9" t="str"/>
      <x:c r="L387" s="9" t="str">
        <x:f>IF(K387="",J387,K387)</x:f>
        <x:v>博客B-场景人群</x:v>
      </x:c>
      <x:c r="M387" s="9" t="str">
        <x:v>场景解决方案/选购指南文章</x:v>
      </x:c>
      <x:c r="N387" s="9" t="str">
        <x:v>Scenario angle: how to choose exdivo vape flavors based on use case, flavor, nicotine, and budget</x:v>
      </x:c>
      <x:c r="O387" s="9" t="str">
        <x:v>/collections/flavored-disposable-vapes</x:v>
      </x:c>
      <x:c r="P387" s="9" t="str">
        <x:v>是</x:v>
      </x:c>
      <x:c r="Q387" s="9" t="str">
        <x:v>自然句/品类词</x:v>
      </x:c>
      <x:c r="R387" s="9" t="str">
        <x:v>低中风险：适合软性导流，但不要夸大效果或触碰健康疗效</x:v>
      </x:c>
      <x:c r="S387" s="9" t="str">
        <x:v>围绕使用场景、口味、尼古丁需求、便携性等写，不和主站品类页抢词。</x:v>
      </x:c>
      <x:c r="T387" s="38" t="n">
        <x:v>1</x:v>
      </x:c>
      <x:c r="U387" s="38" t="n">
        <x:v>15</x:v>
      </x:c>
      <x:c r="V387" s="38" t="n">
        <x:v>13</x:v>
      </x:c>
      <x:c r="W387" s="38" t="n">
        <x:v>14</x:v>
      </x:c>
      <x:c r="X387" s="38" t="n">
        <x:v>13</x:v>
      </x:c>
      <x:c r="Y387" s="38" t="n">
        <x:v>5</x:v>
      </x:c>
      <x:c r="Z387" s="38" t="n">
        <x:f>MAX(0,MIN(100,ROUND(((T387+U387+V387+W387+X387)-Y387)/85*100,0)))</x:f>
        <x:v>60</x:v>
      </x:c>
      <x:c r="AA387" s="9" t="str">
        <x:f>IF(L387="暂不做","P3 暂缓",IF(Z387&gt;=75,"P0 本周做",IF(Z387&gt;=60,"P1 近期做",IF(Z387&gt;=45,"P2 备选","P3 暂缓"))))</x:f>
        <x:v>P1 近期做</x:v>
      </x:c>
      <x:c r="AB387" s="9" t="str">
        <x:f>IF(Y387&gt;=15,"先做合规/相关性复核，不建议直接商业导流",IF(L387="主站","建/优化主站商业页",IF(L387="博客A-知识教程","写知识教程/FAQ文章",IF(L387="博客B-场景人群","写场景需求/选购指南文章",IF(L387="博客C-对比评测","写对比评测/榜单文章","暂不做或人工复核")))))</x:f>
        <x:v>写场景需求/选购指南文章</x:v>
      </x:c>
      <x:c r="AC387" s="9" t="str">
        <x:v>Top EXDIVO Vape Flavors You Must Try in 2026 - ExDivo</x:v>
      </x:c>
      <x:c r="AD387" s="10" t="str">
        <x:v>top exdivo vape flavors you must try in 2026</x:v>
      </x:c>
    </x:row>
    <x:row r="388">
      <x:c r="A388" s="34" t="n">
        <x:v>388</x:v>
      </x:c>
      <x:c r="B388" s="9" t="str">
        <x:v>https://exdivo.com/comments/exdivo-flora-40k-disposable-vape_0a54c488?writeComment=true</x:v>
      </x:c>
      <x:c r="C388" s="9" t="str">
        <x:v>disposable vape peach ice</x:v>
      </x:c>
      <x:c r="D388" s="9" t="str">
        <x:v>recommended</x:v>
      </x:c>
      <x:c r="E388" s="36" t="n">
        <x:v>0</x:v>
      </x:c>
      <x:c r="F388" s="36" t="n">
        <x:v>0</x:v>
      </x:c>
      <x:c r="G388" s="9" t="str">
        <x:v>48</x:v>
      </x:c>
      <x:c r="H388" s="9" t="str">
        <x:v>Disposable Vape</x:v>
      </x:c>
      <x:c r="I388" s="9" t="str">
        <x:v>内容词</x:v>
      </x:c>
      <x:c r="J388" s="9" t="str">
        <x:v>博客A-知识教程</x:v>
      </x:c>
      <x:c r="K388" s="9" t="str"/>
      <x:c r="L388" s="9" t="str">
        <x:f>IF(K388="",J388,K388)</x:f>
        <x:v>博客A-知识教程</x:v>
      </x:c>
      <x:c r="M388" s="9" t="str">
        <x:v>知识/教程文章</x:v>
      </x:c>
      <x:c r="N388" s="9" t="str">
        <x:v>Guide angle: explain disposable vape peach ice, answer common questions, and avoid sales-first writing</x:v>
      </x:c>
      <x:c r="O388" s="9" t="str">
        <x:v>/collections/disposable-vapes 或最接近的产品集合页</x:v>
      </x:c>
      <x:c r="P388" s="9" t="str">
        <x:v>谨慎</x:v>
      </x:c>
      <x:c r="Q388" s="9" t="str">
        <x:v>品牌词/自然句</x:v>
      </x:c>
      <x:c r="R388" s="9" t="str">
        <x:v>低风险：按常规内容质量和搜索意图校验</x:v>
      </x:c>
      <x:c r="S388" s="9" t="str">
        <x:v>先看 Google SERP：如果首页多数为产品集合页，改回主站；如果多数为教程/问答，保持博客。</x:v>
      </x:c>
      <x:c r="T388" s="38" t="n">
        <x:v>1</x:v>
      </x:c>
      <x:c r="U388" s="38" t="n">
        <x:v>15</x:v>
      </x:c>
      <x:c r="V388" s="38" t="n">
        <x:v>10</x:v>
      </x:c>
      <x:c r="W388" s="38" t="n">
        <x:v>12</x:v>
      </x:c>
      <x:c r="X388" s="38" t="n">
        <x:v>12</x:v>
      </x:c>
      <x:c r="Y388" s="38" t="n">
        <x:v>4</x:v>
      </x:c>
      <x:c r="Z388" s="38" t="n">
        <x:f>MAX(0,MIN(100,ROUND(((T388+U388+V388+W388+X388)-Y388)/85*100,0)))</x:f>
        <x:v>54</x:v>
      </x:c>
      <x:c r="AA388" s="9" t="str">
        <x:f>IF(L388="暂不做","P3 暂缓",IF(Z388&gt;=75,"P0 本周做",IF(Z388&gt;=60,"P1 近期做",IF(Z388&gt;=45,"P2 备选","P3 暂缓"))))</x:f>
        <x:v>P2 备选</x:v>
      </x:c>
      <x:c r="AB388" s="9" t="str">
        <x:f>IF(Y388&gt;=15,"先做合规/相关性复核，不建议直接商业导流",IF(L388="主站","建/优化主站商业页",IF(L388="博客A-知识教程","写知识教程/FAQ文章",IF(L388="博客B-场景人群","写场景需求/选购指南文章",IF(L388="博客C-对比评测","写对比评测/榜单文章","暂不做或人工复核")))))</x:f>
        <x:v>写知识教程/FAQ文章</x:v>
      </x:c>
      <x:c r="AC388" s="9" t="str">
        <x:v>Reviews - JUICY PEACH ICE - ExDivo FLORA 40K Disposable Vape - ExDivo</x:v>
      </x:c>
      <x:c r="AD388" s="10" t="str">
        <x:v>48</x:v>
      </x:c>
    </x:row>
    <x:row r="389">
      <x:c r="A389" s="34" t="n">
        <x:v>389</x:v>
      </x:c>
      <x:c r="B389" s="9" t="str">
        <x:v>https://exdivo.com/comments/exdivo-flora-40k-disposable-vape_0a54c488?writeComment=true</x:v>
      </x:c>
      <x:c r="C389" s="9" t="str">
        <x:v>juicy peach ice vape review</x:v>
      </x:c>
      <x:c r="D389" s="9" t="str">
        <x:v>recommended</x:v>
      </x:c>
      <x:c r="E389" s="36" t="n">
        <x:v>0</x:v>
      </x:c>
      <x:c r="F389" s="36" t="n">
        <x:v>0</x:v>
      </x:c>
      <x:c r="G389" s="9" t="str">
        <x:v>48</x:v>
      </x:c>
      <x:c r="H389" s="9" t="str">
        <x:v>对比评测</x:v>
      </x:c>
      <x:c r="I389" s="9" t="str">
        <x:v>商业调查词</x:v>
      </x:c>
      <x:c r="J389" s="9" t="str">
        <x:v>博客C-对比评测</x:v>
      </x:c>
      <x:c r="K389" s="9" t="str"/>
      <x:c r="L389" s="9" t="str">
        <x:f>IF(K389="",J389,K389)</x:f>
        <x:v>博客C-对比评测</x:v>
      </x:c>
      <x:c r="M389" s="9" t="str">
        <x:v>Best/Top/Review/VS/替代方案文章</x:v>
      </x:c>
      <x:c r="N389" s="9" t="str">
        <x:v>Best angle: juicy peach ice vape review - comparison, pros/cons, and which option fits different buyers</x:v>
      </x:c>
      <x:c r="O389" s="9" t="str">
        <x:v>/collections/disposable-vapes</x:v>
      </x:c>
      <x:c r="P389" s="9" t="str">
        <x:v>是</x:v>
      </x:c>
      <x:c r="Q389" s="9" t="str">
        <x:v>自然句/品类词/品牌词</x:v>
      </x:c>
      <x:c r="R389" s="9" t="str">
        <x:v>中风险：榜单和评测必须真实、中立，避免夸大</x:v>
      </x:c>
      <x:c r="S389" s="9" t="str">
        <x:v>这类词不直接给主站，先用博客C教育和比较，再导流到最相关集合页。</x:v>
      </x:c>
      <x:c r="T389" s="38" t="n">
        <x:v>1</x:v>
      </x:c>
      <x:c r="U389" s="38" t="n">
        <x:v>15</x:v>
      </x:c>
      <x:c r="V389" s="38" t="n">
        <x:v>16</x:v>
      </x:c>
      <x:c r="W389" s="38" t="n">
        <x:v>15</x:v>
      </x:c>
      <x:c r="X389" s="38" t="n">
        <x:v>13</x:v>
      </x:c>
      <x:c r="Y389" s="38" t="n">
        <x:v>6</x:v>
      </x:c>
      <x:c r="Z389" s="38" t="n">
        <x:f>MAX(0,MIN(100,ROUND(((T389+U389+V389+W389+X389)-Y389)/85*100,0)))</x:f>
        <x:v>64</x:v>
      </x:c>
      <x:c r="AA389" s="9" t="str">
        <x:f>IF(L389="暂不做","P3 暂缓",IF(Z389&gt;=75,"P0 本周做",IF(Z389&gt;=60,"P1 近期做",IF(Z389&gt;=45,"P2 备选","P3 暂缓"))))</x:f>
        <x:v>P1 近期做</x:v>
      </x:c>
      <x:c r="AB389" s="9" t="str">
        <x:f>IF(Y389&gt;=15,"先做合规/相关性复核，不建议直接商业导流",IF(L389="主站","建/优化主站商业页",IF(L389="博客A-知识教程","写知识教程/FAQ文章",IF(L389="博客B-场景人群","写场景需求/选购指南文章",IF(L389="博客C-对比评测","写对比评测/榜单文章","暂不做或人工复核")))))</x:f>
        <x:v>写对比评测/榜单文章</x:v>
      </x:c>
      <x:c r="AC389" s="9" t="str">
        <x:v>Reviews - JUICY PEACH ICE - ExDivo FLORA 40K Disposable Vape - ExDivo</x:v>
      </x:c>
      <x:c r="AD389" s="10" t="str">
        <x:v>48</x:v>
      </x:c>
    </x:row>
    <x:row r="390">
      <x:c r="A390" s="34" t="n">
        <x:v>390</x:v>
      </x:c>
      <x:c r="B390" s="9" t="str">
        <x:v>https://exdivo.com/comments/exdivo-flora-40k-disposable-vape_0a54c488?writeComment=true</x:v>
      </x:c>
      <x:c r="C390" s="9" t="str">
        <x:v>best peach ice disposable vape</x:v>
      </x:c>
      <x:c r="D390" s="9" t="str">
        <x:v>recommended</x:v>
      </x:c>
      <x:c r="E390" s="36" t="n">
        <x:v>0</x:v>
      </x:c>
      <x:c r="F390" s="36" t="n">
        <x:v>0</x:v>
      </x:c>
      <x:c r="G390" s="9" t="str">
        <x:v>48</x:v>
      </x:c>
      <x:c r="H390" s="9" t="str">
        <x:v>Disposable Vape</x:v>
      </x:c>
      <x:c r="I390" s="9" t="str">
        <x:v>商业调查词</x:v>
      </x:c>
      <x:c r="J390" s="9" t="str">
        <x:v>博客C-对比评测</x:v>
      </x:c>
      <x:c r="K390" s="9" t="str"/>
      <x:c r="L390" s="9" t="str">
        <x:f>IF(K390="",J390,K390)</x:f>
        <x:v>博客C-对比评测</x:v>
      </x:c>
      <x:c r="M390" s="9" t="str">
        <x:v>Best/Top/Review/VS/替代方案文章</x:v>
      </x:c>
      <x:c r="N390" s="9" t="str">
        <x:v>Best angle: best peach ice disposable vape - comparison, pros/cons, and which option fits different buyers</x:v>
      </x:c>
      <x:c r="O390" s="9" t="str">
        <x:v>/collections/disposable-vapes</x:v>
      </x:c>
      <x:c r="P390" s="9" t="str">
        <x:v>是</x:v>
      </x:c>
      <x:c r="Q390" s="9" t="str">
        <x:v>自然句/品类词/品牌词</x:v>
      </x:c>
      <x:c r="R390" s="9" t="str">
        <x:v>中风险：榜单和评测必须真实、中立，避免夸大</x:v>
      </x:c>
      <x:c r="S390" s="9" t="str">
        <x:v>这类词不直接给主站，先用博客C教育和比较，再导流到最相关集合页。</x:v>
      </x:c>
      <x:c r="T390" s="38" t="n">
        <x:v>1</x:v>
      </x:c>
      <x:c r="U390" s="38" t="n">
        <x:v>15</x:v>
      </x:c>
      <x:c r="V390" s="38" t="n">
        <x:v>16</x:v>
      </x:c>
      <x:c r="W390" s="38" t="n">
        <x:v>15</x:v>
      </x:c>
      <x:c r="X390" s="38" t="n">
        <x:v>13</x:v>
      </x:c>
      <x:c r="Y390" s="38" t="n">
        <x:v>6</x:v>
      </x:c>
      <x:c r="Z390" s="38" t="n">
        <x:f>MAX(0,MIN(100,ROUND(((T390+U390+V390+W390+X390)-Y390)/85*100,0)))</x:f>
        <x:v>64</x:v>
      </x:c>
      <x:c r="AA390" s="9" t="str">
        <x:f>IF(L390="暂不做","P3 暂缓",IF(Z390&gt;=75,"P0 本周做",IF(Z390&gt;=60,"P1 近期做",IF(Z390&gt;=45,"P2 备选","P3 暂缓"))))</x:f>
        <x:v>P1 近期做</x:v>
      </x:c>
      <x:c r="AB390" s="9" t="str">
        <x:f>IF(Y390&gt;=15,"先做合规/相关性复核，不建议直接商业导流",IF(L390="主站","建/优化主站商业页",IF(L390="博客A-知识教程","写知识教程/FAQ文章",IF(L390="博客B-场景人群","写场景需求/选购指南文章",IF(L390="博客C-对比评测","写对比评测/榜单文章","暂不做或人工复核")))))</x:f>
        <x:v>写对比评测/榜单文章</x:v>
      </x:c>
      <x:c r="AC390" s="9" t="str">
        <x:v>Reviews - JUICY PEACH ICE - ExDivo FLORA 40K Disposable Vape - ExDivo</x:v>
      </x:c>
      <x:c r="AD390" s="10" t="str">
        <x:v>48</x:v>
      </x:c>
    </x:row>
    <x:row r="391">
      <x:c r="A391" s="34" t="n">
        <x:v>391</x:v>
      </x:c>
      <x:c r="B391" s="9" t="str">
        <x:v>https://exdivo.com/comments/exdivo-flora-40k-disposable-vape_0a54c488?writeComment=true</x:v>
      </x:c>
      <x:c r="C391" s="9" t="str">
        <x:v>exdivo flora peach ice review</x:v>
      </x:c>
      <x:c r="D391" s="9" t="str">
        <x:v>recommended</x:v>
      </x:c>
      <x:c r="E391" s="36" t="n">
        <x:v>0</x:v>
      </x:c>
      <x:c r="F391" s="36" t="n">
        <x:v>0</x:v>
      </x:c>
      <x:c r="G391" s="9" t="str">
        <x:v>48</x:v>
      </x:c>
      <x:c r="H391" s="9" t="str">
        <x:v>对比评测</x:v>
      </x:c>
      <x:c r="I391" s="9" t="str">
        <x:v>商业调查词</x:v>
      </x:c>
      <x:c r="J391" s="9" t="str">
        <x:v>博客C-对比评测</x:v>
      </x:c>
      <x:c r="K391" s="9" t="str"/>
      <x:c r="L391" s="9" t="str">
        <x:f>IF(K391="",J391,K391)</x:f>
        <x:v>博客C-对比评测</x:v>
      </x:c>
      <x:c r="M391" s="9" t="str">
        <x:v>Best/Top/Review/VS/替代方案文章</x:v>
      </x:c>
      <x:c r="N391" s="9" t="str">
        <x:v>Best angle: exdivo flora peach ice review - comparison, pros/cons, and which option fits different buyers</x:v>
      </x:c>
      <x:c r="O391" s="9" t="str">
        <x:v>/collections/disposable-vapes</x:v>
      </x:c>
      <x:c r="P391" s="9" t="str">
        <x:v>是</x:v>
      </x:c>
      <x:c r="Q391" s="9" t="str">
        <x:v>自然句/品类词/品牌词</x:v>
      </x:c>
      <x:c r="R391" s="9" t="str">
        <x:v>中风险：榜单和评测必须真实、中立，避免夸大</x:v>
      </x:c>
      <x:c r="S391" s="9" t="str">
        <x:v>这类词不直接给主站，先用博客C教育和比较，再导流到最相关集合页。</x:v>
      </x:c>
      <x:c r="T391" s="38" t="n">
        <x:v>1</x:v>
      </x:c>
      <x:c r="U391" s="38" t="n">
        <x:v>15</x:v>
      </x:c>
      <x:c r="V391" s="38" t="n">
        <x:v>16</x:v>
      </x:c>
      <x:c r="W391" s="38" t="n">
        <x:v>15</x:v>
      </x:c>
      <x:c r="X391" s="38" t="n">
        <x:v>13</x:v>
      </x:c>
      <x:c r="Y391" s="38" t="n">
        <x:v>6</x:v>
      </x:c>
      <x:c r="Z391" s="38" t="n">
        <x:f>MAX(0,MIN(100,ROUND(((T391+U391+V391+W391+X391)-Y391)/85*100,0)))</x:f>
        <x:v>64</x:v>
      </x:c>
      <x:c r="AA391" s="9" t="str">
        <x:f>IF(L391="暂不做","P3 暂缓",IF(Z391&gt;=75,"P0 本周做",IF(Z391&gt;=60,"P1 近期做",IF(Z391&gt;=45,"P2 备选","P3 暂缓"))))</x:f>
        <x:v>P1 近期做</x:v>
      </x:c>
      <x:c r="AB391" s="9" t="str">
        <x:f>IF(Y391&gt;=15,"先做合规/相关性复核，不建议直接商业导流",IF(L391="主站","建/优化主站商业页",IF(L391="博客A-知识教程","写知识教程/FAQ文章",IF(L391="博客B-场景人群","写场景需求/选购指南文章",IF(L391="博客C-对比评测","写对比评测/榜单文章","暂不做或人工复核")))))</x:f>
        <x:v>写对比评测/榜单文章</x:v>
      </x:c>
      <x:c r="AC391" s="9" t="str">
        <x:v>Reviews - JUICY PEACH ICE - ExDivo FLORA 40K Disposable Vape - ExDivo</x:v>
      </x:c>
      <x:c r="AD391" s="10" t="str">
        <x:v>48</x:v>
      </x:c>
    </x:row>
    <x:row r="392">
      <x:c r="A392" s="34" t="n">
        <x:v>392</x:v>
      </x:c>
      <x:c r="B392" s="9" t="str">
        <x:v>https://exdivo.com/comments/exdivo-flora-40k-disposable-vape_0a54c488?writeComment=true</x:v>
      </x:c>
      <x:c r="C392" s="9" t="str">
        <x:v>juicy peach ice vape</x:v>
      </x:c>
      <x:c r="D392" s="9" t="str">
        <x:v>recommended</x:v>
      </x:c>
      <x:c r="E392" s="36" t="n">
        <x:v>70</x:v>
      </x:c>
      <x:c r="F392" s="36" t="n">
        <x:v>1</x:v>
      </x:c>
      <x:c r="G392" s="9" t="str">
        <x:v>informational</x:v>
      </x:c>
      <x:c r="H392" s="9" t="str">
        <x:v>General Vape</x:v>
      </x:c>
      <x:c r="I392" s="9" t="str">
        <x:v>知识/教程词</x:v>
      </x:c>
      <x:c r="J392" s="9" t="str">
        <x:v>博客A-知识教程</x:v>
      </x:c>
      <x:c r="K392" s="9" t="str"/>
      <x:c r="L392" s="9" t="str">
        <x:f>IF(K392="",J392,K392)</x:f>
        <x:v>博客A-知识教程</x:v>
      </x:c>
      <x:c r="M392" s="9" t="str">
        <x:v>百科/How-to/FAQ文章</x:v>
      </x:c>
      <x:c r="N392" s="9" t="str">
        <x:v>Guide angle: explain juicy peach ice vape, answer common questions, and avoid sales-first writing</x:v>
      </x:c>
      <x:c r="O392" s="9" t="str">
        <x:v>/collections/disposable-vapes</x:v>
      </x:c>
      <x:c r="P392" s="9" t="str">
        <x:v>谨慎</x:v>
      </x:c>
      <x:c r="Q392" s="9" t="str">
        <x:v>自然句/品牌词</x:v>
      </x:c>
      <x:c r="R392" s="9" t="str">
        <x:v>低中风险：先满足信息意图，导流要克制</x:v>
      </x:c>
      <x:c r="S392" s="9" t="str">
        <x:v>如果文章能自然回答下一步购买问题，再放 1 个主站内链；否则只做知识闭环。</x:v>
      </x:c>
      <x:c r="T392" s="38" t="n">
        <x:v>4</x:v>
      </x:c>
      <x:c r="U392" s="38" t="n">
        <x:v>15</x:v>
      </x:c>
      <x:c r="V392" s="38" t="n">
        <x:v>9</x:v>
      </x:c>
      <x:c r="W392" s="38" t="n">
        <x:v>14</x:v>
      </x:c>
      <x:c r="X392" s="38" t="n">
        <x:v>12</x:v>
      </x:c>
      <x:c r="Y392" s="38" t="n">
        <x:v>5</x:v>
      </x:c>
      <x:c r="Z392" s="38" t="n">
        <x:f>MAX(0,MIN(100,ROUND(((T392+U392+V392+W392+X392)-Y392)/85*100,0)))</x:f>
        <x:v>58</x:v>
      </x:c>
      <x:c r="AA392" s="9" t="str">
        <x:f>IF(L392="暂不做","P3 暂缓",IF(Z392&gt;=75,"P0 本周做",IF(Z392&gt;=60,"P1 近期做",IF(Z392&gt;=45,"P2 备选","P3 暂缓"))))</x:f>
        <x:v>P2 备选</x:v>
      </x:c>
      <x:c r="AB392" s="9" t="str">
        <x:f>IF(Y392&gt;=15,"先做合规/相关性复核，不建议直接商业导流",IF(L392="主站","建/优化主站商业页",IF(L392="博客A-知识教程","写知识教程/FAQ文章",IF(L392="博客B-场景人群","写场景需求/选购指南文章",IF(L392="博客C-对比评测","写对比评测/榜单文章","暂不做或人工复核")))))</x:f>
        <x:v>写知识教程/FAQ文章</x:v>
      </x:c>
      <x:c r="AC392" s="9" t="str">
        <x:v>Reviews - JUICY PEACH ICE - ExDivo FLORA 40K Disposable Vape - ExDivo</x:v>
      </x:c>
      <x:c r="AD392" s="10" t="str">
        <x:v>48</x:v>
      </x:c>
    </x:row>
    <x:row r="393">
      <x:c r="A393" s="34" t="n">
        <x:v>393</x:v>
      </x:c>
      <x:c r="B393" s="9" t="str">
        <x:v>https://exdivo.com/comments/exdivo-flora-40k-disposable-vape_0a54c488?writeComment=true</x:v>
      </x:c>
      <x:c r="C393" s="9" t="str">
        <x:v>juicy peach vape</x:v>
      </x:c>
      <x:c r="D393" s="9" t="str">
        <x:v>recommended</x:v>
      </x:c>
      <x:c r="E393" s="36" t="n">
        <x:v>140</x:v>
      </x:c>
      <x:c r="F393" s="36" t="n">
        <x:v>2</x:v>
      </x:c>
      <x:c r="G393" s="9" t="str">
        <x:v>informational</x:v>
      </x:c>
      <x:c r="H393" s="9" t="str">
        <x:v>General Vape</x:v>
      </x:c>
      <x:c r="I393" s="9" t="str">
        <x:v>品类承接词</x:v>
      </x:c>
      <x:c r="J393" s="9" t="str">
        <x:v>主站</x:v>
      </x:c>
      <x:c r="K393" s="9" t="str"/>
      <x:c r="L393" s="9" t="str">
        <x:f>IF(K393="",J393,K393)</x:f>
        <x:v>主站</x:v>
      </x:c>
      <x:c r="M393" s="9" t="str">
        <x:v>品类页/集合页 + FAQ内容块</x:v>
      </x:c>
      <x:c r="N393" s="9" t="str">
        <x:v>主站品类页：用产品集合 + 选购说明承接</x:v>
      </x:c>
      <x:c r="O393" s="9" t="str">
        <x:v>/collections/disposable-vapes</x:v>
      </x:c>
      <x:c r="P393" s="9" t="str">
        <x:v>不适用</x:v>
      </x:c>
      <x:c r="Q393" s="9" t="str">
        <x:v>主站页面自身承接</x:v>
      </x:c>
      <x:c r="R393" s="9" t="str">
        <x:v>核心品类词：主站优先，博客只做长尾解释，不直接抢同一词</x:v>
      </x:c>
      <x:c r="S393" s="9" t="str">
        <x:v>如果 Google 首页产品页和指南混合，主站页要加 FAQ、选购指南、对比模块。</x:v>
      </x:c>
      <x:c r="T393" s="38" t="n">
        <x:v>7</x:v>
      </x:c>
      <x:c r="U393" s="38" t="n">
        <x:v>15</x:v>
      </x:c>
      <x:c r="V393" s="38" t="n">
        <x:v>16</x:v>
      </x:c>
      <x:c r="W393" s="38" t="n">
        <x:v>8</x:v>
      </x:c>
      <x:c r="X393" s="38" t="n">
        <x:v>15</x:v>
      </x:c>
      <x:c r="Y393" s="38" t="n">
        <x:v>4</x:v>
      </x:c>
      <x:c r="Z393" s="38" t="n">
        <x:f>MAX(0,MIN(100,ROUND(((T393+U393+V393+W393+X393)-Y393)/85*100,0)))</x:f>
        <x:v>67</x:v>
      </x:c>
      <x:c r="AA393" s="9" t="str">
        <x:f>IF(L393="暂不做","P3 暂缓",IF(Z393&gt;=75,"P0 本周做",IF(Z393&gt;=60,"P1 近期做",IF(Z393&gt;=45,"P2 备选","P3 暂缓"))))</x:f>
        <x:v>P1 近期做</x:v>
      </x:c>
      <x:c r="AB393" s="9" t="str">
        <x:f>IF(Y393&gt;=15,"先做合规/相关性复核，不建议直接商业导流",IF(L393="主站","建/优化主站商业页",IF(L393="博客A-知识教程","写知识教程/FAQ文章",IF(L393="博客B-场景人群","写场景需求/选购指南文章",IF(L393="博客C-对比评测","写对比评测/榜单文章","暂不做或人工复核")))))</x:f>
        <x:v>建/优化主站商业页</x:v>
      </x:c>
      <x:c r="AC393" s="9" t="str">
        <x:v>Reviews - JUICY PEACH ICE - ExDivo FLORA 40K Disposable Vape - ExDivo</x:v>
      </x:c>
      <x:c r="AD393" s="10" t="str">
        <x:v>48</x:v>
      </x:c>
    </x:row>
    <x:row r="394">
      <x:c r="A394" s="34" t="n">
        <x:v>394</x:v>
      </x:c>
      <x:c r="B394" s="9" t="str">
        <x:v>https://exdivo.com/comments/exdivo-flora-40k-disposable-vape_0a54c488?writeComment=true</x:v>
      </x:c>
      <x:c r="C394" s="9" t="str">
        <x:v>peach disposable vape</x:v>
      </x:c>
      <x:c r="D394" s="9" t="str">
        <x:v>recommended</x:v>
      </x:c>
      <x:c r="E394" s="36" t="n">
        <x:v>90</x:v>
      </x:c>
      <x:c r="F394" s="36" t="n">
        <x:v>7</x:v>
      </x:c>
      <x:c r="G394" s="9" t="str">
        <x:v>informational</x:v>
      </x:c>
      <x:c r="H394" s="9" t="str">
        <x:v>Disposable Vape</x:v>
      </x:c>
      <x:c r="I394" s="9" t="str">
        <x:v>品类承接词</x:v>
      </x:c>
      <x:c r="J394" s="9" t="str">
        <x:v>主站</x:v>
      </x:c>
      <x:c r="K394" s="9" t="str"/>
      <x:c r="L394" s="9" t="str">
        <x:f>IF(K394="",J394,K394)</x:f>
        <x:v>主站</x:v>
      </x:c>
      <x:c r="M394" s="9" t="str">
        <x:v>品类页/集合页 + FAQ内容块</x:v>
      </x:c>
      <x:c r="N394" s="9" t="str">
        <x:v>主站品类页：用产品集合 + 选购说明承接</x:v>
      </x:c>
      <x:c r="O394" s="9" t="str">
        <x:v>/collections/disposable-vapes</x:v>
      </x:c>
      <x:c r="P394" s="9" t="str">
        <x:v>不适用</x:v>
      </x:c>
      <x:c r="Q394" s="9" t="str">
        <x:v>主站页面自身承接</x:v>
      </x:c>
      <x:c r="R394" s="9" t="str">
        <x:v>核心品类词：主站优先，博客只做长尾解释，不直接抢同一词</x:v>
      </x:c>
      <x:c r="S394" s="9" t="str">
        <x:v>如果 Google 首页产品页和指南混合，主站页要加 FAQ、选购指南、对比模块。</x:v>
      </x:c>
      <x:c r="T394" s="38" t="n">
        <x:v>4</x:v>
      </x:c>
      <x:c r="U394" s="38" t="n">
        <x:v>15</x:v>
      </x:c>
      <x:c r="V394" s="38" t="n">
        <x:v>16</x:v>
      </x:c>
      <x:c r="W394" s="38" t="n">
        <x:v>8</x:v>
      </x:c>
      <x:c r="X394" s="38" t="n">
        <x:v>15</x:v>
      </x:c>
      <x:c r="Y394" s="38" t="n">
        <x:v>4</x:v>
      </x:c>
      <x:c r="Z394" s="38" t="n">
        <x:f>MAX(0,MIN(100,ROUND(((T394+U394+V394+W394+X394)-Y394)/85*100,0)))</x:f>
        <x:v>64</x:v>
      </x:c>
      <x:c r="AA394" s="9" t="str">
        <x:f>IF(L394="暂不做","P3 暂缓",IF(Z394&gt;=75,"P0 本周做",IF(Z394&gt;=60,"P1 近期做",IF(Z394&gt;=45,"P2 备选","P3 暂缓"))))</x:f>
        <x:v>P1 近期做</x:v>
      </x:c>
      <x:c r="AB394" s="9" t="str">
        <x:f>IF(Y394&gt;=15,"先做合规/相关性复核，不建议直接商业导流",IF(L394="主站","建/优化主站商业页",IF(L394="博客A-知识教程","写知识教程/FAQ文章",IF(L394="博客B-场景人群","写场景需求/选购指南文章",IF(L394="博客C-对比评测","写对比评测/榜单文章","暂不做或人工复核")))))</x:f>
        <x:v>建/优化主站商业页</x:v>
      </x:c>
      <x:c r="AC394" s="9" t="str">
        <x:v>Reviews - JUICY PEACH ICE - ExDivo FLORA 40K Disposable Vape - ExDivo</x:v>
      </x:c>
      <x:c r="AD394" s="10" t="str">
        <x:v>48</x:v>
      </x:c>
    </x:row>
    <x:row r="395">
      <x:c r="A395" s="34" t="n">
        <x:v>395</x:v>
      </x:c>
      <x:c r="B395" s="9" t="str">
        <x:v>https://exdivo.com/comments/exdivo-flora-40k-disposable-vape_0a54c488?writeComment=true</x:v>
      </x:c>
      <x:c r="C395" s="9" t="str">
        <x:v>peach ice vape</x:v>
      </x:c>
      <x:c r="D395" s="9" t="str">
        <x:v>recommended</x:v>
      </x:c>
      <x:c r="E395" s="36" t="n">
        <x:v>480</x:v>
      </x:c>
      <x:c r="F395" s="36" t="n">
        <x:v>7</x:v>
      </x:c>
      <x:c r="G395" s="9" t="str">
        <x:v>informational</x:v>
      </x:c>
      <x:c r="H395" s="9" t="str">
        <x:v>General Vape</x:v>
      </x:c>
      <x:c r="I395" s="9" t="str">
        <x:v>品类承接词</x:v>
      </x:c>
      <x:c r="J395" s="9" t="str">
        <x:v>主站</x:v>
      </x:c>
      <x:c r="K395" s="9" t="str"/>
      <x:c r="L395" s="9" t="str">
        <x:f>IF(K395="",J395,K395)</x:f>
        <x:v>主站</x:v>
      </x:c>
      <x:c r="M395" s="9" t="str">
        <x:v>品类页/集合页 + FAQ内容块</x:v>
      </x:c>
      <x:c r="N395" s="9" t="str">
        <x:v>主站品类页：用产品集合 + 选购说明承接</x:v>
      </x:c>
      <x:c r="O395" s="9" t="str">
        <x:v>/collections/disposable-vapes</x:v>
      </x:c>
      <x:c r="P395" s="9" t="str">
        <x:v>不适用</x:v>
      </x:c>
      <x:c r="Q395" s="9" t="str">
        <x:v>主站页面自身承接</x:v>
      </x:c>
      <x:c r="R395" s="9" t="str">
        <x:v>核心品类词：主站优先，博客只做长尾解释，不直接抢同一词</x:v>
      </x:c>
      <x:c r="S395" s="9" t="str">
        <x:v>如果 Google 首页产品页和指南混合，主站页要加 FAQ、选购指南、对比模块。</x:v>
      </x:c>
      <x:c r="T395" s="38" t="n">
        <x:v>7</x:v>
      </x:c>
      <x:c r="U395" s="38" t="n">
        <x:v>15</x:v>
      </x:c>
      <x:c r="V395" s="38" t="n">
        <x:v>16</x:v>
      </x:c>
      <x:c r="W395" s="38" t="n">
        <x:v>8</x:v>
      </x:c>
      <x:c r="X395" s="38" t="n">
        <x:v>15</x:v>
      </x:c>
      <x:c r="Y395" s="38" t="n">
        <x:v>4</x:v>
      </x:c>
      <x:c r="Z395" s="38" t="n">
        <x:f>MAX(0,MIN(100,ROUND(((T395+U395+V395+W395+X395)-Y395)/85*100,0)))</x:f>
        <x:v>67</x:v>
      </x:c>
      <x:c r="AA395" s="9" t="str">
        <x:f>IF(L395="暂不做","P3 暂缓",IF(Z395&gt;=75,"P0 本周做",IF(Z395&gt;=60,"P1 近期做",IF(Z395&gt;=45,"P2 备选","P3 暂缓"))))</x:f>
        <x:v>P1 近期做</x:v>
      </x:c>
      <x:c r="AB395" s="9" t="str">
        <x:f>IF(Y395&gt;=15,"先做合规/相关性复核，不建议直接商业导流",IF(L395="主站","建/优化主站商业页",IF(L395="博客A-知识教程","写知识教程/FAQ文章",IF(L395="博客B-场景人群","写场景需求/选购指南文章",IF(L395="博客C-对比评测","写对比评测/榜单文章","暂不做或人工复核")))))</x:f>
        <x:v>建/优化主站商业页</x:v>
      </x:c>
      <x:c r="AC395" s="9" t="str">
        <x:v>Reviews - JUICY PEACH ICE - ExDivo FLORA 40K Disposable Vape - ExDivo</x:v>
      </x:c>
      <x:c r="AD395" s="10" t="str">
        <x:v>48</x:v>
      </x:c>
    </x:row>
    <x:row r="396">
      <x:c r="A396" s="34" t="n">
        <x:v>396</x:v>
      </x:c>
      <x:c r="B396" s="9" t="str">
        <x:v>https://exdivo.com/collections/brightmirror?page=1</x:v>
      </x:c>
      <x:c r="C396" s="9" t="str">
        <x:v>bright mirror vape accessories</x:v>
      </x:c>
      <x:c r="D396" s="9" t="str">
        <x:v>recommended</x:v>
      </x:c>
      <x:c r="E396" s="36" t="n">
        <x:v>0</x:v>
      </x:c>
      <x:c r="F396" s="36" t="n">
        <x:v>0</x:v>
      </x:c>
      <x:c r="G396" s="9" t="str">
        <x:v>48</x:v>
      </x:c>
      <x:c r="H396" s="9" t="str">
        <x:v>General Vape</x:v>
      </x:c>
      <x:c r="I396" s="9" t="str">
        <x:v>内容词</x:v>
      </x:c>
      <x:c r="J396" s="9" t="str">
        <x:v>博客A-知识教程</x:v>
      </x:c>
      <x:c r="K396" s="9" t="str"/>
      <x:c r="L396" s="9" t="str">
        <x:f>IF(K396="",J396,K396)</x:f>
        <x:v>博客A-知识教程</x:v>
      </x:c>
      <x:c r="M396" s="9" t="str">
        <x:v>知识/教程文章</x:v>
      </x:c>
      <x:c r="N396" s="9" t="str">
        <x:v>Guide angle: explain bright mirror vape accessories, answer common questions, and avoid sales-first writing</x:v>
      </x:c>
      <x:c r="O396" s="9" t="str">
        <x:v>/collections/disposable-vapes 或最接近的产品集合页</x:v>
      </x:c>
      <x:c r="P396" s="9" t="str">
        <x:v>谨慎</x:v>
      </x:c>
      <x:c r="Q396" s="9" t="str">
        <x:v>品牌词/自然句</x:v>
      </x:c>
      <x:c r="R396" s="9" t="str">
        <x:v>低风险：按常规内容质量和搜索意图校验</x:v>
      </x:c>
      <x:c r="S396" s="9" t="str">
        <x:v>先看 Google SERP：如果首页多数为产品集合页，改回主站；如果多数为教程/问答，保持博客。</x:v>
      </x:c>
      <x:c r="T396" s="38" t="n">
        <x:v>1</x:v>
      </x:c>
      <x:c r="U396" s="38" t="n">
        <x:v>15</x:v>
      </x:c>
      <x:c r="V396" s="38" t="n">
        <x:v>10</x:v>
      </x:c>
      <x:c r="W396" s="38" t="n">
        <x:v>12</x:v>
      </x:c>
      <x:c r="X396" s="38" t="n">
        <x:v>12</x:v>
      </x:c>
      <x:c r="Y396" s="38" t="n">
        <x:v>4</x:v>
      </x:c>
      <x:c r="Z396" s="38" t="n">
        <x:f>MAX(0,MIN(100,ROUND(((T396+U396+V396+W396+X396)-Y396)/85*100,0)))</x:f>
        <x:v>54</x:v>
      </x:c>
      <x:c r="AA396" s="9" t="str">
        <x:f>IF(L396="暂不做","P3 暂缓",IF(Z396&gt;=75,"P0 本周做",IF(Z396&gt;=60,"P1 近期做",IF(Z396&gt;=45,"P2 备选","P3 暂缓"))))</x:f>
        <x:v>P2 备选</x:v>
      </x:c>
      <x:c r="AB396" s="9" t="str">
        <x:f>IF(Y396&gt;=15,"先做合规/相关性复核，不建议直接商业导流",IF(L396="主站","建/优化主站商业页",IF(L396="博客A-知识教程","写知识教程/FAQ文章",IF(L396="博客B-场景人群","写场景需求/选购指南文章",IF(L396="博客C-对比评测","写对比评测/榜单文章","暂不做或人工复核")))))</x:f>
        <x:v>写知识教程/FAQ文章</x:v>
      </x:c>
      <x:c r="AC396" s="9" t="str">
        <x:v>exdivo collections bright mirror</x:v>
      </x:c>
      <x:c r="AD396" s="10" t="str">
        <x:v>bright mirror</x:v>
      </x:c>
    </x:row>
    <x:row r="397">
      <x:c r="A397" s="34" t="n">
        <x:v>397</x:v>
      </x:c>
      <x:c r="B397" s="9" t="str">
        <x:v>https://exdivo.com/collections/brightmirror?page=1</x:v>
      </x:c>
      <x:c r="C397" s="9" t="str">
        <x:v>stylish vape products</x:v>
      </x:c>
      <x:c r="D397" s="9" t="str">
        <x:v>recommended</x:v>
      </x:c>
      <x:c r="E397" s="36" t="n">
        <x:v>0</x:v>
      </x:c>
      <x:c r="F397" s="36" t="n">
        <x:v>0</x:v>
      </x:c>
      <x:c r="G397" s="9" t="str">
        <x:v>48</x:v>
      </x:c>
      <x:c r="H397" s="9" t="str">
        <x:v>General Vape</x:v>
      </x:c>
      <x:c r="I397" s="9" t="str">
        <x:v>品类承接词</x:v>
      </x:c>
      <x:c r="J397" s="9" t="str">
        <x:v>主站</x:v>
      </x:c>
      <x:c r="K397" s="9" t="str"/>
      <x:c r="L397" s="9" t="str">
        <x:f>IF(K397="",J397,K397)</x:f>
        <x:v>主站</x:v>
      </x:c>
      <x:c r="M397" s="9" t="str">
        <x:v>品类页/集合页 + FAQ内容块</x:v>
      </x:c>
      <x:c r="N397" s="9" t="str">
        <x:v>主站品类页：用产品集合 + 选购说明承接</x:v>
      </x:c>
      <x:c r="O397" s="9" t="str">
        <x:v>/collections/disposable-vapes</x:v>
      </x:c>
      <x:c r="P397" s="9" t="str">
        <x:v>不适用</x:v>
      </x:c>
      <x:c r="Q397" s="9" t="str">
        <x:v>主站页面自身承接</x:v>
      </x:c>
      <x:c r="R397" s="9" t="str">
        <x:v>核心品类词：主站优先，博客只做长尾解释，不直接抢同一词</x:v>
      </x:c>
      <x:c r="S397" s="9" t="str">
        <x:v>如果 Google 首页产品页和指南混合，主站页要加 FAQ、选购指南、对比模块。</x:v>
      </x:c>
      <x:c r="T397" s="38" t="n">
        <x:v>1</x:v>
      </x:c>
      <x:c r="U397" s="38" t="n">
        <x:v>15</x:v>
      </x:c>
      <x:c r="V397" s="38" t="n">
        <x:v>16</x:v>
      </x:c>
      <x:c r="W397" s="38" t="n">
        <x:v>8</x:v>
      </x:c>
      <x:c r="X397" s="38" t="n">
        <x:v>15</x:v>
      </x:c>
      <x:c r="Y397" s="38" t="n">
        <x:v>4</x:v>
      </x:c>
      <x:c r="Z397" s="38" t="n">
        <x:f>MAX(0,MIN(100,ROUND(((T397+U397+V397+W397+X397)-Y397)/85*100,0)))</x:f>
        <x:v>60</x:v>
      </x:c>
      <x:c r="AA397" s="9" t="str">
        <x:f>IF(L397="暂不做","P3 暂缓",IF(Z397&gt;=75,"P0 本周做",IF(Z397&gt;=60,"P1 近期做",IF(Z397&gt;=45,"P2 备选","P3 暂缓"))))</x:f>
        <x:v>P1 近期做</x:v>
      </x:c>
      <x:c r="AB397" s="9" t="str">
        <x:f>IF(Y397&gt;=15,"先做合规/相关性复核，不建议直接商业导流",IF(L397="主站","建/优化主站商业页",IF(L397="博客A-知识教程","写知识教程/FAQ文章",IF(L397="博客B-场景人群","写场景需求/选购指南文章",IF(L397="博客C-对比评测","写对比评测/榜单文章","暂不做或人工复核")))))</x:f>
        <x:v>建/优化主站商业页</x:v>
      </x:c>
      <x:c r="AC397" s="9" t="str">
        <x:v>exdivo collections bright mirror</x:v>
      </x:c>
      <x:c r="AD397" s="10" t="str">
        <x:v>bright mirror</x:v>
      </x:c>
    </x:row>
    <x:row r="398">
      <x:c r="A398" s="34" t="n">
        <x:v>398</x:v>
      </x:c>
      <x:c r="B398" s="9" t="str">
        <x:v>https://exdivo.com/collections/brightmirror?page=1</x:v>
      </x:c>
      <x:c r="C398" s="9" t="str">
        <x:v>unique vape accessories</x:v>
      </x:c>
      <x:c r="D398" s="9" t="str">
        <x:v>recommended</x:v>
      </x:c>
      <x:c r="E398" s="36" t="n">
        <x:v>0</x:v>
      </x:c>
      <x:c r="F398" s="36" t="n">
        <x:v>0</x:v>
      </x:c>
      <x:c r="G398" s="9" t="str">
        <x:v>48</x:v>
      </x:c>
      <x:c r="H398" s="9" t="str">
        <x:v>General Vape</x:v>
      </x:c>
      <x:c r="I398" s="9" t="str">
        <x:v>品类承接词</x:v>
      </x:c>
      <x:c r="J398" s="9" t="str">
        <x:v>主站</x:v>
      </x:c>
      <x:c r="K398" s="9" t="str"/>
      <x:c r="L398" s="9" t="str">
        <x:f>IF(K398="",J398,K398)</x:f>
        <x:v>主站</x:v>
      </x:c>
      <x:c r="M398" s="9" t="str">
        <x:v>品类页/集合页 + FAQ内容块</x:v>
      </x:c>
      <x:c r="N398" s="9" t="str">
        <x:v>主站品类页：用产品集合 + 选购说明承接</x:v>
      </x:c>
      <x:c r="O398" s="9" t="str">
        <x:v>/collections/disposable-vapes</x:v>
      </x:c>
      <x:c r="P398" s="9" t="str">
        <x:v>不适用</x:v>
      </x:c>
      <x:c r="Q398" s="9" t="str">
        <x:v>主站页面自身承接</x:v>
      </x:c>
      <x:c r="R398" s="9" t="str">
        <x:v>核心品类词：主站优先，博客只做长尾解释，不直接抢同一词</x:v>
      </x:c>
      <x:c r="S398" s="9" t="str">
        <x:v>如果 Google 首页产品页和指南混合，主站页要加 FAQ、选购指南、对比模块。</x:v>
      </x:c>
      <x:c r="T398" s="38" t="n">
        <x:v>1</x:v>
      </x:c>
      <x:c r="U398" s="38" t="n">
        <x:v>15</x:v>
      </x:c>
      <x:c r="V398" s="38" t="n">
        <x:v>16</x:v>
      </x:c>
      <x:c r="W398" s="38" t="n">
        <x:v>8</x:v>
      </x:c>
      <x:c r="X398" s="38" t="n">
        <x:v>15</x:v>
      </x:c>
      <x:c r="Y398" s="38" t="n">
        <x:v>4</x:v>
      </x:c>
      <x:c r="Z398" s="38" t="n">
        <x:f>MAX(0,MIN(100,ROUND(((T398+U398+V398+W398+X398)-Y398)/85*100,0)))</x:f>
        <x:v>60</x:v>
      </x:c>
      <x:c r="AA398" s="9" t="str">
        <x:f>IF(L398="暂不做","P3 暂缓",IF(Z398&gt;=75,"P0 本周做",IF(Z398&gt;=60,"P1 近期做",IF(Z398&gt;=45,"P2 备选","P3 暂缓"))))</x:f>
        <x:v>P1 近期做</x:v>
      </x:c>
      <x:c r="AB398" s="9" t="str">
        <x:f>IF(Y398&gt;=15,"先做合规/相关性复核，不建议直接商业导流",IF(L398="主站","建/优化主站商业页",IF(L398="博客A-知识教程","写知识教程/FAQ文章",IF(L398="博客B-场景人群","写场景需求/选购指南文章",IF(L398="博客C-对比评测","写对比评测/榜单文章","暂不做或人工复核")))))</x:f>
        <x:v>建/优化主站商业页</x:v>
      </x:c>
      <x:c r="AC398" s="9" t="str">
        <x:v>exdivo collections bright mirror</x:v>
      </x:c>
      <x:c r="AD398" s="10" t="str">
        <x:v>bright mirror</x:v>
      </x:c>
    </x:row>
    <x:row r="399">
      <x:c r="A399" s="34" t="n">
        <x:v>399</x:v>
      </x:c>
      <x:c r="B399" s="9" t="str">
        <x:v>https://exdivo.com/collections/meifu/products/exdivo-flora-40k-disposable-vape_1053f57c?data_from=collection_detail&amp;spm=collection_detail.313027.collection_detail-11702364.9.</x:v>
      </x:c>
      <x:c r="C399" s="9" t="str">
        <x:v>puff disposable vape</x:v>
      </x:c>
      <x:c r="D399" s="9" t="str">
        <x:v>recommended</x:v>
      </x:c>
      <x:c r="E399" s="36" t="n">
        <x:v>40</x:v>
      </x:c>
      <x:c r="F399" s="36" t="n">
        <x:v>4</x:v>
      </x:c>
      <x:c r="G399" s="9" t="str">
        <x:v>informational, commercial</x:v>
      </x:c>
      <x:c r="H399" s="9" t="str">
        <x:v>Disposable Vape</x:v>
      </x:c>
      <x:c r="I399" s="9" t="str">
        <x:v>品类承接词</x:v>
      </x:c>
      <x:c r="J399" s="9" t="str">
        <x:v>主站</x:v>
      </x:c>
      <x:c r="K399" s="9" t="str"/>
      <x:c r="L399" s="9" t="str">
        <x:f>IF(K399="",J399,K399)</x:f>
        <x:v>主站</x:v>
      </x:c>
      <x:c r="M399" s="9" t="str">
        <x:v>品类页/集合页 + FAQ内容块</x:v>
      </x:c>
      <x:c r="N399" s="9" t="str">
        <x:v>主站品类页：用产品集合 + 选购说明承接</x:v>
      </x:c>
      <x:c r="O399" s="9" t="str">
        <x:v>/collections/disposable-vapes</x:v>
      </x:c>
      <x:c r="P399" s="9" t="str">
        <x:v>不适用</x:v>
      </x:c>
      <x:c r="Q399" s="9" t="str">
        <x:v>主站页面自身承接</x:v>
      </x:c>
      <x:c r="R399" s="9" t="str">
        <x:v>核心品类词：主站优先，博客只做长尾解释，不直接抢同一词</x:v>
      </x:c>
      <x:c r="S399" s="9" t="str">
        <x:v>如果 Google 首页产品页和指南混合，主站页要加 FAQ、选购指南、对比模块。</x:v>
      </x:c>
      <x:c r="T399" s="38" t="n">
        <x:v>4</x:v>
      </x:c>
      <x:c r="U399" s="38" t="n">
        <x:v>15</x:v>
      </x:c>
      <x:c r="V399" s="38" t="n">
        <x:v>18</x:v>
      </x:c>
      <x:c r="W399" s="38" t="n">
        <x:v>8</x:v>
      </x:c>
      <x:c r="X399" s="38" t="n">
        <x:v>15</x:v>
      </x:c>
      <x:c r="Y399" s="38" t="n">
        <x:v>4</x:v>
      </x:c>
      <x:c r="Z399" s="38" t="n">
        <x:f>MAX(0,MIN(100,ROUND(((T399+U399+V399+W399+X399)-Y399)/85*100,0)))</x:f>
        <x:v>66</x:v>
      </x:c>
      <x:c r="AA399" s="9" t="str">
        <x:f>IF(L399="暂不做","P3 暂缓",IF(Z399&gt;=75,"P0 本周做",IF(Z399&gt;=60,"P1 近期做",IF(Z399&gt;=45,"P2 备选","P3 暂缓"))))</x:f>
        <x:v>P1 近期做</x:v>
      </x:c>
      <x:c r="AB399" s="9" t="str">
        <x:f>IF(Y399&gt;=15,"先做合规/相关性复核，不建议直接商业导流",IF(L399="主站","建/优化主站商业页",IF(L399="博客A-知识教程","写知识教程/FAQ文章",IF(L399="博客B-场景人群","写场景需求/选购指南文章",IF(L399="博客C-对比评测","写对比评测/榜单文章","暂不做或人工复核")))))</x:f>
        <x:v>建/优化主站商业页</x:v>
      </x:c>
      <x:c r="AC399" s="9" t="str">
        <x:v>ExDivo FLORA 40K Disposable Vape</x:v>
      </x:c>
      <x:c r="AD399" s="10" t="str">
        <x:v>40000 puffs</x:v>
      </x:c>
    </x:row>
    <x:row r="400">
      <x:c r="A400" s="34" t="n">
        <x:v>400</x:v>
      </x:c>
      <x:c r="B400" s="9" t="str">
        <x:v>https://exdivo.com/collections/meifu/products/exdivo-flora-40k-disposable-vape_1053f57c?data_from=collection_detail&amp;spm=collection_detail.313027.collection_detail-11702364.9.</x:v>
      </x:c>
      <x:c r="C400" s="9" t="str">
        <x:v>big puff disposable vapes</x:v>
      </x:c>
      <x:c r="D400" s="9" t="str">
        <x:v>recommended</x:v>
      </x:c>
      <x:c r="E400" s="36" t="n">
        <x:v>50</x:v>
      </x:c>
      <x:c r="F400" s="36" t="n">
        <x:v>9</x:v>
      </x:c>
      <x:c r="G400" s="9" t="str">
        <x:v>commercial</x:v>
      </x:c>
      <x:c r="H400" s="9" t="str">
        <x:v>Disposable Vape</x:v>
      </x:c>
      <x:c r="I400" s="9" t="str">
        <x:v>品类承接词</x:v>
      </x:c>
      <x:c r="J400" s="9" t="str">
        <x:v>主站</x:v>
      </x:c>
      <x:c r="K400" s="9" t="str"/>
      <x:c r="L400" s="9" t="str">
        <x:f>IF(K400="",J400,K400)</x:f>
        <x:v>主站</x:v>
      </x:c>
      <x:c r="M400" s="9" t="str">
        <x:v>品类页/集合页 + FAQ内容块</x:v>
      </x:c>
      <x:c r="N400" s="9" t="str">
        <x:v>主站品类页：用产品集合 + 选购说明承接</x:v>
      </x:c>
      <x:c r="O400" s="9" t="str">
        <x:v>/collections/disposable-vapes</x:v>
      </x:c>
      <x:c r="P400" s="9" t="str">
        <x:v>不适用</x:v>
      </x:c>
      <x:c r="Q400" s="9" t="str">
        <x:v>主站页面自身承接</x:v>
      </x:c>
      <x:c r="R400" s="9" t="str">
        <x:v>核心品类词：主站优先，博客只做长尾解释，不直接抢同一词</x:v>
      </x:c>
      <x:c r="S400" s="9" t="str">
        <x:v>如果 Google 首页产品页和指南混合，主站页要加 FAQ、选购指南、对比模块。</x:v>
      </x:c>
      <x:c r="T400" s="38" t="n">
        <x:v>4</x:v>
      </x:c>
      <x:c r="U400" s="38" t="n">
        <x:v>15</x:v>
      </x:c>
      <x:c r="V400" s="38" t="n">
        <x:v>18</x:v>
      </x:c>
      <x:c r="W400" s="38" t="n">
        <x:v>8</x:v>
      </x:c>
      <x:c r="X400" s="38" t="n">
        <x:v>15</x:v>
      </x:c>
      <x:c r="Y400" s="38" t="n">
        <x:v>4</x:v>
      </x:c>
      <x:c r="Z400" s="38" t="n">
        <x:f>MAX(0,MIN(100,ROUND(((T400+U400+V400+W400+X400)-Y400)/85*100,0)))</x:f>
        <x:v>66</x:v>
      </x:c>
      <x:c r="AA400" s="9" t="str">
        <x:f>IF(L400="暂不做","P3 暂缓",IF(Z400&gt;=75,"P0 本周做",IF(Z400&gt;=60,"P1 近期做",IF(Z400&gt;=45,"P2 备选","P3 暂缓"))))</x:f>
        <x:v>P1 近期做</x:v>
      </x:c>
      <x:c r="AB400" s="9" t="str">
        <x:f>IF(Y400&gt;=15,"先做合规/相关性复核，不建议直接商业导流",IF(L400="主站","建/优化主站商业页",IF(L400="博客A-知识教程","写知识教程/FAQ文章",IF(L400="博客B-场景人群","写场景需求/选购指南文章",IF(L400="博客C-对比评测","写对比评测/榜单文章","暂不做或人工复核")))))</x:f>
        <x:v>建/优化主站商业页</x:v>
      </x:c>
      <x:c r="AC400" s="9" t="str">
        <x:v>ExDivo FLORA 40K Disposable Vape</x:v>
      </x:c>
      <x:c r="AD400" s="10" t="str">
        <x:v>40000 puffs</x:v>
      </x:c>
    </x:row>
    <x:row r="401">
      <x:c r="A401" s="34" t="n">
        <x:v>401</x:v>
      </x:c>
      <x:c r="B401" s="9" t="str">
        <x:v>https://exdivo.com/collections/meifu/products/exdivo-flora-40k-disposable-vape_1053f57c?data_from=collection_detail&amp;spm=collection_detail.313027.collection_detail-11702364.9.</x:v>
      </x:c>
      <x:c r="C401" s="9" t="str">
        <x:v>highest puff disposable vape</x:v>
      </x:c>
      <x:c r="D401" s="9" t="str">
        <x:v>recommended</x:v>
      </x:c>
      <x:c r="E401" s="36" t="n">
        <x:v>40</x:v>
      </x:c>
      <x:c r="F401" s="36" t="n">
        <x:v>18</x:v>
      </x:c>
      <x:c r="G401" s="9" t="str">
        <x:v>commercial</x:v>
      </x:c>
      <x:c r="H401" s="9" t="str">
        <x:v>Disposable Vape</x:v>
      </x:c>
      <x:c r="I401" s="9" t="str">
        <x:v>品类承接词</x:v>
      </x:c>
      <x:c r="J401" s="9" t="str">
        <x:v>主站</x:v>
      </x:c>
      <x:c r="K401" s="9" t="str"/>
      <x:c r="L401" s="9" t="str">
        <x:f>IF(K401="",J401,K401)</x:f>
        <x:v>主站</x:v>
      </x:c>
      <x:c r="M401" s="9" t="str">
        <x:v>品类页/集合页 + FAQ内容块</x:v>
      </x:c>
      <x:c r="N401" s="9" t="str">
        <x:v>主站品类页：用产品集合 + 选购说明承接</x:v>
      </x:c>
      <x:c r="O401" s="9" t="str">
        <x:v>/collections/disposable-vapes</x:v>
      </x:c>
      <x:c r="P401" s="9" t="str">
        <x:v>不适用</x:v>
      </x:c>
      <x:c r="Q401" s="9" t="str">
        <x:v>主站页面自身承接</x:v>
      </x:c>
      <x:c r="R401" s="9" t="str">
        <x:v>核心品类词：主站优先，博客只做长尾解释，不直接抢同一词</x:v>
      </x:c>
      <x:c r="S401" s="9" t="str">
        <x:v>如果 Google 首页产品页和指南混合，主站页要加 FAQ、选购指南、对比模块。</x:v>
      </x:c>
      <x:c r="T401" s="38" t="n">
        <x:v>4</x:v>
      </x:c>
      <x:c r="U401" s="38" t="n">
        <x:v>12</x:v>
      </x:c>
      <x:c r="V401" s="38" t="n">
        <x:v>18</x:v>
      </x:c>
      <x:c r="W401" s="38" t="n">
        <x:v>8</x:v>
      </x:c>
      <x:c r="X401" s="38" t="n">
        <x:v>15</x:v>
      </x:c>
      <x:c r="Y401" s="38" t="n">
        <x:v>4</x:v>
      </x:c>
      <x:c r="Z401" s="38" t="n">
        <x:f>MAX(0,MIN(100,ROUND(((T401+U401+V401+W401+X401)-Y401)/85*100,0)))</x:f>
        <x:v>62</x:v>
      </x:c>
      <x:c r="AA401" s="9" t="str">
        <x:f>IF(L401="暂不做","P3 暂缓",IF(Z401&gt;=75,"P0 本周做",IF(Z401&gt;=60,"P1 近期做",IF(Z401&gt;=45,"P2 备选","P3 暂缓"))))</x:f>
        <x:v>P1 近期做</x:v>
      </x:c>
      <x:c r="AB401" s="9" t="str">
        <x:f>IF(Y401&gt;=15,"先做合规/相关性复核，不建议直接商业导流",IF(L401="主站","建/优化主站商业页",IF(L401="博客A-知识教程","写知识教程/FAQ文章",IF(L401="博客B-场景人群","写场景需求/选购指南文章",IF(L401="博客C-对比评测","写对比评测/榜单文章","暂不做或人工复核")))))</x:f>
        <x:v>建/优化主站商业页</x:v>
      </x:c>
      <x:c r="AC401" s="9" t="str">
        <x:v>ExDivo FLORA 40K Disposable Vape</x:v>
      </x:c>
      <x:c r="AD401" s="10" t="str">
        <x:v>40000 puffs</x:v>
      </x:c>
    </x:row>
    <x:row r="402">
      <x:c r="A402" s="34" t="n">
        <x:v>402</x:v>
      </x:c>
      <x:c r="B402" s="9" t="str">
        <x:v>https://exdivo.com/collections/meifu/products/exdivo-flora-40k-disposable-vape_1053f57c?data_from=collection_detail&amp;spm=collection_detail.313027.collection_detail-11702364.9.</x:v>
      </x:c>
      <x:c r="C402" s="9" t="str">
        <x:v>best disposable vape 40000 puffs</x:v>
      </x:c>
      <x:c r="D402" s="9" t="str">
        <x:v>recommended</x:v>
      </x:c>
      <x:c r="E402" s="36" t="n">
        <x:v>0</x:v>
      </x:c>
      <x:c r="F402" s="36" t="n">
        <x:v>0</x:v>
      </x:c>
      <x:c r="G402" s="9" t="str">
        <x:v>48</x:v>
      </x:c>
      <x:c r="H402" s="9" t="str">
        <x:v>Disposable Vape</x:v>
      </x:c>
      <x:c r="I402" s="9" t="str">
        <x:v>商业调查词</x:v>
      </x:c>
      <x:c r="J402" s="9" t="str">
        <x:v>博客C-对比评测</x:v>
      </x:c>
      <x:c r="K402" s="9" t="str"/>
      <x:c r="L402" s="9" t="str">
        <x:f>IF(K402="",J402,K402)</x:f>
        <x:v>博客C-对比评测</x:v>
      </x:c>
      <x:c r="M402" s="9" t="str">
        <x:v>Best/Top/Review/VS/替代方案文章</x:v>
      </x:c>
      <x:c r="N402" s="9" t="str">
        <x:v>Best angle: best disposable vape 40000 puffs - comparison, pros/cons, and which option fits different buyers</x:v>
      </x:c>
      <x:c r="O402" s="9" t="str">
        <x:v>/collections/disposable-vapes</x:v>
      </x:c>
      <x:c r="P402" s="9" t="str">
        <x:v>是</x:v>
      </x:c>
      <x:c r="Q402" s="9" t="str">
        <x:v>自然句/品类词/品牌词</x:v>
      </x:c>
      <x:c r="R402" s="9" t="str">
        <x:v>中风险：榜单和评测必须真实、中立，避免夸大</x:v>
      </x:c>
      <x:c r="S402" s="9" t="str">
        <x:v>这类词不直接给主站，先用博客C教育和比较，再导流到最相关集合页。</x:v>
      </x:c>
      <x:c r="T402" s="38" t="n">
        <x:v>1</x:v>
      </x:c>
      <x:c r="U402" s="38" t="n">
        <x:v>15</x:v>
      </x:c>
      <x:c r="V402" s="38" t="n">
        <x:v>16</x:v>
      </x:c>
      <x:c r="W402" s="38" t="n">
        <x:v>15</x:v>
      </x:c>
      <x:c r="X402" s="38" t="n">
        <x:v>13</x:v>
      </x:c>
      <x:c r="Y402" s="38" t="n">
        <x:v>6</x:v>
      </x:c>
      <x:c r="Z402" s="38" t="n">
        <x:f>MAX(0,MIN(100,ROUND(((T402+U402+V402+W402+X402)-Y402)/85*100,0)))</x:f>
        <x:v>64</x:v>
      </x:c>
      <x:c r="AA402" s="9" t="str">
        <x:f>IF(L402="暂不做","P3 暂缓",IF(Z402&gt;=75,"P0 本周做",IF(Z402&gt;=60,"P1 近期做",IF(Z402&gt;=45,"P2 备选","P3 暂缓"))))</x:f>
        <x:v>P1 近期做</x:v>
      </x:c>
      <x:c r="AB402" s="9" t="str">
        <x:f>IF(Y402&gt;=15,"先做合规/相关性复核，不建议直接商业导流",IF(L402="主站","建/优化主站商业页",IF(L402="博客A-知识教程","写知识教程/FAQ文章",IF(L402="博客B-场景人群","写场景需求/选购指南文章",IF(L402="博客C-对比评测","写对比评测/榜单文章","暂不做或人工复核")))))</x:f>
        <x:v>写对比评测/榜单文章</x:v>
      </x:c>
      <x:c r="AC402" s="9" t="str">
        <x:v>ExDivo FLORA 40K Disposable Vape</x:v>
      </x:c>
      <x:c r="AD402" s="10" t="str">
        <x:v>40000 puffs</x:v>
      </x:c>
    </x:row>
    <x:row r="403">
      <x:c r="A403" s="34" t="n">
        <x:v>403</x:v>
      </x:c>
      <x:c r="B403" s="9" t="str">
        <x:v>https://exdivo.com/collections/meifu/products/exdivo-flora-40k-disposable-vape_1053f57c?data_from=collection_detail&amp;spm=collection_detail.313027.collection_detail-11702364.9.</x:v>
      </x:c>
      <x:c r="C403" s="9" t="str">
        <x:v>high puff disposable vape</x:v>
      </x:c>
      <x:c r="D403" s="9" t="str">
        <x:v>recommended</x:v>
      </x:c>
      <x:c r="E403" s="36" t="n">
        <x:v>0</x:v>
      </x:c>
      <x:c r="F403" s="36" t="n">
        <x:v>0</x:v>
      </x:c>
      <x:c r="G403" s="9" t="str">
        <x:v>48</x:v>
      </x:c>
      <x:c r="H403" s="9" t="str">
        <x:v>Disposable Vape</x:v>
      </x:c>
      <x:c r="I403" s="9" t="str">
        <x:v>内容词</x:v>
      </x:c>
      <x:c r="J403" s="9" t="str">
        <x:v>博客A-知识教程</x:v>
      </x:c>
      <x:c r="K403" s="9" t="str"/>
      <x:c r="L403" s="9" t="str">
        <x:f>IF(K403="",J403,K403)</x:f>
        <x:v>博客A-知识教程</x:v>
      </x:c>
      <x:c r="M403" s="9" t="str">
        <x:v>知识/教程文章</x:v>
      </x:c>
      <x:c r="N403" s="9" t="str">
        <x:v>Guide angle: explain high puff disposable vape, answer common questions, and avoid sales-first writing</x:v>
      </x:c>
      <x:c r="O403" s="9" t="str">
        <x:v>/collections/disposable-vapes 或最接近的产品集合页</x:v>
      </x:c>
      <x:c r="P403" s="9" t="str">
        <x:v>谨慎</x:v>
      </x:c>
      <x:c r="Q403" s="9" t="str">
        <x:v>品牌词/自然句</x:v>
      </x:c>
      <x:c r="R403" s="9" t="str">
        <x:v>低风险：按常规内容质量和搜索意图校验</x:v>
      </x:c>
      <x:c r="S403" s="9" t="str">
        <x:v>先看 Google SERP：如果首页多数为产品集合页，改回主站；如果多数为教程/问答，保持博客。</x:v>
      </x:c>
      <x:c r="T403" s="38" t="n">
        <x:v>1</x:v>
      </x:c>
      <x:c r="U403" s="38" t="n">
        <x:v>15</x:v>
      </x:c>
      <x:c r="V403" s="38" t="n">
        <x:v>10</x:v>
      </x:c>
      <x:c r="W403" s="38" t="n">
        <x:v>12</x:v>
      </x:c>
      <x:c r="X403" s="38" t="n">
        <x:v>12</x:v>
      </x:c>
      <x:c r="Y403" s="38" t="n">
        <x:v>4</x:v>
      </x:c>
      <x:c r="Z403" s="38" t="n">
        <x:f>MAX(0,MIN(100,ROUND(((T403+U403+V403+W403+X403)-Y403)/85*100,0)))</x:f>
        <x:v>54</x:v>
      </x:c>
      <x:c r="AA403" s="9" t="str">
        <x:f>IF(L403="暂不做","P3 暂缓",IF(Z403&gt;=75,"P0 本周做",IF(Z403&gt;=60,"P1 近期做",IF(Z403&gt;=45,"P2 备选","P3 暂缓"))))</x:f>
        <x:v>P2 备选</x:v>
      </x:c>
      <x:c r="AB403" s="9" t="str">
        <x:f>IF(Y403&gt;=15,"先做合规/相关性复核，不建议直接商业导流",IF(L403="主站","建/优化主站商业页",IF(L403="博客A-知识教程","写知识教程/FAQ文章",IF(L403="博客B-场景人群","写场景需求/选购指南文章",IF(L403="博客C-对比评测","写对比评测/榜单文章","暂不做或人工复核")))))</x:f>
        <x:v>写知识教程/FAQ文章</x:v>
      </x:c>
      <x:c r="AC403" s="9" t="str">
        <x:v>ExDivo FLORA 40K Disposable Vape</x:v>
      </x:c>
      <x:c r="AD403" s="10" t="str">
        <x:v>40000 puffs</x:v>
      </x:c>
    </x:row>
    <x:row r="404">
      <x:c r="A404" s="34" t="n">
        <x:v>404</x:v>
      </x:c>
      <x:c r="B404" s="9" t="str">
        <x:v>https://exdivo.com/collections/meifu/products/exdivo-flora-40k-disposable-vape_1053f57c?data_from=collection_detail&amp;spm=collection_detail.313027.collection_detail-11702364.9.</x:v>
      </x:c>
      <x:c r="C404" s="9" t="str">
        <x:v>high puff count disposable vape</x:v>
      </x:c>
      <x:c r="D404" s="9" t="str">
        <x:v>recommended</x:v>
      </x:c>
      <x:c r="E404" s="36" t="n">
        <x:v>0</x:v>
      </x:c>
      <x:c r="F404" s="36" t="n">
        <x:v>0</x:v>
      </x:c>
      <x:c r="G404" s="9" t="str">
        <x:v>48</x:v>
      </x:c>
      <x:c r="H404" s="9" t="str">
        <x:v>Disposable Vape</x:v>
      </x:c>
      <x:c r="I404" s="9" t="str">
        <x:v>内容词</x:v>
      </x:c>
      <x:c r="J404" s="9" t="str">
        <x:v>博客A-知识教程</x:v>
      </x:c>
      <x:c r="K404" s="9" t="str"/>
      <x:c r="L404" s="9" t="str">
        <x:f>IF(K404="",J404,K404)</x:f>
        <x:v>博客A-知识教程</x:v>
      </x:c>
      <x:c r="M404" s="9" t="str">
        <x:v>知识/教程文章</x:v>
      </x:c>
      <x:c r="N404" s="9" t="str">
        <x:v>Guide angle: explain high puff count disposable vape, answer common questions, and avoid sales-first writing</x:v>
      </x:c>
      <x:c r="O404" s="9" t="str">
        <x:v>/collections/disposable-vapes 或最接近的产品集合页</x:v>
      </x:c>
      <x:c r="P404" s="9" t="str">
        <x:v>谨慎</x:v>
      </x:c>
      <x:c r="Q404" s="9" t="str">
        <x:v>品牌词/自然句</x:v>
      </x:c>
      <x:c r="R404" s="9" t="str">
        <x:v>低风险：按常规内容质量和搜索意图校验</x:v>
      </x:c>
      <x:c r="S404" s="9" t="str">
        <x:v>先看 Google SERP：如果首页多数为产品集合页，改回主站；如果多数为教程/问答，保持博客。</x:v>
      </x:c>
      <x:c r="T404" s="38" t="n">
        <x:v>1</x:v>
      </x:c>
      <x:c r="U404" s="38" t="n">
        <x:v>15</x:v>
      </x:c>
      <x:c r="V404" s="38" t="n">
        <x:v>10</x:v>
      </x:c>
      <x:c r="W404" s="38" t="n">
        <x:v>12</x:v>
      </x:c>
      <x:c r="X404" s="38" t="n">
        <x:v>12</x:v>
      </x:c>
      <x:c r="Y404" s="38" t="n">
        <x:v>4</x:v>
      </x:c>
      <x:c r="Z404" s="38" t="n">
        <x:f>MAX(0,MIN(100,ROUND(((T404+U404+V404+W404+X404)-Y404)/85*100,0)))</x:f>
        <x:v>54</x:v>
      </x:c>
      <x:c r="AA404" s="9" t="str">
        <x:f>IF(L404="暂不做","P3 暂缓",IF(Z404&gt;=75,"P0 本周做",IF(Z404&gt;=60,"P1 近期做",IF(Z404&gt;=45,"P2 备选","P3 暂缓"))))</x:f>
        <x:v>P2 备选</x:v>
      </x:c>
      <x:c r="AB404" s="9" t="str">
        <x:f>IF(Y404&gt;=15,"先做合规/相关性复核，不建议直接商业导流",IF(L404="主站","建/优化主站商业页",IF(L404="博客A-知识教程","写知识教程/FAQ文章",IF(L404="博客B-场景人群","写场景需求/选购指南文章",IF(L404="博客C-对比评测","写对比评测/榜单文章","暂不做或人工复核")))))</x:f>
        <x:v>写知识教程/FAQ文章</x:v>
      </x:c>
      <x:c r="AC404" s="9" t="str">
        <x:v>ExDivo FLORA 40K Disposable Vape</x:v>
      </x:c>
      <x:c r="AD404" s="10" t="str">
        <x:v>40000 puffs</x:v>
      </x:c>
    </x:row>
    <x:row r="405">
      <x:c r="A405" s="34" t="n">
        <x:v>405</x:v>
      </x:c>
      <x:c r="B405" s="9" t="str">
        <x:v>https://exdivo.com/collections/meifu/products/exdivo-flora-40k-disposable-vape_1053f57c?data_from=collection_detail&amp;spm=collection_detail.313027.collection_detail-11702364.9.</x:v>
      </x:c>
      <x:c r="C405" s="9" t="str">
        <x:v>highest puff count disposable vape</x:v>
      </x:c>
      <x:c r="D405" s="9" t="str">
        <x:v>recommended</x:v>
      </x:c>
      <x:c r="E405" s="36" t="n">
        <x:v>0</x:v>
      </x:c>
      <x:c r="F405" s="36" t="n">
        <x:v>0</x:v>
      </x:c>
      <x:c r="G405" s="9" t="str">
        <x:v>48</x:v>
      </x:c>
      <x:c r="H405" s="9" t="str">
        <x:v>Disposable Vape</x:v>
      </x:c>
      <x:c r="I405" s="9" t="str">
        <x:v>内容词</x:v>
      </x:c>
      <x:c r="J405" s="9" t="str">
        <x:v>博客A-知识教程</x:v>
      </x:c>
      <x:c r="K405" s="9" t="str"/>
      <x:c r="L405" s="9" t="str">
        <x:f>IF(K405="",J405,K405)</x:f>
        <x:v>博客A-知识教程</x:v>
      </x:c>
      <x:c r="M405" s="9" t="str">
        <x:v>知识/教程文章</x:v>
      </x:c>
      <x:c r="N405" s="9" t="str">
        <x:v>Guide angle: explain highest puff count disposable vape, answer common questions, and avoid sales-first writing</x:v>
      </x:c>
      <x:c r="O405" s="9" t="str">
        <x:v>/collections/disposable-vapes 或最接近的产品集合页</x:v>
      </x:c>
      <x:c r="P405" s="9" t="str">
        <x:v>谨慎</x:v>
      </x:c>
      <x:c r="Q405" s="9" t="str">
        <x:v>品牌词/自然句</x:v>
      </x:c>
      <x:c r="R405" s="9" t="str">
        <x:v>低风险：按常规内容质量和搜索意图校验</x:v>
      </x:c>
      <x:c r="S405" s="9" t="str">
        <x:v>先看 Google SERP：如果首页多数为产品集合页，改回主站；如果多数为教程/问答，保持博客。</x:v>
      </x:c>
      <x:c r="T405" s="38" t="n">
        <x:v>1</x:v>
      </x:c>
      <x:c r="U405" s="38" t="n">
        <x:v>15</x:v>
      </x:c>
      <x:c r="V405" s="38" t="n">
        <x:v>10</x:v>
      </x:c>
      <x:c r="W405" s="38" t="n">
        <x:v>12</x:v>
      </x:c>
      <x:c r="X405" s="38" t="n">
        <x:v>12</x:v>
      </x:c>
      <x:c r="Y405" s="38" t="n">
        <x:v>4</x:v>
      </x:c>
      <x:c r="Z405" s="38" t="n">
        <x:f>MAX(0,MIN(100,ROUND(((T405+U405+V405+W405+X405)-Y405)/85*100,0)))</x:f>
        <x:v>54</x:v>
      </x:c>
      <x:c r="AA405" s="9" t="str">
        <x:f>IF(L405="暂不做","P3 暂缓",IF(Z405&gt;=75,"P0 本周做",IF(Z405&gt;=60,"P1 近期做",IF(Z405&gt;=45,"P2 备选","P3 暂缓"))))</x:f>
        <x:v>P2 备选</x:v>
      </x:c>
      <x:c r="AB405" s="9" t="str">
        <x:f>IF(Y405&gt;=15,"先做合规/相关性复核，不建议直接商业导流",IF(L405="主站","建/优化主站商业页",IF(L405="博客A-知识教程","写知识教程/FAQ文章",IF(L405="博客B-场景人群","写场景需求/选购指南文章",IF(L405="博客C-对比评测","写对比评测/榜单文章","暂不做或人工复核")))))</x:f>
        <x:v>写知识教程/FAQ文章</x:v>
      </x:c>
      <x:c r="AC405" s="9" t="str">
        <x:v>ExDivo FLORA 40K Disposable Vape</x:v>
      </x:c>
      <x:c r="AD405" s="10" t="str">
        <x:v>40000 puffs</x:v>
      </x:c>
    </x:row>
    <x:row r="406">
      <x:c r="A406" s="34" t="n">
        <x:v>406</x:v>
      </x:c>
      <x:c r="B406" s="9" t="str">
        <x:v>https://exdivo.com/collections/meifu/products/exdivo-flora-40k-disposable-vape_1053f57c?data_from=collection_detail&amp;spm=collection_detail.313027.collection_detail-11702364.9.</x:v>
      </x:c>
      <x:c r="C406" s="9" t="str">
        <x:v>disposable vape with high puffs</x:v>
      </x:c>
      <x:c r="D406" s="9" t="str">
        <x:v>recommended</x:v>
      </x:c>
      <x:c r="E406" s="36" t="n">
        <x:v>0</x:v>
      </x:c>
      <x:c r="F406" s="36" t="n">
        <x:v>0</x:v>
      </x:c>
      <x:c r="G406" s="9" t="str">
        <x:v>48</x:v>
      </x:c>
      <x:c r="H406" s="9" t="str">
        <x:v>Disposable Vape</x:v>
      </x:c>
      <x:c r="I406" s="9" t="str">
        <x:v>场景/需求词</x:v>
      </x:c>
      <x:c r="J406" s="9" t="str">
        <x:v>博客B-场景人群</x:v>
      </x:c>
      <x:c r="K406" s="9" t="str"/>
      <x:c r="L406" s="9" t="str">
        <x:f>IF(K406="",J406,K406)</x:f>
        <x:v>博客B-场景人群</x:v>
      </x:c>
      <x:c r="M406" s="9" t="str">
        <x:v>场景解决方案/选购指南文章</x:v>
      </x:c>
      <x:c r="N406" s="9" t="str">
        <x:v>Scenario angle: how to choose disposable vape with high puffs based on use case, flavor, nicotine, and budget</x:v>
      </x:c>
      <x:c r="O406" s="9" t="str">
        <x:v>/collections/disposable-vapes</x:v>
      </x:c>
      <x:c r="P406" s="9" t="str">
        <x:v>是</x:v>
      </x:c>
      <x:c r="Q406" s="9" t="str">
        <x:v>自然句/品类词</x:v>
      </x:c>
      <x:c r="R406" s="9" t="str">
        <x:v>低中风险：适合软性导流，但不要夸大效果或触碰健康疗效</x:v>
      </x:c>
      <x:c r="S406" s="9" t="str">
        <x:v>围绕使用场景、口味、尼古丁需求、便携性等写，不和主站品类页抢词。</x:v>
      </x:c>
      <x:c r="T406" s="38" t="n">
        <x:v>1</x:v>
      </x:c>
      <x:c r="U406" s="38" t="n">
        <x:v>15</x:v>
      </x:c>
      <x:c r="V406" s="38" t="n">
        <x:v>13</x:v>
      </x:c>
      <x:c r="W406" s="38" t="n">
        <x:v>14</x:v>
      </x:c>
      <x:c r="X406" s="38" t="n">
        <x:v>13</x:v>
      </x:c>
      <x:c r="Y406" s="38" t="n">
        <x:v>5</x:v>
      </x:c>
      <x:c r="Z406" s="38" t="n">
        <x:f>MAX(0,MIN(100,ROUND(((T406+U406+V406+W406+X406)-Y406)/85*100,0)))</x:f>
        <x:v>60</x:v>
      </x:c>
      <x:c r="AA406" s="9" t="str">
        <x:f>IF(L406="暂不做","P3 暂缓",IF(Z406&gt;=75,"P0 本周做",IF(Z406&gt;=60,"P1 近期做",IF(Z406&gt;=45,"P2 备选","P3 暂缓"))))</x:f>
        <x:v>P1 近期做</x:v>
      </x:c>
      <x:c r="AB406" s="9" t="str">
        <x:f>IF(Y406&gt;=15,"先做合规/相关性复核，不建议直接商业导流",IF(L406="主站","建/优化主站商业页",IF(L406="博客A-知识教程","写知识教程/FAQ文章",IF(L406="博客B-场景人群","写场景需求/选购指南文章",IF(L406="博客C-对比评测","写对比评测/榜单文章","暂不做或人工复核")))))</x:f>
        <x:v>写场景需求/选购指南文章</x:v>
      </x:c>
      <x:c r="AC406" s="9" t="str">
        <x:v>ExDivo FLORA 40K Disposable Vape</x:v>
      </x:c>
      <x:c r="AD406" s="10" t="str">
        <x:v>40000 puffs</x:v>
      </x:c>
    </x:row>
    <x:row r="407">
      <x:c r="A407" s="34" t="n">
        <x:v>407</x:v>
      </x:c>
      <x:c r="B407" s="9" t="str">
        <x:v>https://exdivo.com/products/exdivo-space-45k-disposable-vape_3855e1a8?data_from=collection_detail&amp;spm=collection_detail..collection_detail-11702364.12.</x:v>
      </x:c>
      <x:c r="C407" s="9" t="str">
        <x:v>rechargeable disposable vape</x:v>
      </x:c>
      <x:c r="D407" s="9" t="str">
        <x:v>recommended</x:v>
      </x:c>
      <x:c r="E407" s="36" t="n">
        <x:v>2400</x:v>
      </x:c>
      <x:c r="F407" s="36" t="n">
        <x:v>25</x:v>
      </x:c>
      <x:c r="G407" s="9" t="str">
        <x:v>informational</x:v>
      </x:c>
      <x:c r="H407" s="9" t="str">
        <x:v>Disposable Vape</x:v>
      </x:c>
      <x:c r="I407" s="9" t="str">
        <x:v>场景/需求词</x:v>
      </x:c>
      <x:c r="J407" s="9" t="str">
        <x:v>博客B-场景人群</x:v>
      </x:c>
      <x:c r="K407" s="9" t="str"/>
      <x:c r="L407" s="9" t="str">
        <x:f>IF(K407="",J407,K407)</x:f>
        <x:v>博客B-场景人群</x:v>
      </x:c>
      <x:c r="M407" s="9" t="str">
        <x:v>场景解决方案/选购指南文章</x:v>
      </x:c>
      <x:c r="N407" s="9" t="str">
        <x:v>Scenario angle: how to choose rechargeable disposable vape based on use case, flavor, nicotine, and budget</x:v>
      </x:c>
      <x:c r="O407" s="9" t="str">
        <x:v>/collections/rechargeable-vapes</x:v>
      </x:c>
      <x:c r="P407" s="9" t="str">
        <x:v>是</x:v>
      </x:c>
      <x:c r="Q407" s="9" t="str">
        <x:v>自然句/品类词</x:v>
      </x:c>
      <x:c r="R407" s="9" t="str">
        <x:v>低中风险：适合软性导流，但不要夸大效果或触碰健康疗效</x:v>
      </x:c>
      <x:c r="S407" s="9" t="str">
        <x:v>围绕使用场景、口味、尼古丁需求、便携性等写，不和主站品类页抢词。</x:v>
      </x:c>
      <x:c r="T407" s="38" t="n">
        <x:v>13</x:v>
      </x:c>
      <x:c r="U407" s="38" t="n">
        <x:v>12</x:v>
      </x:c>
      <x:c r="V407" s="38" t="n">
        <x:v>13</x:v>
      </x:c>
      <x:c r="W407" s="38" t="n">
        <x:v>14</x:v>
      </x:c>
      <x:c r="X407" s="38" t="n">
        <x:v>13</x:v>
      </x:c>
      <x:c r="Y407" s="38" t="n">
        <x:v>5</x:v>
      </x:c>
      <x:c r="Z407" s="38" t="n">
        <x:f>MAX(0,MIN(100,ROUND(((T407+U407+V407+W407+X407)-Y407)/85*100,0)))</x:f>
        <x:v>71</x:v>
      </x:c>
      <x:c r="AA407" s="9" t="str">
        <x:f>IF(L407="暂不做","P3 暂缓",IF(Z407&gt;=75,"P0 本周做",IF(Z407&gt;=60,"P1 近期做",IF(Z407&gt;=45,"P2 备选","P3 暂缓"))))</x:f>
        <x:v>P1 近期做</x:v>
      </x:c>
      <x:c r="AB407" s="9" t="str">
        <x:f>IF(Y407&gt;=15,"先做合规/相关性复核，不建议直接商业导流",IF(L407="主站","建/优化主站商业页",IF(L407="博客A-知识教程","写知识教程/FAQ文章",IF(L407="博客B-场景人群","写场景需求/选购指南文章",IF(L407="博客C-对比评测","写对比评测/榜单文章","暂不做或人工复核")))))</x:f>
        <x:v>写场景需求/选购指南文章</x:v>
      </x:c>
      <x:c r="AC407" s="9" t="str">
        <x:v>ExDivo SPACE 45K Disposable Vape</x:v>
      </x:c>
      <x:c r="AD407" s="10" t="str">
        <x:v>45000 puffs</x:v>
      </x:c>
    </x:row>
    <x:row r="408">
      <x:c r="A408" s="34" t="n">
        <x:v>408</x:v>
      </x:c>
      <x:c r="B408" s="9" t="str">
        <x:v>https://exdivo.com/products/exdivo-space-45k-disposable-vape_3855e1a8?data_from=collection_detail&amp;spm=collection_detail..collection_detail-11702364.12.</x:v>
      </x:c>
      <x:c r="C408" s="9" t="str">
        <x:v>menthol disposable vape</x:v>
      </x:c>
      <x:c r="D408" s="9" t="str">
        <x:v>recommended</x:v>
      </x:c>
      <x:c r="E408" s="36" t="n">
        <x:v>390</x:v>
      </x:c>
      <x:c r="F408" s="36" t="n">
        <x:v>5</x:v>
      </x:c>
      <x:c r="G408" s="9" t="str">
        <x:v>commercial</x:v>
      </x:c>
      <x:c r="H408" s="9" t="str">
        <x:v>Disposable Vape</x:v>
      </x:c>
      <x:c r="I408" s="9" t="str">
        <x:v>品类承接词</x:v>
      </x:c>
      <x:c r="J408" s="9" t="str">
        <x:v>主站</x:v>
      </x:c>
      <x:c r="K408" s="9" t="str"/>
      <x:c r="L408" s="9" t="str">
        <x:f>IF(K408="",J408,K408)</x:f>
        <x:v>主站</x:v>
      </x:c>
      <x:c r="M408" s="9" t="str">
        <x:v>品类页/集合页 + FAQ内容块</x:v>
      </x:c>
      <x:c r="N408" s="9" t="str">
        <x:v>主站品类页：用产品集合 + 选购说明承接</x:v>
      </x:c>
      <x:c r="O408" s="9" t="str">
        <x:v>/collections/disposable-vapes</x:v>
      </x:c>
      <x:c r="P408" s="9" t="str">
        <x:v>不适用</x:v>
      </x:c>
      <x:c r="Q408" s="9" t="str">
        <x:v>主站页面自身承接</x:v>
      </x:c>
      <x:c r="R408" s="9" t="str">
        <x:v>核心品类词：主站优先，博客只做长尾解释，不直接抢同一词</x:v>
      </x:c>
      <x:c r="S408" s="9" t="str">
        <x:v>如果 Google 首页产品页和指南混合，主站页要加 FAQ、选购指南、对比模块。</x:v>
      </x:c>
      <x:c r="T408" s="38" t="n">
        <x:v>7</x:v>
      </x:c>
      <x:c r="U408" s="38" t="n">
        <x:v>15</x:v>
      </x:c>
      <x:c r="V408" s="38" t="n">
        <x:v>18</x:v>
      </x:c>
      <x:c r="W408" s="38" t="n">
        <x:v>8</x:v>
      </x:c>
      <x:c r="X408" s="38" t="n">
        <x:v>15</x:v>
      </x:c>
      <x:c r="Y408" s="38" t="n">
        <x:v>4</x:v>
      </x:c>
      <x:c r="Z408" s="38" t="n">
        <x:f>MAX(0,MIN(100,ROUND(((T408+U408+V408+W408+X408)-Y408)/85*100,0)))</x:f>
        <x:v>69</x:v>
      </x:c>
      <x:c r="AA408" s="9" t="str">
        <x:f>IF(L408="暂不做","P3 暂缓",IF(Z408&gt;=75,"P0 本周做",IF(Z408&gt;=60,"P1 近期做",IF(Z408&gt;=45,"P2 备选","P3 暂缓"))))</x:f>
        <x:v>P1 近期做</x:v>
      </x:c>
      <x:c r="AB408" s="9" t="str">
        <x:f>IF(Y408&gt;=15,"先做合规/相关性复核，不建议直接商业导流",IF(L408="主站","建/优化主站商业页",IF(L408="博客A-知识教程","写知识教程/FAQ文章",IF(L408="博客B-场景人群","写场景需求/选购指南文章",IF(L408="博客C-对比评测","写对比评测/榜单文章","暂不做或人工复核")))))</x:f>
        <x:v>建/优化主站商业页</x:v>
      </x:c>
      <x:c r="AC408" s="9" t="str">
        <x:v>ExDivo SPACE 45K Disposable Vape</x:v>
      </x:c>
      <x:c r="AD408" s="10" t="str">
        <x:v>45000 puffs</x:v>
      </x:c>
    </x:row>
    <x:row r="409">
      <x:c r="A409" s="34" t="n">
        <x:v>409</x:v>
      </x:c>
      <x:c r="B409" s="9" t="str">
        <x:v>https://exdivo.com/products/exdivo-space-45k-disposable-vape_3855e1a8?data_from=collection_detail&amp;spm=collection_detail..collection_detail-11702364.12.</x:v>
      </x:c>
      <x:c r="C409" s="9" t="str">
        <x:v>disposable nicotine vape</x:v>
      </x:c>
      <x:c r="D409" s="9" t="str">
        <x:v>recommended</x:v>
      </x:c>
      <x:c r="E409" s="36" t="n">
        <x:v>720</x:v>
      </x:c>
      <x:c r="F409" s="36" t="n">
        <x:v>47</x:v>
      </x:c>
      <x:c r="G409" s="9" t="str">
        <x:v>commercial</x:v>
      </x:c>
      <x:c r="H409" s="9" t="str">
        <x:v>Disposable Vape</x:v>
      </x:c>
      <x:c r="I409" s="9" t="str">
        <x:v>品类承接词</x:v>
      </x:c>
      <x:c r="J409" s="9" t="str">
        <x:v>主站</x:v>
      </x:c>
      <x:c r="K409" s="9" t="str"/>
      <x:c r="L409" s="9" t="str">
        <x:f>IF(K409="",J409,K409)</x:f>
        <x:v>主站</x:v>
      </x:c>
      <x:c r="M409" s="9" t="str">
        <x:v>品类页/集合页 + FAQ内容块</x:v>
      </x:c>
      <x:c r="N409" s="9" t="str">
        <x:v>主站品类页：用产品集合 + 选购说明承接</x:v>
      </x:c>
      <x:c r="O409" s="9" t="str">
        <x:v>/collections/disposable-vapes</x:v>
      </x:c>
      <x:c r="P409" s="9" t="str">
        <x:v>不适用</x:v>
      </x:c>
      <x:c r="Q409" s="9" t="str">
        <x:v>主站页面自身承接</x:v>
      </x:c>
      <x:c r="R409" s="9" t="str">
        <x:v>核心品类词：主站优先，博客只做长尾解释，不直接抢同一词</x:v>
      </x:c>
      <x:c r="S409" s="9" t="str">
        <x:v>如果 Google 首页产品页和指南混合，主站页要加 FAQ、选购指南、对比模块。</x:v>
      </x:c>
      <x:c r="T409" s="38" t="n">
        <x:v>10</x:v>
      </x:c>
      <x:c r="U409" s="38" t="n">
        <x:v>6</x:v>
      </x:c>
      <x:c r="V409" s="38" t="n">
        <x:v>18</x:v>
      </x:c>
      <x:c r="W409" s="38" t="n">
        <x:v>8</x:v>
      </x:c>
      <x:c r="X409" s="38" t="n">
        <x:v>15</x:v>
      </x:c>
      <x:c r="Y409" s="38" t="n">
        <x:v>4</x:v>
      </x:c>
      <x:c r="Z409" s="38" t="n">
        <x:f>MAX(0,MIN(100,ROUND(((T409+U409+V409+W409+X409)-Y409)/85*100,0)))</x:f>
        <x:v>62</x:v>
      </x:c>
      <x:c r="AA409" s="9" t="str">
        <x:f>IF(L409="暂不做","P3 暂缓",IF(Z409&gt;=75,"P0 本周做",IF(Z409&gt;=60,"P1 近期做",IF(Z409&gt;=45,"P2 备选","P3 暂缓"))))</x:f>
        <x:v>P1 近期做</x:v>
      </x:c>
      <x:c r="AB409" s="9" t="str">
        <x:f>IF(Y409&gt;=15,"先做合规/相关性复核，不建议直接商业导流",IF(L409="主站","建/优化主站商业页",IF(L409="博客A-知识教程","写知识教程/FAQ文章",IF(L409="博客B-场景人群","写场景需求/选购指南文章",IF(L409="博客C-对比评测","写对比评测/榜单文章","暂不做或人工复核")))))</x:f>
        <x:v>建/优化主站商业页</x:v>
      </x:c>
      <x:c r="AC409" s="9" t="str">
        <x:v>ExDivo SPACE 45K Disposable Vape</x:v>
      </x:c>
      <x:c r="AD409" s="10" t="str">
        <x:v>45000 puffs</x:v>
      </x:c>
    </x:row>
    <x:row r="410">
      <x:c r="A410" s="34" t="n">
        <x:v>410</x:v>
      </x:c>
      <x:c r="B410" s="9" t="str">
        <x:v>https://exdivo.com/products/exdivo-space-45k-disposable-vape_3855e1a8?data_from=collection_detail&amp;spm=collection_detail..collection_detail-11702364.12.</x:v>
      </x:c>
      <x:c r="C410" s="9" t="str">
        <x:v>long lasting disposable vape</x:v>
      </x:c>
      <x:c r="D410" s="9" t="str">
        <x:v>recommended</x:v>
      </x:c>
      <x:c r="E410" s="36" t="n">
        <x:v>140</x:v>
      </x:c>
      <x:c r="F410" s="36" t="n">
        <x:v>11</x:v>
      </x:c>
      <x:c r="G410" s="9" t="str">
        <x:v>informational, commercial</x:v>
      </x:c>
      <x:c r="H410" s="9" t="str">
        <x:v>Disposable Vape</x:v>
      </x:c>
      <x:c r="I410" s="9" t="str">
        <x:v>品类承接词</x:v>
      </x:c>
      <x:c r="J410" s="9" t="str">
        <x:v>主站</x:v>
      </x:c>
      <x:c r="K410" s="9" t="str"/>
      <x:c r="L410" s="9" t="str">
        <x:f>IF(K410="",J410,K410)</x:f>
        <x:v>主站</x:v>
      </x:c>
      <x:c r="M410" s="9" t="str">
        <x:v>品类页/集合页 + FAQ内容块</x:v>
      </x:c>
      <x:c r="N410" s="9" t="str">
        <x:v>主站品类页：用产品集合 + 选购说明承接</x:v>
      </x:c>
      <x:c r="O410" s="9" t="str">
        <x:v>/collections/disposable-vapes</x:v>
      </x:c>
      <x:c r="P410" s="9" t="str">
        <x:v>不适用</x:v>
      </x:c>
      <x:c r="Q410" s="9" t="str">
        <x:v>主站页面自身承接</x:v>
      </x:c>
      <x:c r="R410" s="9" t="str">
        <x:v>核心品类词：主站优先，博客只做长尾解释，不直接抢同一词</x:v>
      </x:c>
      <x:c r="S410" s="9" t="str">
        <x:v>如果 Google 首页产品页和指南混合，主站页要加 FAQ、选购指南、对比模块。</x:v>
      </x:c>
      <x:c r="T410" s="38" t="n">
        <x:v>7</x:v>
      </x:c>
      <x:c r="U410" s="38" t="n">
        <x:v>15</x:v>
      </x:c>
      <x:c r="V410" s="38" t="n">
        <x:v>18</x:v>
      </x:c>
      <x:c r="W410" s="38" t="n">
        <x:v>8</x:v>
      </x:c>
      <x:c r="X410" s="38" t="n">
        <x:v>15</x:v>
      </x:c>
      <x:c r="Y410" s="38" t="n">
        <x:v>4</x:v>
      </x:c>
      <x:c r="Z410" s="38" t="n">
        <x:f>MAX(0,MIN(100,ROUND(((T410+U410+V410+W410+X410)-Y410)/85*100,0)))</x:f>
        <x:v>69</x:v>
      </x:c>
      <x:c r="AA410" s="9" t="str">
        <x:f>IF(L410="暂不做","P3 暂缓",IF(Z410&gt;=75,"P0 本周做",IF(Z410&gt;=60,"P1 近期做",IF(Z410&gt;=45,"P2 备选","P3 暂缓"))))</x:f>
        <x:v>P1 近期做</x:v>
      </x:c>
      <x:c r="AB410" s="9" t="str">
        <x:f>IF(Y410&gt;=15,"先做合规/相关性复核，不建议直接商业导流",IF(L410="主站","建/优化主站商业页",IF(L410="博客A-知识教程","写知识教程/FAQ文章",IF(L410="博客B-场景人群","写场景需求/选购指南文章",IF(L410="博客C-对比评测","写对比评测/榜单文章","暂不做或人工复核")))))</x:f>
        <x:v>建/优化主站商业页</x:v>
      </x:c>
      <x:c r="AC410" s="9" t="str">
        <x:v>ExDivo SPACE 45K Disposable Vape</x:v>
      </x:c>
      <x:c r="AD410" s="10" t="str">
        <x:v>45000 puffs</x:v>
      </x:c>
    </x:row>
    <x:row r="411">
      <x:c r="A411" s="34" t="n">
        <x:v>411</x:v>
      </x:c>
      <x:c r="B411" s="9" t="str">
        <x:v>https://exdivo.com/products/exdivo-space-45k-disposable-vape_3855e1a8?data_from=collection_detail&amp;spm=collection_detail..collection_detail-11702364.12.</x:v>
      </x:c>
      <x:c r="C411" s="9" t="str">
        <x:v>tobacco flavour disposable vape</x:v>
      </x:c>
      <x:c r="D411" s="9" t="str">
        <x:v>recommended</x:v>
      </x:c>
      <x:c r="E411" s="36" t="n">
        <x:v>70</x:v>
      </x:c>
      <x:c r="F411" s="36" t="n">
        <x:v>0</x:v>
      </x:c>
      <x:c r="G411" s="9" t="str">
        <x:v>commercial</x:v>
      </x:c>
      <x:c r="H411" s="9" t="str">
        <x:v>Disposable Vape</x:v>
      </x:c>
      <x:c r="I411" s="9" t="str">
        <x:v>品类承接词</x:v>
      </x:c>
      <x:c r="J411" s="9" t="str">
        <x:v>主站</x:v>
      </x:c>
      <x:c r="K411" s="9" t="str"/>
      <x:c r="L411" s="9" t="str">
        <x:f>IF(K411="",J411,K411)</x:f>
        <x:v>主站</x:v>
      </x:c>
      <x:c r="M411" s="9" t="str">
        <x:v>品类页/集合页 + FAQ内容块</x:v>
      </x:c>
      <x:c r="N411" s="9" t="str">
        <x:v>主站品类页：用产品集合 + 选购说明承接</x:v>
      </x:c>
      <x:c r="O411" s="9" t="str">
        <x:v>/collections/disposable-vapes</x:v>
      </x:c>
      <x:c r="P411" s="9" t="str">
        <x:v>不适用</x:v>
      </x:c>
      <x:c r="Q411" s="9" t="str">
        <x:v>主站页面自身承接</x:v>
      </x:c>
      <x:c r="R411" s="9" t="str">
        <x:v>核心品类词：主站优先，博客只做长尾解释，不直接抢同一词</x:v>
      </x:c>
      <x:c r="S411" s="9" t="str">
        <x:v>如果 Google 首页产品页和指南混合，主站页要加 FAQ、选购指南、对比模块。</x:v>
      </x:c>
      <x:c r="T411" s="38" t="n">
        <x:v>4</x:v>
      </x:c>
      <x:c r="U411" s="38" t="n">
        <x:v>15</x:v>
      </x:c>
      <x:c r="V411" s="38" t="n">
        <x:v>18</x:v>
      </x:c>
      <x:c r="W411" s="38" t="n">
        <x:v>8</x:v>
      </x:c>
      <x:c r="X411" s="38" t="n">
        <x:v>15</x:v>
      </x:c>
      <x:c r="Y411" s="38" t="n">
        <x:v>4</x:v>
      </x:c>
      <x:c r="Z411" s="38" t="n">
        <x:f>MAX(0,MIN(100,ROUND(((T411+U411+V411+W411+X411)-Y411)/85*100,0)))</x:f>
        <x:v>66</x:v>
      </x:c>
      <x:c r="AA411" s="9" t="str">
        <x:f>IF(L411="暂不做","P3 暂缓",IF(Z411&gt;=75,"P0 本周做",IF(Z411&gt;=60,"P1 近期做",IF(Z411&gt;=45,"P2 备选","P3 暂缓"))))</x:f>
        <x:v>P1 近期做</x:v>
      </x:c>
      <x:c r="AB411" s="9" t="str">
        <x:f>IF(Y411&gt;=15,"先做合规/相关性复核，不建议直接商业导流",IF(L411="主站","建/优化主站商业页",IF(L411="博客A-知识教程","写知识教程/FAQ文章",IF(L411="博客B-场景人群","写场景需求/选购指南文章",IF(L411="博客C-对比评测","写对比评测/榜单文章","暂不做或人工复核")))))</x:f>
        <x:v>建/优化主站商业页</x:v>
      </x:c>
      <x:c r="AC411" s="9" t="str">
        <x:v>ExDivo SPACE 45K Disposable Vape</x:v>
      </x:c>
      <x:c r="AD411" s="10" t="str">
        <x:v>45000 puffs</x:v>
      </x:c>
    </x:row>
    <x:row r="412">
      <x:c r="A412" s="34" t="n">
        <x:v>412</x:v>
      </x:c>
      <x:c r="B412" s="9" t="str">
        <x:v>https://exdivo.com/products/exdivo-space-45k-disposable-vape_3855e1a8?data_from=collection_detail&amp;spm=collection_detail..collection_detail-11702364.12.</x:v>
      </x:c>
      <x:c r="C412" s="9" t="str">
        <x:v>disposable tobacco vape</x:v>
      </x:c>
      <x:c r="D412" s="9" t="str">
        <x:v>recommended</x:v>
      </x:c>
      <x:c r="E412" s="36" t="n">
        <x:v>110</x:v>
      </x:c>
      <x:c r="F412" s="36" t="n">
        <x:v>16</x:v>
      </x:c>
      <x:c r="G412" s="9" t="str">
        <x:v>commercial</x:v>
      </x:c>
      <x:c r="H412" s="9" t="str">
        <x:v>Disposable Vape</x:v>
      </x:c>
      <x:c r="I412" s="9" t="str">
        <x:v>品类承接词</x:v>
      </x:c>
      <x:c r="J412" s="9" t="str">
        <x:v>主站</x:v>
      </x:c>
      <x:c r="K412" s="9" t="str"/>
      <x:c r="L412" s="9" t="str">
        <x:f>IF(K412="",J412,K412)</x:f>
        <x:v>主站</x:v>
      </x:c>
      <x:c r="M412" s="9" t="str">
        <x:v>品类页/集合页 + FAQ内容块</x:v>
      </x:c>
      <x:c r="N412" s="9" t="str">
        <x:v>主站品类页：用产品集合 + 选购说明承接</x:v>
      </x:c>
      <x:c r="O412" s="9" t="str">
        <x:v>/collections/disposable-vapes</x:v>
      </x:c>
      <x:c r="P412" s="9" t="str">
        <x:v>不适用</x:v>
      </x:c>
      <x:c r="Q412" s="9" t="str">
        <x:v>主站页面自身承接</x:v>
      </x:c>
      <x:c r="R412" s="9" t="str">
        <x:v>核心品类词：主站优先，博客只做长尾解释，不直接抢同一词</x:v>
      </x:c>
      <x:c r="S412" s="9" t="str">
        <x:v>如果 Google 首页产品页和指南混合，主站页要加 FAQ、选购指南、对比模块。</x:v>
      </x:c>
      <x:c r="T412" s="38" t="n">
        <x:v>7</x:v>
      </x:c>
      <x:c r="U412" s="38" t="n">
        <x:v>12</x:v>
      </x:c>
      <x:c r="V412" s="38" t="n">
        <x:v>18</x:v>
      </x:c>
      <x:c r="W412" s="38" t="n">
        <x:v>8</x:v>
      </x:c>
      <x:c r="X412" s="38" t="n">
        <x:v>15</x:v>
      </x:c>
      <x:c r="Y412" s="38" t="n">
        <x:v>4</x:v>
      </x:c>
      <x:c r="Z412" s="38" t="n">
        <x:f>MAX(0,MIN(100,ROUND(((T412+U412+V412+W412+X412)-Y412)/85*100,0)))</x:f>
        <x:v>66</x:v>
      </x:c>
      <x:c r="AA412" s="9" t="str">
        <x:f>IF(L412="暂不做","P3 暂缓",IF(Z412&gt;=75,"P0 本周做",IF(Z412&gt;=60,"P1 近期做",IF(Z412&gt;=45,"P2 备选","P3 暂缓"))))</x:f>
        <x:v>P1 近期做</x:v>
      </x:c>
      <x:c r="AB412" s="9" t="str">
        <x:f>IF(Y412&gt;=15,"先做合规/相关性复核，不建议直接商业导流",IF(L412="主站","建/优化主站商业页",IF(L412="博客A-知识教程","写知识教程/FAQ文章",IF(L412="博客B-场景人群","写场景需求/选购指南文章",IF(L412="博客C-对比评测","写对比评测/榜单文章","暂不做或人工复核")))))</x:f>
        <x:v>建/优化主站商业页</x:v>
      </x:c>
      <x:c r="AC412" s="9" t="str">
        <x:v>ExDivo SPACE 45K Disposable Vape</x:v>
      </x:c>
      <x:c r="AD412" s="10" t="str">
        <x:v>45000 puffs</x:v>
      </x:c>
    </x:row>
    <x:row r="413">
      <x:c r="A413" s="34" t="n">
        <x:v>413</x:v>
      </x:c>
      <x:c r="B413" s="9" t="str">
        <x:v>https://exdivo.com/products/exdivo-space-45k-disposable-vape_3855e1a8?data_from=collection_detail&amp;spm=collection_detail..collection_detail-11702364.12.</x:v>
      </x:c>
      <x:c r="C413" s="9" t="str">
        <x:v>biggest disposable vape</x:v>
      </x:c>
      <x:c r="D413" s="9" t="str">
        <x:v>recommended</x:v>
      </x:c>
      <x:c r="E413" s="36" t="n">
        <x:v>110</x:v>
      </x:c>
      <x:c r="F413" s="36" t="n">
        <x:v>8</x:v>
      </x:c>
      <x:c r="G413" s="9" t="str">
        <x:v>informational</x:v>
      </x:c>
      <x:c r="H413" s="9" t="str">
        <x:v>Disposable Vape</x:v>
      </x:c>
      <x:c r="I413" s="9" t="str">
        <x:v>品类承接词</x:v>
      </x:c>
      <x:c r="J413" s="9" t="str">
        <x:v>主站</x:v>
      </x:c>
      <x:c r="K413" s="9" t="str"/>
      <x:c r="L413" s="9" t="str">
        <x:f>IF(K413="",J413,K413)</x:f>
        <x:v>主站</x:v>
      </x:c>
      <x:c r="M413" s="9" t="str">
        <x:v>品类页/集合页 + FAQ内容块</x:v>
      </x:c>
      <x:c r="N413" s="9" t="str">
        <x:v>主站品类页：用产品集合 + 选购说明承接</x:v>
      </x:c>
      <x:c r="O413" s="9" t="str">
        <x:v>/collections/disposable-vapes</x:v>
      </x:c>
      <x:c r="P413" s="9" t="str">
        <x:v>不适用</x:v>
      </x:c>
      <x:c r="Q413" s="9" t="str">
        <x:v>主站页面自身承接</x:v>
      </x:c>
      <x:c r="R413" s="9" t="str">
        <x:v>核心品类词：主站优先，博客只做长尾解释，不直接抢同一词</x:v>
      </x:c>
      <x:c r="S413" s="9" t="str">
        <x:v>如果 Google 首页产品页和指南混合，主站页要加 FAQ、选购指南、对比模块。</x:v>
      </x:c>
      <x:c r="T413" s="38" t="n">
        <x:v>7</x:v>
      </x:c>
      <x:c r="U413" s="38" t="n">
        <x:v>15</x:v>
      </x:c>
      <x:c r="V413" s="38" t="n">
        <x:v>16</x:v>
      </x:c>
      <x:c r="W413" s="38" t="n">
        <x:v>8</x:v>
      </x:c>
      <x:c r="X413" s="38" t="n">
        <x:v>15</x:v>
      </x:c>
      <x:c r="Y413" s="38" t="n">
        <x:v>4</x:v>
      </x:c>
      <x:c r="Z413" s="38" t="n">
        <x:f>MAX(0,MIN(100,ROUND(((T413+U413+V413+W413+X413)-Y413)/85*100,0)))</x:f>
        <x:v>67</x:v>
      </x:c>
      <x:c r="AA413" s="9" t="str">
        <x:f>IF(L413="暂不做","P3 暂缓",IF(Z413&gt;=75,"P0 本周做",IF(Z413&gt;=60,"P1 近期做",IF(Z413&gt;=45,"P2 备选","P3 暂缓"))))</x:f>
        <x:v>P1 近期做</x:v>
      </x:c>
      <x:c r="AB413" s="9" t="str">
        <x:f>IF(Y413&gt;=15,"先做合规/相关性复核，不建议直接商业导流",IF(L413="主站","建/优化主站商业页",IF(L413="博客A-知识教程","写知识教程/FAQ文章",IF(L413="博客B-场景人群","写场景需求/选购指南文章",IF(L413="博客C-对比评测","写对比评测/榜单文章","暂不做或人工复核")))))</x:f>
        <x:v>建/优化主站商业页</x:v>
      </x:c>
      <x:c r="AC413" s="9" t="str">
        <x:v>ExDivo SPACE 45K Disposable Vape</x:v>
      </x:c>
      <x:c r="AD413" s="10" t="str">
        <x:v>45000 puffs</x:v>
      </x:c>
    </x:row>
    <x:row r="414">
      <x:c r="A414" s="34" t="n">
        <x:v>414</x:v>
      </x:c>
      <x:c r="B414" s="9" t="str">
        <x:v>https://exdivo.com/products/exdivo-space-45k-disposable-vape_3855e1a8?data_from=collection_detail&amp;spm=collection_detail..collection_detail-11702364.12.</x:v>
      </x:c>
      <x:c r="C414" s="9" t="str">
        <x:v>big disposable vape</x:v>
      </x:c>
      <x:c r="D414" s="9" t="str">
        <x:v>recommended</x:v>
      </x:c>
      <x:c r="E414" s="36" t="n">
        <x:v>70</x:v>
      </x:c>
      <x:c r="F414" s="36" t="n">
        <x:v>13</x:v>
      </x:c>
      <x:c r="G414" s="9" t="str">
        <x:v>commercial</x:v>
      </x:c>
      <x:c r="H414" s="9" t="str">
        <x:v>Disposable Vape</x:v>
      </x:c>
      <x:c r="I414" s="9" t="str">
        <x:v>品类承接词</x:v>
      </x:c>
      <x:c r="J414" s="9" t="str">
        <x:v>主站</x:v>
      </x:c>
      <x:c r="K414" s="9" t="str"/>
      <x:c r="L414" s="9" t="str">
        <x:f>IF(K414="",J414,K414)</x:f>
        <x:v>主站</x:v>
      </x:c>
      <x:c r="M414" s="9" t="str">
        <x:v>品类页/集合页 + FAQ内容块</x:v>
      </x:c>
      <x:c r="N414" s="9" t="str">
        <x:v>主站品类页：用产品集合 + 选购说明承接</x:v>
      </x:c>
      <x:c r="O414" s="9" t="str">
        <x:v>/collections/disposable-vapes</x:v>
      </x:c>
      <x:c r="P414" s="9" t="str">
        <x:v>不适用</x:v>
      </x:c>
      <x:c r="Q414" s="9" t="str">
        <x:v>主站页面自身承接</x:v>
      </x:c>
      <x:c r="R414" s="9" t="str">
        <x:v>核心品类词：主站优先，博客只做长尾解释，不直接抢同一词</x:v>
      </x:c>
      <x:c r="S414" s="9" t="str">
        <x:v>如果 Google 首页产品页和指南混合，主站页要加 FAQ、选购指南、对比模块。</x:v>
      </x:c>
      <x:c r="T414" s="38" t="n">
        <x:v>4</x:v>
      </x:c>
      <x:c r="U414" s="38" t="n">
        <x:v>15</x:v>
      </x:c>
      <x:c r="V414" s="38" t="n">
        <x:v>18</x:v>
      </x:c>
      <x:c r="W414" s="38" t="n">
        <x:v>8</x:v>
      </x:c>
      <x:c r="X414" s="38" t="n">
        <x:v>15</x:v>
      </x:c>
      <x:c r="Y414" s="38" t="n">
        <x:v>4</x:v>
      </x:c>
      <x:c r="Z414" s="38" t="n">
        <x:f>MAX(0,MIN(100,ROUND(((T414+U414+V414+W414+X414)-Y414)/85*100,0)))</x:f>
        <x:v>66</x:v>
      </x:c>
      <x:c r="AA414" s="9" t="str">
        <x:f>IF(L414="暂不做","P3 暂缓",IF(Z414&gt;=75,"P0 本周做",IF(Z414&gt;=60,"P1 近期做",IF(Z414&gt;=45,"P2 备选","P3 暂缓"))))</x:f>
        <x:v>P1 近期做</x:v>
      </x:c>
      <x:c r="AB414" s="9" t="str">
        <x:f>IF(Y414&gt;=15,"先做合规/相关性复核，不建议直接商业导流",IF(L414="主站","建/优化主站商业页",IF(L414="博客A-知识教程","写知识教程/FAQ文章",IF(L414="博客B-场景人群","写场景需求/选购指南文章",IF(L414="博客C-对比评测","写对比评测/榜单文章","暂不做或人工复核")))))</x:f>
        <x:v>建/优化主站商业页</x:v>
      </x:c>
      <x:c r="AC414" s="9" t="str">
        <x:v>ExDivo SPACE 45K Disposable Vape</x:v>
      </x:c>
      <x:c r="AD414" s="10" t="str">
        <x:v>45000 puffs</x:v>
      </x:c>
    </x:row>
    <x:row r="415">
      <x:c r="A415" s="34" t="n">
        <x:v>415</x:v>
      </x:c>
      <x:c r="B415" s="9" t="str">
        <x:v>https://exdivo.com/products/exdivo-space-45k-disposable-vape_3855e1a8?data_from=collection_detail&amp;spm=collection_detail..collection_detail-11702364.12.</x:v>
      </x:c>
      <x:c r="C415" s="9" t="str">
        <x:v>big puff disposable vape</x:v>
      </x:c>
      <x:c r="D415" s="9" t="str">
        <x:v>recommended</x:v>
      </x:c>
      <x:c r="E415" s="36" t="n">
        <x:v>40</x:v>
      </x:c>
      <x:c r="F415" s="36" t="n">
        <x:v>8</x:v>
      </x:c>
      <x:c r="G415" s="9" t="str">
        <x:v>informational, commercial</x:v>
      </x:c>
      <x:c r="H415" s="9" t="str">
        <x:v>Disposable Vape</x:v>
      </x:c>
      <x:c r="I415" s="9" t="str">
        <x:v>品类承接词</x:v>
      </x:c>
      <x:c r="J415" s="9" t="str">
        <x:v>主站</x:v>
      </x:c>
      <x:c r="K415" s="9" t="str"/>
      <x:c r="L415" s="9" t="str">
        <x:f>IF(K415="",J415,K415)</x:f>
        <x:v>主站</x:v>
      </x:c>
      <x:c r="M415" s="9" t="str">
        <x:v>品类页/集合页 + FAQ内容块</x:v>
      </x:c>
      <x:c r="N415" s="9" t="str">
        <x:v>主站品类页：用产品集合 + 选购说明承接</x:v>
      </x:c>
      <x:c r="O415" s="9" t="str">
        <x:v>/collections/disposable-vapes</x:v>
      </x:c>
      <x:c r="P415" s="9" t="str">
        <x:v>不适用</x:v>
      </x:c>
      <x:c r="Q415" s="9" t="str">
        <x:v>主站页面自身承接</x:v>
      </x:c>
      <x:c r="R415" s="9" t="str">
        <x:v>核心品类词：主站优先，博客只做长尾解释，不直接抢同一词</x:v>
      </x:c>
      <x:c r="S415" s="9" t="str">
        <x:v>如果 Google 首页产品页和指南混合，主站页要加 FAQ、选购指南、对比模块。</x:v>
      </x:c>
      <x:c r="T415" s="38" t="n">
        <x:v>4</x:v>
      </x:c>
      <x:c r="U415" s="38" t="n">
        <x:v>15</x:v>
      </x:c>
      <x:c r="V415" s="38" t="n">
        <x:v>18</x:v>
      </x:c>
      <x:c r="W415" s="38" t="n">
        <x:v>8</x:v>
      </x:c>
      <x:c r="X415" s="38" t="n">
        <x:v>15</x:v>
      </x:c>
      <x:c r="Y415" s="38" t="n">
        <x:v>4</x:v>
      </x:c>
      <x:c r="Z415" s="38" t="n">
        <x:f>MAX(0,MIN(100,ROUND(((T415+U415+V415+W415+X415)-Y415)/85*100,0)))</x:f>
        <x:v>66</x:v>
      </x:c>
      <x:c r="AA415" s="9" t="str">
        <x:f>IF(L415="暂不做","P3 暂缓",IF(Z415&gt;=75,"P0 本周做",IF(Z415&gt;=60,"P1 近期做",IF(Z415&gt;=45,"P2 备选","P3 暂缓"))))</x:f>
        <x:v>P1 近期做</x:v>
      </x:c>
      <x:c r="AB415" s="9" t="str">
        <x:f>IF(Y415&gt;=15,"先做合规/相关性复核，不建议直接商业导流",IF(L415="主站","建/优化主站商业页",IF(L415="博客A-知识教程","写知识教程/FAQ文章",IF(L415="博客B-场景人群","写场景需求/选购指南文章",IF(L415="博客C-对比评测","写对比评测/榜单文章","暂不做或人工复核")))))</x:f>
        <x:v>建/优化主站商业页</x:v>
      </x:c>
      <x:c r="AC415" s="9" t="str">
        <x:v>ExDivo SPACE 45K Disposable Vape</x:v>
      </x:c>
      <x:c r="AD415" s="10" t="str">
        <x:v>45000 puffs</x:v>
      </x:c>
    </x:row>
    <x:row r="416">
      <x:c r="A416" s="34" t="n">
        <x:v>416</x:v>
      </x:c>
      <x:c r="B416" s="9" t="str">
        <x:v>https://exdivo.com/products/exdivo-space-45k-disposable-vape_3855e1a8?data_from=collection_detail&amp;spm=collection_detail..collection_detail-11702364.12.</x:v>
      </x:c>
      <x:c r="C416" s="9" t="str">
        <x:v>disposable vape for sale</x:v>
      </x:c>
      <x:c r="D416" s="9" t="str">
        <x:v>recommended</x:v>
      </x:c>
      <x:c r="E416" s="36" t="n">
        <x:v>70</x:v>
      </x:c>
      <x:c r="F416" s="36" t="n">
        <x:v>44</x:v>
      </x:c>
      <x:c r="G416" s="9" t="str">
        <x:v>transactional</x:v>
      </x:c>
      <x:c r="H416" s="9" t="str">
        <x:v>Disposable Vape</x:v>
      </x:c>
      <x:c r="I416" s="9" t="str">
        <x:v>交易词</x:v>
      </x:c>
      <x:c r="J416" s="9" t="str">
        <x:v>主站</x:v>
      </x:c>
      <x:c r="K416" s="9" t="str"/>
      <x:c r="L416" s="9" t="str">
        <x:f>IF(K416="",J416,K416)</x:f>
        <x:v>主站</x:v>
      </x:c>
      <x:c r="M416" s="9" t="str">
        <x:v>产品集合页/分类页/购买页</x:v>
      </x:c>
      <x:c r="N416" s="9" t="str">
        <x:v>主站商业页：标题围绕购买意图 + 品类 + 关键卖点</x:v>
      </x:c>
      <x:c r="O416" s="9" t="str">
        <x:v>/collections/disposable-vapes</x:v>
      </x:c>
      <x:c r="P416" s="9" t="str">
        <x:v>不适用</x:v>
      </x:c>
      <x:c r="Q416" s="9" t="str">
        <x:v>主站页面自身承接</x:v>
      </x:c>
      <x:c r="R416" s="9" t="str">
        <x:v>商业词：优先给主站，避免博客抢主站排名</x:v>
      </x:c>
      <x:c r="S416" s="9" t="str">
        <x:v>SERP 如为商品列表/品牌站/电商集合页，就建主站页面；若 SERP 全是教程，再拆支持文章。</x:v>
      </x:c>
      <x:c r="T416" s="38" t="n">
        <x:v>4</x:v>
      </x:c>
      <x:c r="U416" s="38" t="n">
        <x:v>9</x:v>
      </x:c>
      <x:c r="V416" s="38" t="n">
        <x:v>20</x:v>
      </x:c>
      <x:c r="W416" s="38" t="n">
        <x:v>7</x:v>
      </x:c>
      <x:c r="X416" s="38" t="n">
        <x:v>15</x:v>
      </x:c>
      <x:c r="Y416" s="38" t="n">
        <x:v>4</x:v>
      </x:c>
      <x:c r="Z416" s="38" t="n">
        <x:f>MAX(0,MIN(100,ROUND(((T416+U416+V416+W416+X416)-Y416)/85*100,0)))</x:f>
        <x:v>60</x:v>
      </x:c>
      <x:c r="AA416" s="9" t="str">
        <x:f>IF(L416="暂不做","P3 暂缓",IF(Z416&gt;=75,"P0 本周做",IF(Z416&gt;=60,"P1 近期做",IF(Z416&gt;=45,"P2 备选","P3 暂缓"))))</x:f>
        <x:v>P1 近期做</x:v>
      </x:c>
      <x:c r="AB416" s="9" t="str">
        <x:f>IF(Y416&gt;=15,"先做合规/相关性复核，不建议直接商业导流",IF(L416="主站","建/优化主站商业页",IF(L416="博客A-知识教程","写知识教程/FAQ文章",IF(L416="博客B-场景人群","写场景需求/选购指南文章",IF(L416="博客C-对比评测","写对比评测/榜单文章","暂不做或人工复核")))))</x:f>
        <x:v>建/优化主站商业页</x:v>
      </x:c>
      <x:c r="AC416" s="9" t="str">
        <x:v>ExDivo SPACE 45K Disposable Vape</x:v>
      </x:c>
      <x:c r="AD416" s="10" t="str">
        <x:v>45000 puffs</x:v>
      </x:c>
    </x:row>
    <x:row r="417">
      <x:c r="A417" s="34" t="n">
        <x:v>417</x:v>
      </x:c>
      <x:c r="B417" s="9" t="str">
        <x:v>https://exdivo.com/products/exdivo-space-45k-disposable-vape_3855e1a8?data_from=collection_detail&amp;spm=collection_detail..collection_detail-11702364.12.</x:v>
      </x:c>
      <x:c r="C417" s="9" t="str">
        <x:v>disposable vape with nicotine</x:v>
      </x:c>
      <x:c r="D417" s="9" t="str">
        <x:v>recommended</x:v>
      </x:c>
      <x:c r="E417" s="36" t="n">
        <x:v>50</x:v>
      </x:c>
      <x:c r="F417" s="36" t="n">
        <x:v>46</x:v>
      </x:c>
      <x:c r="G417" s="9" t="str">
        <x:v>commercial</x:v>
      </x:c>
      <x:c r="H417" s="9" t="str">
        <x:v>Disposable Vape</x:v>
      </x:c>
      <x:c r="I417" s="9" t="str">
        <x:v>品类承接词</x:v>
      </x:c>
      <x:c r="J417" s="9" t="str">
        <x:v>主站</x:v>
      </x:c>
      <x:c r="K417" s="9" t="str"/>
      <x:c r="L417" s="9" t="str">
        <x:f>IF(K417="",J417,K417)</x:f>
        <x:v>主站</x:v>
      </x:c>
      <x:c r="M417" s="9" t="str">
        <x:v>品类页/集合页 + FAQ内容块</x:v>
      </x:c>
      <x:c r="N417" s="9" t="str">
        <x:v>主站品类页：用产品集合 + 选购说明承接</x:v>
      </x:c>
      <x:c r="O417" s="9" t="str">
        <x:v>/collections/disposable-vapes</x:v>
      </x:c>
      <x:c r="P417" s="9" t="str">
        <x:v>不适用</x:v>
      </x:c>
      <x:c r="Q417" s="9" t="str">
        <x:v>主站页面自身承接</x:v>
      </x:c>
      <x:c r="R417" s="9" t="str">
        <x:v>核心品类词：主站优先，博客只做长尾解释，不直接抢同一词</x:v>
      </x:c>
      <x:c r="S417" s="9" t="str">
        <x:v>如果 Google 首页产品页和指南混合，主站页要加 FAQ、选购指南、对比模块。</x:v>
      </x:c>
      <x:c r="T417" s="38" t="n">
        <x:v>4</x:v>
      </x:c>
      <x:c r="U417" s="38" t="n">
        <x:v>6</x:v>
      </x:c>
      <x:c r="V417" s="38" t="n">
        <x:v>18</x:v>
      </x:c>
      <x:c r="W417" s="38" t="n">
        <x:v>8</x:v>
      </x:c>
      <x:c r="X417" s="38" t="n">
        <x:v>15</x:v>
      </x:c>
      <x:c r="Y417" s="38" t="n">
        <x:v>4</x:v>
      </x:c>
      <x:c r="Z417" s="38" t="n">
        <x:f>MAX(0,MIN(100,ROUND(((T417+U417+V417+W417+X417)-Y417)/85*100,0)))</x:f>
        <x:v>55</x:v>
      </x:c>
      <x:c r="AA417" s="9" t="str">
        <x:f>IF(L417="暂不做","P3 暂缓",IF(Z417&gt;=75,"P0 本周做",IF(Z417&gt;=60,"P1 近期做",IF(Z417&gt;=45,"P2 备选","P3 暂缓"))))</x:f>
        <x:v>P2 备选</x:v>
      </x:c>
      <x:c r="AB417" s="9" t="str">
        <x:f>IF(Y417&gt;=15,"先做合规/相关性复核，不建议直接商业导流",IF(L417="主站","建/优化主站商业页",IF(L417="博客A-知识教程","写知识教程/FAQ文章",IF(L417="博客B-场景人群","写场景需求/选购指南文章",IF(L417="博客C-对比评测","写对比评测/榜单文章","暂不做或人工复核")))))</x:f>
        <x:v>建/优化主站商业页</x:v>
      </x:c>
      <x:c r="AC417" s="9" t="str">
        <x:v>ExDivo SPACE 45K Disposable Vape</x:v>
      </x:c>
      <x:c r="AD417" s="10" t="str">
        <x:v>45000 puffs</x:v>
      </x:c>
    </x:row>
    <x:row r="418">
      <x:c r="A418" s="34" t="n">
        <x:v>418</x:v>
      </x:c>
      <x:c r="B418" s="9" t="str">
        <x:v>https://exdivo.com/products/exdivo-space-45k-disposable-vape_3855e1a8?data_from=collection_detail&amp;spm=collection_detail..collection_detail-11702364.12.</x:v>
      </x:c>
      <x:c r="C418" s="9" t="str">
        <x:v>disposable refillable vape</x:v>
      </x:c>
      <x:c r="D418" s="9" t="str">
        <x:v>recommended</x:v>
      </x:c>
      <x:c r="E418" s="36" t="n">
        <x:v>40</x:v>
      </x:c>
      <x:c r="F418" s="36" t="n">
        <x:v>45</x:v>
      </x:c>
      <x:c r="G418" s="9" t="str">
        <x:v>commercial</x:v>
      </x:c>
      <x:c r="H418" s="9" t="str">
        <x:v>Disposable Vape</x:v>
      </x:c>
      <x:c r="I418" s="9" t="str">
        <x:v>品类承接词</x:v>
      </x:c>
      <x:c r="J418" s="9" t="str">
        <x:v>主站</x:v>
      </x:c>
      <x:c r="K418" s="9" t="str"/>
      <x:c r="L418" s="9" t="str">
        <x:f>IF(K418="",J418,K418)</x:f>
        <x:v>主站</x:v>
      </x:c>
      <x:c r="M418" s="9" t="str">
        <x:v>品类页/集合页 + FAQ内容块</x:v>
      </x:c>
      <x:c r="N418" s="9" t="str">
        <x:v>主站品类页：用产品集合 + 选购说明承接</x:v>
      </x:c>
      <x:c r="O418" s="9" t="str">
        <x:v>/collections/rechargeable-vapes</x:v>
      </x:c>
      <x:c r="P418" s="9" t="str">
        <x:v>不适用</x:v>
      </x:c>
      <x:c r="Q418" s="9" t="str">
        <x:v>主站页面自身承接</x:v>
      </x:c>
      <x:c r="R418" s="9" t="str">
        <x:v>核心品类词：主站优先，博客只做长尾解释，不直接抢同一词</x:v>
      </x:c>
      <x:c r="S418" s="9" t="str">
        <x:v>如果 Google 首页产品页和指南混合，主站页要加 FAQ、选购指南、对比模块。</x:v>
      </x:c>
      <x:c r="T418" s="38" t="n">
        <x:v>4</x:v>
      </x:c>
      <x:c r="U418" s="38" t="n">
        <x:v>9</x:v>
      </x:c>
      <x:c r="V418" s="38" t="n">
        <x:v>18</x:v>
      </x:c>
      <x:c r="W418" s="38" t="n">
        <x:v>8</x:v>
      </x:c>
      <x:c r="X418" s="38" t="n">
        <x:v>15</x:v>
      </x:c>
      <x:c r="Y418" s="38" t="n">
        <x:v>4</x:v>
      </x:c>
      <x:c r="Z418" s="38" t="n">
        <x:f>MAX(0,MIN(100,ROUND(((T418+U418+V418+W418+X418)-Y418)/85*100,0)))</x:f>
        <x:v>59</x:v>
      </x:c>
      <x:c r="AA418" s="9" t="str">
        <x:f>IF(L418="暂不做","P3 暂缓",IF(Z418&gt;=75,"P0 本周做",IF(Z418&gt;=60,"P1 近期做",IF(Z418&gt;=45,"P2 备选","P3 暂缓"))))</x:f>
        <x:v>P2 备选</x:v>
      </x:c>
      <x:c r="AB418" s="9" t="str">
        <x:f>IF(Y418&gt;=15,"先做合规/相关性复核，不建议直接商业导流",IF(L418="主站","建/优化主站商业页",IF(L418="博客A-知识教程","写知识教程/FAQ文章",IF(L418="博客B-场景人群","写场景需求/选购指南文章",IF(L418="博客C-对比评测","写对比评测/榜单文章","暂不做或人工复核")))))</x:f>
        <x:v>建/优化主站商业页</x:v>
      </x:c>
      <x:c r="AC418" s="9" t="str">
        <x:v>ExDivo SPACE 45K Disposable Vape</x:v>
      </x:c>
      <x:c r="AD418" s="10" t="str">
        <x:v>45000 puffs</x:v>
      </x:c>
    </x:row>
    <x:row r="419">
      <x:c r="A419" s="34" t="n">
        <x:v>419</x:v>
      </x:c>
      <x:c r="B419" s="9" t="str">
        <x:v>https://exdivo.com/products/exdivo-space-45k-disposable-vape_3855e1a8?data_from=collection_detail&amp;spm=collection_detail..collection_detail-11702364.12.</x:v>
      </x:c>
      <x:c r="C419" s="9" t="str">
        <x:v>premium disposable vape 45000 puffs</x:v>
      </x:c>
      <x:c r="D419" s="9" t="str">
        <x:v>recommended</x:v>
      </x:c>
      <x:c r="E419" s="36" t="n">
        <x:v>0</x:v>
      </x:c>
      <x:c r="F419" s="36" t="n">
        <x:v>0</x:v>
      </x:c>
      <x:c r="G419" s="9" t="str">
        <x:v>48</x:v>
      </x:c>
      <x:c r="H419" s="9" t="str">
        <x:v>Disposable Vape</x:v>
      </x:c>
      <x:c r="I419" s="9" t="str">
        <x:v>内容词</x:v>
      </x:c>
      <x:c r="J419" s="9" t="str">
        <x:v>博客A-知识教程</x:v>
      </x:c>
      <x:c r="K419" s="9" t="str"/>
      <x:c r="L419" s="9" t="str">
        <x:f>IF(K419="",J419,K419)</x:f>
        <x:v>博客A-知识教程</x:v>
      </x:c>
      <x:c r="M419" s="9" t="str">
        <x:v>知识/教程文章</x:v>
      </x:c>
      <x:c r="N419" s="9" t="str">
        <x:v>Guide angle: explain premium disposable vape 45000 puffs, answer common questions, and avoid sales-first writing</x:v>
      </x:c>
      <x:c r="O419" s="9" t="str">
        <x:v>/collections/disposable-vapes 或最接近的产品集合页</x:v>
      </x:c>
      <x:c r="P419" s="9" t="str">
        <x:v>谨慎</x:v>
      </x:c>
      <x:c r="Q419" s="9" t="str">
        <x:v>品牌词/自然句</x:v>
      </x:c>
      <x:c r="R419" s="9" t="str">
        <x:v>低风险：按常规内容质量和搜索意图校验</x:v>
      </x:c>
      <x:c r="S419" s="9" t="str">
        <x:v>先看 Google SERP：如果首页多数为产品集合页，改回主站；如果多数为教程/问答，保持博客。</x:v>
      </x:c>
      <x:c r="T419" s="38" t="n">
        <x:v>1</x:v>
      </x:c>
      <x:c r="U419" s="38" t="n">
        <x:v>15</x:v>
      </x:c>
      <x:c r="V419" s="38" t="n">
        <x:v>10</x:v>
      </x:c>
      <x:c r="W419" s="38" t="n">
        <x:v>12</x:v>
      </x:c>
      <x:c r="X419" s="38" t="n">
        <x:v>12</x:v>
      </x:c>
      <x:c r="Y419" s="38" t="n">
        <x:v>4</x:v>
      </x:c>
      <x:c r="Z419" s="38" t="n">
        <x:f>MAX(0,MIN(100,ROUND(((T419+U419+V419+W419+X419)-Y419)/85*100,0)))</x:f>
        <x:v>54</x:v>
      </x:c>
      <x:c r="AA419" s="9" t="str">
        <x:f>IF(L419="暂不做","P3 暂缓",IF(Z419&gt;=75,"P0 本周做",IF(Z419&gt;=60,"P1 近期做",IF(Z419&gt;=45,"P2 备选","P3 暂缓"))))</x:f>
        <x:v>P2 备选</x:v>
      </x:c>
      <x:c r="AB419" s="9" t="str">
        <x:f>IF(Y419&gt;=15,"先做合规/相关性复核，不建议直接商业导流",IF(L419="主站","建/优化主站商业页",IF(L419="博客A-知识教程","写知识教程/FAQ文章",IF(L419="博客B-场景人群","写场景需求/选购指南文章",IF(L419="博客C-对比评测","写对比评测/榜单文章","暂不做或人工复核")))))</x:f>
        <x:v>写知识教程/FAQ文章</x:v>
      </x:c>
      <x:c r="AC419" s="9" t="str">
        <x:v>ExDivo SPACE 45K Disposable Vape</x:v>
      </x:c>
      <x:c r="AD419" s="10" t="str">
        <x:v>45000 puffs</x:v>
      </x:c>
    </x:row>
    <x:row r="420">
      <x:c r="A420" s="34" t="n">
        <x:v>420</x:v>
      </x:c>
      <x:c r="B420" s="9" t="str">
        <x:v>https://exdivo.com/products/exdivo-space-45k-disposable-vape_3855e1a8?data_from=collection_detail&amp;spm=collection_detail..collection_detail-11702364.12.</x:v>
      </x:c>
      <x:c r="C420" s="9" t="str">
        <x:v>high capacity disposable vape</x:v>
      </x:c>
      <x:c r="D420" s="9" t="str">
        <x:v>recommended</x:v>
      </x:c>
      <x:c r="E420" s="36" t="n">
        <x:v>0</x:v>
      </x:c>
      <x:c r="F420" s="36" t="n">
        <x:v>0</x:v>
      </x:c>
      <x:c r="G420" s="9" t="str">
        <x:v>48</x:v>
      </x:c>
      <x:c r="H420" s="9" t="str">
        <x:v>Disposable Vape</x:v>
      </x:c>
      <x:c r="I420" s="9" t="str">
        <x:v>内容词</x:v>
      </x:c>
      <x:c r="J420" s="9" t="str">
        <x:v>博客A-知识教程</x:v>
      </x:c>
      <x:c r="K420" s="9" t="str"/>
      <x:c r="L420" s="9" t="str">
        <x:f>IF(K420="",J420,K420)</x:f>
        <x:v>博客A-知识教程</x:v>
      </x:c>
      <x:c r="M420" s="9" t="str">
        <x:v>知识/教程文章</x:v>
      </x:c>
      <x:c r="N420" s="9" t="str">
        <x:v>Guide angle: explain high capacity disposable vape, answer common questions, and avoid sales-first writing</x:v>
      </x:c>
      <x:c r="O420" s="9" t="str">
        <x:v>/collections/disposable-vapes 或最接近的产品集合页</x:v>
      </x:c>
      <x:c r="P420" s="9" t="str">
        <x:v>谨慎</x:v>
      </x:c>
      <x:c r="Q420" s="9" t="str">
        <x:v>品牌词/自然句</x:v>
      </x:c>
      <x:c r="R420" s="9" t="str">
        <x:v>低风险：按常规内容质量和搜索意图校验</x:v>
      </x:c>
      <x:c r="S420" s="9" t="str">
        <x:v>先看 Google SERP：如果首页多数为产品集合页，改回主站；如果多数为教程/问答，保持博客。</x:v>
      </x:c>
      <x:c r="T420" s="38" t="n">
        <x:v>1</x:v>
      </x:c>
      <x:c r="U420" s="38" t="n">
        <x:v>15</x:v>
      </x:c>
      <x:c r="V420" s="38" t="n">
        <x:v>10</x:v>
      </x:c>
      <x:c r="W420" s="38" t="n">
        <x:v>12</x:v>
      </x:c>
      <x:c r="X420" s="38" t="n">
        <x:v>12</x:v>
      </x:c>
      <x:c r="Y420" s="38" t="n">
        <x:v>4</x:v>
      </x:c>
      <x:c r="Z420" s="38" t="n">
        <x:f>MAX(0,MIN(100,ROUND(((T420+U420+V420+W420+X420)-Y420)/85*100,0)))</x:f>
        <x:v>54</x:v>
      </x:c>
      <x:c r="AA420" s="9" t="str">
        <x:f>IF(L420="暂不做","P3 暂缓",IF(Z420&gt;=75,"P0 本周做",IF(Z420&gt;=60,"P1 近期做",IF(Z420&gt;=45,"P2 备选","P3 暂缓"))))</x:f>
        <x:v>P2 备选</x:v>
      </x:c>
      <x:c r="AB420" s="9" t="str">
        <x:f>IF(Y420&gt;=15,"先做合规/相关性复核，不建议直接商业导流",IF(L420="主站","建/优化主站商业页",IF(L420="博客A-知识教程","写知识教程/FAQ文章",IF(L420="博客B-场景人群","写场景需求/选购指南文章",IF(L420="博客C-对比评测","写对比评测/榜单文章","暂不做或人工复核")))))</x:f>
        <x:v>写知识教程/FAQ文章</x:v>
      </x:c>
      <x:c r="AC420" s="9" t="str">
        <x:v>ExDivo SPACE 45K Disposable Vape</x:v>
      </x:c>
      <x:c r="AD420" s="10" t="str">
        <x:v>45000 puffs</x:v>
      </x:c>
    </x:row>
    <x:row r="421">
      <x:c r="A421" s="34" t="n">
        <x:v>421</x:v>
      </x:c>
      <x:c r="B421" s="9" t="str">
        <x:v>https://exdivo.com/products/exdivo-space-45k-disposable-vape_3855e1a8?data_from=collection_detail&amp;spm=collection_detail..collection_detail-11702364.12.</x:v>
      </x:c>
      <x:c r="C421" s="9" t="str">
        <x:v>extra long lasting disposable vape</x:v>
      </x:c>
      <x:c r="D421" s="9" t="str">
        <x:v>recommended</x:v>
      </x:c>
      <x:c r="E421" s="36" t="n">
        <x:v>0</x:v>
      </x:c>
      <x:c r="F421" s="36" t="n">
        <x:v>0</x:v>
      </x:c>
      <x:c r="G421" s="9" t="str">
        <x:v>48</x:v>
      </x:c>
      <x:c r="H421" s="9" t="str">
        <x:v>Disposable Vape</x:v>
      </x:c>
      <x:c r="I421" s="9" t="str">
        <x:v>场景/需求词</x:v>
      </x:c>
      <x:c r="J421" s="9" t="str">
        <x:v>博客B-场景人群</x:v>
      </x:c>
      <x:c r="K421" s="9" t="str"/>
      <x:c r="L421" s="9" t="str">
        <x:f>IF(K421="",J421,K421)</x:f>
        <x:v>博客B-场景人群</x:v>
      </x:c>
      <x:c r="M421" s="9" t="str">
        <x:v>场景解决方案/选购指南文章</x:v>
      </x:c>
      <x:c r="N421" s="9" t="str">
        <x:v>Scenario angle: how to choose extra long lasting disposable vape based on use case, flavor, nicotine, and budget</x:v>
      </x:c>
      <x:c r="O421" s="9" t="str">
        <x:v>/collections/disposable-vapes</x:v>
      </x:c>
      <x:c r="P421" s="9" t="str">
        <x:v>是</x:v>
      </x:c>
      <x:c r="Q421" s="9" t="str">
        <x:v>自然句/品类词</x:v>
      </x:c>
      <x:c r="R421" s="9" t="str">
        <x:v>低中风险：适合软性导流，但不要夸大效果或触碰健康疗效</x:v>
      </x:c>
      <x:c r="S421" s="9" t="str">
        <x:v>围绕使用场景、口味、尼古丁需求、便携性等写，不和主站品类页抢词。</x:v>
      </x:c>
      <x:c r="T421" s="38" t="n">
        <x:v>1</x:v>
      </x:c>
      <x:c r="U421" s="38" t="n">
        <x:v>15</x:v>
      </x:c>
      <x:c r="V421" s="38" t="n">
        <x:v>13</x:v>
      </x:c>
      <x:c r="W421" s="38" t="n">
        <x:v>14</x:v>
      </x:c>
      <x:c r="X421" s="38" t="n">
        <x:v>13</x:v>
      </x:c>
      <x:c r="Y421" s="38" t="n">
        <x:v>5</x:v>
      </x:c>
      <x:c r="Z421" s="38" t="n">
        <x:f>MAX(0,MIN(100,ROUND(((T421+U421+V421+W421+X421)-Y421)/85*100,0)))</x:f>
        <x:v>60</x:v>
      </x:c>
      <x:c r="AA421" s="9" t="str">
        <x:f>IF(L421="暂不做","P3 暂缓",IF(Z421&gt;=75,"P0 本周做",IF(Z421&gt;=60,"P1 近期做",IF(Z421&gt;=45,"P2 备选","P3 暂缓"))))</x:f>
        <x:v>P1 近期做</x:v>
      </x:c>
      <x:c r="AB421" s="9" t="str">
        <x:f>IF(Y421&gt;=15,"先做合规/相关性复核，不建议直接商业导流",IF(L421="主站","建/优化主站商业页",IF(L421="博客A-知识教程","写知识教程/FAQ文章",IF(L421="博客B-场景人群","写场景需求/选购指南文章",IF(L421="博客C-对比评测","写对比评测/榜单文章","暂不做或人工复核")))))</x:f>
        <x:v>写场景需求/选购指南文章</x:v>
      </x:c>
      <x:c r="AC421" s="9" t="str">
        <x:v>ExDivo SPACE 45K Disposable Vape</x:v>
      </x:c>
      <x:c r="AD421" s="10" t="str">
        <x:v>45000 puffs</x:v>
      </x:c>
    </x:row>
    <x:row r="422">
      <x:c r="A422" s="34" t="n">
        <x:v>422</x:v>
      </x:c>
      <x:c r="B422" s="9" t="str">
        <x:v>https://exdivo.com/products/exdivo-space-45k-disposable-vape_3855e1a8?data_from=collection_detail&amp;spm=collection_detail..collection_detail-11702364.12.</x:v>
      </x:c>
      <x:c r="C422" s="9" t="str">
        <x:v>premium disposable vape</x:v>
      </x:c>
      <x:c r="D422" s="9" t="str">
        <x:v>recommended</x:v>
      </x:c>
      <x:c r="E422" s="36" t="n">
        <x:v>0</x:v>
      </x:c>
      <x:c r="F422" s="36" t="n">
        <x:v>0</x:v>
      </x:c>
      <x:c r="G422" s="9" t="str">
        <x:v>48</x:v>
      </x:c>
      <x:c r="H422" s="9" t="str">
        <x:v>Disposable Vape</x:v>
      </x:c>
      <x:c r="I422" s="9" t="str">
        <x:v>品类承接词</x:v>
      </x:c>
      <x:c r="J422" s="9" t="str">
        <x:v>主站</x:v>
      </x:c>
      <x:c r="K422" s="9" t="str"/>
      <x:c r="L422" s="9" t="str">
        <x:f>IF(K422="",J422,K422)</x:f>
        <x:v>主站</x:v>
      </x:c>
      <x:c r="M422" s="9" t="str">
        <x:v>品类页/集合页 + FAQ内容块</x:v>
      </x:c>
      <x:c r="N422" s="9" t="str">
        <x:v>主站品类页：用产品集合 + 选购说明承接</x:v>
      </x:c>
      <x:c r="O422" s="9" t="str">
        <x:v>/collections/disposable-vapes</x:v>
      </x:c>
      <x:c r="P422" s="9" t="str">
        <x:v>不适用</x:v>
      </x:c>
      <x:c r="Q422" s="9" t="str">
        <x:v>主站页面自身承接</x:v>
      </x:c>
      <x:c r="R422" s="9" t="str">
        <x:v>核心品类词：主站优先，博客只做长尾解释，不直接抢同一词</x:v>
      </x:c>
      <x:c r="S422" s="9" t="str">
        <x:v>如果 Google 首页产品页和指南混合，主站页要加 FAQ、选购指南、对比模块。</x:v>
      </x:c>
      <x:c r="T422" s="38" t="n">
        <x:v>1</x:v>
      </x:c>
      <x:c r="U422" s="38" t="n">
        <x:v>15</x:v>
      </x:c>
      <x:c r="V422" s="38" t="n">
        <x:v>16</x:v>
      </x:c>
      <x:c r="W422" s="38" t="n">
        <x:v>8</x:v>
      </x:c>
      <x:c r="X422" s="38" t="n">
        <x:v>15</x:v>
      </x:c>
      <x:c r="Y422" s="38" t="n">
        <x:v>4</x:v>
      </x:c>
      <x:c r="Z422" s="38" t="n">
        <x:f>MAX(0,MIN(100,ROUND(((T422+U422+V422+W422+X422)-Y422)/85*100,0)))</x:f>
        <x:v>60</x:v>
      </x:c>
      <x:c r="AA422" s="9" t="str">
        <x:f>IF(L422="暂不做","P3 暂缓",IF(Z422&gt;=75,"P0 本周做",IF(Z422&gt;=60,"P1 近期做",IF(Z422&gt;=45,"P2 备选","P3 暂缓"))))</x:f>
        <x:v>P1 近期做</x:v>
      </x:c>
      <x:c r="AB422" s="9" t="str">
        <x:f>IF(Y422&gt;=15,"先做合规/相关性复核，不建议直接商业导流",IF(L422="主站","建/优化主站商业页",IF(L422="博客A-知识教程","写知识教程/FAQ文章",IF(L422="博客B-场景人群","写场景需求/选购指南文章",IF(L422="博客C-对比评测","写对比评测/榜单文章","暂不做或人工复核")))))</x:f>
        <x:v>建/优化主站商业页</x:v>
      </x:c>
      <x:c r="AC422" s="9" t="str">
        <x:v>ExDivo SPACE 45K Disposable Vape</x:v>
      </x:c>
      <x:c r="AD422" s="10" t="str">
        <x:v>45000 puffs</x:v>
      </x:c>
    </x:row>
    <x:row r="423">
      <x:c r="A423" s="34" t="n">
        <x:v>423</x:v>
      </x:c>
      <x:c r="B423" s="9" t="str">
        <x:v>https://exdivo.com/products/exdivo-space-45k-disposable-vape_3855e1a8?data_from=collection_detail&amp;spm=collection_detail..collection_detail-11702364.12.</x:v>
      </x:c>
      <x:c r="C423" s="9" t="str">
        <x:v>advanced disposable vape</x:v>
      </x:c>
      <x:c r="D423" s="9" t="str">
        <x:v>recommended</x:v>
      </x:c>
      <x:c r="E423" s="36" t="n">
        <x:v>0</x:v>
      </x:c>
      <x:c r="F423" s="36" t="n">
        <x:v>0</x:v>
      </x:c>
      <x:c r="G423" s="9" t="str">
        <x:v>48</x:v>
      </x:c>
      <x:c r="H423" s="9" t="str">
        <x:v>Disposable Vape</x:v>
      </x:c>
      <x:c r="I423" s="9" t="str">
        <x:v>品类承接词</x:v>
      </x:c>
      <x:c r="J423" s="9" t="str">
        <x:v>主站</x:v>
      </x:c>
      <x:c r="K423" s="9" t="str"/>
      <x:c r="L423" s="9" t="str">
        <x:f>IF(K423="",J423,K423)</x:f>
        <x:v>主站</x:v>
      </x:c>
      <x:c r="M423" s="9" t="str">
        <x:v>品类页/集合页 + FAQ内容块</x:v>
      </x:c>
      <x:c r="N423" s="9" t="str">
        <x:v>主站品类页：用产品集合 + 选购说明承接</x:v>
      </x:c>
      <x:c r="O423" s="9" t="str">
        <x:v>/collections/disposable-vapes</x:v>
      </x:c>
      <x:c r="P423" s="9" t="str">
        <x:v>不适用</x:v>
      </x:c>
      <x:c r="Q423" s="9" t="str">
        <x:v>主站页面自身承接</x:v>
      </x:c>
      <x:c r="R423" s="9" t="str">
        <x:v>核心品类词：主站优先，博客只做长尾解释，不直接抢同一词</x:v>
      </x:c>
      <x:c r="S423" s="9" t="str">
        <x:v>如果 Google 首页产品页和指南混合，主站页要加 FAQ、选购指南、对比模块。</x:v>
      </x:c>
      <x:c r="T423" s="38" t="n">
        <x:v>1</x:v>
      </x:c>
      <x:c r="U423" s="38" t="n">
        <x:v>15</x:v>
      </x:c>
      <x:c r="V423" s="38" t="n">
        <x:v>16</x:v>
      </x:c>
      <x:c r="W423" s="38" t="n">
        <x:v>8</x:v>
      </x:c>
      <x:c r="X423" s="38" t="n">
        <x:v>15</x:v>
      </x:c>
      <x:c r="Y423" s="38" t="n">
        <x:v>4</x:v>
      </x:c>
      <x:c r="Z423" s="38" t="n">
        <x:f>MAX(0,MIN(100,ROUND(((T423+U423+V423+W423+X423)-Y423)/85*100,0)))</x:f>
        <x:v>60</x:v>
      </x:c>
      <x:c r="AA423" s="9" t="str">
        <x:f>IF(L423="暂不做","P3 暂缓",IF(Z423&gt;=75,"P0 本周做",IF(Z423&gt;=60,"P1 近期做",IF(Z423&gt;=45,"P2 备选","P3 暂缓"))))</x:f>
        <x:v>P1 近期做</x:v>
      </x:c>
      <x:c r="AB423" s="9" t="str">
        <x:f>IF(Y423&gt;=15,"先做合规/相关性复核，不建议直接商业导流",IF(L423="主站","建/优化主站商业页",IF(L423="博客A-知识教程","写知识教程/FAQ文章",IF(L423="博客B-场景人群","写场景需求/选购指南文章",IF(L423="博客C-对比评测","写对比评测/榜单文章","暂不做或人工复核")))))</x:f>
        <x:v>建/优化主站商业页</x:v>
      </x:c>
      <x:c r="AC423" s="9" t="str">
        <x:v>ExDivo SPACE 45K Disposable Vape</x:v>
      </x:c>
      <x:c r="AD423" s="10" t="str">
        <x:v>45000 puffs</x:v>
      </x:c>
    </x:row>
    <x:row r="424">
      <x:c r="A424" s="34" t="n">
        <x:v>424</x:v>
      </x:c>
      <x:c r="B424" s="9" t="str">
        <x:v>https://exdivo.com/products/exdivo-space-45k-disposable-vape_3855e1a8?data_from=collection_detail&amp;spm=collection_detail..collection_detail-11702364.12.</x:v>
      </x:c>
      <x:c r="C424" s="9" t="str">
        <x:v>long lasting disposable vape us</x:v>
      </x:c>
      <x:c r="D424" s="9" t="str">
        <x:v>recommended</x:v>
      </x:c>
      <x:c r="E424" s="36" t="n">
        <x:v>0</x:v>
      </x:c>
      <x:c r="F424" s="36" t="n">
        <x:v>0</x:v>
      </x:c>
      <x:c r="G424" s="9" t="str">
        <x:v>48</x:v>
      </x:c>
      <x:c r="H424" s="9" t="str">
        <x:v>Disposable Vape</x:v>
      </x:c>
      <x:c r="I424" s="9" t="str">
        <x:v>场景/需求词</x:v>
      </x:c>
      <x:c r="J424" s="9" t="str">
        <x:v>博客B-场景人群</x:v>
      </x:c>
      <x:c r="K424" s="9" t="str"/>
      <x:c r="L424" s="9" t="str">
        <x:f>IF(K424="",J424,K424)</x:f>
        <x:v>博客B-场景人群</x:v>
      </x:c>
      <x:c r="M424" s="9" t="str">
        <x:v>场景解决方案/选购指南文章</x:v>
      </x:c>
      <x:c r="N424" s="9" t="str">
        <x:v>Scenario angle: how to choose long lasting disposable vape us based on use case, flavor, nicotine, and budget</x:v>
      </x:c>
      <x:c r="O424" s="9" t="str">
        <x:v>/collections/disposable-vapes</x:v>
      </x:c>
      <x:c r="P424" s="9" t="str">
        <x:v>是</x:v>
      </x:c>
      <x:c r="Q424" s="9" t="str">
        <x:v>自然句/品类词</x:v>
      </x:c>
      <x:c r="R424" s="9" t="str">
        <x:v>低中风险：适合软性导流，但不要夸大效果或触碰健康疗效</x:v>
      </x:c>
      <x:c r="S424" s="9" t="str">
        <x:v>围绕使用场景、口味、尼古丁需求、便携性等写，不和主站品类页抢词。</x:v>
      </x:c>
      <x:c r="T424" s="38" t="n">
        <x:v>1</x:v>
      </x:c>
      <x:c r="U424" s="38" t="n">
        <x:v>15</x:v>
      </x:c>
      <x:c r="V424" s="38" t="n">
        <x:v>13</x:v>
      </x:c>
      <x:c r="W424" s="38" t="n">
        <x:v>14</x:v>
      </x:c>
      <x:c r="X424" s="38" t="n">
        <x:v>13</x:v>
      </x:c>
      <x:c r="Y424" s="38" t="n">
        <x:v>5</x:v>
      </x:c>
      <x:c r="Z424" s="38" t="n">
        <x:f>MAX(0,MIN(100,ROUND(((T424+U424+V424+W424+X424)-Y424)/85*100,0)))</x:f>
        <x:v>60</x:v>
      </x:c>
      <x:c r="AA424" s="9" t="str">
        <x:f>IF(L424="暂不做","P3 暂缓",IF(Z424&gt;=75,"P0 本周做",IF(Z424&gt;=60,"P1 近期做",IF(Z424&gt;=45,"P2 备选","P3 暂缓"))))</x:f>
        <x:v>P1 近期做</x:v>
      </x:c>
      <x:c r="AB424" s="9" t="str">
        <x:f>IF(Y424&gt;=15,"先做合规/相关性复核，不建议直接商业导流",IF(L424="主站","建/优化主站商业页",IF(L424="博客A-知识教程","写知识教程/FAQ文章",IF(L424="博客B-场景人群","写场景需求/选购指南文章",IF(L424="博客C-对比评测","写对比评测/榜单文章","暂不做或人工复核")))))</x:f>
        <x:v>写场景需求/选购指南文章</x:v>
      </x:c>
      <x:c r="AC424" s="9" t="str">
        <x:v>ExDivo SPACE 45K Disposable Vape</x:v>
      </x:c>
      <x:c r="AD424" s="10" t="str">
        <x:v>45000 puffs</x:v>
      </x:c>
    </x:row>
    <x:row r="425">
      <x:c r="A425" s="34" t="n">
        <x:v>425</x:v>
      </x:c>
      <x:c r="B425" s="9" t="str">
        <x:v>https://exdivo.com/products/exdivo-space-45k-disposable-vape_3855e1a8?data_from=collection_detail&amp;spm=collection_detail..collection_detail-11702364.12.</x:v>
      </x:c>
      <x:c r="C425" s="9" t="str">
        <x:v>large puff disposable vape</x:v>
      </x:c>
      <x:c r="D425" s="9" t="str">
        <x:v>recommended</x:v>
      </x:c>
      <x:c r="E425" s="36" t="n">
        <x:v>0</x:v>
      </x:c>
      <x:c r="F425" s="36" t="n">
        <x:v>0</x:v>
      </x:c>
      <x:c r="G425" s="9" t="str">
        <x:v>48</x:v>
      </x:c>
      <x:c r="H425" s="9" t="str">
        <x:v>Disposable Vape</x:v>
      </x:c>
      <x:c r="I425" s="9" t="str">
        <x:v>内容词</x:v>
      </x:c>
      <x:c r="J425" s="9" t="str">
        <x:v>博客A-知识教程</x:v>
      </x:c>
      <x:c r="K425" s="9" t="str"/>
      <x:c r="L425" s="9" t="str">
        <x:f>IF(K425="",J425,K425)</x:f>
        <x:v>博客A-知识教程</x:v>
      </x:c>
      <x:c r="M425" s="9" t="str">
        <x:v>知识/教程文章</x:v>
      </x:c>
      <x:c r="N425" s="9" t="str">
        <x:v>Guide angle: explain large puff disposable vape, answer common questions, and avoid sales-first writing</x:v>
      </x:c>
      <x:c r="O425" s="9" t="str">
        <x:v>/collections/disposable-vapes 或最接近的产品集合页</x:v>
      </x:c>
      <x:c r="P425" s="9" t="str">
        <x:v>谨慎</x:v>
      </x:c>
      <x:c r="Q425" s="9" t="str">
        <x:v>品牌词/自然句</x:v>
      </x:c>
      <x:c r="R425" s="9" t="str">
        <x:v>低风险：按常规内容质量和搜索意图校验</x:v>
      </x:c>
      <x:c r="S425" s="9" t="str">
        <x:v>先看 Google SERP：如果首页多数为产品集合页，改回主站；如果多数为教程/问答，保持博客。</x:v>
      </x:c>
      <x:c r="T425" s="38" t="n">
        <x:v>1</x:v>
      </x:c>
      <x:c r="U425" s="38" t="n">
        <x:v>15</x:v>
      </x:c>
      <x:c r="V425" s="38" t="n">
        <x:v>10</x:v>
      </x:c>
      <x:c r="W425" s="38" t="n">
        <x:v>12</x:v>
      </x:c>
      <x:c r="X425" s="38" t="n">
        <x:v>12</x:v>
      </x:c>
      <x:c r="Y425" s="38" t="n">
        <x:v>4</x:v>
      </x:c>
      <x:c r="Z425" s="38" t="n">
        <x:f>MAX(0,MIN(100,ROUND(((T425+U425+V425+W425+X425)-Y425)/85*100,0)))</x:f>
        <x:v>54</x:v>
      </x:c>
      <x:c r="AA425" s="9" t="str">
        <x:f>IF(L425="暂不做","P3 暂缓",IF(Z425&gt;=75,"P0 本周做",IF(Z425&gt;=60,"P1 近期做",IF(Z425&gt;=45,"P2 备选","P3 暂缓"))))</x:f>
        <x:v>P2 备选</x:v>
      </x:c>
      <x:c r="AB425" s="9" t="str">
        <x:f>IF(Y425&gt;=15,"先做合规/相关性复核，不建议直接商业导流",IF(L425="主站","建/优化主站商业页",IF(L425="博客A-知识教程","写知识教程/FAQ文章",IF(L425="博客B-场景人群","写场景需求/选购指南文章",IF(L425="博客C-对比评测","写对比评测/榜单文章","暂不做或人工复核")))))</x:f>
        <x:v>写知识教程/FAQ文章</x:v>
      </x:c>
      <x:c r="AC425" s="9" t="str">
        <x:v>ExDivo SPACE 45K Disposable Vape</x:v>
      </x:c>
      <x:c r="AD425" s="10" t="str">
        <x:v>45000 puffs</x:v>
      </x:c>
    </x:row>
    <x:row r="426">
      <x:c r="A426" s="34" t="n">
        <x:v>426</x:v>
      </x:c>
      <x:c r="B426" s="9" t="str">
        <x:v>https://exdivo.com/products/exdivo-space-45k-disposable-vape_3855e1a8?data_from=collection_detail&amp;spm=collection_detail..collection_detail-11702364.12.</x:v>
      </x:c>
      <x:c r="C426" s="9" t="str">
        <x:v>large capacity disposable vape</x:v>
      </x:c>
      <x:c r="D426" s="9" t="str">
        <x:v>recommended</x:v>
      </x:c>
      <x:c r="E426" s="36" t="n">
        <x:v>0</x:v>
      </x:c>
      <x:c r="F426" s="36" t="n">
        <x:v>0</x:v>
      </x:c>
      <x:c r="G426" s="9" t="str">
        <x:v>48</x:v>
      </x:c>
      <x:c r="H426" s="9" t="str">
        <x:v>Disposable Vape</x:v>
      </x:c>
      <x:c r="I426" s="9" t="str">
        <x:v>内容词</x:v>
      </x:c>
      <x:c r="J426" s="9" t="str">
        <x:v>博客A-知识教程</x:v>
      </x:c>
      <x:c r="K426" s="9" t="str"/>
      <x:c r="L426" s="9" t="str">
        <x:f>IF(K426="",J426,K426)</x:f>
        <x:v>博客A-知识教程</x:v>
      </x:c>
      <x:c r="M426" s="9" t="str">
        <x:v>知识/教程文章</x:v>
      </x:c>
      <x:c r="N426" s="9" t="str">
        <x:v>Guide angle: explain large capacity disposable vape, answer common questions, and avoid sales-first writing</x:v>
      </x:c>
      <x:c r="O426" s="9" t="str">
        <x:v>/collections/disposable-vapes 或最接近的产品集合页</x:v>
      </x:c>
      <x:c r="P426" s="9" t="str">
        <x:v>谨慎</x:v>
      </x:c>
      <x:c r="Q426" s="9" t="str">
        <x:v>品牌词/自然句</x:v>
      </x:c>
      <x:c r="R426" s="9" t="str">
        <x:v>低风险：按常规内容质量和搜索意图校验</x:v>
      </x:c>
      <x:c r="S426" s="9" t="str">
        <x:v>先看 Google SERP：如果首页多数为产品集合页，改回主站；如果多数为教程/问答，保持博客。</x:v>
      </x:c>
      <x:c r="T426" s="38" t="n">
        <x:v>1</x:v>
      </x:c>
      <x:c r="U426" s="38" t="n">
        <x:v>15</x:v>
      </x:c>
      <x:c r="V426" s="38" t="n">
        <x:v>10</x:v>
      </x:c>
      <x:c r="W426" s="38" t="n">
        <x:v>12</x:v>
      </x:c>
      <x:c r="X426" s="38" t="n">
        <x:v>12</x:v>
      </x:c>
      <x:c r="Y426" s="38" t="n">
        <x:v>4</x:v>
      </x:c>
      <x:c r="Z426" s="38" t="n">
        <x:f>MAX(0,MIN(100,ROUND(((T426+U426+V426+W426+X426)-Y426)/85*100,0)))</x:f>
        <x:v>54</x:v>
      </x:c>
      <x:c r="AA426" s="9" t="str">
        <x:f>IF(L426="暂不做","P3 暂缓",IF(Z426&gt;=75,"P0 本周做",IF(Z426&gt;=60,"P1 近期做",IF(Z426&gt;=45,"P2 备选","P3 暂缓"))))</x:f>
        <x:v>P2 备选</x:v>
      </x:c>
      <x:c r="AB426" s="9" t="str">
        <x:f>IF(Y426&gt;=15,"先做合规/相关性复核，不建议直接商业导流",IF(L426="主站","建/优化主站商业页",IF(L426="博客A-知识教程","写知识教程/FAQ文章",IF(L426="博客B-场景人群","写场景需求/选购指南文章",IF(L426="博客C-对比评测","写对比评测/榜单文章","暂不做或人工复核")))))</x:f>
        <x:v>写知识教程/FAQ文章</x:v>
      </x:c>
      <x:c r="AC426" s="9" t="str">
        <x:v>ExDivo SPACE 45K Disposable Vape</x:v>
      </x:c>
      <x:c r="AD426" s="10" t="str">
        <x:v>45000 puffs</x:v>
      </x:c>
    </x:row>
    <x:row r="427">
      <x:c r="A427" s="34" t="n">
        <x:v>427</x:v>
      </x:c>
      <x:c r="B427" s="9" t="str">
        <x:v>https://exdivo.com/products/exdivo-space-45k-disposable-vape_3855e1a8?data_from=collection_detail&amp;spm=collection_detail..collection_detail-11702364.12.</x:v>
      </x:c>
      <x:c r="C427" s="9" t="str">
        <x:v>extra long lasting vape</x:v>
      </x:c>
      <x:c r="D427" s="9" t="str">
        <x:v>recommended</x:v>
      </x:c>
      <x:c r="E427" s="36" t="n">
        <x:v>0</x:v>
      </x:c>
      <x:c r="F427" s="36" t="n">
        <x:v>0</x:v>
      </x:c>
      <x:c r="G427" s="9" t="str">
        <x:v>48</x:v>
      </x:c>
      <x:c r="H427" s="9" t="str">
        <x:v>知识教程</x:v>
      </x:c>
      <x:c r="I427" s="9" t="str">
        <x:v>场景/需求词</x:v>
      </x:c>
      <x:c r="J427" s="9" t="str">
        <x:v>博客B-场景人群</x:v>
      </x:c>
      <x:c r="K427" s="9" t="str"/>
      <x:c r="L427" s="9" t="str">
        <x:f>IF(K427="",J427,K427)</x:f>
        <x:v>博客B-场景人群</x:v>
      </x:c>
      <x:c r="M427" s="9" t="str">
        <x:v>场景解决方案/选购指南文章</x:v>
      </x:c>
      <x:c r="N427" s="9" t="str">
        <x:v>Scenario angle: how to choose extra long lasting vape based on use case, flavor, nicotine, and budget</x:v>
      </x:c>
      <x:c r="O427" s="9" t="str">
        <x:v>/collections/disposable-vapes</x:v>
      </x:c>
      <x:c r="P427" s="9" t="str">
        <x:v>是</x:v>
      </x:c>
      <x:c r="Q427" s="9" t="str">
        <x:v>自然句/品类词</x:v>
      </x:c>
      <x:c r="R427" s="9" t="str">
        <x:v>低中风险：适合软性导流，但不要夸大效果或触碰健康疗效</x:v>
      </x:c>
      <x:c r="S427" s="9" t="str">
        <x:v>围绕使用场景、口味、尼古丁需求、便携性等写，不和主站品类页抢词。</x:v>
      </x:c>
      <x:c r="T427" s="38" t="n">
        <x:v>1</x:v>
      </x:c>
      <x:c r="U427" s="38" t="n">
        <x:v>15</x:v>
      </x:c>
      <x:c r="V427" s="38" t="n">
        <x:v>13</x:v>
      </x:c>
      <x:c r="W427" s="38" t="n">
        <x:v>14</x:v>
      </x:c>
      <x:c r="X427" s="38" t="n">
        <x:v>13</x:v>
      </x:c>
      <x:c r="Y427" s="38" t="n">
        <x:v>5</x:v>
      </x:c>
      <x:c r="Z427" s="38" t="n">
        <x:f>MAX(0,MIN(100,ROUND(((T427+U427+V427+W427+X427)-Y427)/85*100,0)))</x:f>
        <x:v>60</x:v>
      </x:c>
      <x:c r="AA427" s="9" t="str">
        <x:f>IF(L427="暂不做","P3 暂缓",IF(Z427&gt;=75,"P0 本周做",IF(Z427&gt;=60,"P1 近期做",IF(Z427&gt;=45,"P2 备选","P3 暂缓"))))</x:f>
        <x:v>P1 近期做</x:v>
      </x:c>
      <x:c r="AB427" s="9" t="str">
        <x:f>IF(Y427&gt;=15,"先做合规/相关性复核，不建议直接商业导流",IF(L427="主站","建/优化主站商业页",IF(L427="博客A-知识教程","写知识教程/FAQ文章",IF(L427="博客B-场景人群","写场景需求/选购指南文章",IF(L427="博客C-对比评测","写对比评测/榜单文章","暂不做或人工复核")))))</x:f>
        <x:v>写场景需求/选购指南文章</x:v>
      </x:c>
      <x:c r="AC427" s="9" t="str">
        <x:v>ExDivo SPACE 45K Disposable Vape</x:v>
      </x:c>
      <x:c r="AD427" s="10" t="str">
        <x:v>45000 puffs</x:v>
      </x:c>
    </x:row>
    <x:row r="428">
      <x:c r="A428" s="34" t="n">
        <x:v>428</x:v>
      </x:c>
      <x:c r="B428" s="9" t="str">
        <x:v>https://exdivo.com/collections/brightmirror/products/exdivo-bright-mirror-35k-replaceable-vape-kit_25244789?data_from=index_index&amp;spm=collection_detail.310721.collection_detail-11702364.2.</x:v>
      </x:c>
      <x:c r="C428" s="9" t="str">
        <x:v>vape mod kits</x:v>
      </x:c>
      <x:c r="D428" s="9" t="str">
        <x:v>recommended</x:v>
      </x:c>
      <x:c r="E428" s="36" t="n">
        <x:v>1600</x:v>
      </x:c>
      <x:c r="F428" s="36" t="n">
        <x:v>32</x:v>
      </x:c>
      <x:c r="G428" s="9" t="str">
        <x:v>commercial</x:v>
      </x:c>
      <x:c r="H428" s="9" t="str">
        <x:v>General Vape</x:v>
      </x:c>
      <x:c r="I428" s="9" t="str">
        <x:v>品类承接词</x:v>
      </x:c>
      <x:c r="J428" s="9" t="str">
        <x:v>主站</x:v>
      </x:c>
      <x:c r="K428" s="9" t="str"/>
      <x:c r="L428" s="9" t="str">
        <x:f>IF(K428="",J428,K428)</x:f>
        <x:v>主站</x:v>
      </x:c>
      <x:c r="M428" s="9" t="str">
        <x:v>品类页/集合页 + FAQ内容块</x:v>
      </x:c>
      <x:c r="N428" s="9" t="str">
        <x:v>主站品类页：用产品集合 + 选购说明承接</x:v>
      </x:c>
      <x:c r="O428" s="9" t="str">
        <x:v>/collections/disposable-vapes</x:v>
      </x:c>
      <x:c r="P428" s="9" t="str">
        <x:v>不适用</x:v>
      </x:c>
      <x:c r="Q428" s="9" t="str">
        <x:v>主站页面自身承接</x:v>
      </x:c>
      <x:c r="R428" s="9" t="str">
        <x:v>核心品类词：主站优先，博客只做长尾解释，不直接抢同一词</x:v>
      </x:c>
      <x:c r="S428" s="9" t="str">
        <x:v>如果 Google 首页产品页和指南混合，主站页要加 FAQ、选购指南、对比模块。</x:v>
      </x:c>
      <x:c r="T428" s="38" t="n">
        <x:v>13</x:v>
      </x:c>
      <x:c r="U428" s="38" t="n">
        <x:v>9</x:v>
      </x:c>
      <x:c r="V428" s="38" t="n">
        <x:v>18</x:v>
      </x:c>
      <x:c r="W428" s="38" t="n">
        <x:v>8</x:v>
      </x:c>
      <x:c r="X428" s="38" t="n">
        <x:v>15</x:v>
      </x:c>
      <x:c r="Y428" s="38" t="n">
        <x:v>4</x:v>
      </x:c>
      <x:c r="Z428" s="38" t="n">
        <x:f>MAX(0,MIN(100,ROUND(((T428+U428+V428+W428+X428)-Y428)/85*100,0)))</x:f>
        <x:v>69</x:v>
      </x:c>
      <x:c r="AA428" s="9" t="str">
        <x:f>IF(L428="暂不做","P3 暂缓",IF(Z428&gt;=75,"P0 本周做",IF(Z428&gt;=60,"P1 近期做",IF(Z428&gt;=45,"P2 备选","P3 暂缓"))))</x:f>
        <x:v>P1 近期做</x:v>
      </x:c>
      <x:c r="AB428" s="9" t="str">
        <x:f>IF(Y428&gt;=15,"先做合规/相关性复核，不建议直接商业导流",IF(L428="主站","建/优化主站商业页",IF(L428="博客A-知识教程","写知识教程/FAQ文章",IF(L428="博客B-场景人群","写场景需求/选购指南文章",IF(L428="博客C-对比评测","写对比评测/榜单文章","暂不做或人工复核")))))</x:f>
        <x:v>建/优化主站商业页</x:v>
      </x:c>
      <x:c r="AC428" s="9" t="str">
        <x:v>ExDivo BRIGHT MIRROR 35K Replaceable VAPE kit</x:v>
      </x:c>
      <x:c r="AD428" s="10" t="str">
        <x:v>40000 puffs</x:v>
      </x:c>
    </x:row>
    <x:row r="429">
      <x:c r="A429" s="34" t="n">
        <x:v>429</x:v>
      </x:c>
      <x:c r="B429" s="9" t="str">
        <x:v>https://exdivo.com/collections/brightmirror/products/exdivo-bright-mirror-35k-replaceable-vape-kit_25244789?data_from=index_index&amp;spm=collection_detail.310721.collection_detail-11702364.2.</x:v>
      </x:c>
      <x:c r="C429" s="9" t="str">
        <x:v>vape kit</x:v>
      </x:c>
      <x:c r="D429" s="9" t="str">
        <x:v>recommended</x:v>
      </x:c>
      <x:c r="E429" s="36" t="n">
        <x:v>1600</x:v>
      </x:c>
      <x:c r="F429" s="36" t="n">
        <x:v>34</x:v>
      </x:c>
      <x:c r="G429" s="9" t="str">
        <x:v>informational</x:v>
      </x:c>
      <x:c r="H429" s="9" t="str">
        <x:v>General Vape</x:v>
      </x:c>
      <x:c r="I429" s="9" t="str">
        <x:v>品类承接词</x:v>
      </x:c>
      <x:c r="J429" s="9" t="str">
        <x:v>主站</x:v>
      </x:c>
      <x:c r="K429" s="9" t="str"/>
      <x:c r="L429" s="9" t="str">
        <x:f>IF(K429="",J429,K429)</x:f>
        <x:v>主站</x:v>
      </x:c>
      <x:c r="M429" s="9" t="str">
        <x:v>品类页/集合页 + FAQ内容块</x:v>
      </x:c>
      <x:c r="N429" s="9" t="str">
        <x:v>主站品类页：用产品集合 + 选购说明承接</x:v>
      </x:c>
      <x:c r="O429" s="9" t="str">
        <x:v>/collections/disposable-vapes</x:v>
      </x:c>
      <x:c r="P429" s="9" t="str">
        <x:v>不适用</x:v>
      </x:c>
      <x:c r="Q429" s="9" t="str">
        <x:v>主站页面自身承接</x:v>
      </x:c>
      <x:c r="R429" s="9" t="str">
        <x:v>核心品类词：主站优先，博客只做长尾解释，不直接抢同一词</x:v>
      </x:c>
      <x:c r="S429" s="9" t="str">
        <x:v>如果 Google 首页产品页和指南混合，主站页要加 FAQ、选购指南、对比模块。</x:v>
      </x:c>
      <x:c r="T429" s="38" t="n">
        <x:v>13</x:v>
      </x:c>
      <x:c r="U429" s="38" t="n">
        <x:v>9</x:v>
      </x:c>
      <x:c r="V429" s="38" t="n">
        <x:v>16</x:v>
      </x:c>
      <x:c r="W429" s="38" t="n">
        <x:v>8</x:v>
      </x:c>
      <x:c r="X429" s="38" t="n">
        <x:v>15</x:v>
      </x:c>
      <x:c r="Y429" s="38" t="n">
        <x:v>4</x:v>
      </x:c>
      <x:c r="Z429" s="38" t="n">
        <x:f>MAX(0,MIN(100,ROUND(((T429+U429+V429+W429+X429)-Y429)/85*100,0)))</x:f>
        <x:v>67</x:v>
      </x:c>
      <x:c r="AA429" s="9" t="str">
        <x:f>IF(L429="暂不做","P3 暂缓",IF(Z429&gt;=75,"P0 本周做",IF(Z429&gt;=60,"P1 近期做",IF(Z429&gt;=45,"P2 备选","P3 暂缓"))))</x:f>
        <x:v>P1 近期做</x:v>
      </x:c>
      <x:c r="AB429" s="9" t="str">
        <x:f>IF(Y429&gt;=15,"先做合规/相关性复核，不建议直接商业导流",IF(L429="主站","建/优化主站商业页",IF(L429="博客A-知识教程","写知识教程/FAQ文章",IF(L429="博客B-场景人群","写场景需求/选购指南文章",IF(L429="博客C-对比评测","写对比评测/榜单文章","暂不做或人工复核")))))</x:f>
        <x:v>建/优化主站商业页</x:v>
      </x:c>
      <x:c r="AC429" s="9" t="str">
        <x:v>ExDivo BRIGHT MIRROR 35K Replaceable VAPE kit</x:v>
      </x:c>
      <x:c r="AD429" s="10" t="str">
        <x:v>40000 puffs</x:v>
      </x:c>
    </x:row>
    <x:row r="430">
      <x:c r="A430" s="34" t="n">
        <x:v>430</x:v>
      </x:c>
      <x:c r="B430" s="9" t="str">
        <x:v>https://exdivo.com/collections/brightmirror/products/exdivo-bright-mirror-35k-replaceable-vape-kit_25244789?data_from=index_index&amp;spm=collection_detail.310721.collection_detail-11702364.2.</x:v>
      </x:c>
      <x:c r="C430" s="9" t="str">
        <x:v>vape mod kit</x:v>
      </x:c>
      <x:c r="D430" s="9" t="str">
        <x:v>recommended</x:v>
      </x:c>
      <x:c r="E430" s="36" t="n">
        <x:v>260</x:v>
      </x:c>
      <x:c r="F430" s="36" t="n">
        <x:v>12</x:v>
      </x:c>
      <x:c r="G430" s="9" t="str">
        <x:v>commercial</x:v>
      </x:c>
      <x:c r="H430" s="9" t="str">
        <x:v>General Vape</x:v>
      </x:c>
      <x:c r="I430" s="9" t="str">
        <x:v>品类承接词</x:v>
      </x:c>
      <x:c r="J430" s="9" t="str">
        <x:v>主站</x:v>
      </x:c>
      <x:c r="K430" s="9" t="str"/>
      <x:c r="L430" s="9" t="str">
        <x:f>IF(K430="",J430,K430)</x:f>
        <x:v>主站</x:v>
      </x:c>
      <x:c r="M430" s="9" t="str">
        <x:v>品类页/集合页 + FAQ内容块</x:v>
      </x:c>
      <x:c r="N430" s="9" t="str">
        <x:v>主站品类页：用产品集合 + 选购说明承接</x:v>
      </x:c>
      <x:c r="O430" s="9" t="str">
        <x:v>/collections/disposable-vapes</x:v>
      </x:c>
      <x:c r="P430" s="9" t="str">
        <x:v>不适用</x:v>
      </x:c>
      <x:c r="Q430" s="9" t="str">
        <x:v>主站页面自身承接</x:v>
      </x:c>
      <x:c r="R430" s="9" t="str">
        <x:v>核心品类词：主站优先，博客只做长尾解释，不直接抢同一词</x:v>
      </x:c>
      <x:c r="S430" s="9" t="str">
        <x:v>如果 Google 首页产品页和指南混合，主站页要加 FAQ、选购指南、对比模块。</x:v>
      </x:c>
      <x:c r="T430" s="38" t="n">
        <x:v>7</x:v>
      </x:c>
      <x:c r="U430" s="38" t="n">
        <x:v>15</x:v>
      </x:c>
      <x:c r="V430" s="38" t="n">
        <x:v>18</x:v>
      </x:c>
      <x:c r="W430" s="38" t="n">
        <x:v>8</x:v>
      </x:c>
      <x:c r="X430" s="38" t="n">
        <x:v>15</x:v>
      </x:c>
      <x:c r="Y430" s="38" t="n">
        <x:v>4</x:v>
      </x:c>
      <x:c r="Z430" s="38" t="n">
        <x:f>MAX(0,MIN(100,ROUND(((T430+U430+V430+W430+X430)-Y430)/85*100,0)))</x:f>
        <x:v>69</x:v>
      </x:c>
      <x:c r="AA430" s="9" t="str">
        <x:f>IF(L430="暂不做","P3 暂缓",IF(Z430&gt;=75,"P0 本周做",IF(Z430&gt;=60,"P1 近期做",IF(Z430&gt;=45,"P2 备选","P3 暂缓"))))</x:f>
        <x:v>P1 近期做</x:v>
      </x:c>
      <x:c r="AB430" s="9" t="str">
        <x:f>IF(Y430&gt;=15,"先做合规/相关性复核，不建议直接商业导流",IF(L430="主站","建/优化主站商业页",IF(L430="博客A-知识教程","写知识教程/FAQ文章",IF(L430="博客B-场景人群","写场景需求/选购指南文章",IF(L430="博客C-对比评测","写对比评测/榜单文章","暂不做或人工复核")))))</x:f>
        <x:v>建/优化主站商业页</x:v>
      </x:c>
      <x:c r="AC430" s="9" t="str">
        <x:v>ExDivo BRIGHT MIRROR 35K Replaceable VAPE kit</x:v>
      </x:c>
      <x:c r="AD430" s="10" t="str">
        <x:v>40000 puffs</x:v>
      </x:c>
    </x:row>
    <x:row r="431">
      <x:c r="A431" s="34" t="n">
        <x:v>431</x:v>
      </x:c>
      <x:c r="B431" s="9" t="str">
        <x:v>https://exdivo.com/collections/brightmirror/products/exdivo-bright-mirror-35k-replaceable-vape-kit_25244789?data_from=index_index&amp;spm=collection_detail.310721.collection_detail-11702364.2.</x:v>
      </x:c>
      <x:c r="C431" s="9" t="str">
        <x:v>vaping kits</x:v>
      </x:c>
      <x:c r="D431" s="9" t="str">
        <x:v>recommended</x:v>
      </x:c>
      <x:c r="E431" s="36" t="n">
        <x:v>390</x:v>
      </x:c>
      <x:c r="F431" s="36" t="n">
        <x:v>36</x:v>
      </x:c>
      <x:c r="G431" s="9" t="str">
        <x:v>commercial</x:v>
      </x:c>
      <x:c r="H431" s="9" t="str">
        <x:v>General Vape</x:v>
      </x:c>
      <x:c r="I431" s="9" t="str">
        <x:v>品类承接词</x:v>
      </x:c>
      <x:c r="J431" s="9" t="str">
        <x:v>主站</x:v>
      </x:c>
      <x:c r="K431" s="9" t="str"/>
      <x:c r="L431" s="9" t="str">
        <x:f>IF(K431="",J431,K431)</x:f>
        <x:v>主站</x:v>
      </x:c>
      <x:c r="M431" s="9" t="str">
        <x:v>品类页/集合页 + FAQ内容块</x:v>
      </x:c>
      <x:c r="N431" s="9" t="str">
        <x:v>主站品类页：用产品集合 + 选购说明承接</x:v>
      </x:c>
      <x:c r="O431" s="9" t="str">
        <x:v>/collections/disposable-vapes</x:v>
      </x:c>
      <x:c r="P431" s="9" t="str">
        <x:v>不适用</x:v>
      </x:c>
      <x:c r="Q431" s="9" t="str">
        <x:v>主站页面自身承接</x:v>
      </x:c>
      <x:c r="R431" s="9" t="str">
        <x:v>核心品类词：主站优先，博客只做长尾解释，不直接抢同一词</x:v>
      </x:c>
      <x:c r="S431" s="9" t="str">
        <x:v>如果 Google 首页产品页和指南混合，主站页要加 FAQ、选购指南、对比模块。</x:v>
      </x:c>
      <x:c r="T431" s="38" t="n">
        <x:v>7</x:v>
      </x:c>
      <x:c r="U431" s="38" t="n">
        <x:v>9</x:v>
      </x:c>
      <x:c r="V431" s="38" t="n">
        <x:v>18</x:v>
      </x:c>
      <x:c r="W431" s="38" t="n">
        <x:v>8</x:v>
      </x:c>
      <x:c r="X431" s="38" t="n">
        <x:v>15</x:v>
      </x:c>
      <x:c r="Y431" s="38" t="n">
        <x:v>4</x:v>
      </x:c>
      <x:c r="Z431" s="38" t="n">
        <x:f>MAX(0,MIN(100,ROUND(((T431+U431+V431+W431+X431)-Y431)/85*100,0)))</x:f>
        <x:v>62</x:v>
      </x:c>
      <x:c r="AA431" s="9" t="str">
        <x:f>IF(L431="暂不做","P3 暂缓",IF(Z431&gt;=75,"P0 本周做",IF(Z431&gt;=60,"P1 近期做",IF(Z431&gt;=45,"P2 备选","P3 暂缓"))))</x:f>
        <x:v>P1 近期做</x:v>
      </x:c>
      <x:c r="AB431" s="9" t="str">
        <x:f>IF(Y431&gt;=15,"先做合规/相关性复核，不建议直接商业导流",IF(L431="主站","建/优化主站商业页",IF(L431="博客A-知识教程","写知识教程/FAQ文章",IF(L431="博客B-场景人群","写场景需求/选购指南文章",IF(L431="博客C-对比评测","写对比评测/榜单文章","暂不做或人工复核")))))</x:f>
        <x:v>建/优化主站商业页</x:v>
      </x:c>
      <x:c r="AC431" s="9" t="str">
        <x:v>ExDivo BRIGHT MIRROR 35K Replaceable VAPE kit</x:v>
      </x:c>
      <x:c r="AD431" s="10" t="str">
        <x:v>40000 puffs</x:v>
      </x:c>
    </x:row>
    <x:row r="432">
      <x:c r="A432" s="34" t="n">
        <x:v>432</x:v>
      </x:c>
      <x:c r="B432" s="9" t="str">
        <x:v>https://exdivo.com/collections/brightmirror/products/exdivo-bright-mirror-35k-replaceable-vape-kit_25244789?data_from=index_index&amp;spm=collection_detail.310721.collection_detail-11702364.2.</x:v>
      </x:c>
      <x:c r="C432" s="9" t="str">
        <x:v>refillable vape kit</x:v>
      </x:c>
      <x:c r="D432" s="9" t="str">
        <x:v>recommended</x:v>
      </x:c>
      <x:c r="E432" s="36" t="n">
        <x:v>210</x:v>
      </x:c>
      <x:c r="F432" s="36" t="n">
        <x:v>32</x:v>
      </x:c>
      <x:c r="G432" s="9" t="str">
        <x:v>commercial</x:v>
      </x:c>
      <x:c r="H432" s="9" t="str">
        <x:v>Reusable / Rechargeable</x:v>
      </x:c>
      <x:c r="I432" s="9" t="str">
        <x:v>品类承接词</x:v>
      </x:c>
      <x:c r="J432" s="9" t="str">
        <x:v>主站</x:v>
      </x:c>
      <x:c r="K432" s="9" t="str"/>
      <x:c r="L432" s="9" t="str">
        <x:f>IF(K432="",J432,K432)</x:f>
        <x:v>主站</x:v>
      </x:c>
      <x:c r="M432" s="9" t="str">
        <x:v>品类页/集合页 + FAQ内容块</x:v>
      </x:c>
      <x:c r="N432" s="9" t="str">
        <x:v>主站品类页：用产品集合 + 选购说明承接</x:v>
      </x:c>
      <x:c r="O432" s="9" t="str">
        <x:v>/collections/rechargeable-vapes</x:v>
      </x:c>
      <x:c r="P432" s="9" t="str">
        <x:v>不适用</x:v>
      </x:c>
      <x:c r="Q432" s="9" t="str">
        <x:v>主站页面自身承接</x:v>
      </x:c>
      <x:c r="R432" s="9" t="str">
        <x:v>核心品类词：主站优先，博客只做长尾解释，不直接抢同一词</x:v>
      </x:c>
      <x:c r="S432" s="9" t="str">
        <x:v>如果 Google 首页产品页和指南混合，主站页要加 FAQ、选购指南、对比模块。</x:v>
      </x:c>
      <x:c r="T432" s="38" t="n">
        <x:v>7</x:v>
      </x:c>
      <x:c r="U432" s="38" t="n">
        <x:v>9</x:v>
      </x:c>
      <x:c r="V432" s="38" t="n">
        <x:v>18</x:v>
      </x:c>
      <x:c r="W432" s="38" t="n">
        <x:v>8</x:v>
      </x:c>
      <x:c r="X432" s="38" t="n">
        <x:v>15</x:v>
      </x:c>
      <x:c r="Y432" s="38" t="n">
        <x:v>4</x:v>
      </x:c>
      <x:c r="Z432" s="38" t="n">
        <x:f>MAX(0,MIN(100,ROUND(((T432+U432+V432+W432+X432)-Y432)/85*100,0)))</x:f>
        <x:v>62</x:v>
      </x:c>
      <x:c r="AA432" s="9" t="str">
        <x:f>IF(L432="暂不做","P3 暂缓",IF(Z432&gt;=75,"P0 本周做",IF(Z432&gt;=60,"P1 近期做",IF(Z432&gt;=45,"P2 备选","P3 暂缓"))))</x:f>
        <x:v>P1 近期做</x:v>
      </x:c>
      <x:c r="AB432" s="9" t="str">
        <x:f>IF(Y432&gt;=15,"先做合规/相关性复核，不建议直接商业导流",IF(L432="主站","建/优化主站商业页",IF(L432="博客A-知识教程","写知识教程/FAQ文章",IF(L432="博客B-场景人群","写场景需求/选购指南文章",IF(L432="博客C-对比评测","写对比评测/榜单文章","暂不做或人工复核")))))</x:f>
        <x:v>建/优化主站商业页</x:v>
      </x:c>
      <x:c r="AC432" s="9" t="str">
        <x:v>ExDivo BRIGHT MIRROR 35K Replaceable VAPE kit</x:v>
      </x:c>
      <x:c r="AD432" s="10" t="str">
        <x:v>40000 puffs</x:v>
      </x:c>
    </x:row>
    <x:row r="433">
      <x:c r="A433" s="34" t="n">
        <x:v>433</x:v>
      </x:c>
      <x:c r="B433" s="9" t="str">
        <x:v>https://exdivo.com/collections/brightmirror/products/exdivo-bright-mirror-35k-replaceable-vape-kit_25244789?data_from=index_index&amp;spm=collection_detail.310721.collection_detail-11702364.2.</x:v>
      </x:c>
      <x:c r="C433" s="9" t="str">
        <x:v>vape pen kit</x:v>
      </x:c>
      <x:c r="D433" s="9" t="str">
        <x:v>recommended</x:v>
      </x:c>
      <x:c r="E433" s="36" t="n">
        <x:v>140</x:v>
      </x:c>
      <x:c r="F433" s="36" t="n">
        <x:v>39</x:v>
      </x:c>
      <x:c r="G433" s="9" t="str">
        <x:v>commercial</x:v>
      </x:c>
      <x:c r="H433" s="9" t="str">
        <x:v>General Vape</x:v>
      </x:c>
      <x:c r="I433" s="9" t="str">
        <x:v>品类承接词</x:v>
      </x:c>
      <x:c r="J433" s="9" t="str">
        <x:v>主站</x:v>
      </x:c>
      <x:c r="K433" s="9" t="str"/>
      <x:c r="L433" s="9" t="str">
        <x:f>IF(K433="",J433,K433)</x:f>
        <x:v>主站</x:v>
      </x:c>
      <x:c r="M433" s="9" t="str">
        <x:v>品类页/集合页 + FAQ内容块</x:v>
      </x:c>
      <x:c r="N433" s="9" t="str">
        <x:v>主站品类页：用产品集合 + 选购说明承接</x:v>
      </x:c>
      <x:c r="O433" s="9" t="str">
        <x:v>/collections/disposable-vapes</x:v>
      </x:c>
      <x:c r="P433" s="9" t="str">
        <x:v>不适用</x:v>
      </x:c>
      <x:c r="Q433" s="9" t="str">
        <x:v>主站页面自身承接</x:v>
      </x:c>
      <x:c r="R433" s="9" t="str">
        <x:v>核心品类词：主站优先，博客只做长尾解释，不直接抢同一词</x:v>
      </x:c>
      <x:c r="S433" s="9" t="str">
        <x:v>如果 Google 首页产品页和指南混合，主站页要加 FAQ、选购指南、对比模块。</x:v>
      </x:c>
      <x:c r="T433" s="38" t="n">
        <x:v>7</x:v>
      </x:c>
      <x:c r="U433" s="38" t="n">
        <x:v>9</x:v>
      </x:c>
      <x:c r="V433" s="38" t="n">
        <x:v>18</x:v>
      </x:c>
      <x:c r="W433" s="38" t="n">
        <x:v>8</x:v>
      </x:c>
      <x:c r="X433" s="38" t="n">
        <x:v>15</x:v>
      </x:c>
      <x:c r="Y433" s="38" t="n">
        <x:v>4</x:v>
      </x:c>
      <x:c r="Z433" s="38" t="n">
        <x:f>MAX(0,MIN(100,ROUND(((T433+U433+V433+W433+X433)-Y433)/85*100,0)))</x:f>
        <x:v>62</x:v>
      </x:c>
      <x:c r="AA433" s="9" t="str">
        <x:f>IF(L433="暂不做","P3 暂缓",IF(Z433&gt;=75,"P0 本周做",IF(Z433&gt;=60,"P1 近期做",IF(Z433&gt;=45,"P2 备选","P3 暂缓"))))</x:f>
        <x:v>P1 近期做</x:v>
      </x:c>
      <x:c r="AB433" s="9" t="str">
        <x:f>IF(Y433&gt;=15,"先做合规/相关性复核，不建议直接商业导流",IF(L433="主站","建/优化主站商业页",IF(L433="博客A-知识教程","写知识教程/FAQ文章",IF(L433="博客B-场景人群","写场景需求/选购指南文章",IF(L433="博客C-对比评测","写对比评测/榜单文章","暂不做或人工复核")))))</x:f>
        <x:v>建/优化主站商业页</x:v>
      </x:c>
      <x:c r="AC433" s="9" t="str">
        <x:v>ExDivo BRIGHT MIRROR 35K Replaceable VAPE kit</x:v>
      </x:c>
      <x:c r="AD433" s="10" t="str">
        <x:v>40000 puffs</x:v>
      </x:c>
    </x:row>
    <x:row r="434">
      <x:c r="A434" s="34" t="n">
        <x:v>434</x:v>
      </x:c>
      <x:c r="B434" s="9" t="str">
        <x:v>https://exdivo.com/collections/brightmirror/products/exdivo-bright-mirror-35k-replaceable-vape-kit_25244789?data_from=index_index&amp;spm=collection_detail.310721.collection_detail-11702364.2.</x:v>
      </x:c>
      <x:c r="C434" s="9" t="str">
        <x:v>vape juice kit</x:v>
      </x:c>
      <x:c r="D434" s="9" t="str">
        <x:v>recommended</x:v>
      </x:c>
      <x:c r="E434" s="36" t="n">
        <x:v>70</x:v>
      </x:c>
      <x:c r="F434" s="36" t="n">
        <x:v>18</x:v>
      </x:c>
      <x:c r="G434" s="9" t="str">
        <x:v>informational, commercial</x:v>
      </x:c>
      <x:c r="H434" s="9" t="str">
        <x:v>General Vape</x:v>
      </x:c>
      <x:c r="I434" s="9" t="str">
        <x:v>品类承接词</x:v>
      </x:c>
      <x:c r="J434" s="9" t="str">
        <x:v>主站</x:v>
      </x:c>
      <x:c r="K434" s="9" t="str"/>
      <x:c r="L434" s="9" t="str">
        <x:f>IF(K434="",J434,K434)</x:f>
        <x:v>主站</x:v>
      </x:c>
      <x:c r="M434" s="9" t="str">
        <x:v>品类页/集合页 + FAQ内容块</x:v>
      </x:c>
      <x:c r="N434" s="9" t="str">
        <x:v>主站品类页：用产品集合 + 选购说明承接</x:v>
      </x:c>
      <x:c r="O434" s="9" t="str">
        <x:v>/collections/disposable-vapes</x:v>
      </x:c>
      <x:c r="P434" s="9" t="str">
        <x:v>不适用</x:v>
      </x:c>
      <x:c r="Q434" s="9" t="str">
        <x:v>主站页面自身承接</x:v>
      </x:c>
      <x:c r="R434" s="9" t="str">
        <x:v>核心品类词：主站优先，博客只做长尾解释，不直接抢同一词</x:v>
      </x:c>
      <x:c r="S434" s="9" t="str">
        <x:v>如果 Google 首页产品页和指南混合，主站页要加 FAQ、选购指南、对比模块。</x:v>
      </x:c>
      <x:c r="T434" s="38" t="n">
        <x:v>4</x:v>
      </x:c>
      <x:c r="U434" s="38" t="n">
        <x:v>12</x:v>
      </x:c>
      <x:c r="V434" s="38" t="n">
        <x:v>18</x:v>
      </x:c>
      <x:c r="W434" s="38" t="n">
        <x:v>8</x:v>
      </x:c>
      <x:c r="X434" s="38" t="n">
        <x:v>15</x:v>
      </x:c>
      <x:c r="Y434" s="38" t="n">
        <x:v>4</x:v>
      </x:c>
      <x:c r="Z434" s="38" t="n">
        <x:f>MAX(0,MIN(100,ROUND(((T434+U434+V434+W434+X434)-Y434)/85*100,0)))</x:f>
        <x:v>62</x:v>
      </x:c>
      <x:c r="AA434" s="9" t="str">
        <x:f>IF(L434="暂不做","P3 暂缓",IF(Z434&gt;=75,"P0 本周做",IF(Z434&gt;=60,"P1 近期做",IF(Z434&gt;=45,"P2 备选","P3 暂缓"))))</x:f>
        <x:v>P1 近期做</x:v>
      </x:c>
      <x:c r="AB434" s="9" t="str">
        <x:f>IF(Y434&gt;=15,"先做合规/相关性复核，不建议直接商业导流",IF(L434="主站","建/优化主站商业页",IF(L434="博客A-知识教程","写知识教程/FAQ文章",IF(L434="博客B-场景人群","写场景需求/选购指南文章",IF(L434="博客C-对比评测","写对比评测/榜单文章","暂不做或人工复核")))))</x:f>
        <x:v>建/优化主站商业页</x:v>
      </x:c>
      <x:c r="AC434" s="9" t="str">
        <x:v>ExDivo BRIGHT MIRROR 35K Replaceable VAPE kit</x:v>
      </x:c>
      <x:c r="AD434" s="10" t="str">
        <x:v>40000 puffs</x:v>
      </x:c>
    </x:row>
    <x:row r="435">
      <x:c r="A435" s="34" t="n">
        <x:v>435</x:v>
      </x:c>
      <x:c r="B435" s="9" t="str">
        <x:v>https://exdivo.com/collections/brightmirror/products/exdivo-bright-mirror-35k-replaceable-vape-kit_25244789?data_from=index_index&amp;spm=collection_detail.310721.collection_detail-11702364.2.</x:v>
      </x:c>
      <x:c r="C435" s="9" t="str">
        <x:v>vape pack</x:v>
      </x:c>
      <x:c r="D435" s="9" t="str">
        <x:v>recommended</x:v>
      </x:c>
      <x:c r="E435" s="36" t="n">
        <x:v>70</x:v>
      </x:c>
      <x:c r="F435" s="36" t="n">
        <x:v>45</x:v>
      </x:c>
      <x:c r="G435" s="9" t="str">
        <x:v>commercial</x:v>
      </x:c>
      <x:c r="H435" s="9" t="str">
        <x:v>General Vape</x:v>
      </x:c>
      <x:c r="I435" s="9" t="str">
        <x:v>品类承接词</x:v>
      </x:c>
      <x:c r="J435" s="9" t="str">
        <x:v>主站</x:v>
      </x:c>
      <x:c r="K435" s="9" t="str"/>
      <x:c r="L435" s="9" t="str">
        <x:f>IF(K435="",J435,K435)</x:f>
        <x:v>主站</x:v>
      </x:c>
      <x:c r="M435" s="9" t="str">
        <x:v>品类页/集合页 + FAQ内容块</x:v>
      </x:c>
      <x:c r="N435" s="9" t="str">
        <x:v>主站品类页：用产品集合 + 选购说明承接</x:v>
      </x:c>
      <x:c r="O435" s="9" t="str">
        <x:v>/collections/disposable-vapes</x:v>
      </x:c>
      <x:c r="P435" s="9" t="str">
        <x:v>不适用</x:v>
      </x:c>
      <x:c r="Q435" s="9" t="str">
        <x:v>主站页面自身承接</x:v>
      </x:c>
      <x:c r="R435" s="9" t="str">
        <x:v>核心品类词：主站优先，博客只做长尾解释，不直接抢同一词</x:v>
      </x:c>
      <x:c r="S435" s="9" t="str">
        <x:v>如果 Google 首页产品页和指南混合，主站页要加 FAQ、选购指南、对比模块。</x:v>
      </x:c>
      <x:c r="T435" s="38" t="n">
        <x:v>4</x:v>
      </x:c>
      <x:c r="U435" s="38" t="n">
        <x:v>9</x:v>
      </x:c>
      <x:c r="V435" s="38" t="n">
        <x:v>18</x:v>
      </x:c>
      <x:c r="W435" s="38" t="n">
        <x:v>8</x:v>
      </x:c>
      <x:c r="X435" s="38" t="n">
        <x:v>15</x:v>
      </x:c>
      <x:c r="Y435" s="38" t="n">
        <x:v>4</x:v>
      </x:c>
      <x:c r="Z435" s="38" t="n">
        <x:f>MAX(0,MIN(100,ROUND(((T435+U435+V435+W435+X435)-Y435)/85*100,0)))</x:f>
        <x:v>59</x:v>
      </x:c>
      <x:c r="AA435" s="9" t="str">
        <x:f>IF(L435="暂不做","P3 暂缓",IF(Z435&gt;=75,"P0 本周做",IF(Z435&gt;=60,"P1 近期做",IF(Z435&gt;=45,"P2 备选","P3 暂缓"))))</x:f>
        <x:v>P2 备选</x:v>
      </x:c>
      <x:c r="AB435" s="9" t="str">
        <x:f>IF(Y435&gt;=15,"先做合规/相关性复核，不建议直接商业导流",IF(L435="主站","建/优化主站商业页",IF(L435="博客A-知识教程","写知识教程/FAQ文章",IF(L435="博客B-场景人群","写场景需求/选购指南文章",IF(L435="博客C-对比评测","写对比评测/榜单文章","暂不做或人工复核")))))</x:f>
        <x:v>建/优化主站商业页</x:v>
      </x:c>
      <x:c r="AC435" s="9" t="str">
        <x:v>ExDivo BRIGHT MIRROR 35K Replaceable VAPE kit</x:v>
      </x:c>
      <x:c r="AD435" s="10" t="str">
        <x:v>40000 puffs</x:v>
      </x:c>
    </x:row>
    <x:row r="436">
      <x:c r="A436" s="34" t="n">
        <x:v>436</x:v>
      </x:c>
      <x:c r="B436" s="9" t="str">
        <x:v>https://exdivo.com/collections/brightmirror/products/exdivo-bright-mirror-35k-replaceable-vape-kit_25244789?data_from=index_index&amp;spm=collection_detail.310721.collection_detail-11702364.2.</x:v>
      </x:c>
      <x:c r="C436" s="9" t="str">
        <x:v>vape kits</x:v>
      </x:c>
      <x:c r="D436" s="9" t="str">
        <x:v>recommended</x:v>
      </x:c>
      <x:c r="E436" s="36" t="n">
        <x:v>1900</x:v>
      </x:c>
      <x:c r="F436" s="36" t="n">
        <x:v>36</x:v>
      </x:c>
      <x:c r="G436" s="9" t="str">
        <x:v>commercial</x:v>
      </x:c>
      <x:c r="H436" s="9" t="str">
        <x:v>General Vape</x:v>
      </x:c>
      <x:c r="I436" s="9" t="str">
        <x:v>品类承接词</x:v>
      </x:c>
      <x:c r="J436" s="9" t="str">
        <x:v>主站</x:v>
      </x:c>
      <x:c r="K436" s="9" t="str"/>
      <x:c r="L436" s="9" t="str">
        <x:f>IF(K436="",J436,K436)</x:f>
        <x:v>主站</x:v>
      </x:c>
      <x:c r="M436" s="9" t="str">
        <x:v>品类页/集合页 + FAQ内容块</x:v>
      </x:c>
      <x:c r="N436" s="9" t="str">
        <x:v>主站品类页：用产品集合 + 选购说明承接</x:v>
      </x:c>
      <x:c r="O436" s="9" t="str">
        <x:v>/collections/disposable-vapes</x:v>
      </x:c>
      <x:c r="P436" s="9" t="str">
        <x:v>不适用</x:v>
      </x:c>
      <x:c r="Q436" s="9" t="str">
        <x:v>主站页面自身承接</x:v>
      </x:c>
      <x:c r="R436" s="9" t="str">
        <x:v>核心品类词：主站优先，博客只做长尾解释，不直接抢同一词</x:v>
      </x:c>
      <x:c r="S436" s="9" t="str">
        <x:v>如果 Google 首页产品页和指南混合，主站页要加 FAQ、选购指南、对比模块。</x:v>
      </x:c>
      <x:c r="T436" s="38" t="n">
        <x:v>13</x:v>
      </x:c>
      <x:c r="U436" s="38" t="n">
        <x:v>9</x:v>
      </x:c>
      <x:c r="V436" s="38" t="n">
        <x:v>18</x:v>
      </x:c>
      <x:c r="W436" s="38" t="n">
        <x:v>8</x:v>
      </x:c>
      <x:c r="X436" s="38" t="n">
        <x:v>15</x:v>
      </x:c>
      <x:c r="Y436" s="38" t="n">
        <x:v>4</x:v>
      </x:c>
      <x:c r="Z436" s="38" t="n">
        <x:f>MAX(0,MIN(100,ROUND(((T436+U436+V436+W436+X436)-Y436)/85*100,0)))</x:f>
        <x:v>69</x:v>
      </x:c>
      <x:c r="AA436" s="9" t="str">
        <x:f>IF(L436="暂不做","P3 暂缓",IF(Z436&gt;=75,"P0 本周做",IF(Z436&gt;=60,"P1 近期做",IF(Z436&gt;=45,"P2 备选","P3 暂缓"))))</x:f>
        <x:v>P1 近期做</x:v>
      </x:c>
      <x:c r="AB436" s="9" t="str">
        <x:f>IF(Y436&gt;=15,"先做合规/相关性复核，不建议直接商业导流",IF(L436="主站","建/优化主站商业页",IF(L436="博客A-知识教程","写知识教程/FAQ文章",IF(L436="博客B-场景人群","写场景需求/选购指南文章",IF(L436="博客C-对比评测","写对比评测/榜单文章","暂不做或人工复核")))))</x:f>
        <x:v>建/优化主站商业页</x:v>
      </x:c>
      <x:c r="AC436" s="9" t="str">
        <x:v>ExDivo BRIGHT MIRROR 35K Replaceable VAPE kit</x:v>
      </x:c>
      <x:c r="AD436" s="10" t="str">
        <x:v>40000 puffs</x:v>
      </x:c>
    </x:row>
    <x:row r="437">
      <x:c r="A437" s="34" t="n">
        <x:v>437</x:v>
      </x:c>
      <x:c r="B437" s="9" t="str">
        <x:v>https://exdivo.com/collections/brightmirror/products/exdivo-bright-mirror-35k-replaceable-vape-kit_25244789?data_from=index_index&amp;spm=collection_detail.310721.collection_detail-11702364.2.</x:v>
      </x:c>
      <x:c r="C437" s="9" t="str">
        <x:v>vape kit with high puffs</x:v>
      </x:c>
      <x:c r="D437" s="9" t="str">
        <x:v>recommended</x:v>
      </x:c>
      <x:c r="E437" s="36" t="n">
        <x:v>0</x:v>
      </x:c>
      <x:c r="F437" s="36" t="n">
        <x:v>0</x:v>
      </x:c>
      <x:c r="G437" s="9" t="str">
        <x:v>48</x:v>
      </x:c>
      <x:c r="H437" s="9" t="str">
        <x:v>General Vape</x:v>
      </x:c>
      <x:c r="I437" s="9" t="str">
        <x:v>场景/需求词</x:v>
      </x:c>
      <x:c r="J437" s="9" t="str">
        <x:v>博客B-场景人群</x:v>
      </x:c>
      <x:c r="K437" s="9" t="str"/>
      <x:c r="L437" s="9" t="str">
        <x:f>IF(K437="",J437,K437)</x:f>
        <x:v>博客B-场景人群</x:v>
      </x:c>
      <x:c r="M437" s="9" t="str">
        <x:v>场景解决方案/选购指南文章</x:v>
      </x:c>
      <x:c r="N437" s="9" t="str">
        <x:v>Scenario angle: how to choose vape kit with high puffs based on use case, flavor, nicotine, and budget</x:v>
      </x:c>
      <x:c r="O437" s="9" t="str">
        <x:v>/collections/disposable-vapes</x:v>
      </x:c>
      <x:c r="P437" s="9" t="str">
        <x:v>是</x:v>
      </x:c>
      <x:c r="Q437" s="9" t="str">
        <x:v>自然句/品类词</x:v>
      </x:c>
      <x:c r="R437" s="9" t="str">
        <x:v>低中风险：适合软性导流，但不要夸大效果或触碰健康疗效</x:v>
      </x:c>
      <x:c r="S437" s="9" t="str">
        <x:v>围绕使用场景、口味、尼古丁需求、便携性等写，不和主站品类页抢词。</x:v>
      </x:c>
      <x:c r="T437" s="38" t="n">
        <x:v>1</x:v>
      </x:c>
      <x:c r="U437" s="38" t="n">
        <x:v>15</x:v>
      </x:c>
      <x:c r="V437" s="38" t="n">
        <x:v>13</x:v>
      </x:c>
      <x:c r="W437" s="38" t="n">
        <x:v>14</x:v>
      </x:c>
      <x:c r="X437" s="38" t="n">
        <x:v>13</x:v>
      </x:c>
      <x:c r="Y437" s="38" t="n">
        <x:v>5</x:v>
      </x:c>
      <x:c r="Z437" s="38" t="n">
        <x:f>MAX(0,MIN(100,ROUND(((T437+U437+V437+W437+X437)-Y437)/85*100,0)))</x:f>
        <x:v>60</x:v>
      </x:c>
      <x:c r="AA437" s="9" t="str">
        <x:f>IF(L437="暂不做","P3 暂缓",IF(Z437&gt;=75,"P0 本周做",IF(Z437&gt;=60,"P1 近期做",IF(Z437&gt;=45,"P2 备选","P3 暂缓"))))</x:f>
        <x:v>P1 近期做</x:v>
      </x:c>
      <x:c r="AB437" s="9" t="str">
        <x:f>IF(Y437&gt;=15,"先做合规/相关性复核，不建议直接商业导流",IF(L437="主站","建/优化主站商业页",IF(L437="博客A-知识教程","写知识教程/FAQ文章",IF(L437="博客B-场景人群","写场景需求/选购指南文章",IF(L437="博客C-对比评测","写对比评测/榜单文章","暂不做或人工复核")))))</x:f>
        <x:v>写场景需求/选购指南文章</x:v>
      </x:c>
      <x:c r="AC437" s="9" t="str">
        <x:v>ExDivo BRIGHT MIRROR 35K Replaceable VAPE kit</x:v>
      </x:c>
      <x:c r="AD437" s="10" t="str">
        <x:v>40000 puffs</x:v>
      </x:c>
    </x:row>
    <x:row r="438">
      <x:c r="A438" s="34" t="n">
        <x:v>438</x:v>
      </x:c>
      <x:c r="B438" s="9" t="str">
        <x:v>https://exdivo.com/collections/brightmirror/products/exdivo-bright-mirror-35k-replaceable-vape-kit_25244789?data_from=index_index&amp;spm=collection_detail.310721.collection_detail-11702364.2.</x:v>
      </x:c>
      <x:c r="C438" s="9" t="str">
        <x:v>replaceable vape kit</x:v>
      </x:c>
      <x:c r="D438" s="9" t="str">
        <x:v>recommended</x:v>
      </x:c>
      <x:c r="E438" s="36" t="n">
        <x:v>0</x:v>
      </x:c>
      <x:c r="F438" s="36" t="n">
        <x:v>0</x:v>
      </x:c>
      <x:c r="G438" s="9" t="str">
        <x:v>48</x:v>
      </x:c>
      <x:c r="H438" s="9" t="str">
        <x:v>General Vape</x:v>
      </x:c>
      <x:c r="I438" s="9" t="str">
        <x:v>品类承接词</x:v>
      </x:c>
      <x:c r="J438" s="9" t="str">
        <x:v>主站</x:v>
      </x:c>
      <x:c r="K438" s="9" t="str"/>
      <x:c r="L438" s="9" t="str">
        <x:f>IF(K438="",J438,K438)</x:f>
        <x:v>主站</x:v>
      </x:c>
      <x:c r="M438" s="9" t="str">
        <x:v>品类页/集合页 + FAQ内容块</x:v>
      </x:c>
      <x:c r="N438" s="9" t="str">
        <x:v>主站品类页：用产品集合 + 选购说明承接</x:v>
      </x:c>
      <x:c r="O438" s="9" t="str">
        <x:v>/collections/disposable-vapes</x:v>
      </x:c>
      <x:c r="P438" s="9" t="str">
        <x:v>不适用</x:v>
      </x:c>
      <x:c r="Q438" s="9" t="str">
        <x:v>主站页面自身承接</x:v>
      </x:c>
      <x:c r="R438" s="9" t="str">
        <x:v>核心品类词：主站优先，博客只做长尾解释，不直接抢同一词</x:v>
      </x:c>
      <x:c r="S438" s="9" t="str">
        <x:v>如果 Google 首页产品页和指南混合，主站页要加 FAQ、选购指南、对比模块。</x:v>
      </x:c>
      <x:c r="T438" s="38" t="n">
        <x:v>1</x:v>
      </x:c>
      <x:c r="U438" s="38" t="n">
        <x:v>15</x:v>
      </x:c>
      <x:c r="V438" s="38" t="n">
        <x:v>16</x:v>
      </x:c>
      <x:c r="W438" s="38" t="n">
        <x:v>8</x:v>
      </x:c>
      <x:c r="X438" s="38" t="n">
        <x:v>15</x:v>
      </x:c>
      <x:c r="Y438" s="38" t="n">
        <x:v>4</x:v>
      </x:c>
      <x:c r="Z438" s="38" t="n">
        <x:f>MAX(0,MIN(100,ROUND(((T438+U438+V438+W438+X438)-Y438)/85*100,0)))</x:f>
        <x:v>60</x:v>
      </x:c>
      <x:c r="AA438" s="9" t="str">
        <x:f>IF(L438="暂不做","P3 暂缓",IF(Z438&gt;=75,"P0 本周做",IF(Z438&gt;=60,"P1 近期做",IF(Z438&gt;=45,"P2 备选","P3 暂缓"))))</x:f>
        <x:v>P1 近期做</x:v>
      </x:c>
      <x:c r="AB438" s="9" t="str">
        <x:f>IF(Y438&gt;=15,"先做合规/相关性复核，不建议直接商业导流",IF(L438="主站","建/优化主站商业页",IF(L438="博客A-知识教程","写知识教程/FAQ文章",IF(L438="博客B-场景人群","写场景需求/选购指南文章",IF(L438="博客C-对比评测","写对比评测/榜单文章","暂不做或人工复核")))))</x:f>
        <x:v>建/优化主站商业页</x:v>
      </x:c>
      <x:c r="AC438" s="9" t="str">
        <x:v>ExDivo BRIGHT MIRROR 35K Replaceable VAPE kit</x:v>
      </x:c>
      <x:c r="AD438" s="10" t="str">
        <x:v>40000 puffs</x:v>
      </x:c>
    </x:row>
    <x:row r="439">
      <x:c r="A439" s="34" t="n">
        <x:v>439</x:v>
      </x:c>
      <x:c r="B439" s="9" t="str">
        <x:v>https://exdivo.com/collections/brightmirror/products/exdivo-bright-mirror-35k-replaceable-vape-kit_25244789?data_from=index_index&amp;spm=collection_detail.310721.collection_detail-11702364.2.</x:v>
      </x:c>
      <x:c r="C439" s="9" t="str">
        <x:v>long lasting vape kit</x:v>
      </x:c>
      <x:c r="D439" s="9" t="str">
        <x:v>recommended</x:v>
      </x:c>
      <x:c r="E439" s="36" t="n">
        <x:v>0</x:v>
      </x:c>
      <x:c r="F439" s="36" t="n">
        <x:v>0</x:v>
      </x:c>
      <x:c r="G439" s="9" t="str">
        <x:v>48</x:v>
      </x:c>
      <x:c r="H439" s="9" t="str">
        <x:v>知识教程</x:v>
      </x:c>
      <x:c r="I439" s="9" t="str">
        <x:v>场景/需求词</x:v>
      </x:c>
      <x:c r="J439" s="9" t="str">
        <x:v>博客B-场景人群</x:v>
      </x:c>
      <x:c r="K439" s="9" t="str"/>
      <x:c r="L439" s="9" t="str">
        <x:f>IF(K439="",J439,K439)</x:f>
        <x:v>博客B-场景人群</x:v>
      </x:c>
      <x:c r="M439" s="9" t="str">
        <x:v>场景解决方案/选购指南文章</x:v>
      </x:c>
      <x:c r="N439" s="9" t="str">
        <x:v>Scenario angle: how to choose long lasting vape kit based on use case, flavor, nicotine, and budget</x:v>
      </x:c>
      <x:c r="O439" s="9" t="str">
        <x:v>/collections/disposable-vapes</x:v>
      </x:c>
      <x:c r="P439" s="9" t="str">
        <x:v>是</x:v>
      </x:c>
      <x:c r="Q439" s="9" t="str">
        <x:v>自然句/品类词</x:v>
      </x:c>
      <x:c r="R439" s="9" t="str">
        <x:v>低中风险：适合软性导流，但不要夸大效果或触碰健康疗效</x:v>
      </x:c>
      <x:c r="S439" s="9" t="str">
        <x:v>围绕使用场景、口味、尼古丁需求、便携性等写，不和主站品类页抢词。</x:v>
      </x:c>
      <x:c r="T439" s="38" t="n">
        <x:v>1</x:v>
      </x:c>
      <x:c r="U439" s="38" t="n">
        <x:v>15</x:v>
      </x:c>
      <x:c r="V439" s="38" t="n">
        <x:v>13</x:v>
      </x:c>
      <x:c r="W439" s="38" t="n">
        <x:v>14</x:v>
      </x:c>
      <x:c r="X439" s="38" t="n">
        <x:v>13</x:v>
      </x:c>
      <x:c r="Y439" s="38" t="n">
        <x:v>5</x:v>
      </x:c>
      <x:c r="Z439" s="38" t="n">
        <x:f>MAX(0,MIN(100,ROUND(((T439+U439+V439+W439+X439)-Y439)/85*100,0)))</x:f>
        <x:v>60</x:v>
      </x:c>
      <x:c r="AA439" s="9" t="str">
        <x:f>IF(L439="暂不做","P3 暂缓",IF(Z439&gt;=75,"P0 本周做",IF(Z439&gt;=60,"P1 近期做",IF(Z439&gt;=45,"P2 备选","P3 暂缓"))))</x:f>
        <x:v>P1 近期做</x:v>
      </x:c>
      <x:c r="AB439" s="9" t="str">
        <x:f>IF(Y439&gt;=15,"先做合规/相关性复核，不建议直接商业导流",IF(L439="主站","建/优化主站商业页",IF(L439="博客A-知识教程","写知识教程/FAQ文章",IF(L439="博客B-场景人群","写场景需求/选购指南文章",IF(L439="博客C-对比评测","写对比评测/榜单文章","暂不做或人工复核")))))</x:f>
        <x:v>写场景需求/选购指南文章</x:v>
      </x:c>
      <x:c r="AC439" s="9" t="str">
        <x:v>ExDivo BRIGHT MIRROR 35K Replaceable VAPE kit</x:v>
      </x:c>
      <x:c r="AD439" s="10" t="str">
        <x:v>40000 puffs</x:v>
      </x:c>
    </x:row>
    <x:row r="440">
      <x:c r="A440" s="34" t="n">
        <x:v>440</x:v>
      </x:c>
      <x:c r="B440" s="9" t="str">
        <x:v>https://exdivo.com/collections/brightmirror/products/exdivo-bright-mirror-35k-replaceable-vape-kit_25244789?data_from=index_index&amp;spm=collection_detail.310721.collection_detail-11702364.2.</x:v>
      </x:c>
      <x:c r="C440" s="9" t="str">
        <x:v>premium vape kit</x:v>
      </x:c>
      <x:c r="D440" s="9" t="str">
        <x:v>recommended</x:v>
      </x:c>
      <x:c r="E440" s="36" t="n">
        <x:v>0</x:v>
      </x:c>
      <x:c r="F440" s="36" t="n">
        <x:v>0</x:v>
      </x:c>
      <x:c r="G440" s="9" t="str">
        <x:v>48</x:v>
      </x:c>
      <x:c r="H440" s="9" t="str">
        <x:v>General Vape</x:v>
      </x:c>
      <x:c r="I440" s="9" t="str">
        <x:v>品类承接词</x:v>
      </x:c>
      <x:c r="J440" s="9" t="str">
        <x:v>主站</x:v>
      </x:c>
      <x:c r="K440" s="9" t="str"/>
      <x:c r="L440" s="9" t="str">
        <x:f>IF(K440="",J440,K440)</x:f>
        <x:v>主站</x:v>
      </x:c>
      <x:c r="M440" s="9" t="str">
        <x:v>品类页/集合页 + FAQ内容块</x:v>
      </x:c>
      <x:c r="N440" s="9" t="str">
        <x:v>主站品类页：用产品集合 + 选购说明承接</x:v>
      </x:c>
      <x:c r="O440" s="9" t="str">
        <x:v>/collections/disposable-vapes</x:v>
      </x:c>
      <x:c r="P440" s="9" t="str">
        <x:v>不适用</x:v>
      </x:c>
      <x:c r="Q440" s="9" t="str">
        <x:v>主站页面自身承接</x:v>
      </x:c>
      <x:c r="R440" s="9" t="str">
        <x:v>核心品类词：主站优先，博客只做长尾解释，不直接抢同一词</x:v>
      </x:c>
      <x:c r="S440" s="9" t="str">
        <x:v>如果 Google 首页产品页和指南混合，主站页要加 FAQ、选购指南、对比模块。</x:v>
      </x:c>
      <x:c r="T440" s="38" t="n">
        <x:v>1</x:v>
      </x:c>
      <x:c r="U440" s="38" t="n">
        <x:v>15</x:v>
      </x:c>
      <x:c r="V440" s="38" t="n">
        <x:v>16</x:v>
      </x:c>
      <x:c r="W440" s="38" t="n">
        <x:v>8</x:v>
      </x:c>
      <x:c r="X440" s="38" t="n">
        <x:v>15</x:v>
      </x:c>
      <x:c r="Y440" s="38" t="n">
        <x:v>4</x:v>
      </x:c>
      <x:c r="Z440" s="38" t="n">
        <x:f>MAX(0,MIN(100,ROUND(((T440+U440+V440+W440+X440)-Y440)/85*100,0)))</x:f>
        <x:v>60</x:v>
      </x:c>
      <x:c r="AA440" s="9" t="str">
        <x:f>IF(L440="暂不做","P3 暂缓",IF(Z440&gt;=75,"P0 本周做",IF(Z440&gt;=60,"P1 近期做",IF(Z440&gt;=45,"P2 备选","P3 暂缓"))))</x:f>
        <x:v>P1 近期做</x:v>
      </x:c>
      <x:c r="AB440" s="9" t="str">
        <x:f>IF(Y440&gt;=15,"先做合规/相关性复核，不建议直接商业导流",IF(L440="主站","建/优化主站商业页",IF(L440="博客A-知识教程","写知识教程/FAQ文章",IF(L440="博客B-场景人群","写场景需求/选购指南文章",IF(L440="博客C-对比评测","写对比评测/榜单文章","暂不做或人工复核")))))</x:f>
        <x:v>建/优化主站商业页</x:v>
      </x:c>
      <x:c r="AC440" s="9" t="str">
        <x:v>ExDivo BRIGHT MIRROR 35K Replaceable VAPE kit</x:v>
      </x:c>
      <x:c r="AD440" s="10" t="str">
        <x:v>40000 puffs</x:v>
      </x:c>
    </x:row>
    <x:row r="441">
      <x:c r="A441" s="34" t="n">
        <x:v>441</x:v>
      </x:c>
      <x:c r="B441" s="9" t="str">
        <x:v>https://exdivo.com/comments/exdivo-flora-40k-disposable-vape_d40647e8</x:v>
      </x:c>
      <x:c r="C441" s="9" t="str">
        <x:v>vape watermelon</x:v>
      </x:c>
      <x:c r="D441" s="9" t="str">
        <x:v>recommended</x:v>
      </x:c>
      <x:c r="E441" s="36" t="n">
        <x:v>390</x:v>
      </x:c>
      <x:c r="F441" s="36" t="n">
        <x:v>8</x:v>
      </x:c>
      <x:c r="G441" s="9" t="str">
        <x:v>informational, commercial</x:v>
      </x:c>
      <x:c r="H441" s="9" t="str">
        <x:v>General Vape</x:v>
      </x:c>
      <x:c r="I441" s="9" t="str">
        <x:v>品类承接词</x:v>
      </x:c>
      <x:c r="J441" s="9" t="str">
        <x:v>主站</x:v>
      </x:c>
      <x:c r="K441" s="9" t="str"/>
      <x:c r="L441" s="9" t="str">
        <x:f>IF(K441="",J441,K441)</x:f>
        <x:v>主站</x:v>
      </x:c>
      <x:c r="M441" s="9" t="str">
        <x:v>品类页/集合页 + FAQ内容块</x:v>
      </x:c>
      <x:c r="N441" s="9" t="str">
        <x:v>主站品类页：用产品集合 + 选购说明承接</x:v>
      </x:c>
      <x:c r="O441" s="9" t="str">
        <x:v>/collections/disposable-vapes</x:v>
      </x:c>
      <x:c r="P441" s="9" t="str">
        <x:v>不适用</x:v>
      </x:c>
      <x:c r="Q441" s="9" t="str">
        <x:v>主站页面自身承接</x:v>
      </x:c>
      <x:c r="R441" s="9" t="str">
        <x:v>核心品类词：主站优先，博客只做长尾解释，不直接抢同一词</x:v>
      </x:c>
      <x:c r="S441" s="9" t="str">
        <x:v>如果 Google 首页产品页和指南混合，主站页要加 FAQ、选购指南、对比模块。</x:v>
      </x:c>
      <x:c r="T441" s="38" t="n">
        <x:v>7</x:v>
      </x:c>
      <x:c r="U441" s="38" t="n">
        <x:v>15</x:v>
      </x:c>
      <x:c r="V441" s="38" t="n">
        <x:v>18</x:v>
      </x:c>
      <x:c r="W441" s="38" t="n">
        <x:v>8</x:v>
      </x:c>
      <x:c r="X441" s="38" t="n">
        <x:v>15</x:v>
      </x:c>
      <x:c r="Y441" s="38" t="n">
        <x:v>4</x:v>
      </x:c>
      <x:c r="Z441" s="38" t="n">
        <x:f>MAX(0,MIN(100,ROUND(((T441+U441+V441+W441+X441)-Y441)/85*100,0)))</x:f>
        <x:v>69</x:v>
      </x:c>
      <x:c r="AA441" s="9" t="str">
        <x:f>IF(L441="暂不做","P3 暂缓",IF(Z441&gt;=75,"P0 本周做",IF(Z441&gt;=60,"P1 近期做",IF(Z441&gt;=45,"P2 备选","P3 暂缓"))))</x:f>
        <x:v>P1 近期做</x:v>
      </x:c>
      <x:c r="AB441" s="9" t="str">
        <x:f>IF(Y441&gt;=15,"先做合规/相关性复核，不建议直接商业导流",IF(L441="主站","建/优化主站商业页",IF(L441="博客A-知识教程","写知识教程/FAQ文章",IF(L441="博客B-场景人群","写场景需求/选购指南文章",IF(L441="博客C-对比评测","写对比评测/榜单文章","暂不做或人工复核")))))</x:f>
        <x:v>建/优化主站商业页</x:v>
      </x:c>
      <x:c r="AC441" s="9" t="str">
        <x:v>Reviews - WATERMELON ICE - ExDivo FLORA 40K Disposable Vape - ExDivo</x:v>
      </x:c>
      <x:c r="AD441" s="10" t="str">
        <x:v>48</x:v>
      </x:c>
    </x:row>
    <x:row r="442">
      <x:c r="A442" s="34" t="n">
        <x:v>442</x:v>
      </x:c>
      <x:c r="B442" s="9" t="str">
        <x:v>https://exdivo.com/comments/exdivo-flora-40k-disposable-vape_d40647e8</x:v>
      </x:c>
      <x:c r="C442" s="9" t="str">
        <x:v>raz watermelon ice vape</x:v>
      </x:c>
      <x:c r="D442" s="9" t="str">
        <x:v>recommended</x:v>
      </x:c>
      <x:c r="E442" s="36" t="n">
        <x:v>90</x:v>
      </x:c>
      <x:c r="F442" s="36" t="n">
        <x:v>0</x:v>
      </x:c>
      <x:c r="G442" s="9" t="str">
        <x:v>informational, commercial</x:v>
      </x:c>
      <x:c r="H442" s="9" t="str">
        <x:v>竞品/品牌词</x:v>
      </x:c>
      <x:c r="I442" s="9" t="str">
        <x:v>竞品品牌词</x:v>
      </x:c>
      <x:c r="J442" s="9" t="str">
        <x:v>暂不做</x:v>
      </x:c>
      <x:c r="K442" s="9" t="str"/>
      <x:c r="L442" s="9" t="str">
        <x:f>IF(K442="",J442,K442)</x:f>
        <x:v>暂不做</x:v>
      </x:c>
      <x:c r="M442" s="9" t="str">
        <x:v>人工确认后再决定</x:v>
      </x:c>
      <x:c r="N442" s="9" t="str">
        <x:v>人工确认是否可做客观对比</x:v>
      </x:c>
      <x:c r="O442" s="9" t="str">
        <x:v>无</x:v>
      </x:c>
      <x:c r="P442" s="9" t="str">
        <x:v>否</x:v>
      </x:c>
      <x:c r="Q442" s="9" t="str">
        <x:v>不导流</x:v>
      </x:c>
      <x:c r="R442" s="9" t="str">
        <x:v>中高风险：纯竞品品牌词容易产生商标/相关性问题</x:v>
      </x:c>
      <x:c r="S442" s="9" t="str">
        <x:v>只有带 alternative / vs / review / best 这类明确比较意图时，才考虑博客C。</x:v>
      </x:c>
      <x:c r="T442" s="38" t="n">
        <x:v>4</x:v>
      </x:c>
      <x:c r="U442" s="38" t="n">
        <x:v>15</x:v>
      </x:c>
      <x:c r="V442" s="38" t="n">
        <x:v>5</x:v>
      </x:c>
      <x:c r="W442" s="38" t="n">
        <x:v>7</x:v>
      </x:c>
      <x:c r="X442" s="38" t="n">
        <x:v>4</x:v>
      </x:c>
      <x:c r="Y442" s="38" t="n">
        <x:v>14</x:v>
      </x:c>
      <x:c r="Z442" s="38" t="n">
        <x:f>MAX(0,MIN(100,ROUND(((T442+U442+V442+W442+X442)-Y442)/85*100,0)))</x:f>
        <x:v>25</x:v>
      </x:c>
      <x:c r="AA442" s="9" t="str">
        <x:f>IF(L442="暂不做","P3 暂缓",IF(Z442&gt;=75,"P0 本周做",IF(Z442&gt;=60,"P1 近期做",IF(Z442&gt;=45,"P2 备选","P3 暂缓"))))</x:f>
        <x:v>P3 暂缓</x:v>
      </x:c>
      <x:c r="AB442" s="9" t="str">
        <x:f>IF(Y442&gt;=15,"先做合规/相关性复核，不建议直接商业导流",IF(L442="主站","建/优化主站商业页",IF(L442="博客A-知识教程","写知识教程/FAQ文章",IF(L442="博客B-场景人群","写场景需求/选购指南文章",IF(L442="博客C-对比评测","写对比评测/榜单文章","暂不做或人工复核")))))</x:f>
        <x:v>暂不做或人工复核</x:v>
      </x:c>
      <x:c r="AC442" s="9" t="str">
        <x:v>Reviews - WATERMELON ICE - ExDivo FLORA 40K Disposable Vape - ExDivo</x:v>
      </x:c>
      <x:c r="AD442" s="10" t="str">
        <x:v>48</x:v>
      </x:c>
    </x:row>
    <x:row r="443">
      <x:c r="A443" s="34" t="n">
        <x:v>443</x:v>
      </x:c>
      <x:c r="B443" s="9" t="str">
        <x:v>https://exdivo.com/comments/exdivo-flora-40k-disposable-vape_d40647e8</x:v>
      </x:c>
      <x:c r="C443" s="9" t="str">
        <x:v>watermelon vapes</x:v>
      </x:c>
      <x:c r="D443" s="9" t="str">
        <x:v>recommended</x:v>
      </x:c>
      <x:c r="E443" s="36" t="n">
        <x:v>170</x:v>
      </x:c>
      <x:c r="F443" s="36" t="n">
        <x:v>14</x:v>
      </x:c>
      <x:c r="G443" s="9" t="str">
        <x:v>informational, commercial</x:v>
      </x:c>
      <x:c r="H443" s="9" t="str">
        <x:v>General Vape</x:v>
      </x:c>
      <x:c r="I443" s="9" t="str">
        <x:v>品类承接词</x:v>
      </x:c>
      <x:c r="J443" s="9" t="str">
        <x:v>主站</x:v>
      </x:c>
      <x:c r="K443" s="9" t="str"/>
      <x:c r="L443" s="9" t="str">
        <x:f>IF(K443="",J443,K443)</x:f>
        <x:v>主站</x:v>
      </x:c>
      <x:c r="M443" s="9" t="str">
        <x:v>品类页/集合页 + FAQ内容块</x:v>
      </x:c>
      <x:c r="N443" s="9" t="str">
        <x:v>主站品类页：用产品集合 + 选购说明承接</x:v>
      </x:c>
      <x:c r="O443" s="9" t="str">
        <x:v>/collections/disposable-vapes</x:v>
      </x:c>
      <x:c r="P443" s="9" t="str">
        <x:v>不适用</x:v>
      </x:c>
      <x:c r="Q443" s="9" t="str">
        <x:v>主站页面自身承接</x:v>
      </x:c>
      <x:c r="R443" s="9" t="str">
        <x:v>核心品类词：主站优先，博客只做长尾解释，不直接抢同一词</x:v>
      </x:c>
      <x:c r="S443" s="9" t="str">
        <x:v>如果 Google 首页产品页和指南混合，主站页要加 FAQ、选购指南、对比模块。</x:v>
      </x:c>
      <x:c r="T443" s="38" t="n">
        <x:v>7</x:v>
      </x:c>
      <x:c r="U443" s="38" t="n">
        <x:v>15</x:v>
      </x:c>
      <x:c r="V443" s="38" t="n">
        <x:v>18</x:v>
      </x:c>
      <x:c r="W443" s="38" t="n">
        <x:v>8</x:v>
      </x:c>
      <x:c r="X443" s="38" t="n">
        <x:v>15</x:v>
      </x:c>
      <x:c r="Y443" s="38" t="n">
        <x:v>4</x:v>
      </x:c>
      <x:c r="Z443" s="38" t="n">
        <x:f>MAX(0,MIN(100,ROUND(((T443+U443+V443+W443+X443)-Y443)/85*100,0)))</x:f>
        <x:v>69</x:v>
      </x:c>
      <x:c r="AA443" s="9" t="str">
        <x:f>IF(L443="暂不做","P3 暂缓",IF(Z443&gt;=75,"P0 本周做",IF(Z443&gt;=60,"P1 近期做",IF(Z443&gt;=45,"P2 备选","P3 暂缓"))))</x:f>
        <x:v>P1 近期做</x:v>
      </x:c>
      <x:c r="AB443" s="9" t="str">
        <x:f>IF(Y443&gt;=15,"先做合规/相关性复核，不建议直接商业导流",IF(L443="主站","建/优化主站商业页",IF(L443="博客A-知识教程","写知识教程/FAQ文章",IF(L443="博客B-场景人群","写场景需求/选购指南文章",IF(L443="博客C-对比评测","写对比评测/榜单文章","暂不做或人工复核")))))</x:f>
        <x:v>建/优化主站商业页</x:v>
      </x:c>
      <x:c r="AC443" s="9" t="str">
        <x:v>Reviews - WATERMELON ICE - ExDivo FLORA 40K Disposable Vape - ExDivo</x:v>
      </x:c>
      <x:c r="AD443" s="10" t="str">
        <x:v>48</x:v>
      </x:c>
    </x:row>
    <x:row r="444">
      <x:c r="A444" s="34" t="n">
        <x:v>444</x:v>
      </x:c>
      <x:c r="B444" s="9" t="str">
        <x:v>https://exdivo.com/comments/exdivo-flora-40k-disposable-vape_d40647e8</x:v>
      </x:c>
      <x:c r="C444" s="9" t="str">
        <x:v>watermelon ice vape geek bar</x:v>
      </x:c>
      <x:c r="D444" s="9" t="str">
        <x:v>recommended</x:v>
      </x:c>
      <x:c r="E444" s="36" t="n">
        <x:v>40</x:v>
      </x:c>
      <x:c r="F444" s="36" t="n">
        <x:v>8</x:v>
      </x:c>
      <x:c r="G444" s="9" t="str">
        <x:v>informational</x:v>
      </x:c>
      <x:c r="H444" s="9" t="str">
        <x:v>竞品/品牌词</x:v>
      </x:c>
      <x:c r="I444" s="9" t="str">
        <x:v>竞品品牌词</x:v>
      </x:c>
      <x:c r="J444" s="9" t="str">
        <x:v>暂不做</x:v>
      </x:c>
      <x:c r="K444" s="9" t="str"/>
      <x:c r="L444" s="9" t="str">
        <x:f>IF(K444="",J444,K444)</x:f>
        <x:v>暂不做</x:v>
      </x:c>
      <x:c r="M444" s="9" t="str">
        <x:v>人工确认后再决定</x:v>
      </x:c>
      <x:c r="N444" s="9" t="str">
        <x:v>人工确认是否可做客观对比</x:v>
      </x:c>
      <x:c r="O444" s="9" t="str">
        <x:v>无</x:v>
      </x:c>
      <x:c r="P444" s="9" t="str">
        <x:v>否</x:v>
      </x:c>
      <x:c r="Q444" s="9" t="str">
        <x:v>不导流</x:v>
      </x:c>
      <x:c r="R444" s="9" t="str">
        <x:v>中高风险：纯竞品品牌词容易产生商标/相关性问题</x:v>
      </x:c>
      <x:c r="S444" s="9" t="str">
        <x:v>只有带 alternative / vs / review / best 这类明确比较意图时，才考虑博客C。</x:v>
      </x:c>
      <x:c r="T444" s="38" t="n">
        <x:v>4</x:v>
      </x:c>
      <x:c r="U444" s="38" t="n">
        <x:v>15</x:v>
      </x:c>
      <x:c r="V444" s="38" t="n">
        <x:v>5</x:v>
      </x:c>
      <x:c r="W444" s="38" t="n">
        <x:v>7</x:v>
      </x:c>
      <x:c r="X444" s="38" t="n">
        <x:v>4</x:v>
      </x:c>
      <x:c r="Y444" s="38" t="n">
        <x:v>14</x:v>
      </x:c>
      <x:c r="Z444" s="38" t="n">
        <x:f>MAX(0,MIN(100,ROUND(((T444+U444+V444+W444+X444)-Y444)/85*100,0)))</x:f>
        <x:v>25</x:v>
      </x:c>
      <x:c r="AA444" s="9" t="str">
        <x:f>IF(L444="暂不做","P3 暂缓",IF(Z444&gt;=75,"P0 本周做",IF(Z444&gt;=60,"P1 近期做",IF(Z444&gt;=45,"P2 备选","P3 暂缓"))))</x:f>
        <x:v>P3 暂缓</x:v>
      </x:c>
      <x:c r="AB444" s="9" t="str">
        <x:f>IF(Y444&gt;=15,"先做合规/相关性复核，不建议直接商业导流",IF(L444="主站","建/优化主站商业页",IF(L444="博客A-知识教程","写知识教程/FAQ文章",IF(L444="博客B-场景人群","写场景需求/选购指南文章",IF(L444="博客C-对比评测","写对比评测/榜单文章","暂不做或人工复核")))))</x:f>
        <x:v>暂不做或人工复核</x:v>
      </x:c>
      <x:c r="AC444" s="9" t="str">
        <x:v>Reviews - WATERMELON ICE - ExDivo FLORA 40K Disposable Vape - ExDivo</x:v>
      </x:c>
      <x:c r="AD444" s="10" t="str">
        <x:v>48</x:v>
      </x:c>
    </x:row>
    <x:row r="445">
      <x:c r="A445" s="34" t="n">
        <x:v>445</x:v>
      </x:c>
      <x:c r="B445" s="9" t="str">
        <x:v>https://exdivo.com/comments/exdivo-flora-40k-disposable-vape_d40647e8</x:v>
      </x:c>
      <x:c r="C445" s="9" t="str">
        <x:v>watermelon ice disposable vape</x:v>
      </x:c>
      <x:c r="D445" s="9" t="str">
        <x:v>recommended</x:v>
      </x:c>
      <x:c r="E445" s="36" t="n">
        <x:v>0</x:v>
      </x:c>
      <x:c r="F445" s="36" t="n">
        <x:v>0</x:v>
      </x:c>
      <x:c r="G445" s="9" t="str">
        <x:v>48</x:v>
      </x:c>
      <x:c r="H445" s="9" t="str">
        <x:v>Disposable Vape</x:v>
      </x:c>
      <x:c r="I445" s="9" t="str">
        <x:v>内容词</x:v>
      </x:c>
      <x:c r="J445" s="9" t="str">
        <x:v>博客A-知识教程</x:v>
      </x:c>
      <x:c r="K445" s="9" t="str"/>
      <x:c r="L445" s="9" t="str">
        <x:f>IF(K445="",J445,K445)</x:f>
        <x:v>博客A-知识教程</x:v>
      </x:c>
      <x:c r="M445" s="9" t="str">
        <x:v>知识/教程文章</x:v>
      </x:c>
      <x:c r="N445" s="9" t="str">
        <x:v>Guide angle: explain watermelon ice disposable vape, answer common questions, and avoid sales-first writing</x:v>
      </x:c>
      <x:c r="O445" s="9" t="str">
        <x:v>/collections/disposable-vapes 或最接近的产品集合页</x:v>
      </x:c>
      <x:c r="P445" s="9" t="str">
        <x:v>谨慎</x:v>
      </x:c>
      <x:c r="Q445" s="9" t="str">
        <x:v>品牌词/自然句</x:v>
      </x:c>
      <x:c r="R445" s="9" t="str">
        <x:v>低风险：按常规内容质量和搜索意图校验</x:v>
      </x:c>
      <x:c r="S445" s="9" t="str">
        <x:v>先看 Google SERP：如果首页多数为产品集合页，改回主站；如果多数为教程/问答，保持博客。</x:v>
      </x:c>
      <x:c r="T445" s="38" t="n">
        <x:v>1</x:v>
      </x:c>
      <x:c r="U445" s="38" t="n">
        <x:v>15</x:v>
      </x:c>
      <x:c r="V445" s="38" t="n">
        <x:v>10</x:v>
      </x:c>
      <x:c r="W445" s="38" t="n">
        <x:v>12</x:v>
      </x:c>
      <x:c r="X445" s="38" t="n">
        <x:v>12</x:v>
      </x:c>
      <x:c r="Y445" s="38" t="n">
        <x:v>4</x:v>
      </x:c>
      <x:c r="Z445" s="38" t="n">
        <x:f>MAX(0,MIN(100,ROUND(((T445+U445+V445+W445+X445)-Y445)/85*100,0)))</x:f>
        <x:v>54</x:v>
      </x:c>
      <x:c r="AA445" s="9" t="str">
        <x:f>IF(L445="暂不做","P3 暂缓",IF(Z445&gt;=75,"P0 本周做",IF(Z445&gt;=60,"P1 近期做",IF(Z445&gt;=45,"P2 备选","P3 暂缓"))))</x:f>
        <x:v>P2 备选</x:v>
      </x:c>
      <x:c r="AB445" s="9" t="str">
        <x:f>IF(Y445&gt;=15,"先做合规/相关性复核，不建议直接商业导流",IF(L445="主站","建/优化主站商业页",IF(L445="博客A-知识教程","写知识教程/FAQ文章",IF(L445="博客B-场景人群","写场景需求/选购指南文章",IF(L445="博客C-对比评测","写对比评测/榜单文章","暂不做或人工复核")))))</x:f>
        <x:v>写知识教程/FAQ文章</x:v>
      </x:c>
      <x:c r="AC445" s="9" t="str">
        <x:v>Reviews - WATERMELON ICE - ExDivo FLORA 40K Disposable Vape - ExDivo</x:v>
      </x:c>
      <x:c r="AD445" s="10" t="str">
        <x:v>48</x:v>
      </x:c>
    </x:row>
    <x:row r="446">
      <x:c r="A446" s="34" t="n">
        <x:v>446</x:v>
      </x:c>
      <x:c r="B446" s="9" t="str">
        <x:v>https://exdivo.com/comments/exdivo-flora-40k-disposable-vape_d40647e8</x:v>
      </x:c>
      <x:c r="C446" s="9" t="str">
        <x:v>vape flavor watermelon ice</x:v>
      </x:c>
      <x:c r="D446" s="9" t="str">
        <x:v>recommended</x:v>
      </x:c>
      <x:c r="E446" s="36" t="n">
        <x:v>0</x:v>
      </x:c>
      <x:c r="F446" s="36" t="n">
        <x:v>0</x:v>
      </x:c>
      <x:c r="G446" s="9" t="str">
        <x:v>48</x:v>
      </x:c>
      <x:c r="H446" s="9" t="str">
        <x:v>Flavor / 口味</x:v>
      </x:c>
      <x:c r="I446" s="9" t="str">
        <x:v>场景/需求词</x:v>
      </x:c>
      <x:c r="J446" s="9" t="str">
        <x:v>博客B-场景人群</x:v>
      </x:c>
      <x:c r="K446" s="9" t="str"/>
      <x:c r="L446" s="9" t="str">
        <x:f>IF(K446="",J446,K446)</x:f>
        <x:v>博客B-场景人群</x:v>
      </x:c>
      <x:c r="M446" s="9" t="str">
        <x:v>场景解决方案/选购指南文章</x:v>
      </x:c>
      <x:c r="N446" s="9" t="str">
        <x:v>Scenario angle: how to choose vape flavor watermelon ice based on use case, flavor, nicotine, and budget</x:v>
      </x:c>
      <x:c r="O446" s="9" t="str">
        <x:v>/collections/flavored-disposable-vapes</x:v>
      </x:c>
      <x:c r="P446" s="9" t="str">
        <x:v>是</x:v>
      </x:c>
      <x:c r="Q446" s="9" t="str">
        <x:v>自然句/品类词</x:v>
      </x:c>
      <x:c r="R446" s="9" t="str">
        <x:v>低中风险：适合软性导流，但不要夸大效果或触碰健康疗效</x:v>
      </x:c>
      <x:c r="S446" s="9" t="str">
        <x:v>围绕使用场景、口味、尼古丁需求、便携性等写，不和主站品类页抢词。</x:v>
      </x:c>
      <x:c r="T446" s="38" t="n">
        <x:v>1</x:v>
      </x:c>
      <x:c r="U446" s="38" t="n">
        <x:v>15</x:v>
      </x:c>
      <x:c r="V446" s="38" t="n">
        <x:v>13</x:v>
      </x:c>
      <x:c r="W446" s="38" t="n">
        <x:v>14</x:v>
      </x:c>
      <x:c r="X446" s="38" t="n">
        <x:v>13</x:v>
      </x:c>
      <x:c r="Y446" s="38" t="n">
        <x:v>5</x:v>
      </x:c>
      <x:c r="Z446" s="38" t="n">
        <x:f>MAX(0,MIN(100,ROUND(((T446+U446+V446+W446+X446)-Y446)/85*100,0)))</x:f>
        <x:v>60</x:v>
      </x:c>
      <x:c r="AA446" s="9" t="str">
        <x:f>IF(L446="暂不做","P3 暂缓",IF(Z446&gt;=75,"P0 本周做",IF(Z446&gt;=60,"P1 近期做",IF(Z446&gt;=45,"P2 备选","P3 暂缓"))))</x:f>
        <x:v>P1 近期做</x:v>
      </x:c>
      <x:c r="AB446" s="9" t="str">
        <x:f>IF(Y446&gt;=15,"先做合规/相关性复核，不建议直接商业导流",IF(L446="主站","建/优化主站商业页",IF(L446="博客A-知识教程","写知识教程/FAQ文章",IF(L446="博客B-场景人群","写场景需求/选购指南文章",IF(L446="博客C-对比评测","写对比评测/榜单文章","暂不做或人工复核")))))</x:f>
        <x:v>写场景需求/选购指南文章</x:v>
      </x:c>
      <x:c r="AC446" s="9" t="str">
        <x:v>Reviews - WATERMELON ICE - ExDivo FLORA 40K Disposable Vape - ExDivo</x:v>
      </x:c>
      <x:c r="AD446" s="10" t="str">
        <x:v>48</x:v>
      </x:c>
    </x:row>
    <x:row r="447">
      <x:c r="A447" s="34" t="n">
        <x:v>447</x:v>
      </x:c>
      <x:c r="B447" s="9" t="str">
        <x:v>https://exdivo.com/comments/exdivo-flora-40k-disposable-vape_d40647e8</x:v>
      </x:c>
      <x:c r="C447" s="9" t="str">
        <x:v>watermelon ice vape review</x:v>
      </x:c>
      <x:c r="D447" s="9" t="str">
        <x:v>recommended</x:v>
      </x:c>
      <x:c r="E447" s="36" t="n">
        <x:v>0</x:v>
      </x:c>
      <x:c r="F447" s="36" t="n">
        <x:v>0</x:v>
      </x:c>
      <x:c r="G447" s="9" t="str">
        <x:v>48</x:v>
      </x:c>
      <x:c r="H447" s="9" t="str">
        <x:v>对比评测</x:v>
      </x:c>
      <x:c r="I447" s="9" t="str">
        <x:v>商业调查词</x:v>
      </x:c>
      <x:c r="J447" s="9" t="str">
        <x:v>博客C-对比评测</x:v>
      </x:c>
      <x:c r="K447" s="9" t="str"/>
      <x:c r="L447" s="9" t="str">
        <x:f>IF(K447="",J447,K447)</x:f>
        <x:v>博客C-对比评测</x:v>
      </x:c>
      <x:c r="M447" s="9" t="str">
        <x:v>Best/Top/Review/VS/替代方案文章</x:v>
      </x:c>
      <x:c r="N447" s="9" t="str">
        <x:v>Best angle: watermelon ice vape review - comparison, pros/cons, and which option fits different buyers</x:v>
      </x:c>
      <x:c r="O447" s="9" t="str">
        <x:v>/collections/disposable-vapes</x:v>
      </x:c>
      <x:c r="P447" s="9" t="str">
        <x:v>是</x:v>
      </x:c>
      <x:c r="Q447" s="9" t="str">
        <x:v>自然句/品类词/品牌词</x:v>
      </x:c>
      <x:c r="R447" s="9" t="str">
        <x:v>中风险：榜单和评测必须真实、中立，避免夸大</x:v>
      </x:c>
      <x:c r="S447" s="9" t="str">
        <x:v>这类词不直接给主站，先用博客C教育和比较，再导流到最相关集合页。</x:v>
      </x:c>
      <x:c r="T447" s="38" t="n">
        <x:v>1</x:v>
      </x:c>
      <x:c r="U447" s="38" t="n">
        <x:v>15</x:v>
      </x:c>
      <x:c r="V447" s="38" t="n">
        <x:v>16</x:v>
      </x:c>
      <x:c r="W447" s="38" t="n">
        <x:v>15</x:v>
      </x:c>
      <x:c r="X447" s="38" t="n">
        <x:v>13</x:v>
      </x:c>
      <x:c r="Y447" s="38" t="n">
        <x:v>6</x:v>
      </x:c>
      <x:c r="Z447" s="38" t="n">
        <x:f>MAX(0,MIN(100,ROUND(((T447+U447+V447+W447+X447)-Y447)/85*100,0)))</x:f>
        <x:v>64</x:v>
      </x:c>
      <x:c r="AA447" s="9" t="str">
        <x:f>IF(L447="暂不做","P3 暂缓",IF(Z447&gt;=75,"P0 本周做",IF(Z447&gt;=60,"P1 近期做",IF(Z447&gt;=45,"P2 备选","P3 暂缓"))))</x:f>
        <x:v>P1 近期做</x:v>
      </x:c>
      <x:c r="AB447" s="9" t="str">
        <x:f>IF(Y447&gt;=15,"先做合规/相关性复核，不建议直接商业导流",IF(L447="主站","建/优化主站商业页",IF(L447="博客A-知识教程","写知识教程/FAQ文章",IF(L447="博客B-场景人群","写场景需求/选购指南文章",IF(L447="博客C-对比评测","写对比评测/榜单文章","暂不做或人工复核")))))</x:f>
        <x:v>写对比评测/榜单文章</x:v>
      </x:c>
      <x:c r="AC447" s="9" t="str">
        <x:v>Reviews - WATERMELON ICE - ExDivo FLORA 40K Disposable Vape - ExDivo</x:v>
      </x:c>
      <x:c r="AD447" s="10" t="str">
        <x:v>48</x:v>
      </x:c>
    </x:row>
    <x:row r="448">
      <x:c r="A448" s="34" t="n">
        <x:v>448</x:v>
      </x:c>
      <x:c r="B448" s="9" t="str">
        <x:v>https://exdivo.com/comments/exdivo-flora-40k-disposable-vape_d40647e8</x:v>
      </x:c>
      <x:c r="C448" s="9" t="str">
        <x:v>watermelon ice disposable vape review</x:v>
      </x:c>
      <x:c r="D448" s="9" t="str">
        <x:v>recommended</x:v>
      </x:c>
      <x:c r="E448" s="36" t="n">
        <x:v>0</x:v>
      </x:c>
      <x:c r="F448" s="36" t="n">
        <x:v>0</x:v>
      </x:c>
      <x:c r="G448" s="9" t="str">
        <x:v>48</x:v>
      </x:c>
      <x:c r="H448" s="9" t="str">
        <x:v>Disposable Vape</x:v>
      </x:c>
      <x:c r="I448" s="9" t="str">
        <x:v>商业调查词</x:v>
      </x:c>
      <x:c r="J448" s="9" t="str">
        <x:v>博客C-对比评测</x:v>
      </x:c>
      <x:c r="K448" s="9" t="str"/>
      <x:c r="L448" s="9" t="str">
        <x:f>IF(K448="",J448,K448)</x:f>
        <x:v>博客C-对比评测</x:v>
      </x:c>
      <x:c r="M448" s="9" t="str">
        <x:v>Best/Top/Review/VS/替代方案文章</x:v>
      </x:c>
      <x:c r="N448" s="9" t="str">
        <x:v>Best angle: watermelon ice disposable vape review - comparison, pros/cons, and which option fits different buyers</x:v>
      </x:c>
      <x:c r="O448" s="9" t="str">
        <x:v>/collections/disposable-vapes</x:v>
      </x:c>
      <x:c r="P448" s="9" t="str">
        <x:v>是</x:v>
      </x:c>
      <x:c r="Q448" s="9" t="str">
        <x:v>自然句/品类词/品牌词</x:v>
      </x:c>
      <x:c r="R448" s="9" t="str">
        <x:v>中风险：榜单和评测必须真实、中立，避免夸大</x:v>
      </x:c>
      <x:c r="S448" s="9" t="str">
        <x:v>这类词不直接给主站，先用博客C教育和比较，再导流到最相关集合页。</x:v>
      </x:c>
      <x:c r="T448" s="38" t="n">
        <x:v>1</x:v>
      </x:c>
      <x:c r="U448" s="38" t="n">
        <x:v>15</x:v>
      </x:c>
      <x:c r="V448" s="38" t="n">
        <x:v>16</x:v>
      </x:c>
      <x:c r="W448" s="38" t="n">
        <x:v>15</x:v>
      </x:c>
      <x:c r="X448" s="38" t="n">
        <x:v>13</x:v>
      </x:c>
      <x:c r="Y448" s="38" t="n">
        <x:v>6</x:v>
      </x:c>
      <x:c r="Z448" s="38" t="n">
        <x:f>MAX(0,MIN(100,ROUND(((T448+U448+V448+W448+X448)-Y448)/85*100,0)))</x:f>
        <x:v>64</x:v>
      </x:c>
      <x:c r="AA448" s="9" t="str">
        <x:f>IF(L448="暂不做","P3 暂缓",IF(Z448&gt;=75,"P0 本周做",IF(Z448&gt;=60,"P1 近期做",IF(Z448&gt;=45,"P2 备选","P3 暂缓"))))</x:f>
        <x:v>P1 近期做</x:v>
      </x:c>
      <x:c r="AB448" s="9" t="str">
        <x:f>IF(Y448&gt;=15,"先做合规/相关性复核，不建议直接商业导流",IF(L448="主站","建/优化主站商业页",IF(L448="博客A-知识教程","写知识教程/FAQ文章",IF(L448="博客B-场景人群","写场景需求/选购指南文章",IF(L448="博客C-对比评测","写对比评测/榜单文章","暂不做或人工复核")))))</x:f>
        <x:v>写对比评测/榜单文章</x:v>
      </x:c>
      <x:c r="AC448" s="9" t="str">
        <x:v>Reviews - WATERMELON ICE - ExDivo FLORA 40K Disposable Vape - ExDivo</x:v>
      </x:c>
      <x:c r="AD448" s="10" t="str">
        <x:v>48</x:v>
      </x:c>
    </x:row>
    <x:row r="449">
      <x:c r="A449" s="34" t="n">
        <x:v>449</x:v>
      </x:c>
      <x:c r="B449" s="9" t="str">
        <x:v>https://exdivo.com/comments/exdivo-flora-40k-disposable-vape_d40647e8</x:v>
      </x:c>
      <x:c r="C449" s="9" t="str">
        <x:v>watermelon ice vapes</x:v>
      </x:c>
      <x:c r="D449" s="9" t="str">
        <x:v>recommended</x:v>
      </x:c>
      <x:c r="E449" s="36" t="n">
        <x:v>70</x:v>
      </x:c>
      <x:c r="F449" s="36" t="n">
        <x:v>1</x:v>
      </x:c>
      <x:c r="G449" s="9" t="str">
        <x:v>informational</x:v>
      </x:c>
      <x:c r="H449" s="9" t="str">
        <x:v>General Vape</x:v>
      </x:c>
      <x:c r="I449" s="9" t="str">
        <x:v>品类承接词</x:v>
      </x:c>
      <x:c r="J449" s="9" t="str">
        <x:v>主站</x:v>
      </x:c>
      <x:c r="K449" s="9" t="str"/>
      <x:c r="L449" s="9" t="str">
        <x:f>IF(K449="",J449,K449)</x:f>
        <x:v>主站</x:v>
      </x:c>
      <x:c r="M449" s="9" t="str">
        <x:v>品类页/集合页 + FAQ内容块</x:v>
      </x:c>
      <x:c r="N449" s="9" t="str">
        <x:v>主站品类页：用产品集合 + 选购说明承接</x:v>
      </x:c>
      <x:c r="O449" s="9" t="str">
        <x:v>/collections/disposable-vapes</x:v>
      </x:c>
      <x:c r="P449" s="9" t="str">
        <x:v>不适用</x:v>
      </x:c>
      <x:c r="Q449" s="9" t="str">
        <x:v>主站页面自身承接</x:v>
      </x:c>
      <x:c r="R449" s="9" t="str">
        <x:v>核心品类词：主站优先，博客只做长尾解释，不直接抢同一词</x:v>
      </x:c>
      <x:c r="S449" s="9" t="str">
        <x:v>如果 Google 首页产品页和指南混合，主站页要加 FAQ、选购指南、对比模块。</x:v>
      </x:c>
      <x:c r="T449" s="38" t="n">
        <x:v>4</x:v>
      </x:c>
      <x:c r="U449" s="38" t="n">
        <x:v>15</x:v>
      </x:c>
      <x:c r="V449" s="38" t="n">
        <x:v>16</x:v>
      </x:c>
      <x:c r="W449" s="38" t="n">
        <x:v>8</x:v>
      </x:c>
      <x:c r="X449" s="38" t="n">
        <x:v>15</x:v>
      </x:c>
      <x:c r="Y449" s="38" t="n">
        <x:v>4</x:v>
      </x:c>
      <x:c r="Z449" s="38" t="n">
        <x:f>MAX(0,MIN(100,ROUND(((T449+U449+V449+W449+X449)-Y449)/85*100,0)))</x:f>
        <x:v>64</x:v>
      </x:c>
      <x:c r="AA449" s="9" t="str">
        <x:f>IF(L449="暂不做","P3 暂缓",IF(Z449&gt;=75,"P0 本周做",IF(Z449&gt;=60,"P1 近期做",IF(Z449&gt;=45,"P2 备选","P3 暂缓"))))</x:f>
        <x:v>P1 近期做</x:v>
      </x:c>
      <x:c r="AB449" s="9" t="str">
        <x:f>IF(Y449&gt;=15,"先做合规/相关性复核，不建议直接商业导流",IF(L449="主站","建/优化主站商业页",IF(L449="博客A-知识教程","写知识教程/FAQ文章",IF(L449="博客B-场景人群","写场景需求/选购指南文章",IF(L449="博客C-对比评测","写对比评测/榜单文章","暂不做或人工复核")))))</x:f>
        <x:v>建/优化主站商业页</x:v>
      </x:c>
      <x:c r="AC449" s="9" t="str">
        <x:v>Reviews - WATERMELON ICE - ExDivo FLORA 40K Disposable Vape - ExDivo</x:v>
      </x:c>
      <x:c r="AD449" s="10" t="str">
        <x:v>48</x:v>
      </x:c>
    </x:row>
    <x:row r="450">
      <x:c r="A450" s="34" t="n">
        <x:v>450</x:v>
      </x:c>
      <x:c r="B450" s="9" t="str">
        <x:v>https://exdivo.com/comments/exdivo-flora-40k-disposable-vape_d40647e8</x:v>
      </x:c>
      <x:c r="C450" s="9" t="str">
        <x:v>melon ice vape</x:v>
      </x:c>
      <x:c r="D450" s="9" t="str">
        <x:v>recommended</x:v>
      </x:c>
      <x:c r="E450" s="36" t="n">
        <x:v>40</x:v>
      </x:c>
      <x:c r="F450" s="36" t="n">
        <x:v>2</x:v>
      </x:c>
      <x:c r="G450" s="9" t="str">
        <x:v>informational</x:v>
      </x:c>
      <x:c r="H450" s="9" t="str">
        <x:v>General Vape</x:v>
      </x:c>
      <x:c r="I450" s="9" t="str">
        <x:v>品类承接词</x:v>
      </x:c>
      <x:c r="J450" s="9" t="str">
        <x:v>主站</x:v>
      </x:c>
      <x:c r="K450" s="9" t="str"/>
      <x:c r="L450" s="9" t="str">
        <x:f>IF(K450="",J450,K450)</x:f>
        <x:v>主站</x:v>
      </x:c>
      <x:c r="M450" s="9" t="str">
        <x:v>品类页/集合页 + FAQ内容块</x:v>
      </x:c>
      <x:c r="N450" s="9" t="str">
        <x:v>主站品类页：用产品集合 + 选购说明承接</x:v>
      </x:c>
      <x:c r="O450" s="9" t="str">
        <x:v>/collections/disposable-vapes</x:v>
      </x:c>
      <x:c r="P450" s="9" t="str">
        <x:v>不适用</x:v>
      </x:c>
      <x:c r="Q450" s="9" t="str">
        <x:v>主站页面自身承接</x:v>
      </x:c>
      <x:c r="R450" s="9" t="str">
        <x:v>核心品类词：主站优先，博客只做长尾解释，不直接抢同一词</x:v>
      </x:c>
      <x:c r="S450" s="9" t="str">
        <x:v>如果 Google 首页产品页和指南混合，主站页要加 FAQ、选购指南、对比模块。</x:v>
      </x:c>
      <x:c r="T450" s="38" t="n">
        <x:v>4</x:v>
      </x:c>
      <x:c r="U450" s="38" t="n">
        <x:v>15</x:v>
      </x:c>
      <x:c r="V450" s="38" t="n">
        <x:v>16</x:v>
      </x:c>
      <x:c r="W450" s="38" t="n">
        <x:v>8</x:v>
      </x:c>
      <x:c r="X450" s="38" t="n">
        <x:v>15</x:v>
      </x:c>
      <x:c r="Y450" s="38" t="n">
        <x:v>4</x:v>
      </x:c>
      <x:c r="Z450" s="38" t="n">
        <x:f>MAX(0,MIN(100,ROUND(((T450+U450+V450+W450+X450)-Y450)/85*100,0)))</x:f>
        <x:v>64</x:v>
      </x:c>
      <x:c r="AA450" s="9" t="str">
        <x:f>IF(L450="暂不做","P3 暂缓",IF(Z450&gt;=75,"P0 本周做",IF(Z450&gt;=60,"P1 近期做",IF(Z450&gt;=45,"P2 备选","P3 暂缓"))))</x:f>
        <x:v>P1 近期做</x:v>
      </x:c>
      <x:c r="AB450" s="9" t="str">
        <x:f>IF(Y450&gt;=15,"先做合规/相关性复核，不建议直接商业导流",IF(L450="主站","建/优化主站商业页",IF(L450="博客A-知识教程","写知识教程/FAQ文章",IF(L450="博客B-场景人群","写场景需求/选购指南文章",IF(L450="博客C-对比评测","写对比评测/榜单文章","暂不做或人工复核")))))</x:f>
        <x:v>建/优化主站商业页</x:v>
      </x:c>
      <x:c r="AC450" s="9" t="str">
        <x:v>Reviews - WATERMELON ICE - ExDivo FLORA 40K Disposable Vape - ExDivo</x:v>
      </x:c>
      <x:c r="AD450" s="10" t="str">
        <x:v>48</x:v>
      </x:c>
    </x:row>
    <x:row r="451">
      <x:c r="A451" s="34" t="n">
        <x:v>451</x:v>
      </x:c>
      <x:c r="B451" s="9" t="str">
        <x:v>https://exdivo.com/comments/exdivo-flora-40k-disposable-vape_d40647e8</x:v>
      </x:c>
      <x:c r="C451" s="9" t="str">
        <x:v>watermelon vape juice</x:v>
      </x:c>
      <x:c r="D451" s="9" t="str">
        <x:v>recommended</x:v>
      </x:c>
      <x:c r="E451" s="36" t="n">
        <x:v>210</x:v>
      </x:c>
      <x:c r="F451" s="36" t="n">
        <x:v>7</x:v>
      </x:c>
      <x:c r="G451" s="9" t="str">
        <x:v>informational</x:v>
      </x:c>
      <x:c r="H451" s="9" t="str">
        <x:v>General Vape</x:v>
      </x:c>
      <x:c r="I451" s="9" t="str">
        <x:v>品类承接词</x:v>
      </x:c>
      <x:c r="J451" s="9" t="str">
        <x:v>主站</x:v>
      </x:c>
      <x:c r="K451" s="9" t="str"/>
      <x:c r="L451" s="9" t="str">
        <x:f>IF(K451="",J451,K451)</x:f>
        <x:v>主站</x:v>
      </x:c>
      <x:c r="M451" s="9" t="str">
        <x:v>品类页/集合页 + FAQ内容块</x:v>
      </x:c>
      <x:c r="N451" s="9" t="str">
        <x:v>主站品类页：用产品集合 + 选购说明承接</x:v>
      </x:c>
      <x:c r="O451" s="9" t="str">
        <x:v>/collections/disposable-vapes</x:v>
      </x:c>
      <x:c r="P451" s="9" t="str">
        <x:v>不适用</x:v>
      </x:c>
      <x:c r="Q451" s="9" t="str">
        <x:v>主站页面自身承接</x:v>
      </x:c>
      <x:c r="R451" s="9" t="str">
        <x:v>核心品类词：主站优先，博客只做长尾解释，不直接抢同一词</x:v>
      </x:c>
      <x:c r="S451" s="9" t="str">
        <x:v>如果 Google 首页产品页和指南混合，主站页要加 FAQ、选购指南、对比模块。</x:v>
      </x:c>
      <x:c r="T451" s="38" t="n">
        <x:v>7</x:v>
      </x:c>
      <x:c r="U451" s="38" t="n">
        <x:v>15</x:v>
      </x:c>
      <x:c r="V451" s="38" t="n">
        <x:v>16</x:v>
      </x:c>
      <x:c r="W451" s="38" t="n">
        <x:v>8</x:v>
      </x:c>
      <x:c r="X451" s="38" t="n">
        <x:v>15</x:v>
      </x:c>
      <x:c r="Y451" s="38" t="n">
        <x:v>4</x:v>
      </x:c>
      <x:c r="Z451" s="38" t="n">
        <x:f>MAX(0,MIN(100,ROUND(((T451+U451+V451+W451+X451)-Y451)/85*100,0)))</x:f>
        <x:v>67</x:v>
      </x:c>
      <x:c r="AA451" s="9" t="str">
        <x:f>IF(L451="暂不做","P3 暂缓",IF(Z451&gt;=75,"P0 本周做",IF(Z451&gt;=60,"P1 近期做",IF(Z451&gt;=45,"P2 备选","P3 暂缓"))))</x:f>
        <x:v>P1 近期做</x:v>
      </x:c>
      <x:c r="AB451" s="9" t="str">
        <x:f>IF(Y451&gt;=15,"先做合规/相关性复核，不建议直接商业导流",IF(L451="主站","建/优化主站商业页",IF(L451="博客A-知识教程","写知识教程/FAQ文章",IF(L451="博客B-场景人群","写场景需求/选购指南文章",IF(L451="博客C-对比评测","写对比评测/榜单文章","暂不做或人工复核")))))</x:f>
        <x:v>建/优化主站商业页</x:v>
      </x:c>
      <x:c r="AC451" s="9" t="str">
        <x:v>Reviews - WATERMELON ICE - ExDivo FLORA 40K Disposable Vape - ExDivo</x:v>
      </x:c>
      <x:c r="AD451" s="10" t="str">
        <x:v>48</x:v>
      </x:c>
    </x:row>
    <x:row r="452">
      <x:c r="A452" s="34" t="n">
        <x:v>452</x:v>
      </x:c>
      <x:c r="B452" s="9" t="str">
        <x:v>https://exdivo.com/comments/exdivo-flora-40k-disposable-vape_d40647e8</x:v>
      </x:c>
      <x:c r="C452" s="9" t="str">
        <x:v>watermelon ice vape</x:v>
      </x:c>
      <x:c r="D452" s="9" t="str">
        <x:v>recommended</x:v>
      </x:c>
      <x:c r="E452" s="36" t="n">
        <x:v>1900</x:v>
      </x:c>
      <x:c r="F452" s="36" t="n">
        <x:v>12</x:v>
      </x:c>
      <x:c r="G452" s="9" t="str">
        <x:v>informational</x:v>
      </x:c>
      <x:c r="H452" s="9" t="str">
        <x:v>General Vape</x:v>
      </x:c>
      <x:c r="I452" s="9" t="str">
        <x:v>品类承接词</x:v>
      </x:c>
      <x:c r="J452" s="9" t="str">
        <x:v>主站</x:v>
      </x:c>
      <x:c r="K452" s="9" t="str"/>
      <x:c r="L452" s="9" t="str">
        <x:f>IF(K452="",J452,K452)</x:f>
        <x:v>主站</x:v>
      </x:c>
      <x:c r="M452" s="9" t="str">
        <x:v>品类页/集合页 + FAQ内容块</x:v>
      </x:c>
      <x:c r="N452" s="9" t="str">
        <x:v>主站品类页：用产品集合 + 选购说明承接</x:v>
      </x:c>
      <x:c r="O452" s="9" t="str">
        <x:v>/collections/disposable-vapes</x:v>
      </x:c>
      <x:c r="P452" s="9" t="str">
        <x:v>不适用</x:v>
      </x:c>
      <x:c r="Q452" s="9" t="str">
        <x:v>主站页面自身承接</x:v>
      </x:c>
      <x:c r="R452" s="9" t="str">
        <x:v>核心品类词：主站优先，博客只做长尾解释，不直接抢同一词</x:v>
      </x:c>
      <x:c r="S452" s="9" t="str">
        <x:v>如果 Google 首页产品页和指南混合，主站页要加 FAQ、选购指南、对比模块。</x:v>
      </x:c>
      <x:c r="T452" s="38" t="n">
        <x:v>13</x:v>
      </x:c>
      <x:c r="U452" s="38" t="n">
        <x:v>15</x:v>
      </x:c>
      <x:c r="V452" s="38" t="n">
        <x:v>16</x:v>
      </x:c>
      <x:c r="W452" s="38" t="n">
        <x:v>8</x:v>
      </x:c>
      <x:c r="X452" s="38" t="n">
        <x:v>15</x:v>
      </x:c>
      <x:c r="Y452" s="38" t="n">
        <x:v>4</x:v>
      </x:c>
      <x:c r="Z452" s="38" t="n">
        <x:f>MAX(0,MIN(100,ROUND(((T452+U452+V452+W452+X452)-Y452)/85*100,0)))</x:f>
        <x:v>74</x:v>
      </x:c>
      <x:c r="AA452" s="9" t="str">
        <x:f>IF(L452="暂不做","P3 暂缓",IF(Z452&gt;=75,"P0 本周做",IF(Z452&gt;=60,"P1 近期做",IF(Z452&gt;=45,"P2 备选","P3 暂缓"))))</x:f>
        <x:v>P1 近期做</x:v>
      </x:c>
      <x:c r="AB452" s="9" t="str">
        <x:f>IF(Y452&gt;=15,"先做合规/相关性复核，不建议直接商业导流",IF(L452="主站","建/优化主站商业页",IF(L452="博客A-知识教程","写知识教程/FAQ文章",IF(L452="博客B-场景人群","写场景需求/选购指南文章",IF(L452="博客C-对比评测","写对比评测/榜单文章","暂不做或人工复核")))))</x:f>
        <x:v>建/优化主站商业页</x:v>
      </x:c>
      <x:c r="AC452" s="9" t="str">
        <x:v>Reviews - WATERMELON ICE - ExDivo FLORA 40K Disposable Vape - ExDivo</x:v>
      </x:c>
      <x:c r="AD452" s="10" t="str">
        <x:v>48</x:v>
      </x:c>
    </x:row>
    <x:row r="453">
      <x:c r="A453" s="34" t="n">
        <x:v>453</x:v>
      </x:c>
      <x:c r="B453" s="9" t="str">
        <x:v>https://exdivo.com/comments/exdivo-flora-40k-disposable-vape_d40647e8</x:v>
      </x:c>
      <x:c r="C453" s="9" t="str">
        <x:v>watermelon flavored vape</x:v>
      </x:c>
      <x:c r="D453" s="9" t="str">
        <x:v>recommended</x:v>
      </x:c>
      <x:c r="E453" s="36" t="n">
        <x:v>40</x:v>
      </x:c>
      <x:c r="F453" s="36" t="n">
        <x:v>12</x:v>
      </x:c>
      <x:c r="G453" s="9" t="str">
        <x:v>informational</x:v>
      </x:c>
      <x:c r="H453" s="9" t="str">
        <x:v>Flavor / 口味</x:v>
      </x:c>
      <x:c r="I453" s="9" t="str">
        <x:v>场景/需求词</x:v>
      </x:c>
      <x:c r="J453" s="9" t="str">
        <x:v>博客B-场景人群</x:v>
      </x:c>
      <x:c r="K453" s="9" t="str"/>
      <x:c r="L453" s="9" t="str">
        <x:f>IF(K453="",J453,K453)</x:f>
        <x:v>博客B-场景人群</x:v>
      </x:c>
      <x:c r="M453" s="9" t="str">
        <x:v>场景解决方案/选购指南文章</x:v>
      </x:c>
      <x:c r="N453" s="9" t="str">
        <x:v>Scenario angle: how to choose watermelon flavored vape based on use case, flavor, nicotine, and budget</x:v>
      </x:c>
      <x:c r="O453" s="9" t="str">
        <x:v>/collections/flavored-disposable-vapes</x:v>
      </x:c>
      <x:c r="P453" s="9" t="str">
        <x:v>是</x:v>
      </x:c>
      <x:c r="Q453" s="9" t="str">
        <x:v>自然句/品类词</x:v>
      </x:c>
      <x:c r="R453" s="9" t="str">
        <x:v>低中风险：适合软性导流，但不要夸大效果或触碰健康疗效</x:v>
      </x:c>
      <x:c r="S453" s="9" t="str">
        <x:v>围绕使用场景、口味、尼古丁需求、便携性等写，不和主站品类页抢词。</x:v>
      </x:c>
      <x:c r="T453" s="38" t="n">
        <x:v>4</x:v>
      </x:c>
      <x:c r="U453" s="38" t="n">
        <x:v>15</x:v>
      </x:c>
      <x:c r="V453" s="38" t="n">
        <x:v>13</x:v>
      </x:c>
      <x:c r="W453" s="38" t="n">
        <x:v>14</x:v>
      </x:c>
      <x:c r="X453" s="38" t="n">
        <x:v>13</x:v>
      </x:c>
      <x:c r="Y453" s="38" t="n">
        <x:v>5</x:v>
      </x:c>
      <x:c r="Z453" s="38" t="n">
        <x:f>MAX(0,MIN(100,ROUND(((T453+U453+V453+W453+X453)-Y453)/85*100,0)))</x:f>
        <x:v>64</x:v>
      </x:c>
      <x:c r="AA453" s="9" t="str">
        <x:f>IF(L453="暂不做","P3 暂缓",IF(Z453&gt;=75,"P0 本周做",IF(Z453&gt;=60,"P1 近期做",IF(Z453&gt;=45,"P2 备选","P3 暂缓"))))</x:f>
        <x:v>P1 近期做</x:v>
      </x:c>
      <x:c r="AB453" s="9" t="str">
        <x:f>IF(Y453&gt;=15,"先做合规/相关性复核，不建议直接商业导流",IF(L453="主站","建/优化主站商业页",IF(L453="博客A-知识教程","写知识教程/FAQ文章",IF(L453="博客B-场景人群","写场景需求/选购指南文章",IF(L453="博客C-对比评测","写对比评测/榜单文章","暂不做或人工复核")))))</x:f>
        <x:v>写场景需求/选购指南文章</x:v>
      </x:c>
      <x:c r="AC453" s="9" t="str">
        <x:v>Reviews - WATERMELON ICE - ExDivo FLORA 40K Disposable Vape - ExDivo</x:v>
      </x:c>
      <x:c r="AD453" s="10" t="str">
        <x:v>48</x:v>
      </x:c>
    </x:row>
    <x:row r="454">
      <x:c r="A454" s="34" t="n">
        <x:v>454</x:v>
      </x:c>
      <x:c r="B454" s="9" t="str">
        <x:v>https://exdivo.com/comments/exdivo-flora-40k-disposable-vape_d40647e8</x:v>
      </x:c>
      <x:c r="C454" s="9" t="str">
        <x:v>watermelon vape disposable</x:v>
      </x:c>
      <x:c r="D454" s="9" t="str">
        <x:v>recommended</x:v>
      </x:c>
      <x:c r="E454" s="36" t="n">
        <x:v>90</x:v>
      </x:c>
      <x:c r="F454" s="36" t="n">
        <x:v>16</x:v>
      </x:c>
      <x:c r="G454" s="9" t="str">
        <x:v>informational, commercial</x:v>
      </x:c>
      <x:c r="H454" s="9" t="str">
        <x:v>Disposable Vape</x:v>
      </x:c>
      <x:c r="I454" s="9" t="str">
        <x:v>品类承接词</x:v>
      </x:c>
      <x:c r="J454" s="9" t="str">
        <x:v>主站</x:v>
      </x:c>
      <x:c r="K454" s="9" t="str"/>
      <x:c r="L454" s="9" t="str">
        <x:f>IF(K454="",J454,K454)</x:f>
        <x:v>主站</x:v>
      </x:c>
      <x:c r="M454" s="9" t="str">
        <x:v>品类页/集合页 + FAQ内容块</x:v>
      </x:c>
      <x:c r="N454" s="9" t="str">
        <x:v>主站品类页：用产品集合 + 选购说明承接</x:v>
      </x:c>
      <x:c r="O454" s="9" t="str">
        <x:v>/collections/disposable-vapes</x:v>
      </x:c>
      <x:c r="P454" s="9" t="str">
        <x:v>不适用</x:v>
      </x:c>
      <x:c r="Q454" s="9" t="str">
        <x:v>主站页面自身承接</x:v>
      </x:c>
      <x:c r="R454" s="9" t="str">
        <x:v>核心品类词：主站优先，博客只做长尾解释，不直接抢同一词</x:v>
      </x:c>
      <x:c r="S454" s="9" t="str">
        <x:v>如果 Google 首页产品页和指南混合，主站页要加 FAQ、选购指南、对比模块。</x:v>
      </x:c>
      <x:c r="T454" s="38" t="n">
        <x:v>4</x:v>
      </x:c>
      <x:c r="U454" s="38" t="n">
        <x:v>12</x:v>
      </x:c>
      <x:c r="V454" s="38" t="n">
        <x:v>18</x:v>
      </x:c>
      <x:c r="W454" s="38" t="n">
        <x:v>8</x:v>
      </x:c>
      <x:c r="X454" s="38" t="n">
        <x:v>15</x:v>
      </x:c>
      <x:c r="Y454" s="38" t="n">
        <x:v>4</x:v>
      </x:c>
      <x:c r="Z454" s="38" t="n">
        <x:f>MAX(0,MIN(100,ROUND(((T454+U454+V454+W454+X454)-Y454)/85*100,0)))</x:f>
        <x:v>62</x:v>
      </x:c>
      <x:c r="AA454" s="9" t="str">
        <x:f>IF(L454="暂不做","P3 暂缓",IF(Z454&gt;=75,"P0 本周做",IF(Z454&gt;=60,"P1 近期做",IF(Z454&gt;=45,"P2 备选","P3 暂缓"))))</x:f>
        <x:v>P1 近期做</x:v>
      </x:c>
      <x:c r="AB454" s="9" t="str">
        <x:f>IF(Y454&gt;=15,"先做合规/相关性复核，不建议直接商业导流",IF(L454="主站","建/优化主站商业页",IF(L454="博客A-知识教程","写知识教程/FAQ文章",IF(L454="博客B-场景人群","写场景需求/选购指南文章",IF(L454="博客C-对比评测","写对比评测/榜单文章","暂不做或人工复核")))))</x:f>
        <x:v>建/优化主站商业页</x:v>
      </x:c>
      <x:c r="AC454" s="9" t="str">
        <x:v>Reviews - WATERMELON ICE - ExDivo FLORA 40K Disposable Vape - ExDivo</x:v>
      </x:c>
      <x:c r="AD454" s="10" t="str">
        <x:v>48</x:v>
      </x:c>
    </x:row>
    <x:row r="455">
      <x:c r="A455" s="34" t="n">
        <x:v>455</x:v>
      </x:c>
      <x:c r="B455" s="9" t="str">
        <x:v>https://exdivo.com/collections/visionaura-full-screen?page=1</x:v>
      </x:c>
      <x:c r="C455" s="9" t="str">
        <x:v>space station vape</x:v>
      </x:c>
      <x:c r="D455" s="9" t="str">
        <x:v>recommended</x:v>
      </x:c>
      <x:c r="E455" s="36" t="n">
        <x:v>70</x:v>
      </x:c>
      <x:c r="F455" s="36" t="n">
        <x:v>3</x:v>
      </x:c>
      <x:c r="G455" s="9" t="str">
        <x:v>informational</x:v>
      </x:c>
      <x:c r="H455" s="9" t="str">
        <x:v>General Vape</x:v>
      </x:c>
      <x:c r="I455" s="9" t="str">
        <x:v>品类承接词</x:v>
      </x:c>
      <x:c r="J455" s="9" t="str">
        <x:v>主站</x:v>
      </x:c>
      <x:c r="K455" s="9" t="str"/>
      <x:c r="L455" s="9" t="str">
        <x:f>IF(K455="",J455,K455)</x:f>
        <x:v>主站</x:v>
      </x:c>
      <x:c r="M455" s="9" t="str">
        <x:v>品类页/集合页 + FAQ内容块</x:v>
      </x:c>
      <x:c r="N455" s="9" t="str">
        <x:v>主站品类页：用产品集合 + 选购说明承接</x:v>
      </x:c>
      <x:c r="O455" s="9" t="str">
        <x:v>/collections/disposable-vapes</x:v>
      </x:c>
      <x:c r="P455" s="9" t="str">
        <x:v>不适用</x:v>
      </x:c>
      <x:c r="Q455" s="9" t="str">
        <x:v>主站页面自身承接</x:v>
      </x:c>
      <x:c r="R455" s="9" t="str">
        <x:v>核心品类词：主站优先，博客只做长尾解释，不直接抢同一词</x:v>
      </x:c>
      <x:c r="S455" s="9" t="str">
        <x:v>如果 Google 首页产品页和指南混合，主站页要加 FAQ、选购指南、对比模块。</x:v>
      </x:c>
      <x:c r="T455" s="38" t="n">
        <x:v>4</x:v>
      </x:c>
      <x:c r="U455" s="38" t="n">
        <x:v>15</x:v>
      </x:c>
      <x:c r="V455" s="38" t="n">
        <x:v>16</x:v>
      </x:c>
      <x:c r="W455" s="38" t="n">
        <x:v>8</x:v>
      </x:c>
      <x:c r="X455" s="38" t="n">
        <x:v>15</x:v>
      </x:c>
      <x:c r="Y455" s="38" t="n">
        <x:v>4</x:v>
      </x:c>
      <x:c r="Z455" s="38" t="n">
        <x:f>MAX(0,MIN(100,ROUND(((T455+U455+V455+W455+X455)-Y455)/85*100,0)))</x:f>
        <x:v>64</x:v>
      </x:c>
      <x:c r="AA455" s="9" t="str">
        <x:f>IF(L455="暂不做","P3 暂缓",IF(Z455&gt;=75,"P0 本周做",IF(Z455&gt;=60,"P1 近期做",IF(Z455&gt;=45,"P2 备选","P3 暂缓"))))</x:f>
        <x:v>P1 近期做</x:v>
      </x:c>
      <x:c r="AB455" s="9" t="str">
        <x:f>IF(Y455&gt;=15,"先做合规/相关性复核，不建议直接商业导流",IF(L455="主站","建/优化主站商业页",IF(L455="博客A-知识教程","写知识教程/FAQ文章",IF(L455="博客B-场景人群","写场景需求/选购指南文章",IF(L455="博客C-对比评测","写对比评测/榜单文章","暂不做或人工复核")))))</x:f>
        <x:v>建/优化主站商业页</x:v>
      </x:c>
      <x:c r="AC455" s="9" t="str">
        <x:v>SPACE - ExDivo</x:v>
      </x:c>
      <x:c r="AD455" s="10" t="str">
        <x:v>space</x:v>
      </x:c>
    </x:row>
    <x:row r="456">
      <x:c r="A456" s="34" t="n">
        <x:v>456</x:v>
      </x:c>
      <x:c r="B456" s="9" t="str">
        <x:v>https://exdivo.com/collections/visionaura-full-screen?page=1</x:v>
      </x:c>
      <x:c r="C456" s="9" t="str">
        <x:v>space club vape</x:v>
      </x:c>
      <x:c r="D456" s="9" t="str">
        <x:v>recommended</x:v>
      </x:c>
      <x:c r="E456" s="36" t="n">
        <x:v>390</x:v>
      </x:c>
      <x:c r="F456" s="36" t="n">
        <x:v>28</x:v>
      </x:c>
      <x:c r="G456" s="9" t="str">
        <x:v>informational</x:v>
      </x:c>
      <x:c r="H456" s="9" t="str">
        <x:v>General Vape</x:v>
      </x:c>
      <x:c r="I456" s="9" t="str">
        <x:v>品类承接词</x:v>
      </x:c>
      <x:c r="J456" s="9" t="str">
        <x:v>主站</x:v>
      </x:c>
      <x:c r="K456" s="9" t="str"/>
      <x:c r="L456" s="9" t="str">
        <x:f>IF(K456="",J456,K456)</x:f>
        <x:v>主站</x:v>
      </x:c>
      <x:c r="M456" s="9" t="str">
        <x:v>品类页/集合页 + FAQ内容块</x:v>
      </x:c>
      <x:c r="N456" s="9" t="str">
        <x:v>主站品类页：用产品集合 + 选购说明承接</x:v>
      </x:c>
      <x:c r="O456" s="9" t="str">
        <x:v>/collections/disposable-vapes</x:v>
      </x:c>
      <x:c r="P456" s="9" t="str">
        <x:v>不适用</x:v>
      </x:c>
      <x:c r="Q456" s="9" t="str">
        <x:v>主站页面自身承接</x:v>
      </x:c>
      <x:c r="R456" s="9" t="str">
        <x:v>核心品类词：主站优先，博客只做长尾解释，不直接抢同一词</x:v>
      </x:c>
      <x:c r="S456" s="9" t="str">
        <x:v>如果 Google 首页产品页和指南混合，主站页要加 FAQ、选购指南、对比模块。</x:v>
      </x:c>
      <x:c r="T456" s="38" t="n">
        <x:v>7</x:v>
      </x:c>
      <x:c r="U456" s="38" t="n">
        <x:v>12</x:v>
      </x:c>
      <x:c r="V456" s="38" t="n">
        <x:v>16</x:v>
      </x:c>
      <x:c r="W456" s="38" t="n">
        <x:v>8</x:v>
      </x:c>
      <x:c r="X456" s="38" t="n">
        <x:v>15</x:v>
      </x:c>
      <x:c r="Y456" s="38" t="n">
        <x:v>4</x:v>
      </x:c>
      <x:c r="Z456" s="38" t="n">
        <x:f>MAX(0,MIN(100,ROUND(((T456+U456+V456+W456+X456)-Y456)/85*100,0)))</x:f>
        <x:v>64</x:v>
      </x:c>
      <x:c r="AA456" s="9" t="str">
        <x:f>IF(L456="暂不做","P3 暂缓",IF(Z456&gt;=75,"P0 本周做",IF(Z456&gt;=60,"P1 近期做",IF(Z456&gt;=45,"P2 备选","P3 暂缓"))))</x:f>
        <x:v>P1 近期做</x:v>
      </x:c>
      <x:c r="AB456" s="9" t="str">
        <x:f>IF(Y456&gt;=15,"先做合规/相关性复核，不建议直接商业导流",IF(L456="主站","建/优化主站商业页",IF(L456="博客A-知识教程","写知识教程/FAQ文章",IF(L456="博客B-场景人群","写场景需求/选购指南文章",IF(L456="博客C-对比评测","写对比评测/榜单文章","暂不做或人工复核")))))</x:f>
        <x:v>建/优化主站商业页</x:v>
      </x:c>
      <x:c r="AC456" s="9" t="str">
        <x:v>SPACE - ExDivo</x:v>
      </x:c>
      <x:c r="AD456" s="10" t="str">
        <x:v>space</x:v>
      </x:c>
    </x:row>
    <x:row r="457">
      <x:c r="A457" s="34" t="n">
        <x:v>457</x:v>
      </x:c>
      <x:c r="B457" s="9" t="str">
        <x:v>https://exdivo.com/collections/visionaura-full-screen?page=1</x:v>
      </x:c>
      <x:c r="C457" s="9" t="str">
        <x:v>mr space box vape</x:v>
      </x:c>
      <x:c r="D457" s="9" t="str">
        <x:v>recommended</x:v>
      </x:c>
      <x:c r="E457" s="36" t="n">
        <x:v>90</x:v>
      </x:c>
      <x:c r="F457" s="36" t="n">
        <x:v>1</x:v>
      </x:c>
      <x:c r="G457" s="9" t="str">
        <x:v>informational, transactional</x:v>
      </x:c>
      <x:c r="H457" s="9" t="str">
        <x:v>General Vape</x:v>
      </x:c>
      <x:c r="I457" s="9" t="str">
        <x:v>交易词</x:v>
      </x:c>
      <x:c r="J457" s="9" t="str">
        <x:v>主站</x:v>
      </x:c>
      <x:c r="K457" s="9" t="str"/>
      <x:c r="L457" s="9" t="str">
        <x:f>IF(K457="",J457,K457)</x:f>
        <x:v>主站</x:v>
      </x:c>
      <x:c r="M457" s="9" t="str">
        <x:v>产品集合页/分类页/购买页</x:v>
      </x:c>
      <x:c r="N457" s="9" t="str">
        <x:v>主站商业页：标题围绕购买意图 + 品类 + 关键卖点</x:v>
      </x:c>
      <x:c r="O457" s="9" t="str">
        <x:v>/collections/disposable-vapes</x:v>
      </x:c>
      <x:c r="P457" s="9" t="str">
        <x:v>不适用</x:v>
      </x:c>
      <x:c r="Q457" s="9" t="str">
        <x:v>主站页面自身承接</x:v>
      </x:c>
      <x:c r="R457" s="9" t="str">
        <x:v>商业词：优先给主站，避免博客抢主站排名</x:v>
      </x:c>
      <x:c r="S457" s="9" t="str">
        <x:v>SERP 如为商品列表/品牌站/电商集合页，就建主站页面；若 SERP 全是教程，再拆支持文章。</x:v>
      </x:c>
      <x:c r="T457" s="38" t="n">
        <x:v>4</x:v>
      </x:c>
      <x:c r="U457" s="38" t="n">
        <x:v>15</x:v>
      </x:c>
      <x:c r="V457" s="38" t="n">
        <x:v>20</x:v>
      </x:c>
      <x:c r="W457" s="38" t="n">
        <x:v>7</x:v>
      </x:c>
      <x:c r="X457" s="38" t="n">
        <x:v>15</x:v>
      </x:c>
      <x:c r="Y457" s="38" t="n">
        <x:v>4</x:v>
      </x:c>
      <x:c r="Z457" s="38" t="n">
        <x:f>MAX(0,MIN(100,ROUND(((T457+U457+V457+W457+X457)-Y457)/85*100,0)))</x:f>
        <x:v>67</x:v>
      </x:c>
      <x:c r="AA457" s="9" t="str">
        <x:f>IF(L457="暂不做","P3 暂缓",IF(Z457&gt;=75,"P0 本周做",IF(Z457&gt;=60,"P1 近期做",IF(Z457&gt;=45,"P2 备选","P3 暂缓"))))</x:f>
        <x:v>P1 近期做</x:v>
      </x:c>
      <x:c r="AB457" s="9" t="str">
        <x:f>IF(Y457&gt;=15,"先做合规/相关性复核，不建议直接商业导流",IF(L457="主站","建/优化主站商业页",IF(L457="博客A-知识教程","写知识教程/FAQ文章",IF(L457="博客B-场景人群","写场景需求/选购指南文章",IF(L457="博客C-对比评测","写对比评测/榜单文章","暂不做或人工复核")))))</x:f>
        <x:v>建/优化主站商业页</x:v>
      </x:c>
      <x:c r="AC457" s="9" t="str">
        <x:v>SPACE - ExDivo</x:v>
      </x:c>
      <x:c r="AD457" s="10" t="str">
        <x:v>space</x:v>
      </x:c>
    </x:row>
    <x:row r="458">
      <x:c r="A458" s="34" t="n">
        <x:v>458</x:v>
      </x:c>
      <x:c r="B458" s="9" t="str">
        <x:v>https://exdivo.com/collections/visionaura-full-screen?page=1</x:v>
      </x:c>
      <x:c r="C458" s="9" t="str">
        <x:v>space vape device</x:v>
      </x:c>
      <x:c r="D458" s="9" t="str">
        <x:v>recommended</x:v>
      </x:c>
      <x:c r="E458" s="36" t="n">
        <x:v>0</x:v>
      </x:c>
      <x:c r="F458" s="36" t="n">
        <x:v>0</x:v>
      </x:c>
      <x:c r="G458" s="9" t="str">
        <x:v>48</x:v>
      </x:c>
      <x:c r="H458" s="9" t="str">
        <x:v>General Vape</x:v>
      </x:c>
      <x:c r="I458" s="9" t="str">
        <x:v>品类承接词</x:v>
      </x:c>
      <x:c r="J458" s="9" t="str">
        <x:v>主站</x:v>
      </x:c>
      <x:c r="K458" s="9" t="str"/>
      <x:c r="L458" s="9" t="str">
        <x:f>IF(K458="",J458,K458)</x:f>
        <x:v>主站</x:v>
      </x:c>
      <x:c r="M458" s="9" t="str">
        <x:v>品类页/集合页 + FAQ内容块</x:v>
      </x:c>
      <x:c r="N458" s="9" t="str">
        <x:v>主站品类页：用产品集合 + 选购说明承接</x:v>
      </x:c>
      <x:c r="O458" s="9" t="str">
        <x:v>/collections/disposable-vapes</x:v>
      </x:c>
      <x:c r="P458" s="9" t="str">
        <x:v>不适用</x:v>
      </x:c>
      <x:c r="Q458" s="9" t="str">
        <x:v>主站页面自身承接</x:v>
      </x:c>
      <x:c r="R458" s="9" t="str">
        <x:v>核心品类词：主站优先，博客只做长尾解释，不直接抢同一词</x:v>
      </x:c>
      <x:c r="S458" s="9" t="str">
        <x:v>如果 Google 首页产品页和指南混合，主站页要加 FAQ、选购指南、对比模块。</x:v>
      </x:c>
      <x:c r="T458" s="38" t="n">
        <x:v>1</x:v>
      </x:c>
      <x:c r="U458" s="38" t="n">
        <x:v>15</x:v>
      </x:c>
      <x:c r="V458" s="38" t="n">
        <x:v>16</x:v>
      </x:c>
      <x:c r="W458" s="38" t="n">
        <x:v>8</x:v>
      </x:c>
      <x:c r="X458" s="38" t="n">
        <x:v>15</x:v>
      </x:c>
      <x:c r="Y458" s="38" t="n">
        <x:v>4</x:v>
      </x:c>
      <x:c r="Z458" s="38" t="n">
        <x:f>MAX(0,MIN(100,ROUND(((T458+U458+V458+W458+X458)-Y458)/85*100,0)))</x:f>
        <x:v>60</x:v>
      </x:c>
      <x:c r="AA458" s="9" t="str">
        <x:f>IF(L458="暂不做","P3 暂缓",IF(Z458&gt;=75,"P0 本周做",IF(Z458&gt;=60,"P1 近期做",IF(Z458&gt;=45,"P2 备选","P3 暂缓"))))</x:f>
        <x:v>P1 近期做</x:v>
      </x:c>
      <x:c r="AB458" s="9" t="str">
        <x:f>IF(Y458&gt;=15,"先做合规/相关性复核，不建议直接商业导流",IF(L458="主站","建/优化主站商业页",IF(L458="博客A-知识教程","写知识教程/FAQ文章",IF(L458="博客B-场景人群","写场景需求/选购指南文章",IF(L458="博客C-对比评测","写对比评测/榜单文章","暂不做或人工复核")))))</x:f>
        <x:v>建/优化主站商业页</x:v>
      </x:c>
      <x:c r="AC458" s="9" t="str">
        <x:v>SPACE - ExDivo</x:v>
      </x:c>
      <x:c r="AD458" s="10" t="str">
        <x:v>space</x:v>
      </x:c>
    </x:row>
    <x:row r="459">
      <x:c r="A459" s="34" t="n">
        <x:v>459</x:v>
      </x:c>
      <x:c r="B459" s="9" t="str">
        <x:v>https://exdivo.com/collections/visionaura-full-screen?page=1</x:v>
      </x:c>
      <x:c r="C459" s="9" t="str">
        <x:v>space themed vape</x:v>
      </x:c>
      <x:c r="D459" s="9" t="str">
        <x:v>recommended</x:v>
      </x:c>
      <x:c r="E459" s="36" t="n">
        <x:v>0</x:v>
      </x:c>
      <x:c r="F459" s="36" t="n">
        <x:v>0</x:v>
      </x:c>
      <x:c r="G459" s="9" t="str">
        <x:v>48</x:v>
      </x:c>
      <x:c r="H459" s="9" t="str">
        <x:v>General Vape</x:v>
      </x:c>
      <x:c r="I459" s="9" t="str">
        <x:v>品类承接词</x:v>
      </x:c>
      <x:c r="J459" s="9" t="str">
        <x:v>主站</x:v>
      </x:c>
      <x:c r="K459" s="9" t="str"/>
      <x:c r="L459" s="9" t="str">
        <x:f>IF(K459="",J459,K459)</x:f>
        <x:v>主站</x:v>
      </x:c>
      <x:c r="M459" s="9" t="str">
        <x:v>品类页/集合页 + FAQ内容块</x:v>
      </x:c>
      <x:c r="N459" s="9" t="str">
        <x:v>主站品类页：用产品集合 + 选购说明承接</x:v>
      </x:c>
      <x:c r="O459" s="9" t="str">
        <x:v>/collections/disposable-vapes</x:v>
      </x:c>
      <x:c r="P459" s="9" t="str">
        <x:v>不适用</x:v>
      </x:c>
      <x:c r="Q459" s="9" t="str">
        <x:v>主站页面自身承接</x:v>
      </x:c>
      <x:c r="R459" s="9" t="str">
        <x:v>核心品类词：主站优先，博客只做长尾解释，不直接抢同一词</x:v>
      </x:c>
      <x:c r="S459" s="9" t="str">
        <x:v>如果 Google 首页产品页和指南混合，主站页要加 FAQ、选购指南、对比模块。</x:v>
      </x:c>
      <x:c r="T459" s="38" t="n">
        <x:v>1</x:v>
      </x:c>
      <x:c r="U459" s="38" t="n">
        <x:v>15</x:v>
      </x:c>
      <x:c r="V459" s="38" t="n">
        <x:v>16</x:v>
      </x:c>
      <x:c r="W459" s="38" t="n">
        <x:v>8</x:v>
      </x:c>
      <x:c r="X459" s="38" t="n">
        <x:v>15</x:v>
      </x:c>
      <x:c r="Y459" s="38" t="n">
        <x:v>4</x:v>
      </x:c>
      <x:c r="Z459" s="38" t="n">
        <x:f>MAX(0,MIN(100,ROUND(((T459+U459+V459+W459+X459)-Y459)/85*100,0)))</x:f>
        <x:v>60</x:v>
      </x:c>
      <x:c r="AA459" s="9" t="str">
        <x:f>IF(L459="暂不做","P3 暂缓",IF(Z459&gt;=75,"P0 本周做",IF(Z459&gt;=60,"P1 近期做",IF(Z459&gt;=45,"P2 备选","P3 暂缓"))))</x:f>
        <x:v>P1 近期做</x:v>
      </x:c>
      <x:c r="AB459" s="9" t="str">
        <x:f>IF(Y459&gt;=15,"先做合规/相关性复核，不建议直接商业导流",IF(L459="主站","建/优化主站商业页",IF(L459="博客A-知识教程","写知识教程/FAQ文章",IF(L459="博客B-场景人群","写场景需求/选购指南文章",IF(L459="博客C-对比评测","写对比评测/榜单文章","暂不做或人工复核")))))</x:f>
        <x:v>建/优化主站商业页</x:v>
      </x:c>
      <x:c r="AC459" s="9" t="str">
        <x:v>SPACE - ExDivo</x:v>
      </x:c>
      <x:c r="AD459" s="10" t="str">
        <x:v>space</x:v>
      </x:c>
    </x:row>
    <x:row r="460">
      <x:c r="A460" s="34" t="n">
        <x:v>460</x:v>
      </x:c>
      <x:c r="B460" s="9" t="str">
        <x:v>https://exdivo.com/collections/visionaura-full-screen?page=1</x:v>
      </x:c>
      <x:c r="C460" s="9" t="str">
        <x:v>space vape series</x:v>
      </x:c>
      <x:c r="D460" s="9" t="str">
        <x:v>recommended</x:v>
      </x:c>
      <x:c r="E460" s="36" t="n">
        <x:v>0</x:v>
      </x:c>
      <x:c r="F460" s="36" t="n">
        <x:v>0</x:v>
      </x:c>
      <x:c r="G460" s="9" t="str">
        <x:v>48</x:v>
      </x:c>
      <x:c r="H460" s="9" t="str">
        <x:v>General Vape</x:v>
      </x:c>
      <x:c r="I460" s="9" t="str">
        <x:v>品类承接词</x:v>
      </x:c>
      <x:c r="J460" s="9" t="str">
        <x:v>主站</x:v>
      </x:c>
      <x:c r="K460" s="9" t="str"/>
      <x:c r="L460" s="9" t="str">
        <x:f>IF(K460="",J460,K460)</x:f>
        <x:v>主站</x:v>
      </x:c>
      <x:c r="M460" s="9" t="str">
        <x:v>品类页/集合页 + FAQ内容块</x:v>
      </x:c>
      <x:c r="N460" s="9" t="str">
        <x:v>主站品类页：用产品集合 + 选购说明承接</x:v>
      </x:c>
      <x:c r="O460" s="9" t="str">
        <x:v>/collections/disposable-vapes</x:v>
      </x:c>
      <x:c r="P460" s="9" t="str">
        <x:v>不适用</x:v>
      </x:c>
      <x:c r="Q460" s="9" t="str">
        <x:v>主站页面自身承接</x:v>
      </x:c>
      <x:c r="R460" s="9" t="str">
        <x:v>核心品类词：主站优先，博客只做长尾解释，不直接抢同一词</x:v>
      </x:c>
      <x:c r="S460" s="9" t="str">
        <x:v>如果 Google 首页产品页和指南混合，主站页要加 FAQ、选购指南、对比模块。</x:v>
      </x:c>
      <x:c r="T460" s="38" t="n">
        <x:v>1</x:v>
      </x:c>
      <x:c r="U460" s="38" t="n">
        <x:v>15</x:v>
      </x:c>
      <x:c r="V460" s="38" t="n">
        <x:v>16</x:v>
      </x:c>
      <x:c r="W460" s="38" t="n">
        <x:v>8</x:v>
      </x:c>
      <x:c r="X460" s="38" t="n">
        <x:v>15</x:v>
      </x:c>
      <x:c r="Y460" s="38" t="n">
        <x:v>4</x:v>
      </x:c>
      <x:c r="Z460" s="38" t="n">
        <x:f>MAX(0,MIN(100,ROUND(((T460+U460+V460+W460+X460)-Y460)/85*100,0)))</x:f>
        <x:v>60</x:v>
      </x:c>
      <x:c r="AA460" s="9" t="str">
        <x:f>IF(L460="暂不做","P3 暂缓",IF(Z460&gt;=75,"P0 本周做",IF(Z460&gt;=60,"P1 近期做",IF(Z460&gt;=45,"P2 备选","P3 暂缓"))))</x:f>
        <x:v>P1 近期做</x:v>
      </x:c>
      <x:c r="AB460" s="9" t="str">
        <x:f>IF(Y460&gt;=15,"先做合规/相关性复核，不建议直接商业导流",IF(L460="主站","建/优化主站商业页",IF(L460="博客A-知识教程","写知识教程/FAQ文章",IF(L460="博客B-场景人群","写场景需求/选购指南文章",IF(L460="博客C-对比评测","写对比评测/榜单文章","暂不做或人工复核")))))</x:f>
        <x:v>建/优化主站商业页</x:v>
      </x:c>
      <x:c r="AC460" s="9" t="str">
        <x:v>SPACE - ExDivo</x:v>
      </x:c>
      <x:c r="AD460" s="10" t="str">
        <x:v>space</x:v>
      </x:c>
    </x:row>
    <x:row r="461">
      <x:c r="A461" s="34" t="n">
        <x:v>461</x:v>
      </x:c>
      <x:c r="B461" s="9" t="str">
        <x:v>https://exdivo.com/collections/visionaura-full-screen?page=1</x:v>
      </x:c>
      <x:c r="C461" s="9" t="str">
        <x:v>vape models space</x:v>
      </x:c>
      <x:c r="D461" s="9" t="str">
        <x:v>recommended</x:v>
      </x:c>
      <x:c r="E461" s="36" t="n">
        <x:v>0</x:v>
      </x:c>
      <x:c r="F461" s="36" t="n">
        <x:v>0</x:v>
      </x:c>
      <x:c r="G461" s="9" t="str">
        <x:v>48</x:v>
      </x:c>
      <x:c r="H461" s="9" t="str">
        <x:v>General Vape</x:v>
      </x:c>
      <x:c r="I461" s="9" t="str">
        <x:v>品类承接词</x:v>
      </x:c>
      <x:c r="J461" s="9" t="str">
        <x:v>主站</x:v>
      </x:c>
      <x:c r="K461" s="9" t="str"/>
      <x:c r="L461" s="9" t="str">
        <x:f>IF(K461="",J461,K461)</x:f>
        <x:v>主站</x:v>
      </x:c>
      <x:c r="M461" s="9" t="str">
        <x:v>品类页/集合页 + FAQ内容块</x:v>
      </x:c>
      <x:c r="N461" s="9" t="str">
        <x:v>主站品类页：用产品集合 + 选购说明承接</x:v>
      </x:c>
      <x:c r="O461" s="9" t="str">
        <x:v>/collections/disposable-vapes</x:v>
      </x:c>
      <x:c r="P461" s="9" t="str">
        <x:v>不适用</x:v>
      </x:c>
      <x:c r="Q461" s="9" t="str">
        <x:v>主站页面自身承接</x:v>
      </x:c>
      <x:c r="R461" s="9" t="str">
        <x:v>核心品类词：主站优先，博客只做长尾解释，不直接抢同一词</x:v>
      </x:c>
      <x:c r="S461" s="9" t="str">
        <x:v>如果 Google 首页产品页和指南混合，主站页要加 FAQ、选购指南、对比模块。</x:v>
      </x:c>
      <x:c r="T461" s="38" t="n">
        <x:v>1</x:v>
      </x:c>
      <x:c r="U461" s="38" t="n">
        <x:v>15</x:v>
      </x:c>
      <x:c r="V461" s="38" t="n">
        <x:v>16</x:v>
      </x:c>
      <x:c r="W461" s="38" t="n">
        <x:v>8</x:v>
      </x:c>
      <x:c r="X461" s="38" t="n">
        <x:v>15</x:v>
      </x:c>
      <x:c r="Y461" s="38" t="n">
        <x:v>4</x:v>
      </x:c>
      <x:c r="Z461" s="38" t="n">
        <x:f>MAX(0,MIN(100,ROUND(((T461+U461+V461+W461+X461)-Y461)/85*100,0)))</x:f>
        <x:v>60</x:v>
      </x:c>
      <x:c r="AA461" s="9" t="str">
        <x:f>IF(L461="暂不做","P3 暂缓",IF(Z461&gt;=75,"P0 本周做",IF(Z461&gt;=60,"P1 近期做",IF(Z461&gt;=45,"P2 备选","P3 暂缓"))))</x:f>
        <x:v>P1 近期做</x:v>
      </x:c>
      <x:c r="AB461" s="9" t="str">
        <x:f>IF(Y461&gt;=15,"先做合规/相关性复核，不建议直接商业导流",IF(L461="主站","建/优化主站商业页",IF(L461="博客A-知识教程","写知识教程/FAQ文章",IF(L461="博客B-场景人群","写场景需求/选购指南文章",IF(L461="博客C-对比评测","写对比评测/榜单文章","暂不做或人工复核")))))</x:f>
        <x:v>建/优化主站商业页</x:v>
      </x:c>
      <x:c r="AC461" s="9" t="str">
        <x:v>SPACE - ExDivo</x:v>
      </x:c>
      <x:c r="AD461" s="10" t="str">
        <x:v>space</x:v>
      </x:c>
    </x:row>
    <x:row r="462">
      <x:c r="A462" s="34" t="n">
        <x:v>462</x:v>
      </x:c>
      <x:c r="B462" s="9" t="str">
        <x:v>https://exdivo.com/collections/visionaura-full-screen?page=1</x:v>
      </x:c>
      <x:c r="C462" s="9" t="str">
        <x:v>vape product space</x:v>
      </x:c>
      <x:c r="D462" s="9" t="str">
        <x:v>recommended</x:v>
      </x:c>
      <x:c r="E462" s="36" t="n">
        <x:v>0</x:v>
      </x:c>
      <x:c r="F462" s="36" t="n">
        <x:v>0</x:v>
      </x:c>
      <x:c r="G462" s="9" t="str">
        <x:v>48</x:v>
      </x:c>
      <x:c r="H462" s="9" t="str">
        <x:v>General Vape</x:v>
      </x:c>
      <x:c r="I462" s="9" t="str">
        <x:v>品类承接词</x:v>
      </x:c>
      <x:c r="J462" s="9" t="str">
        <x:v>主站</x:v>
      </x:c>
      <x:c r="K462" s="9" t="str"/>
      <x:c r="L462" s="9" t="str">
        <x:f>IF(K462="",J462,K462)</x:f>
        <x:v>主站</x:v>
      </x:c>
      <x:c r="M462" s="9" t="str">
        <x:v>品类页/集合页 + FAQ内容块</x:v>
      </x:c>
      <x:c r="N462" s="9" t="str">
        <x:v>主站品类页：用产品集合 + 选购说明承接</x:v>
      </x:c>
      <x:c r="O462" s="9" t="str">
        <x:v>/collections/disposable-vapes</x:v>
      </x:c>
      <x:c r="P462" s="9" t="str">
        <x:v>不适用</x:v>
      </x:c>
      <x:c r="Q462" s="9" t="str">
        <x:v>主站页面自身承接</x:v>
      </x:c>
      <x:c r="R462" s="9" t="str">
        <x:v>核心品类词：主站优先，博客只做长尾解释，不直接抢同一词</x:v>
      </x:c>
      <x:c r="S462" s="9" t="str">
        <x:v>如果 Google 首页产品页和指南混合，主站页要加 FAQ、选购指南、对比模块。</x:v>
      </x:c>
      <x:c r="T462" s="38" t="n">
        <x:v>1</x:v>
      </x:c>
      <x:c r="U462" s="38" t="n">
        <x:v>15</x:v>
      </x:c>
      <x:c r="V462" s="38" t="n">
        <x:v>16</x:v>
      </x:c>
      <x:c r="W462" s="38" t="n">
        <x:v>8</x:v>
      </x:c>
      <x:c r="X462" s="38" t="n">
        <x:v>15</x:v>
      </x:c>
      <x:c r="Y462" s="38" t="n">
        <x:v>4</x:v>
      </x:c>
      <x:c r="Z462" s="38" t="n">
        <x:f>MAX(0,MIN(100,ROUND(((T462+U462+V462+W462+X462)-Y462)/85*100,0)))</x:f>
        <x:v>60</x:v>
      </x:c>
      <x:c r="AA462" s="9" t="str">
        <x:f>IF(L462="暂不做","P3 暂缓",IF(Z462&gt;=75,"P0 本周做",IF(Z462&gt;=60,"P1 近期做",IF(Z462&gt;=45,"P2 备选","P3 暂缓"))))</x:f>
        <x:v>P1 近期做</x:v>
      </x:c>
      <x:c r="AB462" s="9" t="str">
        <x:f>IF(Y462&gt;=15,"先做合规/相关性复核，不建议直接商业导流",IF(L462="主站","建/优化主站商业页",IF(L462="博客A-知识教程","写知识教程/FAQ文章",IF(L462="博客B-场景人群","写场景需求/选购指南文章",IF(L462="博客C-对比评测","写对比评测/榜单文章","暂不做或人工复核")))))</x:f>
        <x:v>建/优化主站商业页</x:v>
      </x:c>
      <x:c r="AC462" s="9" t="str">
        <x:v>SPACE - ExDivo</x:v>
      </x:c>
      <x:c r="AD462" s="10" t="str">
        <x:v>space</x:v>
      </x:c>
    </x:row>
    <x:row r="463">
      <x:c r="A463" s="34" t="n">
        <x:v>463</x:v>
      </x:c>
      <x:c r="B463" s="9" t="str">
        <x:v>https://exdivo.com/collections/visionaura-full-screen?page=1</x:v>
      </x:c>
      <x:c r="C463" s="9" t="str">
        <x:v>space bars vape</x:v>
      </x:c>
      <x:c r="D463" s="9" t="str">
        <x:v>recommended</x:v>
      </x:c>
      <x:c r="E463" s="36" t="n">
        <x:v>50</x:v>
      </x:c>
      <x:c r="F463" s="36" t="n">
        <x:v>0</x:v>
      </x:c>
      <x:c r="G463" s="9" t="str">
        <x:v>informational</x:v>
      </x:c>
      <x:c r="H463" s="9" t="str">
        <x:v>General Vape</x:v>
      </x:c>
      <x:c r="I463" s="9" t="str">
        <x:v>品类承接词</x:v>
      </x:c>
      <x:c r="J463" s="9" t="str">
        <x:v>主站</x:v>
      </x:c>
      <x:c r="K463" s="9" t="str"/>
      <x:c r="L463" s="9" t="str">
        <x:f>IF(K463="",J463,K463)</x:f>
        <x:v>主站</x:v>
      </x:c>
      <x:c r="M463" s="9" t="str">
        <x:v>品类页/集合页 + FAQ内容块</x:v>
      </x:c>
      <x:c r="N463" s="9" t="str">
        <x:v>主站品类页：用产品集合 + 选购说明承接</x:v>
      </x:c>
      <x:c r="O463" s="9" t="str">
        <x:v>/collections/disposable-vapes</x:v>
      </x:c>
      <x:c r="P463" s="9" t="str">
        <x:v>不适用</x:v>
      </x:c>
      <x:c r="Q463" s="9" t="str">
        <x:v>主站页面自身承接</x:v>
      </x:c>
      <x:c r="R463" s="9" t="str">
        <x:v>核心品类词：主站优先，博客只做长尾解释，不直接抢同一词</x:v>
      </x:c>
      <x:c r="S463" s="9" t="str">
        <x:v>如果 Google 首页产品页和指南混合，主站页要加 FAQ、选购指南、对比模块。</x:v>
      </x:c>
      <x:c r="T463" s="38" t="n">
        <x:v>4</x:v>
      </x:c>
      <x:c r="U463" s="38" t="n">
        <x:v>15</x:v>
      </x:c>
      <x:c r="V463" s="38" t="n">
        <x:v>16</x:v>
      </x:c>
      <x:c r="W463" s="38" t="n">
        <x:v>8</x:v>
      </x:c>
      <x:c r="X463" s="38" t="n">
        <x:v>15</x:v>
      </x:c>
      <x:c r="Y463" s="38" t="n">
        <x:v>4</x:v>
      </x:c>
      <x:c r="Z463" s="38" t="n">
        <x:f>MAX(0,MIN(100,ROUND(((T463+U463+V463+W463+X463)-Y463)/85*100,0)))</x:f>
        <x:v>64</x:v>
      </x:c>
      <x:c r="AA463" s="9" t="str">
        <x:f>IF(L463="暂不做","P3 暂缓",IF(Z463&gt;=75,"P0 本周做",IF(Z463&gt;=60,"P1 近期做",IF(Z463&gt;=45,"P2 备选","P3 暂缓"))))</x:f>
        <x:v>P1 近期做</x:v>
      </x:c>
      <x:c r="AB463" s="9" t="str">
        <x:f>IF(Y463&gt;=15,"先做合规/相关性复核，不建议直接商业导流",IF(L463="主站","建/优化主站商业页",IF(L463="博客A-知识教程","写知识教程/FAQ文章",IF(L463="博客B-场景人群","写场景需求/选购指南文章",IF(L463="博客C-对比评测","写对比评测/榜单文章","暂不做或人工复核")))))</x:f>
        <x:v>建/优化主站商业页</x:v>
      </x:c>
      <x:c r="AC463" s="9" t="str">
        <x:v>SPACE - ExDivo</x:v>
      </x:c>
      <x:c r="AD463" s="10" t="str">
        <x:v>space</x:v>
      </x:c>
    </x:row>
    <x:row r="464">
      <x:c r="A464" s="34" t="n">
        <x:v>464</x:v>
      </x:c>
      <x:c r="B464" s="9" t="str">
        <x:v>https://exdivo.com/collections/visionaura-full-screen?page=1</x:v>
      </x:c>
      <x:c r="C464" s="9" t="str">
        <x:v>spaceman vape</x:v>
      </x:c>
      <x:c r="D464" s="9" t="str">
        <x:v>recommended</x:v>
      </x:c>
      <x:c r="E464" s="36" t="n">
        <x:v>3600</x:v>
      </x:c>
      <x:c r="F464" s="36" t="n">
        <x:v>13</x:v>
      </x:c>
      <x:c r="G464" s="9" t="str">
        <x:v>informational</x:v>
      </x:c>
      <x:c r="H464" s="9" t="str">
        <x:v>General Vape</x:v>
      </x:c>
      <x:c r="I464" s="9" t="str">
        <x:v>品类承接词</x:v>
      </x:c>
      <x:c r="J464" s="9" t="str">
        <x:v>主站</x:v>
      </x:c>
      <x:c r="K464" s="9" t="str"/>
      <x:c r="L464" s="9" t="str">
        <x:f>IF(K464="",J464,K464)</x:f>
        <x:v>主站</x:v>
      </x:c>
      <x:c r="M464" s="9" t="str">
        <x:v>品类页/集合页 + FAQ内容块</x:v>
      </x:c>
      <x:c r="N464" s="9" t="str">
        <x:v>主站品类页：用产品集合 + 选购说明承接</x:v>
      </x:c>
      <x:c r="O464" s="9" t="str">
        <x:v>/collections/disposable-vapes</x:v>
      </x:c>
      <x:c r="P464" s="9" t="str">
        <x:v>不适用</x:v>
      </x:c>
      <x:c r="Q464" s="9" t="str">
        <x:v>主站页面自身承接</x:v>
      </x:c>
      <x:c r="R464" s="9" t="str">
        <x:v>核心品类词：主站优先，博客只做长尾解释，不直接抢同一词</x:v>
      </x:c>
      <x:c r="S464" s="9" t="str">
        <x:v>如果 Google 首页产品页和指南混合，主站页要加 FAQ、选购指南、对比模块。</x:v>
      </x:c>
      <x:c r="T464" s="38" t="n">
        <x:v>13</x:v>
      </x:c>
      <x:c r="U464" s="38" t="n">
        <x:v>15</x:v>
      </x:c>
      <x:c r="V464" s="38" t="n">
        <x:v>16</x:v>
      </x:c>
      <x:c r="W464" s="38" t="n">
        <x:v>8</x:v>
      </x:c>
      <x:c r="X464" s="38" t="n">
        <x:v>15</x:v>
      </x:c>
      <x:c r="Y464" s="38" t="n">
        <x:v>4</x:v>
      </x:c>
      <x:c r="Z464" s="38" t="n">
        <x:f>MAX(0,MIN(100,ROUND(((T464+U464+V464+W464+X464)-Y464)/85*100,0)))</x:f>
        <x:v>74</x:v>
      </x:c>
      <x:c r="AA464" s="9" t="str">
        <x:f>IF(L464="暂不做","P3 暂缓",IF(Z464&gt;=75,"P0 本周做",IF(Z464&gt;=60,"P1 近期做",IF(Z464&gt;=45,"P2 备选","P3 暂缓"))))</x:f>
        <x:v>P1 近期做</x:v>
      </x:c>
      <x:c r="AB464" s="9" t="str">
        <x:f>IF(Y464&gt;=15,"先做合规/相关性复核，不建议直接商业导流",IF(L464="主站","建/优化主站商业页",IF(L464="博客A-知识教程","写知识教程/FAQ文章",IF(L464="博客B-场景人群","写场景需求/选购指南文章",IF(L464="博客C-对比评测","写对比评测/榜单文章","暂不做或人工复核")))))</x:f>
        <x:v>建/优化主站商业页</x:v>
      </x:c>
      <x:c r="AC464" s="9" t="str">
        <x:v>SPACE - ExDivo</x:v>
      </x:c>
      <x:c r="AD464" s="10" t="str">
        <x:v>space</x:v>
      </x:c>
    </x:row>
    <x:row r="465">
      <x:c r="A465" s="34" t="n">
        <x:v>465</x:v>
      </x:c>
      <x:c r="B465" s="9" t="str">
        <x:v>https://exdivo.com/products/exdivo-kuz-25k-replaceable-pod-vape_8c92b717</x:v>
      </x:c>
      <x:c r="C465" s="9" t="str">
        <x:v>high puff count pod vape</x:v>
      </x:c>
      <x:c r="D465" s="9" t="str">
        <x:v>recommended</x:v>
      </x:c>
      <x:c r="E465" s="36" t="n">
        <x:v>0</x:v>
      </x:c>
      <x:c r="F465" s="36" t="n">
        <x:v>0</x:v>
      </x:c>
      <x:c r="G465" s="9" t="str">
        <x:v>48</x:v>
      </x:c>
      <x:c r="H465" s="9" t="str">
        <x:v>Pod Kit / Pod System</x:v>
      </x:c>
      <x:c r="I465" s="9" t="str">
        <x:v>内容词</x:v>
      </x:c>
      <x:c r="J465" s="9" t="str">
        <x:v>博客A-知识教程</x:v>
      </x:c>
      <x:c r="K465" s="9" t="str"/>
      <x:c r="L465" s="9" t="str">
        <x:f>IF(K465="",J465,K465)</x:f>
        <x:v>博客A-知识教程</x:v>
      </x:c>
      <x:c r="M465" s="9" t="str">
        <x:v>知识/教程文章</x:v>
      </x:c>
      <x:c r="N465" s="9" t="str">
        <x:v>Guide angle: explain high puff count pod vape, answer common questions, and avoid sales-first writing</x:v>
      </x:c>
      <x:c r="O465" s="9" t="str">
        <x:v>/collections/disposable-vapes 或最接近的产品集合页</x:v>
      </x:c>
      <x:c r="P465" s="9" t="str">
        <x:v>谨慎</x:v>
      </x:c>
      <x:c r="Q465" s="9" t="str">
        <x:v>品牌词/自然句</x:v>
      </x:c>
      <x:c r="R465" s="9" t="str">
        <x:v>低风险：按常规内容质量和搜索意图校验</x:v>
      </x:c>
      <x:c r="S465" s="9" t="str">
        <x:v>先看 Google SERP：如果首页多数为产品集合页，改回主站；如果多数为教程/问答，保持博客。</x:v>
      </x:c>
      <x:c r="T465" s="38" t="n">
        <x:v>1</x:v>
      </x:c>
      <x:c r="U465" s="38" t="n">
        <x:v>15</x:v>
      </x:c>
      <x:c r="V465" s="38" t="n">
        <x:v>10</x:v>
      </x:c>
      <x:c r="W465" s="38" t="n">
        <x:v>12</x:v>
      </x:c>
      <x:c r="X465" s="38" t="n">
        <x:v>12</x:v>
      </x:c>
      <x:c r="Y465" s="38" t="n">
        <x:v>4</x:v>
      </x:c>
      <x:c r="Z465" s="38" t="n">
        <x:f>MAX(0,MIN(100,ROUND(((T465+U465+V465+W465+X465)-Y465)/85*100,0)))</x:f>
        <x:v>54</x:v>
      </x:c>
      <x:c r="AA465" s="9" t="str">
        <x:f>IF(L465="暂不做","P3 暂缓",IF(Z465&gt;=75,"P0 本周做",IF(Z465&gt;=60,"P1 近期做",IF(Z465&gt;=45,"P2 备选","P3 暂缓"))))</x:f>
        <x:v>P2 备选</x:v>
      </x:c>
      <x:c r="AB465" s="9" t="str">
        <x:f>IF(Y465&gt;=15,"先做合规/相关性复核，不建议直接商业导流",IF(L465="主站","建/优化主站商业页",IF(L465="博客A-知识教程","写知识教程/FAQ文章",IF(L465="博客B-场景人群","写场景需求/选购指南文章",IF(L465="博客C-对比评测","写对比评测/榜单文章","暂不做或人工复核")))))</x:f>
        <x:v>写知识教程/FAQ文章</x:v>
      </x:c>
      <x:c r="AC465" s="9" t="str">
        <x:v>ExDivo KUZ 25K Replaceable Pod Vape</x:v>
      </x:c>
      <x:c r="AD465" s="10" t="str">
        <x:v>25000 puffs</x:v>
      </x:c>
    </x:row>
    <x:row r="466">
      <x:c r="A466" s="34" t="n">
        <x:v>466</x:v>
      </x:c>
      <x:c r="B466" s="9" t="str">
        <x:v>https://exdivo.com/products/exdivo-kuz-25k-replaceable-pod-vape_8c92b717</x:v>
      </x:c>
      <x:c r="C466" s="9" t="str">
        <x:v>high capacity pod vape</x:v>
      </x:c>
      <x:c r="D466" s="9" t="str">
        <x:v>recommended</x:v>
      </x:c>
      <x:c r="E466" s="36" t="n">
        <x:v>0</x:v>
      </x:c>
      <x:c r="F466" s="36" t="n">
        <x:v>0</x:v>
      </x:c>
      <x:c r="G466" s="9" t="str">
        <x:v>48</x:v>
      </x:c>
      <x:c r="H466" s="9" t="str">
        <x:v>Pod Kit / Pod System</x:v>
      </x:c>
      <x:c r="I466" s="9" t="str">
        <x:v>内容词</x:v>
      </x:c>
      <x:c r="J466" s="9" t="str">
        <x:v>博客A-知识教程</x:v>
      </x:c>
      <x:c r="K466" s="9" t="str"/>
      <x:c r="L466" s="9" t="str">
        <x:f>IF(K466="",J466,K466)</x:f>
        <x:v>博客A-知识教程</x:v>
      </x:c>
      <x:c r="M466" s="9" t="str">
        <x:v>知识/教程文章</x:v>
      </x:c>
      <x:c r="N466" s="9" t="str">
        <x:v>Guide angle: explain high capacity pod vape, answer common questions, and avoid sales-first writing</x:v>
      </x:c>
      <x:c r="O466" s="9" t="str">
        <x:v>/collections/disposable-vapes 或最接近的产品集合页</x:v>
      </x:c>
      <x:c r="P466" s="9" t="str">
        <x:v>谨慎</x:v>
      </x:c>
      <x:c r="Q466" s="9" t="str">
        <x:v>品牌词/自然句</x:v>
      </x:c>
      <x:c r="R466" s="9" t="str">
        <x:v>低风险：按常规内容质量和搜索意图校验</x:v>
      </x:c>
      <x:c r="S466" s="9" t="str">
        <x:v>先看 Google SERP：如果首页多数为产品集合页，改回主站；如果多数为教程/问答，保持博客。</x:v>
      </x:c>
      <x:c r="T466" s="38" t="n">
        <x:v>1</x:v>
      </x:c>
      <x:c r="U466" s="38" t="n">
        <x:v>15</x:v>
      </x:c>
      <x:c r="V466" s="38" t="n">
        <x:v>10</x:v>
      </x:c>
      <x:c r="W466" s="38" t="n">
        <x:v>12</x:v>
      </x:c>
      <x:c r="X466" s="38" t="n">
        <x:v>12</x:v>
      </x:c>
      <x:c r="Y466" s="38" t="n">
        <x:v>4</x:v>
      </x:c>
      <x:c r="Z466" s="38" t="n">
        <x:f>MAX(0,MIN(100,ROUND(((T466+U466+V466+W466+X466)-Y466)/85*100,0)))</x:f>
        <x:v>54</x:v>
      </x:c>
      <x:c r="AA466" s="9" t="str">
        <x:f>IF(L466="暂不做","P3 暂缓",IF(Z466&gt;=75,"P0 本周做",IF(Z466&gt;=60,"P1 近期做",IF(Z466&gt;=45,"P2 备选","P3 暂缓"))))</x:f>
        <x:v>P2 备选</x:v>
      </x:c>
      <x:c r="AB466" s="9" t="str">
        <x:f>IF(Y466&gt;=15,"先做合规/相关性复核，不建议直接商业导流",IF(L466="主站","建/优化主站商业页",IF(L466="博客A-知识教程","写知识教程/FAQ文章",IF(L466="博客B-场景人群","写场景需求/选购指南文章",IF(L466="博客C-对比评测","写对比评测/榜单文章","暂不做或人工复核")))))</x:f>
        <x:v>写知识教程/FAQ文章</x:v>
      </x:c>
      <x:c r="AC466" s="9" t="str">
        <x:v>ExDivo KUZ 25K Replaceable Pod Vape</x:v>
      </x:c>
      <x:c r="AD466" s="10" t="str">
        <x:v>25000 puffs</x:v>
      </x:c>
    </x:row>
    <x:row r="467">
      <x:c r="A467" s="34" t="n">
        <x:v>467</x:v>
      </x:c>
      <x:c r="B467" s="9" t="str">
        <x:v>https://exdivo.com/products/exdivo-kuz-25k-replaceable-pod-vape_8c92b717</x:v>
      </x:c>
      <x:c r="C467" s="9" t="str">
        <x:v>long lasting pod vape</x:v>
      </x:c>
      <x:c r="D467" s="9" t="str">
        <x:v>recommended</x:v>
      </x:c>
      <x:c r="E467" s="36" t="n">
        <x:v>0</x:v>
      </x:c>
      <x:c r="F467" s="36" t="n">
        <x:v>0</x:v>
      </x:c>
      <x:c r="G467" s="9" t="str">
        <x:v>48</x:v>
      </x:c>
      <x:c r="H467" s="9" t="str">
        <x:v>Pod Kit / Pod System</x:v>
      </x:c>
      <x:c r="I467" s="9" t="str">
        <x:v>场景/需求词</x:v>
      </x:c>
      <x:c r="J467" s="9" t="str">
        <x:v>博客B-场景人群</x:v>
      </x:c>
      <x:c r="K467" s="9" t="str"/>
      <x:c r="L467" s="9" t="str">
        <x:f>IF(K467="",J467,K467)</x:f>
        <x:v>博客B-场景人群</x:v>
      </x:c>
      <x:c r="M467" s="9" t="str">
        <x:v>场景解决方案/选购指南文章</x:v>
      </x:c>
      <x:c r="N467" s="9" t="str">
        <x:v>Scenario angle: how to choose long lasting pod vape based on use case, flavor, nicotine, and budget</x:v>
      </x:c>
      <x:c r="O467" s="9" t="str">
        <x:v>/collections/pod-kits</x:v>
      </x:c>
      <x:c r="P467" s="9" t="str">
        <x:v>是</x:v>
      </x:c>
      <x:c r="Q467" s="9" t="str">
        <x:v>自然句/品类词</x:v>
      </x:c>
      <x:c r="R467" s="9" t="str">
        <x:v>低中风险：适合软性导流，但不要夸大效果或触碰健康疗效</x:v>
      </x:c>
      <x:c r="S467" s="9" t="str">
        <x:v>围绕使用场景、口味、尼古丁需求、便携性等写，不和主站品类页抢词。</x:v>
      </x:c>
      <x:c r="T467" s="38" t="n">
        <x:v>1</x:v>
      </x:c>
      <x:c r="U467" s="38" t="n">
        <x:v>15</x:v>
      </x:c>
      <x:c r="V467" s="38" t="n">
        <x:v>13</x:v>
      </x:c>
      <x:c r="W467" s="38" t="n">
        <x:v>14</x:v>
      </x:c>
      <x:c r="X467" s="38" t="n">
        <x:v>13</x:v>
      </x:c>
      <x:c r="Y467" s="38" t="n">
        <x:v>5</x:v>
      </x:c>
      <x:c r="Z467" s="38" t="n">
        <x:f>MAX(0,MIN(100,ROUND(((T467+U467+V467+W467+X467)-Y467)/85*100,0)))</x:f>
        <x:v>60</x:v>
      </x:c>
      <x:c r="AA467" s="9" t="str">
        <x:f>IF(L467="暂不做","P3 暂缓",IF(Z467&gt;=75,"P0 本周做",IF(Z467&gt;=60,"P1 近期做",IF(Z467&gt;=45,"P2 备选","P3 暂缓"))))</x:f>
        <x:v>P1 近期做</x:v>
      </x:c>
      <x:c r="AB467" s="9" t="str">
        <x:f>IF(Y467&gt;=15,"先做合规/相关性复核，不建议直接商业导流",IF(L467="主站","建/优化主站商业页",IF(L467="博客A-知识教程","写知识教程/FAQ文章",IF(L467="博客B-场景人群","写场景需求/选购指南文章",IF(L467="博客C-对比评测","写对比评测/榜单文章","暂不做或人工复核")))))</x:f>
        <x:v>写场景需求/选购指南文章</x:v>
      </x:c>
      <x:c r="AC467" s="9" t="str">
        <x:v>ExDivo KUZ 25K Replaceable Pod Vape</x:v>
      </x:c>
      <x:c r="AD467" s="10" t="str">
        <x:v>25000 puffs</x:v>
      </x:c>
    </x:row>
    <x:row r="468">
      <x:c r="A468" s="34" t="n">
        <x:v>468</x:v>
      </x:c>
      <x:c r="B468" s="9" t="str">
        <x:v>https://exdivo.com/products/exdivo-kuz-25k-replaceable-pod-vape_8c92b717</x:v>
      </x:c>
      <x:c r="C468" s="9" t="str">
        <x:v>high puff pod vape</x:v>
      </x:c>
      <x:c r="D468" s="9" t="str">
        <x:v>recommended</x:v>
      </x:c>
      <x:c r="E468" s="36" t="n">
        <x:v>0</x:v>
      </x:c>
      <x:c r="F468" s="36" t="n">
        <x:v>0</x:v>
      </x:c>
      <x:c r="G468" s="9" t="str">
        <x:v>48</x:v>
      </x:c>
      <x:c r="H468" s="9" t="str">
        <x:v>Pod Kit / Pod System</x:v>
      </x:c>
      <x:c r="I468" s="9" t="str">
        <x:v>内容词</x:v>
      </x:c>
      <x:c r="J468" s="9" t="str">
        <x:v>博客A-知识教程</x:v>
      </x:c>
      <x:c r="K468" s="9" t="str"/>
      <x:c r="L468" s="9" t="str">
        <x:f>IF(K468="",J468,K468)</x:f>
        <x:v>博客A-知识教程</x:v>
      </x:c>
      <x:c r="M468" s="9" t="str">
        <x:v>知识/教程文章</x:v>
      </x:c>
      <x:c r="N468" s="9" t="str">
        <x:v>Guide angle: explain high puff pod vape, answer common questions, and avoid sales-first writing</x:v>
      </x:c>
      <x:c r="O468" s="9" t="str">
        <x:v>/collections/disposable-vapes 或最接近的产品集合页</x:v>
      </x:c>
      <x:c r="P468" s="9" t="str">
        <x:v>谨慎</x:v>
      </x:c>
      <x:c r="Q468" s="9" t="str">
        <x:v>品牌词/自然句</x:v>
      </x:c>
      <x:c r="R468" s="9" t="str">
        <x:v>低风险：按常规内容质量和搜索意图校验</x:v>
      </x:c>
      <x:c r="S468" s="9" t="str">
        <x:v>先看 Google SERP：如果首页多数为产品集合页，改回主站；如果多数为教程/问答，保持博客。</x:v>
      </x:c>
      <x:c r="T468" s="38" t="n">
        <x:v>1</x:v>
      </x:c>
      <x:c r="U468" s="38" t="n">
        <x:v>15</x:v>
      </x:c>
      <x:c r="V468" s="38" t="n">
        <x:v>10</x:v>
      </x:c>
      <x:c r="W468" s="38" t="n">
        <x:v>12</x:v>
      </x:c>
      <x:c r="X468" s="38" t="n">
        <x:v>12</x:v>
      </x:c>
      <x:c r="Y468" s="38" t="n">
        <x:v>4</x:v>
      </x:c>
      <x:c r="Z468" s="38" t="n">
        <x:f>MAX(0,MIN(100,ROUND(((T468+U468+V468+W468+X468)-Y468)/85*100,0)))</x:f>
        <x:v>54</x:v>
      </x:c>
      <x:c r="AA468" s="9" t="str">
        <x:f>IF(L468="暂不做","P3 暂缓",IF(Z468&gt;=75,"P0 本周做",IF(Z468&gt;=60,"P1 近期做",IF(Z468&gt;=45,"P2 备选","P3 暂缓"))))</x:f>
        <x:v>P2 备选</x:v>
      </x:c>
      <x:c r="AB468" s="9" t="str">
        <x:f>IF(Y468&gt;=15,"先做合规/相关性复核，不建议直接商业导流",IF(L468="主站","建/优化主站商业页",IF(L468="博客A-知识教程","写知识教程/FAQ文章",IF(L468="博客B-场景人群","写场景需求/选购指南文章",IF(L468="博客C-对比评测","写对比评测/榜单文章","暂不做或人工复核")))))</x:f>
        <x:v>写知识教程/FAQ文章</x:v>
      </x:c>
      <x:c r="AC468" s="9" t="str">
        <x:v>ExDivo KUZ 25K Replaceable Pod Vape</x:v>
      </x:c>
      <x:c r="AD468" s="10" t="str">
        <x:v>25000 puffs</x:v>
      </x:c>
    </x:row>
    <x:row r="469">
      <x:c r="A469" s="34" t="n">
        <x:v>469</x:v>
      </x:c>
      <x:c r="B469" s="9" t="str">
        <x:v>https://exdivo.com/comments/exdivo-bright-mirror-35k-replaceable-vape-kit_25244789?writeComment=true</x:v>
      </x:c>
      <x:c r="C469" s="9" t="str">
        <x:v>sour apple foger vape</x:v>
      </x:c>
      <x:c r="D469" s="9" t="str">
        <x:v>recommended</x:v>
      </x:c>
      <x:c r="E469" s="36" t="n">
        <x:v>40</x:v>
      </x:c>
      <x:c r="F469" s="36" t="n">
        <x:v>0</x:v>
      </x:c>
      <x:c r="G469" s="9" t="str">
        <x:v>informational</x:v>
      </x:c>
      <x:c r="H469" s="9" t="str">
        <x:v>General Vape</x:v>
      </x:c>
      <x:c r="I469" s="9" t="str">
        <x:v>知识/教程词</x:v>
      </x:c>
      <x:c r="J469" s="9" t="str">
        <x:v>博客A-知识教程</x:v>
      </x:c>
      <x:c r="K469" s="9" t="str"/>
      <x:c r="L469" s="9" t="str">
        <x:f>IF(K469="",J469,K469)</x:f>
        <x:v>博客A-知识教程</x:v>
      </x:c>
      <x:c r="M469" s="9" t="str">
        <x:v>百科/How-to/FAQ文章</x:v>
      </x:c>
      <x:c r="N469" s="9" t="str">
        <x:v>Guide angle: explain sour apple foger vape, answer common questions, and avoid sales-first writing</x:v>
      </x:c>
      <x:c r="O469" s="9" t="str">
        <x:v>/collections/disposable-vapes</x:v>
      </x:c>
      <x:c r="P469" s="9" t="str">
        <x:v>谨慎</x:v>
      </x:c>
      <x:c r="Q469" s="9" t="str">
        <x:v>自然句/品牌词</x:v>
      </x:c>
      <x:c r="R469" s="9" t="str">
        <x:v>低中风险：先满足信息意图，导流要克制</x:v>
      </x:c>
      <x:c r="S469" s="9" t="str">
        <x:v>如果文章能自然回答下一步购买问题，再放 1 个主站内链；否则只做知识闭环。</x:v>
      </x:c>
      <x:c r="T469" s="38" t="n">
        <x:v>4</x:v>
      </x:c>
      <x:c r="U469" s="38" t="n">
        <x:v>15</x:v>
      </x:c>
      <x:c r="V469" s="38" t="n">
        <x:v>9</x:v>
      </x:c>
      <x:c r="W469" s="38" t="n">
        <x:v>14</x:v>
      </x:c>
      <x:c r="X469" s="38" t="n">
        <x:v>12</x:v>
      </x:c>
      <x:c r="Y469" s="38" t="n">
        <x:v>5</x:v>
      </x:c>
      <x:c r="Z469" s="38" t="n">
        <x:f>MAX(0,MIN(100,ROUND(((T469+U469+V469+W469+X469)-Y469)/85*100,0)))</x:f>
        <x:v>58</x:v>
      </x:c>
      <x:c r="AA469" s="9" t="str">
        <x:f>IF(L469="暂不做","P3 暂缓",IF(Z469&gt;=75,"P0 本周做",IF(Z469&gt;=60,"P1 近期做",IF(Z469&gt;=45,"P2 备选","P3 暂缓"))))</x:f>
        <x:v>P2 备选</x:v>
      </x:c>
      <x:c r="AB469" s="9" t="str">
        <x:f>IF(Y469&gt;=15,"先做合规/相关性复核，不建议直接商业导流",IF(L469="主站","建/优化主站商业页",IF(L469="博客A-知识教程","写知识教程/FAQ文章",IF(L469="博客B-场景人群","写场景需求/选购指南文章",IF(L469="博客C-对比评测","写对比评测/榜单文章","暂不做或人工复核")))))</x:f>
        <x:v>写知识教程/FAQ文章</x:v>
      </x:c>
      <x:c r="AC469" s="9" t="str">
        <x:v>Reviews - SOUR APPLE ICE - ExDivo BRIGHT MIRROR 35K Replaceable VAPE kit - ExDivo</x:v>
      </x:c>
      <x:c r="AD469" s="10" t="str">
        <x:v>48</x:v>
      </x:c>
    </x:row>
    <x:row r="470">
      <x:c r="A470" s="34" t="n">
        <x:v>470</x:v>
      </x:c>
      <x:c r="B470" s="9" t="str">
        <x:v>https://exdivo.com/comments/exdivo-bright-mirror-35k-replaceable-vape-kit_25244789?writeComment=true</x:v>
      </x:c>
      <x:c r="C470" s="9" t="str">
        <x:v>vape flavor sour apple ice</x:v>
      </x:c>
      <x:c r="D470" s="9" t="str">
        <x:v>recommended</x:v>
      </x:c>
      <x:c r="E470" s="36" t="n">
        <x:v>0</x:v>
      </x:c>
      <x:c r="F470" s="36" t="n">
        <x:v>0</x:v>
      </x:c>
      <x:c r="G470" s="9" t="str">
        <x:v>48</x:v>
      </x:c>
      <x:c r="H470" s="9" t="str">
        <x:v>Flavor / 口味</x:v>
      </x:c>
      <x:c r="I470" s="9" t="str">
        <x:v>场景/需求词</x:v>
      </x:c>
      <x:c r="J470" s="9" t="str">
        <x:v>博客B-场景人群</x:v>
      </x:c>
      <x:c r="K470" s="9" t="str"/>
      <x:c r="L470" s="9" t="str">
        <x:f>IF(K470="",J470,K470)</x:f>
        <x:v>博客B-场景人群</x:v>
      </x:c>
      <x:c r="M470" s="9" t="str">
        <x:v>场景解决方案/选购指南文章</x:v>
      </x:c>
      <x:c r="N470" s="9" t="str">
        <x:v>Scenario angle: how to choose vape flavor sour apple ice based on use case, flavor, nicotine, and budget</x:v>
      </x:c>
      <x:c r="O470" s="9" t="str">
        <x:v>/collections/flavored-disposable-vapes</x:v>
      </x:c>
      <x:c r="P470" s="9" t="str">
        <x:v>是</x:v>
      </x:c>
      <x:c r="Q470" s="9" t="str">
        <x:v>自然句/品类词</x:v>
      </x:c>
      <x:c r="R470" s="9" t="str">
        <x:v>低中风险：适合软性导流，但不要夸大效果或触碰健康疗效</x:v>
      </x:c>
      <x:c r="S470" s="9" t="str">
        <x:v>围绕使用场景、口味、尼古丁需求、便携性等写，不和主站品类页抢词。</x:v>
      </x:c>
      <x:c r="T470" s="38" t="n">
        <x:v>1</x:v>
      </x:c>
      <x:c r="U470" s="38" t="n">
        <x:v>15</x:v>
      </x:c>
      <x:c r="V470" s="38" t="n">
        <x:v>13</x:v>
      </x:c>
      <x:c r="W470" s="38" t="n">
        <x:v>14</x:v>
      </x:c>
      <x:c r="X470" s="38" t="n">
        <x:v>13</x:v>
      </x:c>
      <x:c r="Y470" s="38" t="n">
        <x:v>5</x:v>
      </x:c>
      <x:c r="Z470" s="38" t="n">
        <x:f>MAX(0,MIN(100,ROUND(((T470+U470+V470+W470+X470)-Y470)/85*100,0)))</x:f>
        <x:v>60</x:v>
      </x:c>
      <x:c r="AA470" s="9" t="str">
        <x:f>IF(L470="暂不做","P3 暂缓",IF(Z470&gt;=75,"P0 本周做",IF(Z470&gt;=60,"P1 近期做",IF(Z470&gt;=45,"P2 备选","P3 暂缓"))))</x:f>
        <x:v>P1 近期做</x:v>
      </x:c>
      <x:c r="AB470" s="9" t="str">
        <x:f>IF(Y470&gt;=15,"先做合规/相关性复核，不建议直接商业导流",IF(L470="主站","建/优化主站商业页",IF(L470="博客A-知识教程","写知识教程/FAQ文章",IF(L470="博客B-场景人群","写场景需求/选购指南文章",IF(L470="博客C-对比评测","写对比评测/榜单文章","暂不做或人工复核")))))</x:f>
        <x:v>写场景需求/选购指南文章</x:v>
      </x:c>
      <x:c r="AC470" s="9" t="str">
        <x:v>Reviews - SOUR APPLE ICE - ExDivo BRIGHT MIRROR 35K Replaceable VAPE kit - ExDivo</x:v>
      </x:c>
      <x:c r="AD470" s="10" t="str">
        <x:v>48</x:v>
      </x:c>
    </x:row>
    <x:row r="471">
      <x:c r="A471" s="34" t="n">
        <x:v>471</x:v>
      </x:c>
      <x:c r="B471" s="9" t="str">
        <x:v>https://exdivo.com/comments/exdivo-bright-mirror-35k-replaceable-vape-kit_25244789?writeComment=true</x:v>
      </x:c>
      <x:c r="C471" s="9" t="str">
        <x:v>sour apple ice vape kit</x:v>
      </x:c>
      <x:c r="D471" s="9" t="str">
        <x:v>recommended</x:v>
      </x:c>
      <x:c r="E471" s="36" t="n">
        <x:v>0</x:v>
      </x:c>
      <x:c r="F471" s="36" t="n">
        <x:v>0</x:v>
      </x:c>
      <x:c r="G471" s="9" t="str">
        <x:v>48</x:v>
      </x:c>
      <x:c r="H471" s="9" t="str">
        <x:v>General Vape</x:v>
      </x:c>
      <x:c r="I471" s="9" t="str">
        <x:v>内容词</x:v>
      </x:c>
      <x:c r="J471" s="9" t="str">
        <x:v>博客A-知识教程</x:v>
      </x:c>
      <x:c r="K471" s="9" t="str"/>
      <x:c r="L471" s="9" t="str">
        <x:f>IF(K471="",J471,K471)</x:f>
        <x:v>博客A-知识教程</x:v>
      </x:c>
      <x:c r="M471" s="9" t="str">
        <x:v>知识/教程文章</x:v>
      </x:c>
      <x:c r="N471" s="9" t="str">
        <x:v>Guide angle: explain sour apple ice vape kit, answer common questions, and avoid sales-first writing</x:v>
      </x:c>
      <x:c r="O471" s="9" t="str">
        <x:v>/collections/disposable-vapes 或最接近的产品集合页</x:v>
      </x:c>
      <x:c r="P471" s="9" t="str">
        <x:v>谨慎</x:v>
      </x:c>
      <x:c r="Q471" s="9" t="str">
        <x:v>品牌词/自然句</x:v>
      </x:c>
      <x:c r="R471" s="9" t="str">
        <x:v>低风险：按常规内容质量和搜索意图校验</x:v>
      </x:c>
      <x:c r="S471" s="9" t="str">
        <x:v>先看 Google SERP：如果首页多数为产品集合页，改回主站；如果多数为教程/问答，保持博客。</x:v>
      </x:c>
      <x:c r="T471" s="38" t="n">
        <x:v>1</x:v>
      </x:c>
      <x:c r="U471" s="38" t="n">
        <x:v>15</x:v>
      </x:c>
      <x:c r="V471" s="38" t="n">
        <x:v>10</x:v>
      </x:c>
      <x:c r="W471" s="38" t="n">
        <x:v>12</x:v>
      </x:c>
      <x:c r="X471" s="38" t="n">
        <x:v>12</x:v>
      </x:c>
      <x:c r="Y471" s="38" t="n">
        <x:v>4</x:v>
      </x:c>
      <x:c r="Z471" s="38" t="n">
        <x:f>MAX(0,MIN(100,ROUND(((T471+U471+V471+W471+X471)-Y471)/85*100,0)))</x:f>
        <x:v>54</x:v>
      </x:c>
      <x:c r="AA471" s="9" t="str">
        <x:f>IF(L471="暂不做","P3 暂缓",IF(Z471&gt;=75,"P0 本周做",IF(Z471&gt;=60,"P1 近期做",IF(Z471&gt;=45,"P2 备选","P3 暂缓"))))</x:f>
        <x:v>P2 备选</x:v>
      </x:c>
      <x:c r="AB471" s="9" t="str">
        <x:f>IF(Y471&gt;=15,"先做合规/相关性复核，不建议直接商业导流",IF(L471="主站","建/优化主站商业页",IF(L471="博客A-知识教程","写知识教程/FAQ文章",IF(L471="博客B-场景人群","写场景需求/选购指南文章",IF(L471="博客C-对比评测","写对比评测/榜单文章","暂不做或人工复核")))))</x:f>
        <x:v>写知识教程/FAQ文章</x:v>
      </x:c>
      <x:c r="AC471" s="9" t="str">
        <x:v>Reviews - SOUR APPLE ICE - ExDivo BRIGHT MIRROR 35K Replaceable VAPE kit - ExDivo</x:v>
      </x:c>
      <x:c r="AD471" s="10" t="str">
        <x:v>48</x:v>
      </x:c>
    </x:row>
    <x:row r="472">
      <x:c r="A472" s="34" t="n">
        <x:v>472</x:v>
      </x:c>
      <x:c r="B472" s="9" t="str">
        <x:v>https://exdivo.com/comments/exdivo-bright-mirror-35k-replaceable-vape-kit_25244789?writeComment=true</x:v>
      </x:c>
      <x:c r="C472" s="9" t="str">
        <x:v>sour apple vape juice</x:v>
      </x:c>
      <x:c r="D472" s="9" t="str">
        <x:v>recommended</x:v>
      </x:c>
      <x:c r="E472" s="36" t="n">
        <x:v>110</x:v>
      </x:c>
      <x:c r="F472" s="36" t="n">
        <x:v>0</x:v>
      </x:c>
      <x:c r="G472" s="9" t="str">
        <x:v>informational, transactional</x:v>
      </x:c>
      <x:c r="H472" s="9" t="str">
        <x:v>General Vape</x:v>
      </x:c>
      <x:c r="I472" s="9" t="str">
        <x:v>交易词</x:v>
      </x:c>
      <x:c r="J472" s="9" t="str">
        <x:v>主站</x:v>
      </x:c>
      <x:c r="K472" s="9" t="str"/>
      <x:c r="L472" s="9" t="str">
        <x:f>IF(K472="",J472,K472)</x:f>
        <x:v>主站</x:v>
      </x:c>
      <x:c r="M472" s="9" t="str">
        <x:v>产品集合页/分类页/购买页</x:v>
      </x:c>
      <x:c r="N472" s="9" t="str">
        <x:v>主站商业页：标题围绕购买意图 + 品类 + 关键卖点</x:v>
      </x:c>
      <x:c r="O472" s="9" t="str">
        <x:v>/collections/disposable-vapes</x:v>
      </x:c>
      <x:c r="P472" s="9" t="str">
        <x:v>不适用</x:v>
      </x:c>
      <x:c r="Q472" s="9" t="str">
        <x:v>主站页面自身承接</x:v>
      </x:c>
      <x:c r="R472" s="9" t="str">
        <x:v>商业词：优先给主站，避免博客抢主站排名</x:v>
      </x:c>
      <x:c r="S472" s="9" t="str">
        <x:v>SERP 如为商品列表/品牌站/电商集合页，就建主站页面；若 SERP 全是教程，再拆支持文章。</x:v>
      </x:c>
      <x:c r="T472" s="38" t="n">
        <x:v>7</x:v>
      </x:c>
      <x:c r="U472" s="38" t="n">
        <x:v>15</x:v>
      </x:c>
      <x:c r="V472" s="38" t="n">
        <x:v>20</x:v>
      </x:c>
      <x:c r="W472" s="38" t="n">
        <x:v>7</x:v>
      </x:c>
      <x:c r="X472" s="38" t="n">
        <x:v>15</x:v>
      </x:c>
      <x:c r="Y472" s="38" t="n">
        <x:v>4</x:v>
      </x:c>
      <x:c r="Z472" s="38" t="n">
        <x:f>MAX(0,MIN(100,ROUND(((T472+U472+V472+W472+X472)-Y472)/85*100,0)))</x:f>
        <x:v>71</x:v>
      </x:c>
      <x:c r="AA472" s="9" t="str">
        <x:f>IF(L472="暂不做","P3 暂缓",IF(Z472&gt;=75,"P0 本周做",IF(Z472&gt;=60,"P1 近期做",IF(Z472&gt;=45,"P2 备选","P3 暂缓"))))</x:f>
        <x:v>P1 近期做</x:v>
      </x:c>
      <x:c r="AB472" s="9" t="str">
        <x:f>IF(Y472&gt;=15,"先做合规/相关性复核，不建议直接商业导流",IF(L472="主站","建/优化主站商业页",IF(L472="博客A-知识教程","写知识教程/FAQ文章",IF(L472="博客B-场景人群","写场景需求/选购指南文章",IF(L472="博客C-对比评测","写对比评测/榜单文章","暂不做或人工复核")))))</x:f>
        <x:v>建/优化主站商业页</x:v>
      </x:c>
      <x:c r="AC472" s="9" t="str">
        <x:v>Reviews - SOUR APPLE ICE - ExDivo BRIGHT MIRROR 35K Replaceable VAPE kit - ExDivo</x:v>
      </x:c>
      <x:c r="AD472" s="10" t="str">
        <x:v>48</x:v>
      </x:c>
    </x:row>
    <x:row r="473">
      <x:c r="A473" s="34" t="n">
        <x:v>473</x:v>
      </x:c>
      <x:c r="B473" s="9" t="str">
        <x:v>https://exdivo.com/comments/exdivo-bright-mirror-35k-replaceable-vape-kit_25244789?writeComment=true</x:v>
      </x:c>
      <x:c r="C473" s="9" t="str">
        <x:v>sour green apple vape</x:v>
      </x:c>
      <x:c r="D473" s="9" t="str">
        <x:v>recommended</x:v>
      </x:c>
      <x:c r="E473" s="36" t="n">
        <x:v>110</x:v>
      </x:c>
      <x:c r="F473" s="36" t="n">
        <x:v>4</x:v>
      </x:c>
      <x:c r="G473" s="9" t="str">
        <x:v>informational, commercial</x:v>
      </x:c>
      <x:c r="H473" s="9" t="str">
        <x:v>General Vape</x:v>
      </x:c>
      <x:c r="I473" s="9" t="str">
        <x:v>品类承接词</x:v>
      </x:c>
      <x:c r="J473" s="9" t="str">
        <x:v>主站</x:v>
      </x:c>
      <x:c r="K473" s="9" t="str"/>
      <x:c r="L473" s="9" t="str">
        <x:f>IF(K473="",J473,K473)</x:f>
        <x:v>主站</x:v>
      </x:c>
      <x:c r="M473" s="9" t="str">
        <x:v>品类页/集合页 + FAQ内容块</x:v>
      </x:c>
      <x:c r="N473" s="9" t="str">
        <x:v>主站品类页：用产品集合 + 选购说明承接</x:v>
      </x:c>
      <x:c r="O473" s="9" t="str">
        <x:v>/collections/disposable-vapes</x:v>
      </x:c>
      <x:c r="P473" s="9" t="str">
        <x:v>不适用</x:v>
      </x:c>
      <x:c r="Q473" s="9" t="str">
        <x:v>主站页面自身承接</x:v>
      </x:c>
      <x:c r="R473" s="9" t="str">
        <x:v>核心品类词：主站优先，博客只做长尾解释，不直接抢同一词</x:v>
      </x:c>
      <x:c r="S473" s="9" t="str">
        <x:v>如果 Google 首页产品页和指南混合，主站页要加 FAQ、选购指南、对比模块。</x:v>
      </x:c>
      <x:c r="T473" s="38" t="n">
        <x:v>7</x:v>
      </x:c>
      <x:c r="U473" s="38" t="n">
        <x:v>15</x:v>
      </x:c>
      <x:c r="V473" s="38" t="n">
        <x:v>18</x:v>
      </x:c>
      <x:c r="W473" s="38" t="n">
        <x:v>8</x:v>
      </x:c>
      <x:c r="X473" s="38" t="n">
        <x:v>15</x:v>
      </x:c>
      <x:c r="Y473" s="38" t="n">
        <x:v>4</x:v>
      </x:c>
      <x:c r="Z473" s="38" t="n">
        <x:f>MAX(0,MIN(100,ROUND(((T473+U473+V473+W473+X473)-Y473)/85*100,0)))</x:f>
        <x:v>69</x:v>
      </x:c>
      <x:c r="AA473" s="9" t="str">
        <x:f>IF(L473="暂不做","P3 暂缓",IF(Z473&gt;=75,"P0 本周做",IF(Z473&gt;=60,"P1 近期做",IF(Z473&gt;=45,"P2 备选","P3 暂缓"))))</x:f>
        <x:v>P1 近期做</x:v>
      </x:c>
      <x:c r="AB473" s="9" t="str">
        <x:f>IF(Y473&gt;=15,"先做合规/相关性复核，不建议直接商业导流",IF(L473="主站","建/优化主站商业页",IF(L473="博客A-知识教程","写知识教程/FAQ文章",IF(L473="博客B-场景人群","写场景需求/选购指南文章",IF(L473="博客C-对比评测","写对比评测/榜单文章","暂不做或人工复核")))))</x:f>
        <x:v>建/优化主站商业页</x:v>
      </x:c>
      <x:c r="AC473" s="9" t="str">
        <x:v>Reviews - SOUR APPLE ICE - ExDivo BRIGHT MIRROR 35K Replaceable VAPE kit - ExDivo</x:v>
      </x:c>
      <x:c r="AD473" s="10" t="str">
        <x:v>48</x:v>
      </x:c>
    </x:row>
    <x:row r="474">
      <x:c r="A474" s="34" t="n">
        <x:v>474</x:v>
      </x:c>
      <x:c r="B474" s="9" t="str">
        <x:v>https://exdivo.com/comments/exdivo-bright-mirror-35k-replaceable-vape-kit_25244789?writeComment=true</x:v>
      </x:c>
      <x:c r="C474" s="9" t="str">
        <x:v>sour apple vapes</x:v>
      </x:c>
      <x:c r="D474" s="9" t="str">
        <x:v>recommended</x:v>
      </x:c>
      <x:c r="E474" s="36" t="n">
        <x:v>50</x:v>
      </x:c>
      <x:c r="F474" s="36" t="n">
        <x:v>8</x:v>
      </x:c>
      <x:c r="G474" s="9" t="str">
        <x:v>informational</x:v>
      </x:c>
      <x:c r="H474" s="9" t="str">
        <x:v>General Vape</x:v>
      </x:c>
      <x:c r="I474" s="9" t="str">
        <x:v>品类承接词</x:v>
      </x:c>
      <x:c r="J474" s="9" t="str">
        <x:v>主站</x:v>
      </x:c>
      <x:c r="K474" s="9" t="str"/>
      <x:c r="L474" s="9" t="str">
        <x:f>IF(K474="",J474,K474)</x:f>
        <x:v>主站</x:v>
      </x:c>
      <x:c r="M474" s="9" t="str">
        <x:v>品类页/集合页 + FAQ内容块</x:v>
      </x:c>
      <x:c r="N474" s="9" t="str">
        <x:v>主站品类页：用产品集合 + 选购说明承接</x:v>
      </x:c>
      <x:c r="O474" s="9" t="str">
        <x:v>/collections/disposable-vapes</x:v>
      </x:c>
      <x:c r="P474" s="9" t="str">
        <x:v>不适用</x:v>
      </x:c>
      <x:c r="Q474" s="9" t="str">
        <x:v>主站页面自身承接</x:v>
      </x:c>
      <x:c r="R474" s="9" t="str">
        <x:v>核心品类词：主站优先，博客只做长尾解释，不直接抢同一词</x:v>
      </x:c>
      <x:c r="S474" s="9" t="str">
        <x:v>如果 Google 首页产品页和指南混合，主站页要加 FAQ、选购指南、对比模块。</x:v>
      </x:c>
      <x:c r="T474" s="38" t="n">
        <x:v>4</x:v>
      </x:c>
      <x:c r="U474" s="38" t="n">
        <x:v>15</x:v>
      </x:c>
      <x:c r="V474" s="38" t="n">
        <x:v>16</x:v>
      </x:c>
      <x:c r="W474" s="38" t="n">
        <x:v>8</x:v>
      </x:c>
      <x:c r="X474" s="38" t="n">
        <x:v>15</x:v>
      </x:c>
      <x:c r="Y474" s="38" t="n">
        <x:v>4</x:v>
      </x:c>
      <x:c r="Z474" s="38" t="n">
        <x:f>MAX(0,MIN(100,ROUND(((T474+U474+V474+W474+X474)-Y474)/85*100,0)))</x:f>
        <x:v>64</x:v>
      </x:c>
      <x:c r="AA474" s="9" t="str">
        <x:f>IF(L474="暂不做","P3 暂缓",IF(Z474&gt;=75,"P0 本周做",IF(Z474&gt;=60,"P1 近期做",IF(Z474&gt;=45,"P2 备选","P3 暂缓"))))</x:f>
        <x:v>P1 近期做</x:v>
      </x:c>
      <x:c r="AB474" s="9" t="str">
        <x:f>IF(Y474&gt;=15,"先做合规/相关性复核，不建议直接商业导流",IF(L474="主站","建/优化主站商业页",IF(L474="博客A-知识教程","写知识教程/FAQ文章",IF(L474="博客B-场景人群","写场景需求/选购指南文章",IF(L474="博客C-对比评测","写对比评测/榜单文章","暂不做或人工复核")))))</x:f>
        <x:v>建/优化主站商业页</x:v>
      </x:c>
      <x:c r="AC474" s="9" t="str">
        <x:v>Reviews - SOUR APPLE ICE - ExDivo BRIGHT MIRROR 35K Replaceable VAPE kit - ExDivo</x:v>
      </x:c>
      <x:c r="AD474" s="10" t="str">
        <x:v>48</x:v>
      </x:c>
    </x:row>
    <x:row r="475">
      <x:c r="A475" s="34" t="n">
        <x:v>475</x:v>
      </x:c>
      <x:c r="B475" s="9" t="str">
        <x:v>https://exdivo.com/collections/brightmirror/products/exdivo-bright-mirror-35k-replaceable-vape-kit_2c14597f?data_from=index_index&amp;spm=index_index..block_collection_slides-11702967.1.</x:v>
      </x:c>
      <x:c r="C475" s="9" t="str">
        <x:v>35000 puff vape kit</x:v>
      </x:c>
      <x:c r="D475" s="9" t="str">
        <x:v>recommended</x:v>
      </x:c>
      <x:c r="E475" s="36" t="n">
        <x:v>0</x:v>
      </x:c>
      <x:c r="F475" s="36" t="n">
        <x:v>0</x:v>
      </x:c>
      <x:c r="G475" s="9" t="str">
        <x:v>48</x:v>
      </x:c>
      <x:c r="H475" s="9" t="str">
        <x:v>General Vape</x:v>
      </x:c>
      <x:c r="I475" s="9" t="str">
        <x:v>内容词</x:v>
      </x:c>
      <x:c r="J475" s="9" t="str">
        <x:v>博客A-知识教程</x:v>
      </x:c>
      <x:c r="K475" s="9" t="str"/>
      <x:c r="L475" s="9" t="str">
        <x:f>IF(K475="",J475,K475)</x:f>
        <x:v>博客A-知识教程</x:v>
      </x:c>
      <x:c r="M475" s="9" t="str">
        <x:v>知识/教程文章</x:v>
      </x:c>
      <x:c r="N475" s="9" t="str">
        <x:v>Guide angle: explain 35000 puff vape kit, answer common questions, and avoid sales-first writing</x:v>
      </x:c>
      <x:c r="O475" s="9" t="str">
        <x:v>/collections/disposable-vapes 或最接近的产品集合页</x:v>
      </x:c>
      <x:c r="P475" s="9" t="str">
        <x:v>谨慎</x:v>
      </x:c>
      <x:c r="Q475" s="9" t="str">
        <x:v>品牌词/自然句</x:v>
      </x:c>
      <x:c r="R475" s="9" t="str">
        <x:v>低风险：按常规内容质量和搜索意图校验</x:v>
      </x:c>
      <x:c r="S475" s="9" t="str">
        <x:v>先看 Google SERP：如果首页多数为产品集合页，改回主站；如果多数为教程/问答，保持博客。</x:v>
      </x:c>
      <x:c r="T475" s="38" t="n">
        <x:v>1</x:v>
      </x:c>
      <x:c r="U475" s="38" t="n">
        <x:v>15</x:v>
      </x:c>
      <x:c r="V475" s="38" t="n">
        <x:v>10</x:v>
      </x:c>
      <x:c r="W475" s="38" t="n">
        <x:v>12</x:v>
      </x:c>
      <x:c r="X475" s="38" t="n">
        <x:v>12</x:v>
      </x:c>
      <x:c r="Y475" s="38" t="n">
        <x:v>4</x:v>
      </x:c>
      <x:c r="Z475" s="38" t="n">
        <x:f>MAX(0,MIN(100,ROUND(((T475+U475+V475+W475+X475)-Y475)/85*100,0)))</x:f>
        <x:v>54</x:v>
      </x:c>
      <x:c r="AA475" s="9" t="str">
        <x:f>IF(L475="暂不做","P3 暂缓",IF(Z475&gt;=75,"P0 本周做",IF(Z475&gt;=60,"P1 近期做",IF(Z475&gt;=45,"P2 备选","P3 暂缓"))))</x:f>
        <x:v>P2 备选</x:v>
      </x:c>
      <x:c r="AB475" s="9" t="str">
        <x:f>IF(Y475&gt;=15,"先做合规/相关性复核，不建议直接商业导流",IF(L475="主站","建/优化主站商业页",IF(L475="博客A-知识教程","写知识教程/FAQ文章",IF(L475="博客B-场景人群","写场景需求/选购指南文章",IF(L475="博客C-对比评测","写对比评测/榜单文章","暂不做或人工复核")))))</x:f>
        <x:v>写知识教程/FAQ文章</x:v>
      </x:c>
      <x:c r="AC475" s="9" t="str">
        <x:v>ExDivo BRIGHT MIRROR 35K Replaceable VAPE KIT</x:v>
      </x:c>
      <x:c r="AD475" s="10" t="str">
        <x:v>35000 puffs</x:v>
      </x:c>
    </x:row>
    <x:row r="476">
      <x:c r="A476" s="34" t="n">
        <x:v>476</x:v>
      </x:c>
      <x:c r="B476" s="9" t="str">
        <x:v>https://exdivo.com/collections/brightmirror/products/exdivo-bright-mirror-35k-replaceable-vape-kit_2c14597f?data_from=index_index&amp;spm=index_index..block_collection_slides-11702967.1.</x:v>
      </x:c>
      <x:c r="C476" s="9" t="str">
        <x:v>35000 puff vape</x:v>
      </x:c>
      <x:c r="D476" s="9" t="str">
        <x:v>recommended</x:v>
      </x:c>
      <x:c r="E476" s="36" t="n">
        <x:v>0</x:v>
      </x:c>
      <x:c r="F476" s="36" t="n">
        <x:v>0</x:v>
      </x:c>
      <x:c r="G476" s="9" t="str">
        <x:v>48</x:v>
      </x:c>
      <x:c r="H476" s="9" t="str">
        <x:v>General Vape</x:v>
      </x:c>
      <x:c r="I476" s="9" t="str">
        <x:v>品类承接词</x:v>
      </x:c>
      <x:c r="J476" s="9" t="str">
        <x:v>主站</x:v>
      </x:c>
      <x:c r="K476" s="9" t="str"/>
      <x:c r="L476" s="9" t="str">
        <x:f>IF(K476="",J476,K476)</x:f>
        <x:v>主站</x:v>
      </x:c>
      <x:c r="M476" s="9" t="str">
        <x:v>品类页/集合页 + FAQ内容块</x:v>
      </x:c>
      <x:c r="N476" s="9" t="str">
        <x:v>主站品类页：用产品集合 + 选购说明承接</x:v>
      </x:c>
      <x:c r="O476" s="9" t="str">
        <x:v>/collections/disposable-vapes</x:v>
      </x:c>
      <x:c r="P476" s="9" t="str">
        <x:v>不适用</x:v>
      </x:c>
      <x:c r="Q476" s="9" t="str">
        <x:v>主站页面自身承接</x:v>
      </x:c>
      <x:c r="R476" s="9" t="str">
        <x:v>核心品类词：主站优先，博客只做长尾解释，不直接抢同一词</x:v>
      </x:c>
      <x:c r="S476" s="9" t="str">
        <x:v>如果 Google 首页产品页和指南混合，主站页要加 FAQ、选购指南、对比模块。</x:v>
      </x:c>
      <x:c r="T476" s="38" t="n">
        <x:v>1</x:v>
      </x:c>
      <x:c r="U476" s="38" t="n">
        <x:v>15</x:v>
      </x:c>
      <x:c r="V476" s="38" t="n">
        <x:v>16</x:v>
      </x:c>
      <x:c r="W476" s="38" t="n">
        <x:v>8</x:v>
      </x:c>
      <x:c r="X476" s="38" t="n">
        <x:v>15</x:v>
      </x:c>
      <x:c r="Y476" s="38" t="n">
        <x:v>4</x:v>
      </x:c>
      <x:c r="Z476" s="38" t="n">
        <x:f>MAX(0,MIN(100,ROUND(((T476+U476+V476+W476+X476)-Y476)/85*100,0)))</x:f>
        <x:v>60</x:v>
      </x:c>
      <x:c r="AA476" s="9" t="str">
        <x:f>IF(L476="暂不做","P3 暂缓",IF(Z476&gt;=75,"P0 本周做",IF(Z476&gt;=60,"P1 近期做",IF(Z476&gt;=45,"P2 备选","P3 暂缓"))))</x:f>
        <x:v>P1 近期做</x:v>
      </x:c>
      <x:c r="AB476" s="9" t="str">
        <x:f>IF(Y476&gt;=15,"先做合规/相关性复核，不建议直接商业导流",IF(L476="主站","建/优化主站商业页",IF(L476="博客A-知识教程","写知识教程/FAQ文章",IF(L476="博客B-场景人群","写场景需求/选购指南文章",IF(L476="博客C-对比评测","写对比评测/榜单文章","暂不做或人工复核")))))</x:f>
        <x:v>建/优化主站商业页</x:v>
      </x:c>
      <x:c r="AC476" s="9" t="str">
        <x:v>ExDivo BRIGHT MIRROR 35K Replaceable VAPE KIT</x:v>
      </x:c>
      <x:c r="AD476" s="10" t="str">
        <x:v>35000 puffs</x:v>
      </x:c>
    </x:row>
    <x:row r="477">
      <x:c r="A477" s="34" t="n">
        <x:v>477</x:v>
      </x:c>
      <x:c r="B477" s="9" t="str">
        <x:v>https://exdivo.com/collections/brightmirror/products/exdivo-bright-mirror-35k-replaceable-vape-kit_2c14597f?data_from=index_index&amp;spm=index_index..block_collection_slides-11702967.1.</x:v>
      </x:c>
      <x:c r="C477" s="9" t="str">
        <x:v>rechargeable vape kit 35000 puffs</x:v>
      </x:c>
      <x:c r="D477" s="9" t="str">
        <x:v>recommended</x:v>
      </x:c>
      <x:c r="E477" s="36" t="n">
        <x:v>0</x:v>
      </x:c>
      <x:c r="F477" s="36" t="n">
        <x:v>0</x:v>
      </x:c>
      <x:c r="G477" s="9" t="str">
        <x:v>48</x:v>
      </x:c>
      <x:c r="H477" s="9" t="str">
        <x:v>Reusable / Rechargeable</x:v>
      </x:c>
      <x:c r="I477" s="9" t="str">
        <x:v>场景/需求词</x:v>
      </x:c>
      <x:c r="J477" s="9" t="str">
        <x:v>博客B-场景人群</x:v>
      </x:c>
      <x:c r="K477" s="9" t="str"/>
      <x:c r="L477" s="9" t="str">
        <x:f>IF(K477="",J477,K477)</x:f>
        <x:v>博客B-场景人群</x:v>
      </x:c>
      <x:c r="M477" s="9" t="str">
        <x:v>场景解决方案/选购指南文章</x:v>
      </x:c>
      <x:c r="N477" s="9" t="str">
        <x:v>Scenario angle: how to choose rechargeable vape kit 35000 puffs based on use case, flavor, nicotine, and budget</x:v>
      </x:c>
      <x:c r="O477" s="9" t="str">
        <x:v>/collections/rechargeable-vapes</x:v>
      </x:c>
      <x:c r="P477" s="9" t="str">
        <x:v>是</x:v>
      </x:c>
      <x:c r="Q477" s="9" t="str">
        <x:v>自然句/品类词</x:v>
      </x:c>
      <x:c r="R477" s="9" t="str">
        <x:v>低中风险：适合软性导流，但不要夸大效果或触碰健康疗效</x:v>
      </x:c>
      <x:c r="S477" s="9" t="str">
        <x:v>围绕使用场景、口味、尼古丁需求、便携性等写，不和主站品类页抢词。</x:v>
      </x:c>
      <x:c r="T477" s="38" t="n">
        <x:v>1</x:v>
      </x:c>
      <x:c r="U477" s="38" t="n">
        <x:v>15</x:v>
      </x:c>
      <x:c r="V477" s="38" t="n">
        <x:v>13</x:v>
      </x:c>
      <x:c r="W477" s="38" t="n">
        <x:v>14</x:v>
      </x:c>
      <x:c r="X477" s="38" t="n">
        <x:v>13</x:v>
      </x:c>
      <x:c r="Y477" s="38" t="n">
        <x:v>5</x:v>
      </x:c>
      <x:c r="Z477" s="38" t="n">
        <x:f>MAX(0,MIN(100,ROUND(((T477+U477+V477+W477+X477)-Y477)/85*100,0)))</x:f>
        <x:v>60</x:v>
      </x:c>
      <x:c r="AA477" s="9" t="str">
        <x:f>IF(L477="暂不做","P3 暂缓",IF(Z477&gt;=75,"P0 本周做",IF(Z477&gt;=60,"P1 近期做",IF(Z477&gt;=45,"P2 备选","P3 暂缓"))))</x:f>
        <x:v>P1 近期做</x:v>
      </x:c>
      <x:c r="AB477" s="9" t="str">
        <x:f>IF(Y477&gt;=15,"先做合规/相关性复核，不建议直接商业导流",IF(L477="主站","建/优化主站商业页",IF(L477="博客A-知识教程","写知识教程/FAQ文章",IF(L477="博客B-场景人群","写场景需求/选购指南文章",IF(L477="博客C-对比评测","写对比评测/榜单文章","暂不做或人工复核")))))</x:f>
        <x:v>写场景需求/选购指南文章</x:v>
      </x:c>
      <x:c r="AC477" s="9" t="str">
        <x:v>ExDivo BRIGHT MIRROR 35K Replaceable VAPE KIT</x:v>
      </x:c>
      <x:c r="AD477" s="10" t="str">
        <x:v>35000 puffs</x:v>
      </x:c>
    </x:row>
    <x:row r="478">
      <x:c r="A478" s="34" t="n">
        <x:v>478</x:v>
      </x:c>
      <x:c r="B478" s="9" t="str">
        <x:v>https://exdivo.com/collections/interstellar/products/exdivo-interstellar-35k-disposable-vape_f85df3b4?data_from=index_index&amp;spm=index_index..block_collection_slides-11702936.7.</x:v>
      </x:c>
      <x:c r="C478" s="9" t="str">
        <x:v>long lasting disposable vape 35k</x:v>
      </x:c>
      <x:c r="D478" s="9" t="str">
        <x:v>recommended</x:v>
      </x:c>
      <x:c r="E478" s="36" t="n">
        <x:v>0</x:v>
      </x:c>
      <x:c r="F478" s="36" t="n">
        <x:v>0</x:v>
      </x:c>
      <x:c r="G478" s="9" t="str">
        <x:v>48</x:v>
      </x:c>
      <x:c r="H478" s="9" t="str">
        <x:v>Disposable Vape</x:v>
      </x:c>
      <x:c r="I478" s="9" t="str">
        <x:v>场景/需求词</x:v>
      </x:c>
      <x:c r="J478" s="9" t="str">
        <x:v>博客B-场景人群</x:v>
      </x:c>
      <x:c r="K478" s="9" t="str"/>
      <x:c r="L478" s="9" t="str">
        <x:f>IF(K478="",J478,K478)</x:f>
        <x:v>博客B-场景人群</x:v>
      </x:c>
      <x:c r="M478" s="9" t="str">
        <x:v>场景解决方案/选购指南文章</x:v>
      </x:c>
      <x:c r="N478" s="9" t="str">
        <x:v>Scenario angle: how to choose long lasting disposable vape 35k based on use case, flavor, nicotine, and budget</x:v>
      </x:c>
      <x:c r="O478" s="9" t="str">
        <x:v>/collections/disposable-vapes</x:v>
      </x:c>
      <x:c r="P478" s="9" t="str">
        <x:v>是</x:v>
      </x:c>
      <x:c r="Q478" s="9" t="str">
        <x:v>自然句/品类词</x:v>
      </x:c>
      <x:c r="R478" s="9" t="str">
        <x:v>低中风险：适合软性导流，但不要夸大效果或触碰健康疗效</x:v>
      </x:c>
      <x:c r="S478" s="9" t="str">
        <x:v>围绕使用场景、口味、尼古丁需求、便携性等写，不和主站品类页抢词。</x:v>
      </x:c>
      <x:c r="T478" s="38" t="n">
        <x:v>1</x:v>
      </x:c>
      <x:c r="U478" s="38" t="n">
        <x:v>15</x:v>
      </x:c>
      <x:c r="V478" s="38" t="n">
        <x:v>13</x:v>
      </x:c>
      <x:c r="W478" s="38" t="n">
        <x:v>14</x:v>
      </x:c>
      <x:c r="X478" s="38" t="n">
        <x:v>13</x:v>
      </x:c>
      <x:c r="Y478" s="38" t="n">
        <x:v>5</x:v>
      </x:c>
      <x:c r="Z478" s="38" t="n">
        <x:f>MAX(0,MIN(100,ROUND(((T478+U478+V478+W478+X478)-Y478)/85*100,0)))</x:f>
        <x:v>60</x:v>
      </x:c>
      <x:c r="AA478" s="9" t="str">
        <x:f>IF(L478="暂不做","P3 暂缓",IF(Z478&gt;=75,"P0 本周做",IF(Z478&gt;=60,"P1 近期做",IF(Z478&gt;=45,"P2 备选","P3 暂缓"))))</x:f>
        <x:v>P1 近期做</x:v>
      </x:c>
      <x:c r="AB478" s="9" t="str">
        <x:f>IF(Y478&gt;=15,"先做合规/相关性复核，不建议直接商业导流",IF(L478="主站","建/优化主站商业页",IF(L478="博客A-知识教程","写知识教程/FAQ文章",IF(L478="博客B-场景人群","写场景需求/选购指南文章",IF(L478="博客C-对比评测","写对比评测/榜单文章","暂不做或人工复核")))))</x:f>
        <x:v>写场景需求/选购指南文章</x:v>
      </x:c>
      <x:c r="AC478" s="9" t="str">
        <x:v>ExDivo INTERSTELLAR 35K Disposable Vape</x:v>
      </x:c>
      <x:c r="AD478" s="10" t="str">
        <x:v>35000 puffs</x:v>
      </x:c>
    </x:row>
    <x:row r="479">
      <x:c r="A479" s="34" t="n">
        <x:v>479</x:v>
      </x:c>
      <x:c r="B479" s="9" t="str">
        <x:v>https://exdivo.com/pages/age-verification</x:v>
      </x:c>
      <x:c r="C479" s="9" t="str">
        <x:v>age check for vape products</x:v>
      </x:c>
      <x:c r="D479" s="9" t="str">
        <x:v>recommended</x:v>
      </x:c>
      <x:c r="E479" s="36" t="n">
        <x:v>0</x:v>
      </x:c>
      <x:c r="F479" s="36" t="n">
        <x:v>0</x:v>
      </x:c>
      <x:c r="G479" s="9" t="str">
        <x:v>48</x:v>
      </x:c>
      <x:c r="H479" s="9" t="str">
        <x:v>合规科普</x:v>
      </x:c>
      <x:c r="I479" s="9" t="str">
        <x:v>合规/YMYL科普词</x:v>
      </x:c>
      <x:c r="J479" s="9" t="str">
        <x:v>博客A-知识教程</x:v>
      </x:c>
      <x:c r="K479" s="9" t="str"/>
      <x:c r="L479" s="9" t="str">
        <x:f>IF(K479="",J479,K479)</x:f>
        <x:v>博客A-知识教程</x:v>
      </x:c>
      <x:c r="M479" s="9" t="str">
        <x:v>合规/健康风险科普文章</x:v>
      </x:c>
      <x:c r="N479" s="9" t="str">
        <x:v>Guide angle: explain age check for vape products, answer common questions, and avoid sales-first writing</x:v>
      </x:c>
      <x:c r="O479" s="9" t="str">
        <x:v>无商业内链</x:v>
      </x:c>
      <x:c r="P479" s="9" t="str">
        <x:v>否</x:v>
      </x:c>
      <x:c r="Q479" s="9" t="str">
        <x:v>不导流</x:v>
      </x:c>
      <x:c r="R479" s="9" t="str">
        <x:v>高风险：健康、戒烟、法律等 YMYL 主题，不写疗效承诺，不直接卖货</x:v>
      </x:c>
      <x:c r="S479" s="9" t="str">
        <x:v>需要引用权威资料，语气中立；如果不能做到合规审核，暂缓。</x:v>
      </x:c>
      <x:c r="T479" s="38" t="n">
        <x:v>1</x:v>
      </x:c>
      <x:c r="U479" s="38" t="n">
        <x:v>15</x:v>
      </x:c>
      <x:c r="V479" s="38" t="n">
        <x:v>4</x:v>
      </x:c>
      <x:c r="W479" s="38" t="n">
        <x:v>10</x:v>
      </x:c>
      <x:c r="X479" s="38" t="n">
        <x:v>8</x:v>
      </x:c>
      <x:c r="Y479" s="38" t="n">
        <x:v>15</x:v>
      </x:c>
      <x:c r="Z479" s="38" t="n">
        <x:f>MAX(0,MIN(100,ROUND(((T479+U479+V479+W479+X479)-Y479)/85*100,0)))</x:f>
        <x:v>27</x:v>
      </x:c>
      <x:c r="AA479" s="9" t="str">
        <x:f>IF(L479="暂不做","P3 暂缓",IF(Z479&gt;=75,"P0 本周做",IF(Z479&gt;=60,"P1 近期做",IF(Z479&gt;=45,"P2 备选","P3 暂缓"))))</x:f>
        <x:v>P3 暂缓</x:v>
      </x:c>
      <x:c r="AB479" s="9" t="str">
        <x:f>IF(Y479&gt;=15,"先做合规/相关性复核，不建议直接商业导流",IF(L479="主站","建/优化主站商业页",IF(L479="博客A-知识教程","写知识教程/FAQ文章",IF(L479="博客B-场景人群","写场景需求/选购指南文章",IF(L479="博客C-对比评测","写对比评测/榜单文章","暂不做或人工复核")))))</x:f>
        <x:v>先做合规/相关性复核，不建议直接商业导流</x:v>
      </x:c>
      <x:c r="AC479" s="9" t="str">
        <x:v>Age Verification - ExDivo</x:v>
      </x:c>
      <x:c r="AD479" s="10" t="str">
        <x:v>age verification</x:v>
      </x:c>
    </x:row>
    <x:row r="480">
      <x:c r="A480" s="34" t="n">
        <x:v>480</x:v>
      </x:c>
      <x:c r="B480" s="9" t="str">
        <x:v>https://exdivo.com/pages/age-verification</x:v>
      </x:c>
      <x:c r="C480" s="9" t="str">
        <x:v>vape age verification</x:v>
      </x:c>
      <x:c r="D480" s="9" t="str">
        <x:v>recommended</x:v>
      </x:c>
      <x:c r="E480" s="36" t="n">
        <x:v>0</x:v>
      </x:c>
      <x:c r="F480" s="36" t="n">
        <x:v>0</x:v>
      </x:c>
      <x:c r="G480" s="9" t="str">
        <x:v>48</x:v>
      </x:c>
      <x:c r="H480" s="9" t="str">
        <x:v>合规科普</x:v>
      </x:c>
      <x:c r="I480" s="9" t="str">
        <x:v>合规/YMYL科普词</x:v>
      </x:c>
      <x:c r="J480" s="9" t="str">
        <x:v>博客A-知识教程</x:v>
      </x:c>
      <x:c r="K480" s="9" t="str"/>
      <x:c r="L480" s="9" t="str">
        <x:f>IF(K480="",J480,K480)</x:f>
        <x:v>博客A-知识教程</x:v>
      </x:c>
      <x:c r="M480" s="9" t="str">
        <x:v>合规/健康风险科普文章</x:v>
      </x:c>
      <x:c r="N480" s="9" t="str">
        <x:v>Guide angle: explain vape age verification, answer common questions, and avoid sales-first writing</x:v>
      </x:c>
      <x:c r="O480" s="9" t="str">
        <x:v>无商业内链</x:v>
      </x:c>
      <x:c r="P480" s="9" t="str">
        <x:v>否</x:v>
      </x:c>
      <x:c r="Q480" s="9" t="str">
        <x:v>不导流</x:v>
      </x:c>
      <x:c r="R480" s="9" t="str">
        <x:v>高风险：健康、戒烟、法律等 YMYL 主题，不写疗效承诺，不直接卖货</x:v>
      </x:c>
      <x:c r="S480" s="9" t="str">
        <x:v>需要引用权威资料，语气中立；如果不能做到合规审核，暂缓。</x:v>
      </x:c>
      <x:c r="T480" s="38" t="n">
        <x:v>1</x:v>
      </x:c>
      <x:c r="U480" s="38" t="n">
        <x:v>15</x:v>
      </x:c>
      <x:c r="V480" s="38" t="n">
        <x:v>4</x:v>
      </x:c>
      <x:c r="W480" s="38" t="n">
        <x:v>10</x:v>
      </x:c>
      <x:c r="X480" s="38" t="n">
        <x:v>8</x:v>
      </x:c>
      <x:c r="Y480" s="38" t="n">
        <x:v>15</x:v>
      </x:c>
      <x:c r="Z480" s="38" t="n">
        <x:f>MAX(0,MIN(100,ROUND(((T480+U480+V480+W480+X480)-Y480)/85*100,0)))</x:f>
        <x:v>27</x:v>
      </x:c>
      <x:c r="AA480" s="9" t="str">
        <x:f>IF(L480="暂不做","P3 暂缓",IF(Z480&gt;=75,"P0 本周做",IF(Z480&gt;=60,"P1 近期做",IF(Z480&gt;=45,"P2 备选","P3 暂缓"))))</x:f>
        <x:v>P3 暂缓</x:v>
      </x:c>
      <x:c r="AB480" s="9" t="str">
        <x:f>IF(Y480&gt;=15,"先做合规/相关性复核，不建议直接商业导流",IF(L480="主站","建/优化主站商业页",IF(L480="博客A-知识教程","写知识教程/FAQ文章",IF(L480="博客B-场景人群","写场景需求/选购指南文章",IF(L480="博客C-对比评测","写对比评测/榜单文章","暂不做或人工复核")))))</x:f>
        <x:v>先做合规/相关性复核，不建议直接商业导流</x:v>
      </x:c>
      <x:c r="AC480" s="9" t="str">
        <x:v>Age Verification - ExDivo</x:v>
      </x:c>
      <x:c r="AD480" s="10" t="str">
        <x:v>age verification</x:v>
      </x:c>
    </x:row>
    <x:row r="481">
      <x:c r="A481" s="34" t="n">
        <x:v>481</x:v>
      </x:c>
      <x:c r="B481" s="9" t="str">
        <x:v>https://exdivo.com/pages/age-verification</x:v>
      </x:c>
      <x:c r="C481" s="9" t="str">
        <x:v>vape purchase age limit</x:v>
      </x:c>
      <x:c r="D481" s="9" t="str">
        <x:v>recommended</x:v>
      </x:c>
      <x:c r="E481" s="36" t="n">
        <x:v>0</x:v>
      </x:c>
      <x:c r="F481" s="36" t="n">
        <x:v>0</x:v>
      </x:c>
      <x:c r="G481" s="9" t="str">
        <x:v>48</x:v>
      </x:c>
      <x:c r="H481" s="9" t="str">
        <x:v>合规科普</x:v>
      </x:c>
      <x:c r="I481" s="9" t="str">
        <x:v>合规/YMYL科普词</x:v>
      </x:c>
      <x:c r="J481" s="9" t="str">
        <x:v>博客A-知识教程</x:v>
      </x:c>
      <x:c r="K481" s="9" t="str"/>
      <x:c r="L481" s="9" t="str">
        <x:f>IF(K481="",J481,K481)</x:f>
        <x:v>博客A-知识教程</x:v>
      </x:c>
      <x:c r="M481" s="9" t="str">
        <x:v>合规/健康风险科普文章</x:v>
      </x:c>
      <x:c r="N481" s="9" t="str">
        <x:v>Guide angle: explain vape purchase age limit, answer common questions, and avoid sales-first writing</x:v>
      </x:c>
      <x:c r="O481" s="9" t="str">
        <x:v>无商业内链</x:v>
      </x:c>
      <x:c r="P481" s="9" t="str">
        <x:v>否</x:v>
      </x:c>
      <x:c r="Q481" s="9" t="str">
        <x:v>不导流</x:v>
      </x:c>
      <x:c r="R481" s="9" t="str">
        <x:v>高风险：健康、戒烟、法律等 YMYL 主题，不写疗效承诺，不直接卖货</x:v>
      </x:c>
      <x:c r="S481" s="9" t="str">
        <x:v>需要引用权威资料，语气中立；如果不能做到合规审核，暂缓。</x:v>
      </x:c>
      <x:c r="T481" s="38" t="n">
        <x:v>1</x:v>
      </x:c>
      <x:c r="U481" s="38" t="n">
        <x:v>15</x:v>
      </x:c>
      <x:c r="V481" s="38" t="n">
        <x:v>4</x:v>
      </x:c>
      <x:c r="W481" s="38" t="n">
        <x:v>10</x:v>
      </x:c>
      <x:c r="X481" s="38" t="n">
        <x:v>8</x:v>
      </x:c>
      <x:c r="Y481" s="38" t="n">
        <x:v>15</x:v>
      </x:c>
      <x:c r="Z481" s="38" t="n">
        <x:f>MAX(0,MIN(100,ROUND(((T481+U481+V481+W481+X481)-Y481)/85*100,0)))</x:f>
        <x:v>27</x:v>
      </x:c>
      <x:c r="AA481" s="9" t="str">
        <x:f>IF(L481="暂不做","P3 暂缓",IF(Z481&gt;=75,"P0 本周做",IF(Z481&gt;=60,"P1 近期做",IF(Z481&gt;=45,"P2 备选","P3 暂缓"))))</x:f>
        <x:v>P3 暂缓</x:v>
      </x:c>
      <x:c r="AB481" s="9" t="str">
        <x:f>IF(Y481&gt;=15,"先做合规/相关性复核，不建议直接商业导流",IF(L481="主站","建/优化主站商业页",IF(L481="博客A-知识教程","写知识教程/FAQ文章",IF(L481="博客B-场景人群","写场景需求/选购指南文章",IF(L481="博客C-对比评测","写对比评测/榜单文章","暂不做或人工复核")))))</x:f>
        <x:v>先做合规/相关性复核，不建议直接商业导流</x:v>
      </x:c>
      <x:c r="AC481" s="9" t="str">
        <x:v>Age Verification - ExDivo</x:v>
      </x:c>
      <x:c r="AD481" s="10" t="str">
        <x:v>age verification</x:v>
      </x:c>
    </x:row>
    <x:row r="482">
      <x:c r="A482" s="34" t="n">
        <x:v>482</x:v>
      </x:c>
      <x:c r="B482" s="9" t="str">
        <x:v>https://exdivo.com/pages/age-verification</x:v>
      </x:c>
      <x:c r="C482" s="9" t="str">
        <x:v>online vape store age requirement</x:v>
      </x:c>
      <x:c r="D482" s="9" t="str">
        <x:v>recommended</x:v>
      </x:c>
      <x:c r="E482" s="36" t="n">
        <x:v>0</x:v>
      </x:c>
      <x:c r="F482" s="36" t="n">
        <x:v>0</x:v>
      </x:c>
      <x:c r="G482" s="9" t="str">
        <x:v>48</x:v>
      </x:c>
      <x:c r="H482" s="9" t="str">
        <x:v>合规科普</x:v>
      </x:c>
      <x:c r="I482" s="9" t="str">
        <x:v>合规/YMYL科普词</x:v>
      </x:c>
      <x:c r="J482" s="9" t="str">
        <x:v>博客A-知识教程</x:v>
      </x:c>
      <x:c r="K482" s="9" t="str"/>
      <x:c r="L482" s="9" t="str">
        <x:f>IF(K482="",J482,K482)</x:f>
        <x:v>博客A-知识教程</x:v>
      </x:c>
      <x:c r="M482" s="9" t="str">
        <x:v>合规/健康风险科普文章</x:v>
      </x:c>
      <x:c r="N482" s="9" t="str">
        <x:v>Guide angle: explain online vape store age requirement, answer common questions, and avoid sales-first writing</x:v>
      </x:c>
      <x:c r="O482" s="9" t="str">
        <x:v>无商业内链</x:v>
      </x:c>
      <x:c r="P482" s="9" t="str">
        <x:v>否</x:v>
      </x:c>
      <x:c r="Q482" s="9" t="str">
        <x:v>不导流</x:v>
      </x:c>
      <x:c r="R482" s="9" t="str">
        <x:v>高风险：健康、戒烟、法律等 YMYL 主题，不写疗效承诺，不直接卖货</x:v>
      </x:c>
      <x:c r="S482" s="9" t="str">
        <x:v>需要引用权威资料，语气中立；如果不能做到合规审核，暂缓。</x:v>
      </x:c>
      <x:c r="T482" s="38" t="n">
        <x:v>1</x:v>
      </x:c>
      <x:c r="U482" s="38" t="n">
        <x:v>15</x:v>
      </x:c>
      <x:c r="V482" s="38" t="n">
        <x:v>4</x:v>
      </x:c>
      <x:c r="W482" s="38" t="n">
        <x:v>10</x:v>
      </x:c>
      <x:c r="X482" s="38" t="n">
        <x:v>8</x:v>
      </x:c>
      <x:c r="Y482" s="38" t="n">
        <x:v>15</x:v>
      </x:c>
      <x:c r="Z482" s="38" t="n">
        <x:f>MAX(0,MIN(100,ROUND(((T482+U482+V482+W482+X482)-Y482)/85*100,0)))</x:f>
        <x:v>27</x:v>
      </x:c>
      <x:c r="AA482" s="9" t="str">
        <x:f>IF(L482="暂不做","P3 暂缓",IF(Z482&gt;=75,"P0 本周做",IF(Z482&gt;=60,"P1 近期做",IF(Z482&gt;=45,"P2 备选","P3 暂缓"))))</x:f>
        <x:v>P3 暂缓</x:v>
      </x:c>
      <x:c r="AB482" s="9" t="str">
        <x:f>IF(Y482&gt;=15,"先做合规/相关性复核，不建议直接商业导流",IF(L482="主站","建/优化主站商业页",IF(L482="博客A-知识教程","写知识教程/FAQ文章",IF(L482="博客B-场景人群","写场景需求/选购指南文章",IF(L482="博客C-对比评测","写对比评测/榜单文章","暂不做或人工复核")))))</x:f>
        <x:v>先做合规/相关性复核，不建议直接商业导流</x:v>
      </x:c>
      <x:c r="AC482" s="9" t="str">
        <x:v>Age Verification - ExDivo</x:v>
      </x:c>
      <x:c r="AD482" s="10" t="str">
        <x:v>age verification</x:v>
      </x:c>
    </x:row>
    <x:row r="483">
      <x:c r="A483" s="34" t="n">
        <x:v>483</x:v>
      </x:c>
      <x:c r="B483" s="9" t="str">
        <x:v>https://exdivo.com/pages/age-verification</x:v>
      </x:c>
      <x:c r="C483" s="9" t="str">
        <x:v>what age can u buy a vape</x:v>
      </x:c>
      <x:c r="D483" s="9" t="str">
        <x:v>recommended</x:v>
      </x:c>
      <x:c r="E483" s="36" t="n">
        <x:v>50</x:v>
      </x:c>
      <x:c r="F483" s="36" t="n">
        <x:v>17</x:v>
      </x:c>
      <x:c r="G483" s="9" t="str">
        <x:v>informational</x:v>
      </x:c>
      <x:c r="H483" s="9" t="str">
        <x:v>合规科普</x:v>
      </x:c>
      <x:c r="I483" s="9" t="str">
        <x:v>合规/YMYL科普词</x:v>
      </x:c>
      <x:c r="J483" s="9" t="str">
        <x:v>博客A-知识教程</x:v>
      </x:c>
      <x:c r="K483" s="9" t="str"/>
      <x:c r="L483" s="9" t="str">
        <x:f>IF(K483="",J483,K483)</x:f>
        <x:v>博客A-知识教程</x:v>
      </x:c>
      <x:c r="M483" s="9" t="str">
        <x:v>合规/健康风险科普文章</x:v>
      </x:c>
      <x:c r="N483" s="9" t="str">
        <x:v>Guide angle: explain what age can u buy a vape, answer common questions, and avoid sales-first writing</x:v>
      </x:c>
      <x:c r="O483" s="9" t="str">
        <x:v>无商业内链</x:v>
      </x:c>
      <x:c r="P483" s="9" t="str">
        <x:v>否</x:v>
      </x:c>
      <x:c r="Q483" s="9" t="str">
        <x:v>不导流</x:v>
      </x:c>
      <x:c r="R483" s="9" t="str">
        <x:v>高风险：健康、戒烟、法律等 YMYL 主题，不写疗效承诺，不直接卖货</x:v>
      </x:c>
      <x:c r="S483" s="9" t="str">
        <x:v>需要引用权威资料，语气中立；如果不能做到合规审核，暂缓。</x:v>
      </x:c>
      <x:c r="T483" s="38" t="n">
        <x:v>4</x:v>
      </x:c>
      <x:c r="U483" s="38" t="n">
        <x:v>12</x:v>
      </x:c>
      <x:c r="V483" s="38" t="n">
        <x:v>4</x:v>
      </x:c>
      <x:c r="W483" s="38" t="n">
        <x:v>10</x:v>
      </x:c>
      <x:c r="X483" s="38" t="n">
        <x:v>8</x:v>
      </x:c>
      <x:c r="Y483" s="38" t="n">
        <x:v>15</x:v>
      </x:c>
      <x:c r="Z483" s="38" t="n">
        <x:f>MAX(0,MIN(100,ROUND(((T483+U483+V483+W483+X483)-Y483)/85*100,0)))</x:f>
        <x:v>27</x:v>
      </x:c>
      <x:c r="AA483" s="9" t="str">
        <x:f>IF(L483="暂不做","P3 暂缓",IF(Z483&gt;=75,"P0 本周做",IF(Z483&gt;=60,"P1 近期做",IF(Z483&gt;=45,"P2 备选","P3 暂缓"))))</x:f>
        <x:v>P3 暂缓</x:v>
      </x:c>
      <x:c r="AB483" s="9" t="str">
        <x:f>IF(Y483&gt;=15,"先做合规/相关性复核，不建议直接商业导流",IF(L483="主站","建/优化主站商业页",IF(L483="博客A-知识教程","写知识教程/FAQ文章",IF(L483="博客B-场景人群","写场景需求/选购指南文章",IF(L483="博客C-对比评测","写对比评测/榜单文章","暂不做或人工复核")))))</x:f>
        <x:v>先做合规/相关性复核，不建议直接商业导流</x:v>
      </x:c>
      <x:c r="AC483" s="9" t="str">
        <x:v>Age Verification - ExDivo</x:v>
      </x:c>
      <x:c r="AD483" s="10" t="str">
        <x:v>age verification</x:v>
      </x:c>
    </x:row>
    <x:row r="484">
      <x:c r="A484" s="34" t="n">
        <x:v>484</x:v>
      </x:c>
      <x:c r="B484" s="9" t="str">
        <x:v>https://exdivo.com/pages/age-verification</x:v>
      </x:c>
      <x:c r="C484" s="9" t="str">
        <x:v>legal vape age</x:v>
      </x:c>
      <x:c r="D484" s="9" t="str">
        <x:v>recommended</x:v>
      </x:c>
      <x:c r="E484" s="36" t="n">
        <x:v>170</x:v>
      </x:c>
      <x:c r="F484" s="36" t="n">
        <x:v>32</x:v>
      </x:c>
      <x:c r="G484" s="9" t="str">
        <x:v>informational, commercial</x:v>
      </x:c>
      <x:c r="H484" s="9" t="str">
        <x:v>合规科普</x:v>
      </x:c>
      <x:c r="I484" s="9" t="str">
        <x:v>合规/YMYL科普词</x:v>
      </x:c>
      <x:c r="J484" s="9" t="str">
        <x:v>博客A-知识教程</x:v>
      </x:c>
      <x:c r="K484" s="9" t="str"/>
      <x:c r="L484" s="9" t="str">
        <x:f>IF(K484="",J484,K484)</x:f>
        <x:v>博客A-知识教程</x:v>
      </x:c>
      <x:c r="M484" s="9" t="str">
        <x:v>合规/健康风险科普文章</x:v>
      </x:c>
      <x:c r="N484" s="9" t="str">
        <x:v>Guide angle: explain legal vape age, answer common questions, and avoid sales-first writing</x:v>
      </x:c>
      <x:c r="O484" s="9" t="str">
        <x:v>无商业内链</x:v>
      </x:c>
      <x:c r="P484" s="9" t="str">
        <x:v>否</x:v>
      </x:c>
      <x:c r="Q484" s="9" t="str">
        <x:v>不导流</x:v>
      </x:c>
      <x:c r="R484" s="9" t="str">
        <x:v>高风险：健康、戒烟、法律等 YMYL 主题，不写疗效承诺，不直接卖货</x:v>
      </x:c>
      <x:c r="S484" s="9" t="str">
        <x:v>需要引用权威资料，语气中立；如果不能做到合规审核，暂缓。</x:v>
      </x:c>
      <x:c r="T484" s="38" t="n">
        <x:v>7</x:v>
      </x:c>
      <x:c r="U484" s="38" t="n">
        <x:v>9</x:v>
      </x:c>
      <x:c r="V484" s="38" t="n">
        <x:v>4</x:v>
      </x:c>
      <x:c r="W484" s="38" t="n">
        <x:v>10</x:v>
      </x:c>
      <x:c r="X484" s="38" t="n">
        <x:v>8</x:v>
      </x:c>
      <x:c r="Y484" s="38" t="n">
        <x:v>15</x:v>
      </x:c>
      <x:c r="Z484" s="38" t="n">
        <x:f>MAX(0,MIN(100,ROUND(((T484+U484+V484+W484+X484)-Y484)/85*100,0)))</x:f>
        <x:v>27</x:v>
      </x:c>
      <x:c r="AA484" s="9" t="str">
        <x:f>IF(L484="暂不做","P3 暂缓",IF(Z484&gt;=75,"P0 本周做",IF(Z484&gt;=60,"P1 近期做",IF(Z484&gt;=45,"P2 备选","P3 暂缓"))))</x:f>
        <x:v>P3 暂缓</x:v>
      </x:c>
      <x:c r="AB484" s="9" t="str">
        <x:f>IF(Y484&gt;=15,"先做合规/相关性复核，不建议直接商业导流",IF(L484="主站","建/优化主站商业页",IF(L484="博客A-知识教程","写知识教程/FAQ文章",IF(L484="博客B-场景人群","写场景需求/选购指南文章",IF(L484="博客C-对比评测","写对比评测/榜单文章","暂不做或人工复核")))))</x:f>
        <x:v>先做合规/相关性复核，不建议直接商业导流</x:v>
      </x:c>
      <x:c r="AC484" s="9" t="str">
        <x:v>Age Verification - ExDivo</x:v>
      </x:c>
      <x:c r="AD484" s="10" t="str">
        <x:v>age verification</x:v>
      </x:c>
    </x:row>
    <x:row r="485">
      <x:c r="A485" s="34" t="n">
        <x:v>485</x:v>
      </x:c>
      <x:c r="B485" s="9" t="str">
        <x:v>https://exdivo.com/pages/age-verification</x:v>
      </x:c>
      <x:c r="C485" s="9" t="str">
        <x:v>legal age to vape</x:v>
      </x:c>
      <x:c r="D485" s="9" t="str">
        <x:v>recommended</x:v>
      </x:c>
      <x:c r="E485" s="36" t="n">
        <x:v>590</x:v>
      </x:c>
      <x:c r="F485" s="36" t="n">
        <x:v>34</x:v>
      </x:c>
      <x:c r="G485" s="9" t="str">
        <x:v>commercial</x:v>
      </x:c>
      <x:c r="H485" s="9" t="str">
        <x:v>合规科普</x:v>
      </x:c>
      <x:c r="I485" s="9" t="str">
        <x:v>合规/YMYL科普词</x:v>
      </x:c>
      <x:c r="J485" s="9" t="str">
        <x:v>博客A-知识教程</x:v>
      </x:c>
      <x:c r="K485" s="9" t="str"/>
      <x:c r="L485" s="9" t="str">
        <x:f>IF(K485="",J485,K485)</x:f>
        <x:v>博客A-知识教程</x:v>
      </x:c>
      <x:c r="M485" s="9" t="str">
        <x:v>合规/健康风险科普文章</x:v>
      </x:c>
      <x:c r="N485" s="9" t="str">
        <x:v>Guide angle: explain legal age to vape, answer common questions, and avoid sales-first writing</x:v>
      </x:c>
      <x:c r="O485" s="9" t="str">
        <x:v>无商业内链</x:v>
      </x:c>
      <x:c r="P485" s="9" t="str">
        <x:v>否</x:v>
      </x:c>
      <x:c r="Q485" s="9" t="str">
        <x:v>不导流</x:v>
      </x:c>
      <x:c r="R485" s="9" t="str">
        <x:v>高风险：健康、戒烟、法律等 YMYL 主题，不写疗效承诺，不直接卖货</x:v>
      </x:c>
      <x:c r="S485" s="9" t="str">
        <x:v>需要引用权威资料，语气中立；如果不能做到合规审核，暂缓。</x:v>
      </x:c>
      <x:c r="T485" s="38" t="n">
        <x:v>10</x:v>
      </x:c>
      <x:c r="U485" s="38" t="n">
        <x:v>9</x:v>
      </x:c>
      <x:c r="V485" s="38" t="n">
        <x:v>4</x:v>
      </x:c>
      <x:c r="W485" s="38" t="n">
        <x:v>10</x:v>
      </x:c>
      <x:c r="X485" s="38" t="n">
        <x:v>8</x:v>
      </x:c>
      <x:c r="Y485" s="38" t="n">
        <x:v>15</x:v>
      </x:c>
      <x:c r="Z485" s="38" t="n">
        <x:f>MAX(0,MIN(100,ROUND(((T485+U485+V485+W485+X485)-Y485)/85*100,0)))</x:f>
        <x:v>31</x:v>
      </x:c>
      <x:c r="AA485" s="9" t="str">
        <x:f>IF(L485="暂不做","P3 暂缓",IF(Z485&gt;=75,"P0 本周做",IF(Z485&gt;=60,"P1 近期做",IF(Z485&gt;=45,"P2 备选","P3 暂缓"))))</x:f>
        <x:v>P3 暂缓</x:v>
      </x:c>
      <x:c r="AB485" s="9" t="str">
        <x:f>IF(Y485&gt;=15,"先做合规/相关性复核，不建议直接商业导流",IF(L485="主站","建/优化主站商业页",IF(L485="博客A-知识教程","写知识教程/FAQ文章",IF(L485="博客B-场景人群","写场景需求/选购指南文章",IF(L485="博客C-对比评测","写对比评测/榜单文章","暂不做或人工复核")))))</x:f>
        <x:v>先做合规/相关性复核，不建议直接商业导流</x:v>
      </x:c>
      <x:c r="AC485" s="9" t="str">
        <x:v>Age Verification - ExDivo</x:v>
      </x:c>
      <x:c r="AD485" s="10" t="str">
        <x:v>age verification</x:v>
      </x:c>
    </x:row>
    <x:row r="486">
      <x:c r="A486" s="34" t="n">
        <x:v>486</x:v>
      </x:c>
      <x:c r="B486" s="9" t="str">
        <x:v>https://exdivo.com/pages/age-verification</x:v>
      </x:c>
      <x:c r="C486" s="9" t="str">
        <x:v>vape age limit</x:v>
      </x:c>
      <x:c r="D486" s="9" t="str">
        <x:v>recommended</x:v>
      </x:c>
      <x:c r="E486" s="36" t="n">
        <x:v>140</x:v>
      </x:c>
      <x:c r="F486" s="36" t="n">
        <x:v>35</x:v>
      </x:c>
      <x:c r="G486" s="9" t="str">
        <x:v>informational, commercial</x:v>
      </x:c>
      <x:c r="H486" s="9" t="str">
        <x:v>合规科普</x:v>
      </x:c>
      <x:c r="I486" s="9" t="str">
        <x:v>合规/YMYL科普词</x:v>
      </x:c>
      <x:c r="J486" s="9" t="str">
        <x:v>博客A-知识教程</x:v>
      </x:c>
      <x:c r="K486" s="9" t="str"/>
      <x:c r="L486" s="9" t="str">
        <x:f>IF(K486="",J486,K486)</x:f>
        <x:v>博客A-知识教程</x:v>
      </x:c>
      <x:c r="M486" s="9" t="str">
        <x:v>合规/健康风险科普文章</x:v>
      </x:c>
      <x:c r="N486" s="9" t="str">
        <x:v>Guide angle: explain vape age limit, answer common questions, and avoid sales-first writing</x:v>
      </x:c>
      <x:c r="O486" s="9" t="str">
        <x:v>无商业内链</x:v>
      </x:c>
      <x:c r="P486" s="9" t="str">
        <x:v>否</x:v>
      </x:c>
      <x:c r="Q486" s="9" t="str">
        <x:v>不导流</x:v>
      </x:c>
      <x:c r="R486" s="9" t="str">
        <x:v>高风险：健康、戒烟、法律等 YMYL 主题，不写疗效承诺，不直接卖货</x:v>
      </x:c>
      <x:c r="S486" s="9" t="str">
        <x:v>需要引用权威资料，语气中立；如果不能做到合规审核，暂缓。</x:v>
      </x:c>
      <x:c r="T486" s="38" t="n">
        <x:v>7</x:v>
      </x:c>
      <x:c r="U486" s="38" t="n">
        <x:v>9</x:v>
      </x:c>
      <x:c r="V486" s="38" t="n">
        <x:v>4</x:v>
      </x:c>
      <x:c r="W486" s="38" t="n">
        <x:v>10</x:v>
      </x:c>
      <x:c r="X486" s="38" t="n">
        <x:v>8</x:v>
      </x:c>
      <x:c r="Y486" s="38" t="n">
        <x:v>15</x:v>
      </x:c>
      <x:c r="Z486" s="38" t="n">
        <x:f>MAX(0,MIN(100,ROUND(((T486+U486+V486+W486+X486)-Y486)/85*100,0)))</x:f>
        <x:v>27</x:v>
      </x:c>
      <x:c r="AA486" s="9" t="str">
        <x:f>IF(L486="暂不做","P3 暂缓",IF(Z486&gt;=75,"P0 本周做",IF(Z486&gt;=60,"P1 近期做",IF(Z486&gt;=45,"P2 备选","P3 暂缓"))))</x:f>
        <x:v>P3 暂缓</x:v>
      </x:c>
      <x:c r="AB486" s="9" t="str">
        <x:f>IF(Y486&gt;=15,"先做合规/相关性复核，不建议直接商业导流",IF(L486="主站","建/优化主站商业页",IF(L486="博客A-知识教程","写知识教程/FAQ文章",IF(L486="博客B-场景人群","写场景需求/选购指南文章",IF(L486="博客C-对比评测","写对比评测/榜单文章","暂不做或人工复核")))))</x:f>
        <x:v>先做合规/相关性复核，不建议直接商业导流</x:v>
      </x:c>
      <x:c r="AC486" s="9" t="str">
        <x:v>Age Verification - ExDivo</x:v>
      </x:c>
      <x:c r="AD486" s="10" t="str">
        <x:v>age verification</x:v>
      </x:c>
    </x:row>
    <x:row r="487">
      <x:c r="A487" s="34" t="n">
        <x:v>487</x:v>
      </x:c>
      <x:c r="B487" s="9" t="str">
        <x:v>https://exdivo.com/pages/age-verification</x:v>
      </x:c>
      <x:c r="C487" s="9" t="str">
        <x:v>how old do you have to buy a vape</x:v>
      </x:c>
      <x:c r="D487" s="9" t="str">
        <x:v>recommended</x:v>
      </x:c>
      <x:c r="E487" s="36" t="n">
        <x:v>260</x:v>
      </x:c>
      <x:c r="F487" s="36" t="n">
        <x:v>35</x:v>
      </x:c>
      <x:c r="G487" s="9" t="str">
        <x:v>informational</x:v>
      </x:c>
      <x:c r="H487" s="9" t="str">
        <x:v>知识教程</x:v>
      </x:c>
      <x:c r="I487" s="9" t="str">
        <x:v>交易词</x:v>
      </x:c>
      <x:c r="J487" s="9" t="str">
        <x:v>主站</x:v>
      </x:c>
      <x:c r="K487" s="9" t="str"/>
      <x:c r="L487" s="9" t="str">
        <x:f>IF(K487="",J487,K487)</x:f>
        <x:v>主站</x:v>
      </x:c>
      <x:c r="M487" s="9" t="str">
        <x:v>产品集合页/分类页/购买页</x:v>
      </x:c>
      <x:c r="N487" s="9" t="str">
        <x:v>主站商业页：标题围绕购买意图 + 品类 + 关键卖点</x:v>
      </x:c>
      <x:c r="O487" s="9" t="str">
        <x:v>/collections/disposable-vapes</x:v>
      </x:c>
      <x:c r="P487" s="9" t="str">
        <x:v>不适用</x:v>
      </x:c>
      <x:c r="Q487" s="9" t="str">
        <x:v>主站页面自身承接</x:v>
      </x:c>
      <x:c r="R487" s="9" t="str">
        <x:v>商业词：优先给主站，避免博客抢主站排名</x:v>
      </x:c>
      <x:c r="S487" s="9" t="str">
        <x:v>SERP 如为商品列表/品牌站/电商集合页，就建主站页面；若 SERP 全是教程，再拆支持文章。</x:v>
      </x:c>
      <x:c r="T487" s="38" t="n">
        <x:v>7</x:v>
      </x:c>
      <x:c r="U487" s="38" t="n">
        <x:v>9</x:v>
      </x:c>
      <x:c r="V487" s="38" t="n">
        <x:v>20</x:v>
      </x:c>
      <x:c r="W487" s="38" t="n">
        <x:v>7</x:v>
      </x:c>
      <x:c r="X487" s="38" t="n">
        <x:v>15</x:v>
      </x:c>
      <x:c r="Y487" s="38" t="n">
        <x:v>4</x:v>
      </x:c>
      <x:c r="Z487" s="38" t="n">
        <x:f>MAX(0,MIN(100,ROUND(((T487+U487+V487+W487+X487)-Y487)/85*100,0)))</x:f>
        <x:v>64</x:v>
      </x:c>
      <x:c r="AA487" s="9" t="str">
        <x:f>IF(L487="暂不做","P3 暂缓",IF(Z487&gt;=75,"P0 本周做",IF(Z487&gt;=60,"P1 近期做",IF(Z487&gt;=45,"P2 备选","P3 暂缓"))))</x:f>
        <x:v>P1 近期做</x:v>
      </x:c>
      <x:c r="AB487" s="9" t="str">
        <x:f>IF(Y487&gt;=15,"先做合规/相关性复核，不建议直接商业导流",IF(L487="主站","建/优化主站商业页",IF(L487="博客A-知识教程","写知识教程/FAQ文章",IF(L487="博客B-场景人群","写场景需求/选购指南文章",IF(L487="博客C-对比评测","写对比评测/榜单文章","暂不做或人工复核")))))</x:f>
        <x:v>建/优化主站商业页</x:v>
      </x:c>
      <x:c r="AC487" s="9" t="str">
        <x:v>Age Verification - ExDivo</x:v>
      </x:c>
      <x:c r="AD487" s="10" t="str">
        <x:v>age verification</x:v>
      </x:c>
    </x:row>
    <x:row r="488">
      <x:c r="A488" s="34" t="n">
        <x:v>488</x:v>
      </x:c>
      <x:c r="B488" s="9" t="str">
        <x:v>https://exdivo.com/pages/age-verification</x:v>
      </x:c>
      <x:c r="C488" s="9" t="str">
        <x:v>how old do you have to vape</x:v>
      </x:c>
      <x:c r="D488" s="9" t="str">
        <x:v>recommended</x:v>
      </x:c>
      <x:c r="E488" s="36" t="n">
        <x:v>260</x:v>
      </x:c>
      <x:c r="F488" s="36" t="n">
        <x:v>35</x:v>
      </x:c>
      <x:c r="G488" s="9" t="str">
        <x:v>informational</x:v>
      </x:c>
      <x:c r="H488" s="9" t="str">
        <x:v>知识教程</x:v>
      </x:c>
      <x:c r="I488" s="9" t="str">
        <x:v>知识/教程词</x:v>
      </x:c>
      <x:c r="J488" s="9" t="str">
        <x:v>博客A-知识教程</x:v>
      </x:c>
      <x:c r="K488" s="9" t="str"/>
      <x:c r="L488" s="9" t="str">
        <x:f>IF(K488="",J488,K488)</x:f>
        <x:v>博客A-知识教程</x:v>
      </x:c>
      <x:c r="M488" s="9" t="str">
        <x:v>百科/How-to/FAQ文章</x:v>
      </x:c>
      <x:c r="N488" s="9" t="str">
        <x:v>Guide angle: explain how old do you have to vape, answer common questions, and avoid sales-first writing</x:v>
      </x:c>
      <x:c r="O488" s="9" t="str">
        <x:v>/collections/disposable-vapes</x:v>
      </x:c>
      <x:c r="P488" s="9" t="str">
        <x:v>谨慎</x:v>
      </x:c>
      <x:c r="Q488" s="9" t="str">
        <x:v>自然句/品牌词</x:v>
      </x:c>
      <x:c r="R488" s="9" t="str">
        <x:v>低中风险：先满足信息意图，导流要克制</x:v>
      </x:c>
      <x:c r="S488" s="9" t="str">
        <x:v>如果文章能自然回答下一步购买问题，再放 1 个主站内链；否则只做知识闭环。</x:v>
      </x:c>
      <x:c r="T488" s="38" t="n">
        <x:v>7</x:v>
      </x:c>
      <x:c r="U488" s="38" t="n">
        <x:v>9</x:v>
      </x:c>
      <x:c r="V488" s="38" t="n">
        <x:v>9</x:v>
      </x:c>
      <x:c r="W488" s="38" t="n">
        <x:v>14</x:v>
      </x:c>
      <x:c r="X488" s="38" t="n">
        <x:v>12</x:v>
      </x:c>
      <x:c r="Y488" s="38" t="n">
        <x:v>5</x:v>
      </x:c>
      <x:c r="Z488" s="38" t="n">
        <x:f>MAX(0,MIN(100,ROUND(((T488+U488+V488+W488+X488)-Y488)/85*100,0)))</x:f>
        <x:v>54</x:v>
      </x:c>
      <x:c r="AA488" s="9" t="str">
        <x:f>IF(L488="暂不做","P3 暂缓",IF(Z488&gt;=75,"P0 本周做",IF(Z488&gt;=60,"P1 近期做",IF(Z488&gt;=45,"P2 备选","P3 暂缓"))))</x:f>
        <x:v>P2 备选</x:v>
      </x:c>
      <x:c r="AB488" s="9" t="str">
        <x:f>IF(Y488&gt;=15,"先做合规/相关性复核，不建议直接商业导流",IF(L488="主站","建/优化主站商业页",IF(L488="博客A-知识教程","写知识教程/FAQ文章",IF(L488="博客B-场景人群","写场景需求/选购指南文章",IF(L488="博客C-对比评测","写对比评测/榜单文章","暂不做或人工复核")))))</x:f>
        <x:v>写知识教程/FAQ文章</x:v>
      </x:c>
      <x:c r="AC488" s="9" t="str">
        <x:v>Age Verification - ExDivo</x:v>
      </x:c>
      <x:c r="AD488" s="10" t="str">
        <x:v>age verification</x:v>
      </x:c>
    </x:row>
    <x:row r="489">
      <x:c r="A489" s="34" t="n">
        <x:v>489</x:v>
      </x:c>
      <x:c r="B489" s="9" t="str">
        <x:v>https://exdivo.com/pages/age-verification</x:v>
      </x:c>
      <x:c r="C489" s="9" t="str">
        <x:v>vaping age limit</x:v>
      </x:c>
      <x:c r="D489" s="9" t="str">
        <x:v>recommended</x:v>
      </x:c>
      <x:c r="E489" s="36" t="n">
        <x:v>70</x:v>
      </x:c>
      <x:c r="F489" s="36" t="n">
        <x:v>36</x:v>
      </x:c>
      <x:c r="G489" s="9" t="str">
        <x:v>informational, commercial</x:v>
      </x:c>
      <x:c r="H489" s="9" t="str">
        <x:v>合规科普</x:v>
      </x:c>
      <x:c r="I489" s="9" t="str">
        <x:v>合规/YMYL科普词</x:v>
      </x:c>
      <x:c r="J489" s="9" t="str">
        <x:v>博客A-知识教程</x:v>
      </x:c>
      <x:c r="K489" s="9" t="str"/>
      <x:c r="L489" s="9" t="str">
        <x:f>IF(K489="",J489,K489)</x:f>
        <x:v>博客A-知识教程</x:v>
      </x:c>
      <x:c r="M489" s="9" t="str">
        <x:v>合规/健康风险科普文章</x:v>
      </x:c>
      <x:c r="N489" s="9" t="str">
        <x:v>Guide angle: explain vaping age limit, answer common questions, and avoid sales-first writing</x:v>
      </x:c>
      <x:c r="O489" s="9" t="str">
        <x:v>无商业内链</x:v>
      </x:c>
      <x:c r="P489" s="9" t="str">
        <x:v>否</x:v>
      </x:c>
      <x:c r="Q489" s="9" t="str">
        <x:v>不导流</x:v>
      </x:c>
      <x:c r="R489" s="9" t="str">
        <x:v>高风险：健康、戒烟、法律等 YMYL 主题，不写疗效承诺，不直接卖货</x:v>
      </x:c>
      <x:c r="S489" s="9" t="str">
        <x:v>需要引用权威资料，语气中立；如果不能做到合规审核，暂缓。</x:v>
      </x:c>
      <x:c r="T489" s="38" t="n">
        <x:v>4</x:v>
      </x:c>
      <x:c r="U489" s="38" t="n">
        <x:v>9</x:v>
      </x:c>
      <x:c r="V489" s="38" t="n">
        <x:v>4</x:v>
      </x:c>
      <x:c r="W489" s="38" t="n">
        <x:v>10</x:v>
      </x:c>
      <x:c r="X489" s="38" t="n">
        <x:v>8</x:v>
      </x:c>
      <x:c r="Y489" s="38" t="n">
        <x:v>15</x:v>
      </x:c>
      <x:c r="Z489" s="38" t="n">
        <x:f>MAX(0,MIN(100,ROUND(((T489+U489+V489+W489+X489)-Y489)/85*100,0)))</x:f>
        <x:v>24</x:v>
      </x:c>
      <x:c r="AA489" s="9" t="str">
        <x:f>IF(L489="暂不做","P3 暂缓",IF(Z489&gt;=75,"P0 本周做",IF(Z489&gt;=60,"P1 近期做",IF(Z489&gt;=45,"P2 备选","P3 暂缓"))))</x:f>
        <x:v>P3 暂缓</x:v>
      </x:c>
      <x:c r="AB489" s="9" t="str">
        <x:f>IF(Y489&gt;=15,"先做合规/相关性复核，不建议直接商业导流",IF(L489="主站","建/优化主站商业页",IF(L489="博客A-知识教程","写知识教程/FAQ文章",IF(L489="博客B-场景人群","写场景需求/选购指南文章",IF(L489="博客C-对比评测","写对比评测/榜单文章","暂不做或人工复核")))))</x:f>
        <x:v>先做合规/相关性复核，不建议直接商业导流</x:v>
      </x:c>
      <x:c r="AC489" s="9" t="str">
        <x:v>Age Verification - ExDivo</x:v>
      </x:c>
      <x:c r="AD489" s="10" t="str">
        <x:v>age verification</x:v>
      </x:c>
    </x:row>
    <x:row r="490">
      <x:c r="A490" s="34" t="n">
        <x:v>490</x:v>
      </x:c>
      <x:c r="B490" s="9" t="str">
        <x:v>https://exdivo.com/pages/age-verification</x:v>
      </x:c>
      <x:c r="C490" s="9" t="str">
        <x:v>how old to vape</x:v>
      </x:c>
      <x:c r="D490" s="9" t="str">
        <x:v>recommended</x:v>
      </x:c>
      <x:c r="E490" s="36" t="n">
        <x:v>720</x:v>
      </x:c>
      <x:c r="F490" s="36" t="n">
        <x:v>40</x:v>
      </x:c>
      <x:c r="G490" s="9" t="str">
        <x:v>informational</x:v>
      </x:c>
      <x:c r="H490" s="9" t="str">
        <x:v>知识教程</x:v>
      </x:c>
      <x:c r="I490" s="9" t="str">
        <x:v>知识/教程词</x:v>
      </x:c>
      <x:c r="J490" s="9" t="str">
        <x:v>博客A-知识教程</x:v>
      </x:c>
      <x:c r="K490" s="9" t="str"/>
      <x:c r="L490" s="9" t="str">
        <x:f>IF(K490="",J490,K490)</x:f>
        <x:v>博客A-知识教程</x:v>
      </x:c>
      <x:c r="M490" s="9" t="str">
        <x:v>百科/How-to/FAQ文章</x:v>
      </x:c>
      <x:c r="N490" s="9" t="str">
        <x:v>Guide angle: explain how old to vape, answer common questions, and avoid sales-first writing</x:v>
      </x:c>
      <x:c r="O490" s="9" t="str">
        <x:v>/collections/disposable-vapes</x:v>
      </x:c>
      <x:c r="P490" s="9" t="str">
        <x:v>谨慎</x:v>
      </x:c>
      <x:c r="Q490" s="9" t="str">
        <x:v>自然句/品牌词</x:v>
      </x:c>
      <x:c r="R490" s="9" t="str">
        <x:v>低中风险：先满足信息意图，导流要克制</x:v>
      </x:c>
      <x:c r="S490" s="9" t="str">
        <x:v>如果文章能自然回答下一步购买问题，再放 1 个主站内链；否则只做知识闭环。</x:v>
      </x:c>
      <x:c r="T490" s="38" t="n">
        <x:v>10</x:v>
      </x:c>
      <x:c r="U490" s="38" t="n">
        <x:v>9</x:v>
      </x:c>
      <x:c r="V490" s="38" t="n">
        <x:v>9</x:v>
      </x:c>
      <x:c r="W490" s="38" t="n">
        <x:v>14</x:v>
      </x:c>
      <x:c r="X490" s="38" t="n">
        <x:v>12</x:v>
      </x:c>
      <x:c r="Y490" s="38" t="n">
        <x:v>5</x:v>
      </x:c>
      <x:c r="Z490" s="38" t="n">
        <x:f>MAX(0,MIN(100,ROUND(((T490+U490+V490+W490+X490)-Y490)/85*100,0)))</x:f>
        <x:v>58</x:v>
      </x:c>
      <x:c r="AA490" s="9" t="str">
        <x:f>IF(L490="暂不做","P3 暂缓",IF(Z490&gt;=75,"P0 本周做",IF(Z490&gt;=60,"P1 近期做",IF(Z490&gt;=45,"P2 备选","P3 暂缓"))))</x:f>
        <x:v>P2 备选</x:v>
      </x:c>
      <x:c r="AB490" s="9" t="str">
        <x:f>IF(Y490&gt;=15,"先做合规/相关性复核，不建议直接商业导流",IF(L490="主站","建/优化主站商业页",IF(L490="博客A-知识教程","写知识教程/FAQ文章",IF(L490="博客B-场景人群","写场景需求/选购指南文章",IF(L490="博客C-对比评测","写对比评测/榜单文章","暂不做或人工复核")))))</x:f>
        <x:v>写知识教程/FAQ文章</x:v>
      </x:c>
      <x:c r="AC490" s="9" t="str">
        <x:v>Age Verification - ExDivo</x:v>
      </x:c>
      <x:c r="AD490" s="10" t="str">
        <x:v>age verification</x:v>
      </x:c>
    </x:row>
    <x:row r="491">
      <x:c r="A491" s="34" t="n">
        <x:v>491</x:v>
      </x:c>
      <x:c r="B491" s="9" t="str">
        <x:v>https://exdivo.com/blogs/a-beginner-s-guide-to-choosing-your-first-vape-device</x:v>
      </x:c>
      <x:c r="C491" s="9" t="str">
        <x:v>vape starter kits</x:v>
      </x:c>
      <x:c r="D491" s="9" t="str">
        <x:v>recommended</x:v>
      </x:c>
      <x:c r="E491" s="36" t="n">
        <x:v>1000</x:v>
      </x:c>
      <x:c r="F491" s="36" t="n">
        <x:v>30</x:v>
      </x:c>
      <x:c r="G491" s="9" t="str">
        <x:v>commercial</x:v>
      </x:c>
      <x:c r="H491" s="9" t="str">
        <x:v>General Vape</x:v>
      </x:c>
      <x:c r="I491" s="9" t="str">
        <x:v>品类承接词</x:v>
      </x:c>
      <x:c r="J491" s="9" t="str">
        <x:v>主站</x:v>
      </x:c>
      <x:c r="K491" s="9" t="str"/>
      <x:c r="L491" s="9" t="str">
        <x:f>IF(K491="",J491,K491)</x:f>
        <x:v>主站</x:v>
      </x:c>
      <x:c r="M491" s="9" t="str">
        <x:v>品类页/集合页 + FAQ内容块</x:v>
      </x:c>
      <x:c r="N491" s="9" t="str">
        <x:v>主站品类页：用产品集合 + 选购说明承接</x:v>
      </x:c>
      <x:c r="O491" s="9" t="str">
        <x:v>/collections/disposable-vapes</x:v>
      </x:c>
      <x:c r="P491" s="9" t="str">
        <x:v>不适用</x:v>
      </x:c>
      <x:c r="Q491" s="9" t="str">
        <x:v>主站页面自身承接</x:v>
      </x:c>
      <x:c r="R491" s="9" t="str">
        <x:v>核心品类词：主站优先，博客只做长尾解释，不直接抢同一词</x:v>
      </x:c>
      <x:c r="S491" s="9" t="str">
        <x:v>如果 Google 首页产品页和指南混合，主站页要加 FAQ、选购指南、对比模块。</x:v>
      </x:c>
      <x:c r="T491" s="38" t="n">
        <x:v>13</x:v>
      </x:c>
      <x:c r="U491" s="38" t="n">
        <x:v>12</x:v>
      </x:c>
      <x:c r="V491" s="38" t="n">
        <x:v>18</x:v>
      </x:c>
      <x:c r="W491" s="38" t="n">
        <x:v>8</x:v>
      </x:c>
      <x:c r="X491" s="38" t="n">
        <x:v>15</x:v>
      </x:c>
      <x:c r="Y491" s="38" t="n">
        <x:v>4</x:v>
      </x:c>
      <x:c r="Z491" s="38" t="n">
        <x:f>MAX(0,MIN(100,ROUND(((T491+U491+V491+W491+X491)-Y491)/85*100,0)))</x:f>
        <x:v>73</x:v>
      </x:c>
      <x:c r="AA491" s="9" t="str">
        <x:f>IF(L491="暂不做","P3 暂缓",IF(Z491&gt;=75,"P0 本周做",IF(Z491&gt;=60,"P1 近期做",IF(Z491&gt;=45,"P2 备选","P3 暂缓"))))</x:f>
        <x:v>P1 近期做</x:v>
      </x:c>
      <x:c r="AB491" s="9" t="str">
        <x:f>IF(Y491&gt;=15,"先做合规/相关性复核，不建议直接商业导流",IF(L491="主站","建/优化主站商业页",IF(L491="博客A-知识教程","写知识教程/FAQ文章",IF(L491="博客B-场景人群","写场景需求/选购指南文章",IF(L491="博客C-对比评测","写对比评测/榜单文章","暂不做或人工复核")))))</x:f>
        <x:v>建/优化主站商业页</x:v>
      </x:c>
      <x:c r="AC491" s="9" t="str">
        <x:v>A Guide for Beginners Choosing Their First E-cigarette Device - ExDivo</x:v>
      </x:c>
      <x:c r="AD491" s="10" t="str">
        <x:v>a guide for beginners choosing their first e-cigarette device</x:v>
      </x:c>
    </x:row>
    <x:row r="492">
      <x:c r="A492" s="34" t="n">
        <x:v>492</x:v>
      </x:c>
      <x:c r="B492" s="9" t="str">
        <x:v>https://exdivo.com/blogs/a-beginner-s-guide-to-choosing-your-first-vape-device</x:v>
      </x:c>
      <x:c r="C492" s="9" t="str">
        <x:v>best vape starter kit</x:v>
      </x:c>
      <x:c r="D492" s="9" t="str">
        <x:v>recommended</x:v>
      </x:c>
      <x:c r="E492" s="36" t="n">
        <x:v>210</x:v>
      </x:c>
      <x:c r="F492" s="36" t="n">
        <x:v>11</x:v>
      </x:c>
      <x:c r="G492" s="9" t="str">
        <x:v>commercial</x:v>
      </x:c>
      <x:c r="H492" s="9" t="str">
        <x:v>对比评测</x:v>
      </x:c>
      <x:c r="I492" s="9" t="str">
        <x:v>商业调查词</x:v>
      </x:c>
      <x:c r="J492" s="9" t="str">
        <x:v>博客C-对比评测</x:v>
      </x:c>
      <x:c r="K492" s="9" t="str"/>
      <x:c r="L492" s="9" t="str">
        <x:f>IF(K492="",J492,K492)</x:f>
        <x:v>博客C-对比评测</x:v>
      </x:c>
      <x:c r="M492" s="9" t="str">
        <x:v>Best/Top/Review/VS/替代方案文章</x:v>
      </x:c>
      <x:c r="N492" s="9" t="str">
        <x:v>Best angle: best vape starter kit - comparison, pros/cons, and which option fits different buyers</x:v>
      </x:c>
      <x:c r="O492" s="9" t="str">
        <x:v>/collections/disposable-vapes</x:v>
      </x:c>
      <x:c r="P492" s="9" t="str">
        <x:v>是</x:v>
      </x:c>
      <x:c r="Q492" s="9" t="str">
        <x:v>自然句/品类词/品牌词</x:v>
      </x:c>
      <x:c r="R492" s="9" t="str">
        <x:v>中风险：榜单和评测必须真实、中立，避免夸大</x:v>
      </x:c>
      <x:c r="S492" s="9" t="str">
        <x:v>这类词不直接给主站，先用博客C教育和比较，再导流到最相关集合页。</x:v>
      </x:c>
      <x:c r="T492" s="38" t="n">
        <x:v>7</x:v>
      </x:c>
      <x:c r="U492" s="38" t="n">
        <x:v>15</x:v>
      </x:c>
      <x:c r="V492" s="38" t="n">
        <x:v>16</x:v>
      </x:c>
      <x:c r="W492" s="38" t="n">
        <x:v>15</x:v>
      </x:c>
      <x:c r="X492" s="38" t="n">
        <x:v>13</x:v>
      </x:c>
      <x:c r="Y492" s="38" t="n">
        <x:v>6</x:v>
      </x:c>
      <x:c r="Z492" s="38" t="n">
        <x:f>MAX(0,MIN(100,ROUND(((T492+U492+V492+W492+X492)-Y492)/85*100,0)))</x:f>
        <x:v>71</x:v>
      </x:c>
      <x:c r="AA492" s="9" t="str">
        <x:f>IF(L492="暂不做","P3 暂缓",IF(Z492&gt;=75,"P0 本周做",IF(Z492&gt;=60,"P1 近期做",IF(Z492&gt;=45,"P2 备选","P3 暂缓"))))</x:f>
        <x:v>P1 近期做</x:v>
      </x:c>
      <x:c r="AB492" s="9" t="str">
        <x:f>IF(Y492&gt;=15,"先做合规/相关性复核，不建议直接商业导流",IF(L492="主站","建/优化主站商业页",IF(L492="博客A-知识教程","写知识教程/FAQ文章",IF(L492="博客B-场景人群","写场景需求/选购指南文章",IF(L492="博客C-对比评测","写对比评测/榜单文章","暂不做或人工复核")))))</x:f>
        <x:v>写对比评测/榜单文章</x:v>
      </x:c>
      <x:c r="AC492" s="9" t="str">
        <x:v>A Guide for Beginners Choosing Their First E-cigarette Device - ExDivo</x:v>
      </x:c>
      <x:c r="AD492" s="10" t="str">
        <x:v>a guide for beginners choosing their first e-cigarette device</x:v>
      </x:c>
    </x:row>
    <x:row r="493">
      <x:c r="A493" s="34" t="n">
        <x:v>493</x:v>
      </x:c>
      <x:c r="B493" s="9" t="str">
        <x:v>https://exdivo.com/blogs/a-beginner-s-guide-to-choosing-your-first-vape-device</x:v>
      </x:c>
      <x:c r="C493" s="9" t="str">
        <x:v>electronic cigarette starter kit</x:v>
      </x:c>
      <x:c r="D493" s="9" t="str">
        <x:v>recommended</x:v>
      </x:c>
      <x:c r="E493" s="36" t="n">
        <x:v>140</x:v>
      </x:c>
      <x:c r="F493" s="36" t="n">
        <x:v>9</x:v>
      </x:c>
      <x:c r="G493" s="9" t="str">
        <x:v>commercial</x:v>
      </x:c>
      <x:c r="H493" s="9" t="str">
        <x:v>E-Cigarette</x:v>
      </x:c>
      <x:c r="I493" s="9" t="str">
        <x:v>品类承接词</x:v>
      </x:c>
      <x:c r="J493" s="9" t="str">
        <x:v>主站</x:v>
      </x:c>
      <x:c r="K493" s="9" t="str"/>
      <x:c r="L493" s="9" t="str">
        <x:f>IF(K493="",J493,K493)</x:f>
        <x:v>主站</x:v>
      </x:c>
      <x:c r="M493" s="9" t="str">
        <x:v>品类页/集合页 + FAQ内容块</x:v>
      </x:c>
      <x:c r="N493" s="9" t="str">
        <x:v>主站品类页：用产品集合 + 选购说明承接</x:v>
      </x:c>
      <x:c r="O493" s="9" t="str">
        <x:v>/collections/e-cigarettes</x:v>
      </x:c>
      <x:c r="P493" s="9" t="str">
        <x:v>不适用</x:v>
      </x:c>
      <x:c r="Q493" s="9" t="str">
        <x:v>主站页面自身承接</x:v>
      </x:c>
      <x:c r="R493" s="9" t="str">
        <x:v>核心品类词：主站优先，博客只做长尾解释，不直接抢同一词</x:v>
      </x:c>
      <x:c r="S493" s="9" t="str">
        <x:v>如果 Google 首页产品页和指南混合，主站页要加 FAQ、选购指南、对比模块。</x:v>
      </x:c>
      <x:c r="T493" s="38" t="n">
        <x:v>7</x:v>
      </x:c>
      <x:c r="U493" s="38" t="n">
        <x:v>15</x:v>
      </x:c>
      <x:c r="V493" s="38" t="n">
        <x:v>18</x:v>
      </x:c>
      <x:c r="W493" s="38" t="n">
        <x:v>8</x:v>
      </x:c>
      <x:c r="X493" s="38" t="n">
        <x:v>15</x:v>
      </x:c>
      <x:c r="Y493" s="38" t="n">
        <x:v>4</x:v>
      </x:c>
      <x:c r="Z493" s="38" t="n">
        <x:f>MAX(0,MIN(100,ROUND(((T493+U493+V493+W493+X493)-Y493)/85*100,0)))</x:f>
        <x:v>69</x:v>
      </x:c>
      <x:c r="AA493" s="9" t="str">
        <x:f>IF(L493="暂不做","P3 暂缓",IF(Z493&gt;=75,"P0 本周做",IF(Z493&gt;=60,"P1 近期做",IF(Z493&gt;=45,"P2 备选","P3 暂缓"))))</x:f>
        <x:v>P1 近期做</x:v>
      </x:c>
      <x:c r="AB493" s="9" t="str">
        <x:f>IF(Y493&gt;=15,"先做合规/相关性复核，不建议直接商业导流",IF(L493="主站","建/优化主站商业页",IF(L493="博客A-知识教程","写知识教程/FAQ文章",IF(L493="博客B-场景人群","写场景需求/选购指南文章",IF(L493="博客C-对比评测","写对比评测/榜单文章","暂不做或人工复核")))))</x:f>
        <x:v>建/优化主站商业页</x:v>
      </x:c>
      <x:c r="AC493" s="9" t="str">
        <x:v>A Guide for Beginners Choosing Their First E-cigarette Device - ExDivo</x:v>
      </x:c>
      <x:c r="AD493" s="10" t="str">
        <x:v>a guide for beginners choosing their first e-cigarette device</x:v>
      </x:c>
    </x:row>
    <x:row r="494">
      <x:c r="A494" s="34" t="n">
        <x:v>494</x:v>
      </x:c>
      <x:c r="B494" s="9" t="str">
        <x:v>https://exdivo.com/blogs/a-beginner-s-guide-to-choosing-your-first-vape-device</x:v>
      </x:c>
      <x:c r="C494" s="9" t="str">
        <x:v>best beginner vape kit</x:v>
      </x:c>
      <x:c r="D494" s="9" t="str">
        <x:v>recommended</x:v>
      </x:c>
      <x:c r="E494" s="36" t="n">
        <x:v>170</x:v>
      </x:c>
      <x:c r="F494" s="36" t="n">
        <x:v>7</x:v>
      </x:c>
      <x:c r="G494" s="9" t="str">
        <x:v>commercial</x:v>
      </x:c>
      <x:c r="H494" s="9" t="str">
        <x:v>对比评测</x:v>
      </x:c>
      <x:c r="I494" s="9" t="str">
        <x:v>商业调查词</x:v>
      </x:c>
      <x:c r="J494" s="9" t="str">
        <x:v>博客C-对比评测</x:v>
      </x:c>
      <x:c r="K494" s="9" t="str"/>
      <x:c r="L494" s="9" t="str">
        <x:f>IF(K494="",J494,K494)</x:f>
        <x:v>博客C-对比评测</x:v>
      </x:c>
      <x:c r="M494" s="9" t="str">
        <x:v>Best/Top/Review/VS/替代方案文章</x:v>
      </x:c>
      <x:c r="N494" s="9" t="str">
        <x:v>Best angle: best beginner vape kit - comparison, pros/cons, and which option fits different buyers</x:v>
      </x:c>
      <x:c r="O494" s="9" t="str">
        <x:v>/collections/disposable-vapes</x:v>
      </x:c>
      <x:c r="P494" s="9" t="str">
        <x:v>是</x:v>
      </x:c>
      <x:c r="Q494" s="9" t="str">
        <x:v>自然句/品类词/品牌词</x:v>
      </x:c>
      <x:c r="R494" s="9" t="str">
        <x:v>中风险：榜单和评测必须真实、中立，避免夸大</x:v>
      </x:c>
      <x:c r="S494" s="9" t="str">
        <x:v>这类词不直接给主站，先用博客C教育和比较，再导流到最相关集合页。</x:v>
      </x:c>
      <x:c r="T494" s="38" t="n">
        <x:v>7</x:v>
      </x:c>
      <x:c r="U494" s="38" t="n">
        <x:v>15</x:v>
      </x:c>
      <x:c r="V494" s="38" t="n">
        <x:v>16</x:v>
      </x:c>
      <x:c r="W494" s="38" t="n">
        <x:v>15</x:v>
      </x:c>
      <x:c r="X494" s="38" t="n">
        <x:v>13</x:v>
      </x:c>
      <x:c r="Y494" s="38" t="n">
        <x:v>6</x:v>
      </x:c>
      <x:c r="Z494" s="38" t="n">
        <x:f>MAX(0,MIN(100,ROUND(((T494+U494+V494+W494+X494)-Y494)/85*100,0)))</x:f>
        <x:v>71</x:v>
      </x:c>
      <x:c r="AA494" s="9" t="str">
        <x:f>IF(L494="暂不做","P3 暂缓",IF(Z494&gt;=75,"P0 本周做",IF(Z494&gt;=60,"P1 近期做",IF(Z494&gt;=45,"P2 备选","P3 暂缓"))))</x:f>
        <x:v>P1 近期做</x:v>
      </x:c>
      <x:c r="AB494" s="9" t="str">
        <x:f>IF(Y494&gt;=15,"先做合规/相关性复核，不建议直接商业导流",IF(L494="主站","建/优化主站商业页",IF(L494="博客A-知识教程","写知识教程/FAQ文章",IF(L494="博客B-场景人群","写场景需求/选购指南文章",IF(L494="博客C-对比评测","写对比评测/榜单文章","暂不做或人工复核")))))</x:f>
        <x:v>写对比评测/榜单文章</x:v>
      </x:c>
      <x:c r="AC494" s="9" t="str">
        <x:v>A Guide for Beginners Choosing Their First E-cigarette Device - ExDivo</x:v>
      </x:c>
      <x:c r="AD494" s="10" t="str">
        <x:v>a guide for beginners choosing their first e-cigarette device</x:v>
      </x:c>
    </x:row>
    <x:row r="495">
      <x:c r="A495" s="34" t="n">
        <x:v>495</x:v>
      </x:c>
      <x:c r="B495" s="9" t="str">
        <x:v>https://exdivo.com/blogs/a-beginner-s-guide-to-choosing-your-first-vape-device</x:v>
      </x:c>
      <x:c r="C495" s="9" t="str">
        <x:v>what is the best vape pen for beginners</x:v>
      </x:c>
      <x:c r="D495" s="9" t="str">
        <x:v>recommended</x:v>
      </x:c>
      <x:c r="E495" s="36" t="n">
        <x:v>140</x:v>
      </x:c>
      <x:c r="F495" s="36" t="n">
        <x:v>12</x:v>
      </x:c>
      <x:c r="G495" s="9" t="str">
        <x:v>commercial</x:v>
      </x:c>
      <x:c r="H495" s="9" t="str">
        <x:v>对比评测</x:v>
      </x:c>
      <x:c r="I495" s="9" t="str">
        <x:v>商业调查词</x:v>
      </x:c>
      <x:c r="J495" s="9" t="str">
        <x:v>博客C-对比评测</x:v>
      </x:c>
      <x:c r="K495" s="9" t="str"/>
      <x:c r="L495" s="9" t="str">
        <x:f>IF(K495="",J495,K495)</x:f>
        <x:v>博客C-对比评测</x:v>
      </x:c>
      <x:c r="M495" s="9" t="str">
        <x:v>Best/Top/Review/VS/替代方案文章</x:v>
      </x:c>
      <x:c r="N495" s="9" t="str">
        <x:v>Best angle: what is the best vape pen for beginners - comparison, pros/cons, and which option fits different buyers</x:v>
      </x:c>
      <x:c r="O495" s="9" t="str">
        <x:v>/collections/disposable-vapes</x:v>
      </x:c>
      <x:c r="P495" s="9" t="str">
        <x:v>是</x:v>
      </x:c>
      <x:c r="Q495" s="9" t="str">
        <x:v>自然句/品类词/品牌词</x:v>
      </x:c>
      <x:c r="R495" s="9" t="str">
        <x:v>中风险：榜单和评测必须真实、中立，避免夸大</x:v>
      </x:c>
      <x:c r="S495" s="9" t="str">
        <x:v>这类词不直接给主站，先用博客C教育和比较，再导流到最相关集合页。</x:v>
      </x:c>
      <x:c r="T495" s="38" t="n">
        <x:v>7</x:v>
      </x:c>
      <x:c r="U495" s="38" t="n">
        <x:v>15</x:v>
      </x:c>
      <x:c r="V495" s="38" t="n">
        <x:v>16</x:v>
      </x:c>
      <x:c r="W495" s="38" t="n">
        <x:v>15</x:v>
      </x:c>
      <x:c r="X495" s="38" t="n">
        <x:v>13</x:v>
      </x:c>
      <x:c r="Y495" s="38" t="n">
        <x:v>6</x:v>
      </x:c>
      <x:c r="Z495" s="38" t="n">
        <x:f>MAX(0,MIN(100,ROUND(((T495+U495+V495+W495+X495)-Y495)/85*100,0)))</x:f>
        <x:v>71</x:v>
      </x:c>
      <x:c r="AA495" s="9" t="str">
        <x:f>IF(L495="暂不做","P3 暂缓",IF(Z495&gt;=75,"P0 本周做",IF(Z495&gt;=60,"P1 近期做",IF(Z495&gt;=45,"P2 备选","P3 暂缓"))))</x:f>
        <x:v>P1 近期做</x:v>
      </x:c>
      <x:c r="AB495" s="9" t="str">
        <x:f>IF(Y495&gt;=15,"先做合规/相关性复核，不建议直接商业导流",IF(L495="主站","建/优化主站商业页",IF(L495="博客A-知识教程","写知识教程/FAQ文章",IF(L495="博客B-场景人群","写场景需求/选购指南文章",IF(L495="博客C-对比评测","写对比评测/榜单文章","暂不做或人工复核")))))</x:f>
        <x:v>写对比评测/榜单文章</x:v>
      </x:c>
      <x:c r="AC495" s="9" t="str">
        <x:v>A Guide for Beginners Choosing Their First E-cigarette Device - ExDivo</x:v>
      </x:c>
      <x:c r="AD495" s="10" t="str">
        <x:v>a guide for beginners choosing their first e-cigarette device</x:v>
      </x:c>
    </x:row>
    <x:row r="496">
      <x:c r="A496" s="34" t="n">
        <x:v>496</x:v>
      </x:c>
      <x:c r="B496" s="9" t="str">
        <x:v>https://exdivo.com/blogs/a-beginner-s-guide-to-choosing-your-first-vape-device</x:v>
      </x:c>
      <x:c r="C496" s="9" t="str">
        <x:v>vape kits for beginners</x:v>
      </x:c>
      <x:c r="D496" s="9" t="str">
        <x:v>recommended</x:v>
      </x:c>
      <x:c r="E496" s="36" t="n">
        <x:v>90</x:v>
      </x:c>
      <x:c r="F496" s="36" t="n">
        <x:v>17</x:v>
      </x:c>
      <x:c r="G496" s="9" t="str">
        <x:v>commercial</x:v>
      </x:c>
      <x:c r="H496" s="9" t="str">
        <x:v>知识教程</x:v>
      </x:c>
      <x:c r="I496" s="9" t="str">
        <x:v>品类承接词</x:v>
      </x:c>
      <x:c r="J496" s="9" t="str">
        <x:v>主站</x:v>
      </x:c>
      <x:c r="K496" s="9" t="str"/>
      <x:c r="L496" s="9" t="str">
        <x:f>IF(K496="",J496,K496)</x:f>
        <x:v>主站</x:v>
      </x:c>
      <x:c r="M496" s="9" t="str">
        <x:v>品类页/集合页 + FAQ内容块</x:v>
      </x:c>
      <x:c r="N496" s="9" t="str">
        <x:v>主站品类页：用产品集合 + 选购说明承接</x:v>
      </x:c>
      <x:c r="O496" s="9" t="str">
        <x:v>/collections/disposable-vapes</x:v>
      </x:c>
      <x:c r="P496" s="9" t="str">
        <x:v>不适用</x:v>
      </x:c>
      <x:c r="Q496" s="9" t="str">
        <x:v>主站页面自身承接</x:v>
      </x:c>
      <x:c r="R496" s="9" t="str">
        <x:v>核心品类词：主站优先，博客只做长尾解释，不直接抢同一词</x:v>
      </x:c>
      <x:c r="S496" s="9" t="str">
        <x:v>如果 Google 首页产品页和指南混合，主站页要加 FAQ、选购指南、对比模块。</x:v>
      </x:c>
      <x:c r="T496" s="38" t="n">
        <x:v>4</x:v>
      </x:c>
      <x:c r="U496" s="38" t="n">
        <x:v>12</x:v>
      </x:c>
      <x:c r="V496" s="38" t="n">
        <x:v>18</x:v>
      </x:c>
      <x:c r="W496" s="38" t="n">
        <x:v>8</x:v>
      </x:c>
      <x:c r="X496" s="38" t="n">
        <x:v>15</x:v>
      </x:c>
      <x:c r="Y496" s="38" t="n">
        <x:v>4</x:v>
      </x:c>
      <x:c r="Z496" s="38" t="n">
        <x:f>MAX(0,MIN(100,ROUND(((T496+U496+V496+W496+X496)-Y496)/85*100,0)))</x:f>
        <x:v>62</x:v>
      </x:c>
      <x:c r="AA496" s="9" t="str">
        <x:f>IF(L496="暂不做","P3 暂缓",IF(Z496&gt;=75,"P0 本周做",IF(Z496&gt;=60,"P1 近期做",IF(Z496&gt;=45,"P2 备选","P3 暂缓"))))</x:f>
        <x:v>P1 近期做</x:v>
      </x:c>
      <x:c r="AB496" s="9" t="str">
        <x:f>IF(Y496&gt;=15,"先做合规/相关性复核，不建议直接商业导流",IF(L496="主站","建/优化主站商业页",IF(L496="博客A-知识教程","写知识教程/FAQ文章",IF(L496="博客B-场景人群","写场景需求/选购指南文章",IF(L496="博客C-对比评测","写对比评测/榜单文章","暂不做或人工复核")))))</x:f>
        <x:v>建/优化主站商业页</x:v>
      </x:c>
      <x:c r="AC496" s="9" t="str">
        <x:v>A Guide for Beginners Choosing Their First E-cigarette Device - ExDivo</x:v>
      </x:c>
      <x:c r="AD496" s="10" t="str">
        <x:v>a guide for beginners choosing their first e-cigarette device</x:v>
      </x:c>
    </x:row>
    <x:row r="497">
      <x:c r="A497" s="34" t="n">
        <x:v>497</x:v>
      </x:c>
      <x:c r="B497" s="9" t="str">
        <x:v>https://exdivo.com/blogs/a-beginner-s-guide-to-choosing-your-first-vape-device</x:v>
      </x:c>
      <x:c r="C497" s="9" t="str">
        <x:v>best starter vape</x:v>
      </x:c>
      <x:c r="D497" s="9" t="str">
        <x:v>recommended</x:v>
      </x:c>
      <x:c r="E497" s="36" t="n">
        <x:v>70</x:v>
      </x:c>
      <x:c r="F497" s="36" t="n">
        <x:v>5</x:v>
      </x:c>
      <x:c r="G497" s="9" t="str">
        <x:v>commercial</x:v>
      </x:c>
      <x:c r="H497" s="9" t="str">
        <x:v>对比评测</x:v>
      </x:c>
      <x:c r="I497" s="9" t="str">
        <x:v>商业调查词</x:v>
      </x:c>
      <x:c r="J497" s="9" t="str">
        <x:v>博客C-对比评测</x:v>
      </x:c>
      <x:c r="K497" s="9" t="str"/>
      <x:c r="L497" s="9" t="str">
        <x:f>IF(K497="",J497,K497)</x:f>
        <x:v>博客C-对比评测</x:v>
      </x:c>
      <x:c r="M497" s="9" t="str">
        <x:v>Best/Top/Review/VS/替代方案文章</x:v>
      </x:c>
      <x:c r="N497" s="9" t="str">
        <x:v>Best angle: best starter vape - comparison, pros/cons, and which option fits different buyers</x:v>
      </x:c>
      <x:c r="O497" s="9" t="str">
        <x:v>/collections/disposable-vapes</x:v>
      </x:c>
      <x:c r="P497" s="9" t="str">
        <x:v>是</x:v>
      </x:c>
      <x:c r="Q497" s="9" t="str">
        <x:v>自然句/品类词/品牌词</x:v>
      </x:c>
      <x:c r="R497" s="9" t="str">
        <x:v>中风险：榜单和评测必须真实、中立，避免夸大</x:v>
      </x:c>
      <x:c r="S497" s="9" t="str">
        <x:v>这类词不直接给主站，先用博客C教育和比较，再导流到最相关集合页。</x:v>
      </x:c>
      <x:c r="T497" s="38" t="n">
        <x:v>4</x:v>
      </x:c>
      <x:c r="U497" s="38" t="n">
        <x:v>15</x:v>
      </x:c>
      <x:c r="V497" s="38" t="n">
        <x:v>16</x:v>
      </x:c>
      <x:c r="W497" s="38" t="n">
        <x:v>15</x:v>
      </x:c>
      <x:c r="X497" s="38" t="n">
        <x:v>13</x:v>
      </x:c>
      <x:c r="Y497" s="38" t="n">
        <x:v>6</x:v>
      </x:c>
      <x:c r="Z497" s="38" t="n">
        <x:f>MAX(0,MIN(100,ROUND(((T497+U497+V497+W497+X497)-Y497)/85*100,0)))</x:f>
        <x:v>67</x:v>
      </x:c>
      <x:c r="AA497" s="9" t="str">
        <x:f>IF(L497="暂不做","P3 暂缓",IF(Z497&gt;=75,"P0 本周做",IF(Z497&gt;=60,"P1 近期做",IF(Z497&gt;=45,"P2 备选","P3 暂缓"))))</x:f>
        <x:v>P1 近期做</x:v>
      </x:c>
      <x:c r="AB497" s="9" t="str">
        <x:f>IF(Y497&gt;=15,"先做合规/相关性复核，不建议直接商业导流",IF(L497="主站","建/优化主站商业页",IF(L497="博客A-知识教程","写知识教程/FAQ文章",IF(L497="博客B-场景人群","写场景需求/选购指南文章",IF(L497="博客C-对比评测","写对比评测/榜单文章","暂不做或人工复核")))))</x:f>
        <x:v>写对比评测/榜单文章</x:v>
      </x:c>
      <x:c r="AC497" s="9" t="str">
        <x:v>A Guide for Beginners Choosing Their First E-cigarette Device - ExDivo</x:v>
      </x:c>
      <x:c r="AD497" s="10" t="str">
        <x:v>a guide for beginners choosing their first e-cigarette device</x:v>
      </x:c>
    </x:row>
    <x:row r="498">
      <x:c r="A498" s="34" t="n">
        <x:v>498</x:v>
      </x:c>
      <x:c r="B498" s="9" t="str">
        <x:v>https://exdivo.com/blogs/a-beginner-s-guide-to-choosing-your-first-vape-device</x:v>
      </x:c>
      <x:c r="C498" s="9" t="str">
        <x:v>best beginner vape</x:v>
      </x:c>
      <x:c r="D498" s="9" t="str">
        <x:v>recommended</x:v>
      </x:c>
      <x:c r="E498" s="36" t="n">
        <x:v>90</x:v>
      </x:c>
      <x:c r="F498" s="36" t="n">
        <x:v>12</x:v>
      </x:c>
      <x:c r="G498" s="9" t="str">
        <x:v>commercial</x:v>
      </x:c>
      <x:c r="H498" s="9" t="str">
        <x:v>对比评测</x:v>
      </x:c>
      <x:c r="I498" s="9" t="str">
        <x:v>商业调查词</x:v>
      </x:c>
      <x:c r="J498" s="9" t="str">
        <x:v>博客C-对比评测</x:v>
      </x:c>
      <x:c r="K498" s="9" t="str"/>
      <x:c r="L498" s="9" t="str">
        <x:f>IF(K498="",J498,K498)</x:f>
        <x:v>博客C-对比评测</x:v>
      </x:c>
      <x:c r="M498" s="9" t="str">
        <x:v>Best/Top/Review/VS/替代方案文章</x:v>
      </x:c>
      <x:c r="N498" s="9" t="str">
        <x:v>Best angle: best beginner vape - comparison, pros/cons, and which option fits different buyers</x:v>
      </x:c>
      <x:c r="O498" s="9" t="str">
        <x:v>/collections/disposable-vapes</x:v>
      </x:c>
      <x:c r="P498" s="9" t="str">
        <x:v>是</x:v>
      </x:c>
      <x:c r="Q498" s="9" t="str">
        <x:v>自然句/品类词/品牌词</x:v>
      </x:c>
      <x:c r="R498" s="9" t="str">
        <x:v>中风险：榜单和评测必须真实、中立，避免夸大</x:v>
      </x:c>
      <x:c r="S498" s="9" t="str">
        <x:v>这类词不直接给主站，先用博客C教育和比较，再导流到最相关集合页。</x:v>
      </x:c>
      <x:c r="T498" s="38" t="n">
        <x:v>4</x:v>
      </x:c>
      <x:c r="U498" s="38" t="n">
        <x:v>15</x:v>
      </x:c>
      <x:c r="V498" s="38" t="n">
        <x:v>16</x:v>
      </x:c>
      <x:c r="W498" s="38" t="n">
        <x:v>15</x:v>
      </x:c>
      <x:c r="X498" s="38" t="n">
        <x:v>13</x:v>
      </x:c>
      <x:c r="Y498" s="38" t="n">
        <x:v>6</x:v>
      </x:c>
      <x:c r="Z498" s="38" t="n">
        <x:f>MAX(0,MIN(100,ROUND(((T498+U498+V498+W498+X498)-Y498)/85*100,0)))</x:f>
        <x:v>67</x:v>
      </x:c>
      <x:c r="AA498" s="9" t="str">
        <x:f>IF(L498="暂不做","P3 暂缓",IF(Z498&gt;=75,"P0 本周做",IF(Z498&gt;=60,"P1 近期做",IF(Z498&gt;=45,"P2 备选","P3 暂缓"))))</x:f>
        <x:v>P1 近期做</x:v>
      </x:c>
      <x:c r="AB498" s="9" t="str">
        <x:f>IF(Y498&gt;=15,"先做合规/相关性复核，不建议直接商业导流",IF(L498="主站","建/优化主站商业页",IF(L498="博客A-知识教程","写知识教程/FAQ文章",IF(L498="博客B-场景人群","写场景需求/选购指南文章",IF(L498="博客C-对比评测","写对比评测/榜单文章","暂不做或人工复核")))))</x:f>
        <x:v>写对比评测/榜单文章</x:v>
      </x:c>
      <x:c r="AC498" s="9" t="str">
        <x:v>A Guide for Beginners Choosing Their First E-cigarette Device - ExDivo</x:v>
      </x:c>
      <x:c r="AD498" s="10" t="str">
        <x:v>a guide for beginners choosing their first e-cigarette device</x:v>
      </x:c>
    </x:row>
    <x:row r="499">
      <x:c r="A499" s="34" t="n">
        <x:v>499</x:v>
      </x:c>
      <x:c r="B499" s="9" t="str">
        <x:v>https://exdivo.com/blogs/a-beginner-s-guide-to-choosing-your-first-vape-device</x:v>
      </x:c>
      <x:c r="C499" s="9" t="str">
        <x:v>best refillable vape for beginners</x:v>
      </x:c>
      <x:c r="D499" s="9" t="str">
        <x:v>recommended</x:v>
      </x:c>
      <x:c r="E499" s="36" t="n">
        <x:v>40</x:v>
      </x:c>
      <x:c r="F499" s="36" t="n">
        <x:v>2</x:v>
      </x:c>
      <x:c r="G499" s="9" t="str">
        <x:v>commercial</x:v>
      </x:c>
      <x:c r="H499" s="9" t="str">
        <x:v>Reusable / Rechargeable</x:v>
      </x:c>
      <x:c r="I499" s="9" t="str">
        <x:v>商业调查词</x:v>
      </x:c>
      <x:c r="J499" s="9" t="str">
        <x:v>博客C-对比评测</x:v>
      </x:c>
      <x:c r="K499" s="9" t="str"/>
      <x:c r="L499" s="9" t="str">
        <x:f>IF(K499="",J499,K499)</x:f>
        <x:v>博客C-对比评测</x:v>
      </x:c>
      <x:c r="M499" s="9" t="str">
        <x:v>Best/Top/Review/VS/替代方案文章</x:v>
      </x:c>
      <x:c r="N499" s="9" t="str">
        <x:v>Best angle: best refillable vape for beginners - comparison, pros/cons, and which option fits different buyers</x:v>
      </x:c>
      <x:c r="O499" s="9" t="str">
        <x:v>/collections/rechargeable-vapes</x:v>
      </x:c>
      <x:c r="P499" s="9" t="str">
        <x:v>是</x:v>
      </x:c>
      <x:c r="Q499" s="9" t="str">
        <x:v>自然句/品类词/品牌词</x:v>
      </x:c>
      <x:c r="R499" s="9" t="str">
        <x:v>中风险：榜单和评测必须真实、中立，避免夸大</x:v>
      </x:c>
      <x:c r="S499" s="9" t="str">
        <x:v>这类词不直接给主站，先用博客C教育和比较，再导流到最相关集合页。</x:v>
      </x:c>
      <x:c r="T499" s="38" t="n">
        <x:v>4</x:v>
      </x:c>
      <x:c r="U499" s="38" t="n">
        <x:v>15</x:v>
      </x:c>
      <x:c r="V499" s="38" t="n">
        <x:v>16</x:v>
      </x:c>
      <x:c r="W499" s="38" t="n">
        <x:v>15</x:v>
      </x:c>
      <x:c r="X499" s="38" t="n">
        <x:v>13</x:v>
      </x:c>
      <x:c r="Y499" s="38" t="n">
        <x:v>6</x:v>
      </x:c>
      <x:c r="Z499" s="38" t="n">
        <x:f>MAX(0,MIN(100,ROUND(((T499+U499+V499+W499+X499)-Y499)/85*100,0)))</x:f>
        <x:v>67</x:v>
      </x:c>
      <x:c r="AA499" s="9" t="str">
        <x:f>IF(L499="暂不做","P3 暂缓",IF(Z499&gt;=75,"P0 本周做",IF(Z499&gt;=60,"P1 近期做",IF(Z499&gt;=45,"P2 备选","P3 暂缓"))))</x:f>
        <x:v>P1 近期做</x:v>
      </x:c>
      <x:c r="AB499" s="9" t="str">
        <x:f>IF(Y499&gt;=15,"先做合规/相关性复核，不建议直接商业导流",IF(L499="主站","建/优化主站商业页",IF(L499="博客A-知识教程","写知识教程/FAQ文章",IF(L499="博客B-场景人群","写场景需求/选购指南文章",IF(L499="博客C-对比评测","写对比评测/榜单文章","暂不做或人工复核")))))</x:f>
        <x:v>写对比评测/榜单文章</x:v>
      </x:c>
      <x:c r="AC499" s="9" t="str">
        <x:v>A Guide for Beginners Choosing Their First E-cigarette Device - ExDivo</x:v>
      </x:c>
      <x:c r="AD499" s="10" t="str">
        <x:v>a guide for beginners choosing their first e-cigarette device</x:v>
      </x:c>
    </x:row>
    <x:row r="500">
      <x:c r="A500" s="34" t="n">
        <x:v>500</x:v>
      </x:c>
      <x:c r="B500" s="9" t="str">
        <x:v>https://exdivo.com/blogs/a-beginner-s-guide-to-choosing-your-first-vape-device</x:v>
      </x:c>
      <x:c r="C500" s="9" t="str">
        <x:v>e cigarette starter kit</x:v>
      </x:c>
      <x:c r="D500" s="9" t="str">
        <x:v>recommended</x:v>
      </x:c>
      <x:c r="E500" s="36" t="n">
        <x:v>210</x:v>
      </x:c>
      <x:c r="F500" s="36" t="n">
        <x:v>21</x:v>
      </x:c>
      <x:c r="G500" s="9" t="str">
        <x:v>commercial</x:v>
      </x:c>
      <x:c r="H500" s="9" t="str">
        <x:v>E-Cigarette</x:v>
      </x:c>
      <x:c r="I500" s="9" t="str">
        <x:v>品类承接词</x:v>
      </x:c>
      <x:c r="J500" s="9" t="str">
        <x:v>主站</x:v>
      </x:c>
      <x:c r="K500" s="9" t="str"/>
      <x:c r="L500" s="9" t="str">
        <x:f>IF(K500="",J500,K500)</x:f>
        <x:v>主站</x:v>
      </x:c>
      <x:c r="M500" s="9" t="str">
        <x:v>品类页/集合页 + FAQ内容块</x:v>
      </x:c>
      <x:c r="N500" s="9" t="str">
        <x:v>主站品类页：用产品集合 + 选购说明承接</x:v>
      </x:c>
      <x:c r="O500" s="9" t="str">
        <x:v>/collections/e-cigarettes</x:v>
      </x:c>
      <x:c r="P500" s="9" t="str">
        <x:v>不适用</x:v>
      </x:c>
      <x:c r="Q500" s="9" t="str">
        <x:v>主站页面自身承接</x:v>
      </x:c>
      <x:c r="R500" s="9" t="str">
        <x:v>核心品类词：主站优先，博客只做长尾解释，不直接抢同一词</x:v>
      </x:c>
      <x:c r="S500" s="9" t="str">
        <x:v>如果 Google 首页产品页和指南混合，主站页要加 FAQ、选购指南、对比模块。</x:v>
      </x:c>
      <x:c r="T500" s="38" t="n">
        <x:v>7</x:v>
      </x:c>
      <x:c r="U500" s="38" t="n">
        <x:v>12</x:v>
      </x:c>
      <x:c r="V500" s="38" t="n">
        <x:v>18</x:v>
      </x:c>
      <x:c r="W500" s="38" t="n">
        <x:v>8</x:v>
      </x:c>
      <x:c r="X500" s="38" t="n">
        <x:v>15</x:v>
      </x:c>
      <x:c r="Y500" s="38" t="n">
        <x:v>4</x:v>
      </x:c>
      <x:c r="Z500" s="38" t="n">
        <x:f>MAX(0,MIN(100,ROUND(((T500+U500+V500+W500+X500)-Y500)/85*100,0)))</x:f>
        <x:v>66</x:v>
      </x:c>
      <x:c r="AA500" s="9" t="str">
        <x:f>IF(L500="暂不做","P3 暂缓",IF(Z500&gt;=75,"P0 本周做",IF(Z500&gt;=60,"P1 近期做",IF(Z500&gt;=45,"P2 备选","P3 暂缓"))))</x:f>
        <x:v>P1 近期做</x:v>
      </x:c>
      <x:c r="AB500" s="9" t="str">
        <x:f>IF(Y500&gt;=15,"先做合规/相关性复核，不建议直接商业导流",IF(L500="主站","建/优化主站商业页",IF(L500="博客A-知识教程","写知识教程/FAQ文章",IF(L500="博客B-场景人群","写场景需求/选购指南文章",IF(L500="博客C-对比评测","写对比评测/榜单文章","暂不做或人工复核")))))</x:f>
        <x:v>建/优化主站商业页</x:v>
      </x:c>
      <x:c r="AC500" s="9" t="str">
        <x:v>A Guide for Beginners Choosing Their First E-cigarette Device - ExDivo</x:v>
      </x:c>
      <x:c r="AD500" s="10" t="str">
        <x:v>a guide for beginners choosing their first e-cigarette device</x:v>
      </x:c>
    </x:row>
    <x:row r="501">
      <x:c r="A501" s="34" t="n">
        <x:v>501</x:v>
      </x:c>
      <x:c r="B501" s="9" t="str">
        <x:v>https://exdivo.com/blogs/a-beginner-s-guide-to-choosing-your-first-vape-device</x:v>
      </x:c>
      <x:c r="C501" s="9" t="str">
        <x:v>vape for beginners</x:v>
      </x:c>
      <x:c r="D501" s="9" t="str">
        <x:v>recommended</x:v>
      </x:c>
      <x:c r="E501" s="36" t="n">
        <x:v>140</x:v>
      </x:c>
      <x:c r="F501" s="36" t="n">
        <x:v>16</x:v>
      </x:c>
      <x:c r="G501" s="9" t="str">
        <x:v>commercial</x:v>
      </x:c>
      <x:c r="H501" s="9" t="str">
        <x:v>知识教程</x:v>
      </x:c>
      <x:c r="I501" s="9" t="str">
        <x:v>品类承接词</x:v>
      </x:c>
      <x:c r="J501" s="9" t="str">
        <x:v>主站</x:v>
      </x:c>
      <x:c r="K501" s="9" t="str"/>
      <x:c r="L501" s="9" t="str">
        <x:f>IF(K501="",J501,K501)</x:f>
        <x:v>主站</x:v>
      </x:c>
      <x:c r="M501" s="9" t="str">
        <x:v>品类页/集合页 + FAQ内容块</x:v>
      </x:c>
      <x:c r="N501" s="9" t="str">
        <x:v>主站品类页：用产品集合 + 选购说明承接</x:v>
      </x:c>
      <x:c r="O501" s="9" t="str">
        <x:v>/collections/disposable-vapes</x:v>
      </x:c>
      <x:c r="P501" s="9" t="str">
        <x:v>不适用</x:v>
      </x:c>
      <x:c r="Q501" s="9" t="str">
        <x:v>主站页面自身承接</x:v>
      </x:c>
      <x:c r="R501" s="9" t="str">
        <x:v>核心品类词：主站优先，博客只做长尾解释，不直接抢同一词</x:v>
      </x:c>
      <x:c r="S501" s="9" t="str">
        <x:v>如果 Google 首页产品页和指南混合，主站页要加 FAQ、选购指南、对比模块。</x:v>
      </x:c>
      <x:c r="T501" s="38" t="n">
        <x:v>7</x:v>
      </x:c>
      <x:c r="U501" s="38" t="n">
        <x:v>12</x:v>
      </x:c>
      <x:c r="V501" s="38" t="n">
        <x:v>18</x:v>
      </x:c>
      <x:c r="W501" s="38" t="n">
        <x:v>8</x:v>
      </x:c>
      <x:c r="X501" s="38" t="n">
        <x:v>15</x:v>
      </x:c>
      <x:c r="Y501" s="38" t="n">
        <x:v>4</x:v>
      </x:c>
      <x:c r="Z501" s="38" t="n">
        <x:f>MAX(0,MIN(100,ROUND(((T501+U501+V501+W501+X501)-Y501)/85*100,0)))</x:f>
        <x:v>66</x:v>
      </x:c>
      <x:c r="AA501" s="9" t="str">
        <x:f>IF(L501="暂不做","P3 暂缓",IF(Z501&gt;=75,"P0 本周做",IF(Z501&gt;=60,"P1 近期做",IF(Z501&gt;=45,"P2 备选","P3 暂缓"))))</x:f>
        <x:v>P1 近期做</x:v>
      </x:c>
      <x:c r="AB501" s="9" t="str">
        <x:f>IF(Y501&gt;=15,"先做合规/相关性复核，不建议直接商业导流",IF(L501="主站","建/优化主站商业页",IF(L501="博客A-知识教程","写知识教程/FAQ文章",IF(L501="博客B-场景人群","写场景需求/选购指南文章",IF(L501="博客C-对比评测","写对比评测/榜单文章","暂不做或人工复核")))))</x:f>
        <x:v>建/优化主站商业页</x:v>
      </x:c>
      <x:c r="AC501" s="9" t="str">
        <x:v>A Guide for Beginners Choosing Their First E-cigarette Device - ExDivo</x:v>
      </x:c>
      <x:c r="AD501" s="10" t="str">
        <x:v>a guide for beginners choosing their first e-cigarette device</x:v>
      </x:c>
    </x:row>
    <x:row r="502">
      <x:c r="A502" s="34" t="n">
        <x:v>502</x:v>
      </x:c>
      <x:c r="B502" s="9" t="str">
        <x:v>https://exdivo.com/blogs/a-beginner-s-guide-to-choosing-your-first-vape-device</x:v>
      </x:c>
      <x:c r="C502" s="9" t="str">
        <x:v>best vape starter kits</x:v>
      </x:c>
      <x:c r="D502" s="9" t="str">
        <x:v>recommended</x:v>
      </x:c>
      <x:c r="E502" s="36" t="n">
        <x:v>50</x:v>
      </x:c>
      <x:c r="F502" s="36" t="n">
        <x:v>14</x:v>
      </x:c>
      <x:c r="G502" s="9" t="str">
        <x:v>commercial</x:v>
      </x:c>
      <x:c r="H502" s="9" t="str">
        <x:v>对比评测</x:v>
      </x:c>
      <x:c r="I502" s="9" t="str">
        <x:v>商业调查词</x:v>
      </x:c>
      <x:c r="J502" s="9" t="str">
        <x:v>博客C-对比评测</x:v>
      </x:c>
      <x:c r="K502" s="9" t="str"/>
      <x:c r="L502" s="9" t="str">
        <x:f>IF(K502="",J502,K502)</x:f>
        <x:v>博客C-对比评测</x:v>
      </x:c>
      <x:c r="M502" s="9" t="str">
        <x:v>Best/Top/Review/VS/替代方案文章</x:v>
      </x:c>
      <x:c r="N502" s="9" t="str">
        <x:v>Best angle: best vape starter kits - comparison, pros/cons, and which option fits different buyers</x:v>
      </x:c>
      <x:c r="O502" s="9" t="str">
        <x:v>/collections/disposable-vapes</x:v>
      </x:c>
      <x:c r="P502" s="9" t="str">
        <x:v>是</x:v>
      </x:c>
      <x:c r="Q502" s="9" t="str">
        <x:v>自然句/品类词/品牌词</x:v>
      </x:c>
      <x:c r="R502" s="9" t="str">
        <x:v>中风险：榜单和评测必须真实、中立，避免夸大</x:v>
      </x:c>
      <x:c r="S502" s="9" t="str">
        <x:v>这类词不直接给主站，先用博客C教育和比较，再导流到最相关集合页。</x:v>
      </x:c>
      <x:c r="T502" s="38" t="n">
        <x:v>4</x:v>
      </x:c>
      <x:c r="U502" s="38" t="n">
        <x:v>15</x:v>
      </x:c>
      <x:c r="V502" s="38" t="n">
        <x:v>16</x:v>
      </x:c>
      <x:c r="W502" s="38" t="n">
        <x:v>15</x:v>
      </x:c>
      <x:c r="X502" s="38" t="n">
        <x:v>13</x:v>
      </x:c>
      <x:c r="Y502" s="38" t="n">
        <x:v>6</x:v>
      </x:c>
      <x:c r="Z502" s="38" t="n">
        <x:f>MAX(0,MIN(100,ROUND(((T502+U502+V502+W502+X502)-Y502)/85*100,0)))</x:f>
        <x:v>67</x:v>
      </x:c>
      <x:c r="AA502" s="9" t="str">
        <x:f>IF(L502="暂不做","P3 暂缓",IF(Z502&gt;=75,"P0 本周做",IF(Z502&gt;=60,"P1 近期做",IF(Z502&gt;=45,"P2 备选","P3 暂缓"))))</x:f>
        <x:v>P1 近期做</x:v>
      </x:c>
      <x:c r="AB502" s="9" t="str">
        <x:f>IF(Y502&gt;=15,"先做合规/相关性复核，不建议直接商业导流",IF(L502="主站","建/优化主站商业页",IF(L502="博客A-知识教程","写知识教程/FAQ文章",IF(L502="博客B-场景人群","写场景需求/选购指南文章",IF(L502="博客C-对比评测","写对比评测/榜单文章","暂不做或人工复核")))))</x:f>
        <x:v>写对比评测/榜单文章</x:v>
      </x:c>
      <x:c r="AC502" s="9" t="str">
        <x:v>A Guide for Beginners Choosing Their First E-cigarette Device - ExDivo</x:v>
      </x:c>
      <x:c r="AD502" s="10" t="str">
        <x:v>a guide for beginners choosing their first e-cigarette device</x:v>
      </x:c>
    </x:row>
    <x:row r="503">
      <x:c r="A503" s="34" t="n">
        <x:v>503</x:v>
      </x:c>
      <x:c r="B503" s="9" t="str">
        <x:v>https://exdivo.com/blogs/a-beginner-s-guide-to-choosing-your-first-vape-device</x:v>
      </x:c>
      <x:c r="C503" s="9" t="str">
        <x:v>beginner vapes</x:v>
      </x:c>
      <x:c r="D503" s="9" t="str">
        <x:v>recommended</x:v>
      </x:c>
      <x:c r="E503" s="36" t="n">
        <x:v>50</x:v>
      </x:c>
      <x:c r="F503" s="36" t="n">
        <x:v>12</x:v>
      </x:c>
      <x:c r="G503" s="9" t="str">
        <x:v>commercial</x:v>
      </x:c>
      <x:c r="H503" s="9" t="str">
        <x:v>知识教程</x:v>
      </x:c>
      <x:c r="I503" s="9" t="str">
        <x:v>品类承接词</x:v>
      </x:c>
      <x:c r="J503" s="9" t="str">
        <x:v>主站</x:v>
      </x:c>
      <x:c r="K503" s="9" t="str"/>
      <x:c r="L503" s="9" t="str">
        <x:f>IF(K503="",J503,K503)</x:f>
        <x:v>主站</x:v>
      </x:c>
      <x:c r="M503" s="9" t="str">
        <x:v>品类页/集合页 + FAQ内容块</x:v>
      </x:c>
      <x:c r="N503" s="9" t="str">
        <x:v>主站品类页：用产品集合 + 选购说明承接</x:v>
      </x:c>
      <x:c r="O503" s="9" t="str">
        <x:v>/collections/disposable-vapes</x:v>
      </x:c>
      <x:c r="P503" s="9" t="str">
        <x:v>不适用</x:v>
      </x:c>
      <x:c r="Q503" s="9" t="str">
        <x:v>主站页面自身承接</x:v>
      </x:c>
      <x:c r="R503" s="9" t="str">
        <x:v>核心品类词：主站优先，博客只做长尾解释，不直接抢同一词</x:v>
      </x:c>
      <x:c r="S503" s="9" t="str">
        <x:v>如果 Google 首页产品页和指南混合，主站页要加 FAQ、选购指南、对比模块。</x:v>
      </x:c>
      <x:c r="T503" s="38" t="n">
        <x:v>4</x:v>
      </x:c>
      <x:c r="U503" s="38" t="n">
        <x:v>15</x:v>
      </x:c>
      <x:c r="V503" s="38" t="n">
        <x:v>18</x:v>
      </x:c>
      <x:c r="W503" s="38" t="n">
        <x:v>8</x:v>
      </x:c>
      <x:c r="X503" s="38" t="n">
        <x:v>15</x:v>
      </x:c>
      <x:c r="Y503" s="38" t="n">
        <x:v>4</x:v>
      </x:c>
      <x:c r="Z503" s="38" t="n">
        <x:f>MAX(0,MIN(100,ROUND(((T503+U503+V503+W503+X503)-Y503)/85*100,0)))</x:f>
        <x:v>66</x:v>
      </x:c>
      <x:c r="AA503" s="9" t="str">
        <x:f>IF(L503="暂不做","P3 暂缓",IF(Z503&gt;=75,"P0 本周做",IF(Z503&gt;=60,"P1 近期做",IF(Z503&gt;=45,"P2 备选","P3 暂缓"))))</x:f>
        <x:v>P1 近期做</x:v>
      </x:c>
      <x:c r="AB503" s="9" t="str">
        <x:f>IF(Y503&gt;=15,"先做合规/相关性复核，不建议直接商业导流",IF(L503="主站","建/优化主站商业页",IF(L503="博客A-知识教程","写知识教程/FAQ文章",IF(L503="博客B-场景人群","写场景需求/选购指南文章",IF(L503="博客C-对比评测","写对比评测/榜单文章","暂不做或人工复核")))))</x:f>
        <x:v>建/优化主站商业页</x:v>
      </x:c>
      <x:c r="AC503" s="9" t="str">
        <x:v>A Guide for Beginners Choosing Their First E-cigarette Device - ExDivo</x:v>
      </x:c>
      <x:c r="AD503" s="10" t="str">
        <x:v>a guide for beginners choosing their first e-cigarette device</x:v>
      </x:c>
    </x:row>
    <x:row r="504">
      <x:c r="A504" s="34" t="n">
        <x:v>504</x:v>
      </x:c>
      <x:c r="B504" s="9" t="str">
        <x:v>https://exdivo.com/blogs/a-beginner-s-guide-to-choosing-your-first-vape-device</x:v>
      </x:c>
      <x:c r="C504" s="9" t="str">
        <x:v>how to use a vape pen for first time</x:v>
      </x:c>
      <x:c r="D504" s="9" t="str">
        <x:v>recommended</x:v>
      </x:c>
      <x:c r="E504" s="36" t="n">
        <x:v>390</x:v>
      </x:c>
      <x:c r="F504" s="36" t="n">
        <x:v>10</x:v>
      </x:c>
      <x:c r="G504" s="9" t="str">
        <x:v>informational</x:v>
      </x:c>
      <x:c r="H504" s="9" t="str">
        <x:v>知识教程</x:v>
      </x:c>
      <x:c r="I504" s="9" t="str">
        <x:v>场景/需求词</x:v>
      </x:c>
      <x:c r="J504" s="9" t="str">
        <x:v>博客B-场景人群</x:v>
      </x:c>
      <x:c r="K504" s="9" t="str"/>
      <x:c r="L504" s="9" t="str">
        <x:f>IF(K504="",J504,K504)</x:f>
        <x:v>博客B-场景人群</x:v>
      </x:c>
      <x:c r="M504" s="9" t="str">
        <x:v>场景解决方案/选购指南文章</x:v>
      </x:c>
      <x:c r="N504" s="9" t="str">
        <x:v>Scenario angle: how to choose how to use a vape pen for first time based on use case, flavor, nicotine, and budget</x:v>
      </x:c>
      <x:c r="O504" s="9" t="str">
        <x:v>/collections/disposable-vapes</x:v>
      </x:c>
      <x:c r="P504" s="9" t="str">
        <x:v>是</x:v>
      </x:c>
      <x:c r="Q504" s="9" t="str">
        <x:v>自然句/品类词</x:v>
      </x:c>
      <x:c r="R504" s="9" t="str">
        <x:v>低中风险：适合软性导流，但不要夸大效果或触碰健康疗效</x:v>
      </x:c>
      <x:c r="S504" s="9" t="str">
        <x:v>围绕使用场景、口味、尼古丁需求、便携性等写，不和主站品类页抢词。</x:v>
      </x:c>
      <x:c r="T504" s="38" t="n">
        <x:v>7</x:v>
      </x:c>
      <x:c r="U504" s="38" t="n">
        <x:v>15</x:v>
      </x:c>
      <x:c r="V504" s="38" t="n">
        <x:v>13</x:v>
      </x:c>
      <x:c r="W504" s="38" t="n">
        <x:v>14</x:v>
      </x:c>
      <x:c r="X504" s="38" t="n">
        <x:v>13</x:v>
      </x:c>
      <x:c r="Y504" s="38" t="n">
        <x:v>5</x:v>
      </x:c>
      <x:c r="Z504" s="38" t="n">
        <x:f>MAX(0,MIN(100,ROUND(((T504+U504+V504+W504+X504)-Y504)/85*100,0)))</x:f>
        <x:v>67</x:v>
      </x:c>
      <x:c r="AA504" s="9" t="str">
        <x:f>IF(L504="暂不做","P3 暂缓",IF(Z504&gt;=75,"P0 本周做",IF(Z504&gt;=60,"P1 近期做",IF(Z504&gt;=45,"P2 备选","P3 暂缓"))))</x:f>
        <x:v>P1 近期做</x:v>
      </x:c>
      <x:c r="AB504" s="9" t="str">
        <x:f>IF(Y504&gt;=15,"先做合规/相关性复核，不建议直接商业导流",IF(L504="主站","建/优化主站商业页",IF(L504="博客A-知识教程","写知识教程/FAQ文章",IF(L504="博客B-场景人群","写场景需求/选购指南文章",IF(L504="博客C-对比评测","写对比评测/榜单文章","暂不做或人工复核")))))</x:f>
        <x:v>写场景需求/选购指南文章</x:v>
      </x:c>
      <x:c r="AC504" s="9" t="str">
        <x:v>A Guide for Beginners Choosing Their First E-cigarette Device - ExDivo</x:v>
      </x:c>
      <x:c r="AD504" s="10" t="str">
        <x:v>a guide for beginners choosing their first e-cigarette device</x:v>
      </x:c>
    </x:row>
    <x:row r="505">
      <x:c r="A505" s="34" t="n">
        <x:v>505</x:v>
      </x:c>
      <x:c r="B505" s="9" t="str">
        <x:v>https://exdivo.com/blogs/a-beginner-s-guide-to-choosing-your-first-vape-device</x:v>
      </x:c>
      <x:c r="C505" s="9" t="str">
        <x:v>e cigarette starter kits</x:v>
      </x:c>
      <x:c r="D505" s="9" t="str">
        <x:v>recommended</x:v>
      </x:c>
      <x:c r="E505" s="36" t="n">
        <x:v>50</x:v>
      </x:c>
      <x:c r="F505" s="36" t="n">
        <x:v>23</x:v>
      </x:c>
      <x:c r="G505" s="9" t="str">
        <x:v>commercial</x:v>
      </x:c>
      <x:c r="H505" s="9" t="str">
        <x:v>E-Cigarette</x:v>
      </x:c>
      <x:c r="I505" s="9" t="str">
        <x:v>品类承接词</x:v>
      </x:c>
      <x:c r="J505" s="9" t="str">
        <x:v>主站</x:v>
      </x:c>
      <x:c r="K505" s="9" t="str"/>
      <x:c r="L505" s="9" t="str">
        <x:f>IF(K505="",J505,K505)</x:f>
        <x:v>主站</x:v>
      </x:c>
      <x:c r="M505" s="9" t="str">
        <x:v>品类页/集合页 + FAQ内容块</x:v>
      </x:c>
      <x:c r="N505" s="9" t="str">
        <x:v>主站品类页：用产品集合 + 选购说明承接</x:v>
      </x:c>
      <x:c r="O505" s="9" t="str">
        <x:v>/collections/e-cigarettes</x:v>
      </x:c>
      <x:c r="P505" s="9" t="str">
        <x:v>不适用</x:v>
      </x:c>
      <x:c r="Q505" s="9" t="str">
        <x:v>主站页面自身承接</x:v>
      </x:c>
      <x:c r="R505" s="9" t="str">
        <x:v>核心品类词：主站优先，博客只做长尾解释，不直接抢同一词</x:v>
      </x:c>
      <x:c r="S505" s="9" t="str">
        <x:v>如果 Google 首页产品页和指南混合，主站页要加 FAQ、选购指南、对比模块。</x:v>
      </x:c>
      <x:c r="T505" s="38" t="n">
        <x:v>4</x:v>
      </x:c>
      <x:c r="U505" s="38" t="n">
        <x:v>12</x:v>
      </x:c>
      <x:c r="V505" s="38" t="n">
        <x:v>18</x:v>
      </x:c>
      <x:c r="W505" s="38" t="n">
        <x:v>8</x:v>
      </x:c>
      <x:c r="X505" s="38" t="n">
        <x:v>15</x:v>
      </x:c>
      <x:c r="Y505" s="38" t="n">
        <x:v>4</x:v>
      </x:c>
      <x:c r="Z505" s="38" t="n">
        <x:f>MAX(0,MIN(100,ROUND(((T505+U505+V505+W505+X505)-Y505)/85*100,0)))</x:f>
        <x:v>62</x:v>
      </x:c>
      <x:c r="AA505" s="9" t="str">
        <x:f>IF(L505="暂不做","P3 暂缓",IF(Z505&gt;=75,"P0 本周做",IF(Z505&gt;=60,"P1 近期做",IF(Z505&gt;=45,"P2 备选","P3 暂缓"))))</x:f>
        <x:v>P1 近期做</x:v>
      </x:c>
      <x:c r="AB505" s="9" t="str">
        <x:f>IF(Y505&gt;=15,"先做合规/相关性复核，不建议直接商业导流",IF(L505="主站","建/优化主站商业页",IF(L505="博客A-知识教程","写知识教程/FAQ文章",IF(L505="博客B-场景人群","写场景需求/选购指南文章",IF(L505="博客C-对比评测","写对比评测/榜单文章","暂不做或人工复核")))))</x:f>
        <x:v>建/优化主站商业页</x:v>
      </x:c>
      <x:c r="AC505" s="9" t="str">
        <x:v>A Guide for Beginners Choosing Their First E-cigarette Device - ExDivo</x:v>
      </x:c>
      <x:c r="AD505" s="10" t="str">
        <x:v>a guide for beginners choosing their first e-cigarette device</x:v>
      </x:c>
    </x:row>
    <x:row r="506">
      <x:c r="A506" s="34" t="n">
        <x:v>506</x:v>
      </x:c>
      <x:c r="B506" s="9" t="str">
        <x:v>https://exdivo.com/blogs/a-beginner-s-guide-to-choosing-your-first-vape-device</x:v>
      </x:c>
      <x:c r="C506" s="9" t="str">
        <x:v>ecig starter kit</x:v>
      </x:c>
      <x:c r="D506" s="9" t="str">
        <x:v>recommended</x:v>
      </x:c>
      <x:c r="E506" s="36" t="n">
        <x:v>40</x:v>
      </x:c>
      <x:c r="F506" s="36" t="n">
        <x:v>24</x:v>
      </x:c>
      <x:c r="G506" s="9" t="str">
        <x:v>commercial</x:v>
      </x:c>
      <x:c r="H506" s="9" t="str">
        <x:v>General Vape</x:v>
      </x:c>
      <x:c r="I506" s="9" t="str">
        <x:v>品类承接词</x:v>
      </x:c>
      <x:c r="J506" s="9" t="str">
        <x:v>主站</x:v>
      </x:c>
      <x:c r="K506" s="9" t="str"/>
      <x:c r="L506" s="9" t="str">
        <x:f>IF(K506="",J506,K506)</x:f>
        <x:v>主站</x:v>
      </x:c>
      <x:c r="M506" s="9" t="str">
        <x:v>品类页/集合页 + FAQ内容块</x:v>
      </x:c>
      <x:c r="N506" s="9" t="str">
        <x:v>主站品类页：用产品集合 + 选购说明承接</x:v>
      </x:c>
      <x:c r="O506" s="9" t="str">
        <x:v>/collections/disposable-vapes</x:v>
      </x:c>
      <x:c r="P506" s="9" t="str">
        <x:v>不适用</x:v>
      </x:c>
      <x:c r="Q506" s="9" t="str">
        <x:v>主站页面自身承接</x:v>
      </x:c>
      <x:c r="R506" s="9" t="str">
        <x:v>核心品类词：主站优先，博客只做长尾解释，不直接抢同一词</x:v>
      </x:c>
      <x:c r="S506" s="9" t="str">
        <x:v>如果 Google 首页产品页和指南混合，主站页要加 FAQ、选购指南、对比模块。</x:v>
      </x:c>
      <x:c r="T506" s="38" t="n">
        <x:v>4</x:v>
      </x:c>
      <x:c r="U506" s="38" t="n">
        <x:v>12</x:v>
      </x:c>
      <x:c r="V506" s="38" t="n">
        <x:v>18</x:v>
      </x:c>
      <x:c r="W506" s="38" t="n">
        <x:v>8</x:v>
      </x:c>
      <x:c r="X506" s="38" t="n">
        <x:v>15</x:v>
      </x:c>
      <x:c r="Y506" s="38" t="n">
        <x:v>4</x:v>
      </x:c>
      <x:c r="Z506" s="38" t="n">
        <x:f>MAX(0,MIN(100,ROUND(((T506+U506+V506+W506+X506)-Y506)/85*100,0)))</x:f>
        <x:v>62</x:v>
      </x:c>
      <x:c r="AA506" s="9" t="str">
        <x:f>IF(L506="暂不做","P3 暂缓",IF(Z506&gt;=75,"P0 本周做",IF(Z506&gt;=60,"P1 近期做",IF(Z506&gt;=45,"P2 备选","P3 暂缓"))))</x:f>
        <x:v>P1 近期做</x:v>
      </x:c>
      <x:c r="AB506" s="9" t="str">
        <x:f>IF(Y506&gt;=15,"先做合规/相关性复核，不建议直接商业导流",IF(L506="主站","建/优化主站商业页",IF(L506="博客A-知识教程","写知识教程/FAQ文章",IF(L506="博客B-场景人群","写场景需求/选购指南文章",IF(L506="博客C-对比评测","写对比评测/榜单文章","暂不做或人工复核")))))</x:f>
        <x:v>建/优化主站商业页</x:v>
      </x:c>
      <x:c r="AC506" s="9" t="str">
        <x:v>A Guide for Beginners Choosing Their First E-cigarette Device - ExDivo</x:v>
      </x:c>
      <x:c r="AD506" s="10" t="str">
        <x:v>a guide for beginners choosing their first e-cigarette device</x:v>
      </x:c>
    </x:row>
    <x:row r="507">
      <x:c r="A507" s="34" t="n">
        <x:v>507</x:v>
      </x:c>
      <x:c r="B507" s="9" t="str">
        <x:v>https://exdivo.com/blogs/a-beginner-s-guide-to-choosing-your-first-vape-device</x:v>
      </x:c>
      <x:c r="C507" s="9" t="str">
        <x:v>starter kit vape</x:v>
      </x:c>
      <x:c r="D507" s="9" t="str">
        <x:v>recommended</x:v>
      </x:c>
      <x:c r="E507" s="36" t="n">
        <x:v>40</x:v>
      </x:c>
      <x:c r="F507" s="36" t="n">
        <x:v>27</x:v>
      </x:c>
      <x:c r="G507" s="9" t="str">
        <x:v>commercial</x:v>
      </x:c>
      <x:c r="H507" s="9" t="str">
        <x:v>General Vape</x:v>
      </x:c>
      <x:c r="I507" s="9" t="str">
        <x:v>品类承接词</x:v>
      </x:c>
      <x:c r="J507" s="9" t="str">
        <x:v>主站</x:v>
      </x:c>
      <x:c r="K507" s="9" t="str"/>
      <x:c r="L507" s="9" t="str">
        <x:f>IF(K507="",J507,K507)</x:f>
        <x:v>主站</x:v>
      </x:c>
      <x:c r="M507" s="9" t="str">
        <x:v>品类页/集合页 + FAQ内容块</x:v>
      </x:c>
      <x:c r="N507" s="9" t="str">
        <x:v>主站品类页：用产品集合 + 选购说明承接</x:v>
      </x:c>
      <x:c r="O507" s="9" t="str">
        <x:v>/collections/disposable-vapes</x:v>
      </x:c>
      <x:c r="P507" s="9" t="str">
        <x:v>不适用</x:v>
      </x:c>
      <x:c r="Q507" s="9" t="str">
        <x:v>主站页面自身承接</x:v>
      </x:c>
      <x:c r="R507" s="9" t="str">
        <x:v>核心品类词：主站优先，博客只做长尾解释，不直接抢同一词</x:v>
      </x:c>
      <x:c r="S507" s="9" t="str">
        <x:v>如果 Google 首页产品页和指南混合，主站页要加 FAQ、选购指南、对比模块。</x:v>
      </x:c>
      <x:c r="T507" s="38" t="n">
        <x:v>4</x:v>
      </x:c>
      <x:c r="U507" s="38" t="n">
        <x:v>12</x:v>
      </x:c>
      <x:c r="V507" s="38" t="n">
        <x:v>18</x:v>
      </x:c>
      <x:c r="W507" s="38" t="n">
        <x:v>8</x:v>
      </x:c>
      <x:c r="X507" s="38" t="n">
        <x:v>15</x:v>
      </x:c>
      <x:c r="Y507" s="38" t="n">
        <x:v>4</x:v>
      </x:c>
      <x:c r="Z507" s="38" t="n">
        <x:f>MAX(0,MIN(100,ROUND(((T507+U507+V507+W507+X507)-Y507)/85*100,0)))</x:f>
        <x:v>62</x:v>
      </x:c>
      <x:c r="AA507" s="9" t="str">
        <x:f>IF(L507="暂不做","P3 暂缓",IF(Z507&gt;=75,"P0 本周做",IF(Z507&gt;=60,"P1 近期做",IF(Z507&gt;=45,"P2 备选","P3 暂缓"))))</x:f>
        <x:v>P1 近期做</x:v>
      </x:c>
      <x:c r="AB507" s="9" t="str">
        <x:f>IF(Y507&gt;=15,"先做合规/相关性复核，不建议直接商业导流",IF(L507="主站","建/优化主站商业页",IF(L507="博客A-知识教程","写知识教程/FAQ文章",IF(L507="博客B-场景人群","写场景需求/选购指南文章",IF(L507="博客C-对比评测","写对比评测/榜单文章","暂不做或人工复核")))))</x:f>
        <x:v>建/优化主站商业页</x:v>
      </x:c>
      <x:c r="AC507" s="9" t="str">
        <x:v>A Guide for Beginners Choosing Their First E-cigarette Device - ExDivo</x:v>
      </x:c>
      <x:c r="AD507" s="10" t="str">
        <x:v>a guide for beginners choosing their first e-cigarette device</x:v>
      </x:c>
    </x:row>
    <x:row r="508">
      <x:c r="A508" s="34" t="n">
        <x:v>508</x:v>
      </x:c>
      <x:c r="B508" s="9" t="str">
        <x:v>https://exdivo.com/blogs/a-beginner-s-guide-to-choosing-your-first-vape-device</x:v>
      </x:c>
      <x:c r="C508" s="9" t="str">
        <x:v>vape mods for beginners</x:v>
      </x:c>
      <x:c r="D508" s="9" t="str">
        <x:v>recommended</x:v>
      </x:c>
      <x:c r="E508" s="36" t="n">
        <x:v>50</x:v>
      </x:c>
      <x:c r="F508" s="36" t="n">
        <x:v>20</x:v>
      </x:c>
      <x:c r="G508" s="9" t="str">
        <x:v>informational</x:v>
      </x:c>
      <x:c r="H508" s="9" t="str">
        <x:v>知识教程</x:v>
      </x:c>
      <x:c r="I508" s="9" t="str">
        <x:v>场景/需求词</x:v>
      </x:c>
      <x:c r="J508" s="9" t="str">
        <x:v>博客B-场景人群</x:v>
      </x:c>
      <x:c r="K508" s="9" t="str"/>
      <x:c r="L508" s="9" t="str">
        <x:f>IF(K508="",J508,K508)</x:f>
        <x:v>博客B-场景人群</x:v>
      </x:c>
      <x:c r="M508" s="9" t="str">
        <x:v>场景解决方案/选购指南文章</x:v>
      </x:c>
      <x:c r="N508" s="9" t="str">
        <x:v>Scenario angle: how to choose vape mods for beginners based on use case, flavor, nicotine, and budget</x:v>
      </x:c>
      <x:c r="O508" s="9" t="str">
        <x:v>/collections/disposable-vapes</x:v>
      </x:c>
      <x:c r="P508" s="9" t="str">
        <x:v>是</x:v>
      </x:c>
      <x:c r="Q508" s="9" t="str">
        <x:v>自然句/品类词</x:v>
      </x:c>
      <x:c r="R508" s="9" t="str">
        <x:v>低中风险：适合软性导流，但不要夸大效果或触碰健康疗效</x:v>
      </x:c>
      <x:c r="S508" s="9" t="str">
        <x:v>围绕使用场景、口味、尼古丁需求、便携性等写，不和主站品类页抢词。</x:v>
      </x:c>
      <x:c r="T508" s="38" t="n">
        <x:v>4</x:v>
      </x:c>
      <x:c r="U508" s="38" t="n">
        <x:v>12</x:v>
      </x:c>
      <x:c r="V508" s="38" t="n">
        <x:v>13</x:v>
      </x:c>
      <x:c r="W508" s="38" t="n">
        <x:v>14</x:v>
      </x:c>
      <x:c r="X508" s="38" t="n">
        <x:v>13</x:v>
      </x:c>
      <x:c r="Y508" s="38" t="n">
        <x:v>5</x:v>
      </x:c>
      <x:c r="Z508" s="38" t="n">
        <x:f>MAX(0,MIN(100,ROUND(((T508+U508+V508+W508+X508)-Y508)/85*100,0)))</x:f>
        <x:v>60</x:v>
      </x:c>
      <x:c r="AA508" s="9" t="str">
        <x:f>IF(L508="暂不做","P3 暂缓",IF(Z508&gt;=75,"P0 本周做",IF(Z508&gt;=60,"P1 近期做",IF(Z508&gt;=45,"P2 备选","P3 暂缓"))))</x:f>
        <x:v>P1 近期做</x:v>
      </x:c>
      <x:c r="AB508" s="9" t="str">
        <x:f>IF(Y508&gt;=15,"先做合规/相关性复核，不建议直接商业导流",IF(L508="主站","建/优化主站商业页",IF(L508="博客A-知识教程","写知识教程/FAQ文章",IF(L508="博客B-场景人群","写场景需求/选购指南文章",IF(L508="博客C-对比评测","写对比评测/榜单文章","暂不做或人工复核")))))</x:f>
        <x:v>写场景需求/选购指南文章</x:v>
      </x:c>
      <x:c r="AC508" s="9" t="str">
        <x:v>A Guide for Beginners Choosing Their First E-cigarette Device - ExDivo</x:v>
      </x:c>
      <x:c r="AD508" s="10" t="str">
        <x:v>a guide for beginners choosing their first e-cigarette device</x:v>
      </x:c>
    </x:row>
    <x:row r="509">
      <x:c r="A509" s="34" t="n">
        <x:v>509</x:v>
      </x:c>
      <x:c r="B509" s="9" t="str">
        <x:v>https://exdivo.com/blogs/a-beginner-s-guide-to-choosing-your-first-vape-device</x:v>
      </x:c>
      <x:c r="C509" s="9" t="str">
        <x:v>how to inhale a vape for the first time</x:v>
      </x:c>
      <x:c r="D509" s="9" t="str">
        <x:v>recommended</x:v>
      </x:c>
      <x:c r="E509" s="36" t="n">
        <x:v>50</x:v>
      </x:c>
      <x:c r="F509" s="36" t="n">
        <x:v>4</x:v>
      </x:c>
      <x:c r="G509" s="9" t="str">
        <x:v>informational</x:v>
      </x:c>
      <x:c r="H509" s="9" t="str">
        <x:v>知识教程</x:v>
      </x:c>
      <x:c r="I509" s="9" t="str">
        <x:v>场景/需求词</x:v>
      </x:c>
      <x:c r="J509" s="9" t="str">
        <x:v>博客B-场景人群</x:v>
      </x:c>
      <x:c r="K509" s="9" t="str"/>
      <x:c r="L509" s="9" t="str">
        <x:f>IF(K509="",J509,K509)</x:f>
        <x:v>博客B-场景人群</x:v>
      </x:c>
      <x:c r="M509" s="9" t="str">
        <x:v>场景解决方案/选购指南文章</x:v>
      </x:c>
      <x:c r="N509" s="9" t="str">
        <x:v>Scenario angle: how to choose how to inhale a vape for the first time based on use case, flavor, nicotine, and budget</x:v>
      </x:c>
      <x:c r="O509" s="9" t="str">
        <x:v>/collections/disposable-vapes</x:v>
      </x:c>
      <x:c r="P509" s="9" t="str">
        <x:v>是</x:v>
      </x:c>
      <x:c r="Q509" s="9" t="str">
        <x:v>自然句/品类词</x:v>
      </x:c>
      <x:c r="R509" s="9" t="str">
        <x:v>低中风险：适合软性导流，但不要夸大效果或触碰健康疗效</x:v>
      </x:c>
      <x:c r="S509" s="9" t="str">
        <x:v>围绕使用场景、口味、尼古丁需求、便携性等写，不和主站品类页抢词。</x:v>
      </x:c>
      <x:c r="T509" s="38" t="n">
        <x:v>4</x:v>
      </x:c>
      <x:c r="U509" s="38" t="n">
        <x:v>15</x:v>
      </x:c>
      <x:c r="V509" s="38" t="n">
        <x:v>13</x:v>
      </x:c>
      <x:c r="W509" s="38" t="n">
        <x:v>14</x:v>
      </x:c>
      <x:c r="X509" s="38" t="n">
        <x:v>13</x:v>
      </x:c>
      <x:c r="Y509" s="38" t="n">
        <x:v>5</x:v>
      </x:c>
      <x:c r="Z509" s="38" t="n">
        <x:f>MAX(0,MIN(100,ROUND(((T509+U509+V509+W509+X509)-Y509)/85*100,0)))</x:f>
        <x:v>64</x:v>
      </x:c>
      <x:c r="AA509" s="9" t="str">
        <x:f>IF(L509="暂不做","P3 暂缓",IF(Z509&gt;=75,"P0 本周做",IF(Z509&gt;=60,"P1 近期做",IF(Z509&gt;=45,"P2 备选","P3 暂缓"))))</x:f>
        <x:v>P1 近期做</x:v>
      </x:c>
      <x:c r="AB509" s="9" t="str">
        <x:f>IF(Y509&gt;=15,"先做合规/相关性复核，不建议直接商业导流",IF(L509="主站","建/优化主站商业页",IF(L509="博客A-知识教程","写知识教程/FAQ文章",IF(L509="博客B-场景人群","写场景需求/选购指南文章",IF(L509="博客C-对比评测","写对比评测/榜单文章","暂不做或人工复核")))))</x:f>
        <x:v>写场景需求/选购指南文章</x:v>
      </x:c>
      <x:c r="AC509" s="9" t="str">
        <x:v>A Guide for Beginners Choosing Their First E-cigarette Device - ExDivo</x:v>
      </x:c>
      <x:c r="AD509" s="10" t="str">
        <x:v>a guide for beginners choosing their first e-cigarette device</x:v>
      </x:c>
    </x:row>
    <x:row r="510">
      <x:c r="A510" s="34" t="n">
        <x:v>510</x:v>
      </x:c>
      <x:c r="B510" s="9" t="str">
        <x:v>https://exdivo.com/blogs/a-beginner-s-guide-to-choosing-your-first-vape-device</x:v>
      </x:c>
      <x:c r="C510" s="9" t="str">
        <x:v>best vape for beginners</x:v>
      </x:c>
      <x:c r="D510" s="9" t="str">
        <x:v>recommended</x:v>
      </x:c>
      <x:c r="E510" s="36" t="n">
        <x:v>0</x:v>
      </x:c>
      <x:c r="F510" s="36" t="n">
        <x:v>0</x:v>
      </x:c>
      <x:c r="G510" s="9" t="str">
        <x:v>48</x:v>
      </x:c>
      <x:c r="H510" s="9" t="str">
        <x:v>对比评测</x:v>
      </x:c>
      <x:c r="I510" s="9" t="str">
        <x:v>商业调查词</x:v>
      </x:c>
      <x:c r="J510" s="9" t="str">
        <x:v>博客C-对比评测</x:v>
      </x:c>
      <x:c r="K510" s="9" t="str"/>
      <x:c r="L510" s="9" t="str">
        <x:f>IF(K510="",J510,K510)</x:f>
        <x:v>博客C-对比评测</x:v>
      </x:c>
      <x:c r="M510" s="9" t="str">
        <x:v>Best/Top/Review/VS/替代方案文章</x:v>
      </x:c>
      <x:c r="N510" s="9" t="str">
        <x:v>Best angle: best vape for beginners - comparison, pros/cons, and which option fits different buyers</x:v>
      </x:c>
      <x:c r="O510" s="9" t="str">
        <x:v>/collections/disposable-vapes</x:v>
      </x:c>
      <x:c r="P510" s="9" t="str">
        <x:v>是</x:v>
      </x:c>
      <x:c r="Q510" s="9" t="str">
        <x:v>自然句/品类词/品牌词</x:v>
      </x:c>
      <x:c r="R510" s="9" t="str">
        <x:v>中风险：榜单和评测必须真实、中立，避免夸大</x:v>
      </x:c>
      <x:c r="S510" s="9" t="str">
        <x:v>这类词不直接给主站，先用博客C教育和比较，再导流到最相关集合页。</x:v>
      </x:c>
      <x:c r="T510" s="38" t="n">
        <x:v>1</x:v>
      </x:c>
      <x:c r="U510" s="38" t="n">
        <x:v>15</x:v>
      </x:c>
      <x:c r="V510" s="38" t="n">
        <x:v>16</x:v>
      </x:c>
      <x:c r="W510" s="38" t="n">
        <x:v>15</x:v>
      </x:c>
      <x:c r="X510" s="38" t="n">
        <x:v>13</x:v>
      </x:c>
      <x:c r="Y510" s="38" t="n">
        <x:v>6</x:v>
      </x:c>
      <x:c r="Z510" s="38" t="n">
        <x:f>MAX(0,MIN(100,ROUND(((T510+U510+V510+W510+X510)-Y510)/85*100,0)))</x:f>
        <x:v>64</x:v>
      </x:c>
      <x:c r="AA510" s="9" t="str">
        <x:f>IF(L510="暂不做","P3 暂缓",IF(Z510&gt;=75,"P0 本周做",IF(Z510&gt;=60,"P1 近期做",IF(Z510&gt;=45,"P2 备选","P3 暂缓"))))</x:f>
        <x:v>P1 近期做</x:v>
      </x:c>
      <x:c r="AB510" s="9" t="str">
        <x:f>IF(Y510&gt;=15,"先做合规/相关性复核，不建议直接商业导流",IF(L510="主站","建/优化主站商业页",IF(L510="博客A-知识教程","写知识教程/FAQ文章",IF(L510="博客B-场景人群","写场景需求/选购指南文章",IF(L510="博客C-对比评测","写对比评测/榜单文章","暂不做或人工复核")))))</x:f>
        <x:v>写对比评测/榜单文章</x:v>
      </x:c>
      <x:c r="AC510" s="9" t="str">
        <x:v>A Guide for Beginners Choosing Their First E-cigarette Device - ExDivo</x:v>
      </x:c>
      <x:c r="AD510" s="10" t="str">
        <x:v>a guide for beginners choosing their first e-cigarette device</x:v>
      </x:c>
    </x:row>
    <x:row r="511">
      <x:c r="A511" s="34" t="n">
        <x:v>511</x:v>
      </x:c>
      <x:c r="B511" s="9" t="str">
        <x:v>https://exdivo.com/blogs/a-beginner-s-guide-to-choosing-your-first-vape-device</x:v>
      </x:c>
      <x:c r="C511" s="9" t="str">
        <x:v>vape starter kit guide</x:v>
      </x:c>
      <x:c r="D511" s="9" t="str">
        <x:v>recommended</x:v>
      </x:c>
      <x:c r="E511" s="36" t="n">
        <x:v>0</x:v>
      </x:c>
      <x:c r="F511" s="36" t="n">
        <x:v>0</x:v>
      </x:c>
      <x:c r="G511" s="9" t="str">
        <x:v>48</x:v>
      </x:c>
      <x:c r="H511" s="9" t="str">
        <x:v>知识教程</x:v>
      </x:c>
      <x:c r="I511" s="9" t="str">
        <x:v>知识/教程词</x:v>
      </x:c>
      <x:c r="J511" s="9" t="str">
        <x:v>博客A-知识教程</x:v>
      </x:c>
      <x:c r="K511" s="9" t="str"/>
      <x:c r="L511" s="9" t="str">
        <x:f>IF(K511="",J511,K511)</x:f>
        <x:v>博客A-知识教程</x:v>
      </x:c>
      <x:c r="M511" s="9" t="str">
        <x:v>百科/How-to/FAQ文章</x:v>
      </x:c>
      <x:c r="N511" s="9" t="str">
        <x:v>Guide angle: explain vape starter kit guide, answer common questions, and avoid sales-first writing</x:v>
      </x:c>
      <x:c r="O511" s="9" t="str">
        <x:v>/collections/disposable-vapes</x:v>
      </x:c>
      <x:c r="P511" s="9" t="str">
        <x:v>谨慎</x:v>
      </x:c>
      <x:c r="Q511" s="9" t="str">
        <x:v>自然句/品牌词</x:v>
      </x:c>
      <x:c r="R511" s="9" t="str">
        <x:v>低中风险：先满足信息意图，导流要克制</x:v>
      </x:c>
      <x:c r="S511" s="9" t="str">
        <x:v>如果文章能自然回答下一步购买问题，再放 1 个主站内链；否则只做知识闭环。</x:v>
      </x:c>
      <x:c r="T511" s="38" t="n">
        <x:v>1</x:v>
      </x:c>
      <x:c r="U511" s="38" t="n">
        <x:v>15</x:v>
      </x:c>
      <x:c r="V511" s="38" t="n">
        <x:v>9</x:v>
      </x:c>
      <x:c r="W511" s="38" t="n">
        <x:v>14</x:v>
      </x:c>
      <x:c r="X511" s="38" t="n">
        <x:v>12</x:v>
      </x:c>
      <x:c r="Y511" s="38" t="n">
        <x:v>5</x:v>
      </x:c>
      <x:c r="Z511" s="38" t="n">
        <x:f>MAX(0,MIN(100,ROUND(((T511+U511+V511+W511+X511)-Y511)/85*100,0)))</x:f>
        <x:v>54</x:v>
      </x:c>
      <x:c r="AA511" s="9" t="str">
        <x:f>IF(L511="暂不做","P3 暂缓",IF(Z511&gt;=75,"P0 本周做",IF(Z511&gt;=60,"P1 近期做",IF(Z511&gt;=45,"P2 备选","P3 暂缓"))))</x:f>
        <x:v>P2 备选</x:v>
      </x:c>
      <x:c r="AB511" s="9" t="str">
        <x:f>IF(Y511&gt;=15,"先做合规/相关性复核，不建议直接商业导流",IF(L511="主站","建/优化主站商业页",IF(L511="博客A-知识教程","写知识教程/FAQ文章",IF(L511="博客B-场景人群","写场景需求/选购指南文章",IF(L511="博客C-对比评测","写对比评测/榜单文章","暂不做或人工复核")))))</x:f>
        <x:v>写知识教程/FAQ文章</x:v>
      </x:c>
      <x:c r="AC511" s="9" t="str">
        <x:v>A Guide for Beginners Choosing Their First E-cigarette Device - ExDivo</x:v>
      </x:c>
      <x:c r="AD511" s="10" t="str">
        <x:v>a guide for beginners choosing their first e-cigarette device</x:v>
      </x:c>
    </x:row>
    <x:row r="512">
      <x:c r="A512" s="34" t="n">
        <x:v>512</x:v>
      </x:c>
      <x:c r="B512" s="9" t="str">
        <x:v>https://exdivo.com/blogs/a-beginner-s-guide-to-choosing-your-first-vape-device</x:v>
      </x:c>
      <x:c r="C512" s="9" t="str">
        <x:v>how to choose first vape</x:v>
      </x:c>
      <x:c r="D512" s="9" t="str">
        <x:v>recommended</x:v>
      </x:c>
      <x:c r="E512" s="36" t="n">
        <x:v>0</x:v>
      </x:c>
      <x:c r="F512" s="36" t="n">
        <x:v>0</x:v>
      </x:c>
      <x:c r="G512" s="9" t="str">
        <x:v>48</x:v>
      </x:c>
      <x:c r="H512" s="9" t="str">
        <x:v>知识教程</x:v>
      </x:c>
      <x:c r="I512" s="9" t="str">
        <x:v>知识/教程词</x:v>
      </x:c>
      <x:c r="J512" s="9" t="str">
        <x:v>博客A-知识教程</x:v>
      </x:c>
      <x:c r="K512" s="9" t="str"/>
      <x:c r="L512" s="9" t="str">
        <x:f>IF(K512="",J512,K512)</x:f>
        <x:v>博客A-知识教程</x:v>
      </x:c>
      <x:c r="M512" s="9" t="str">
        <x:v>百科/How-to/FAQ文章</x:v>
      </x:c>
      <x:c r="N512" s="9" t="str">
        <x:v>Guide angle: explain how to choose first vape, answer common questions, and avoid sales-first writing</x:v>
      </x:c>
      <x:c r="O512" s="9" t="str">
        <x:v>/collections/disposable-vapes</x:v>
      </x:c>
      <x:c r="P512" s="9" t="str">
        <x:v>谨慎</x:v>
      </x:c>
      <x:c r="Q512" s="9" t="str">
        <x:v>自然句/品牌词</x:v>
      </x:c>
      <x:c r="R512" s="9" t="str">
        <x:v>低中风险：先满足信息意图，导流要克制</x:v>
      </x:c>
      <x:c r="S512" s="9" t="str">
        <x:v>如果文章能自然回答下一步购买问题，再放 1 个主站内链；否则只做知识闭环。</x:v>
      </x:c>
      <x:c r="T512" s="38" t="n">
        <x:v>1</x:v>
      </x:c>
      <x:c r="U512" s="38" t="n">
        <x:v>15</x:v>
      </x:c>
      <x:c r="V512" s="38" t="n">
        <x:v>9</x:v>
      </x:c>
      <x:c r="W512" s="38" t="n">
        <x:v>14</x:v>
      </x:c>
      <x:c r="X512" s="38" t="n">
        <x:v>12</x:v>
      </x:c>
      <x:c r="Y512" s="38" t="n">
        <x:v>5</x:v>
      </x:c>
      <x:c r="Z512" s="38" t="n">
        <x:f>MAX(0,MIN(100,ROUND(((T512+U512+V512+W512+X512)-Y512)/85*100,0)))</x:f>
        <x:v>54</x:v>
      </x:c>
      <x:c r="AA512" s="9" t="str">
        <x:f>IF(L512="暂不做","P3 暂缓",IF(Z512&gt;=75,"P0 本周做",IF(Z512&gt;=60,"P1 近期做",IF(Z512&gt;=45,"P2 备选","P3 暂缓"))))</x:f>
        <x:v>P2 备选</x:v>
      </x:c>
      <x:c r="AB512" s="9" t="str">
        <x:f>IF(Y512&gt;=15,"先做合规/相关性复核，不建议直接商业导流",IF(L512="主站","建/优化主站商业页",IF(L512="博客A-知识教程","写知识教程/FAQ文章",IF(L512="博客B-场景人群","写场景需求/选购指南文章",IF(L512="博客C-对比评测","写对比评测/榜单文章","暂不做或人工复核")))))</x:f>
        <x:v>写知识教程/FAQ文章</x:v>
      </x:c>
      <x:c r="AC512" s="9" t="str">
        <x:v>A Guide for Beginners Choosing Their First E-cigarette Device - ExDivo</x:v>
      </x:c>
      <x:c r="AD512" s="10" t="str">
        <x:v>a guide for beginners choosing their first e-cigarette device</x:v>
      </x:c>
    </x:row>
    <x:row r="513">
      <x:c r="A513" s="34" t="n">
        <x:v>513</x:v>
      </x:c>
      <x:c r="B513" s="9" t="str">
        <x:v>https://exdivo.com/blogs/a-beginner-s-guide-to-choosing-your-first-vape-device</x:v>
      </x:c>
      <x:c r="C513" s="9" t="str">
        <x:v>how to start vaping</x:v>
      </x:c>
      <x:c r="D513" s="9" t="str">
        <x:v>recommended</x:v>
      </x:c>
      <x:c r="E513" s="36" t="n">
        <x:v>480</x:v>
      </x:c>
      <x:c r="F513" s="36" t="n">
        <x:v>10</x:v>
      </x:c>
      <x:c r="G513" s="9" t="str">
        <x:v>informational</x:v>
      </x:c>
      <x:c r="H513" s="9" t="str">
        <x:v>知识教程</x:v>
      </x:c>
      <x:c r="I513" s="9" t="str">
        <x:v>知识/教程词</x:v>
      </x:c>
      <x:c r="J513" s="9" t="str">
        <x:v>博客A-知识教程</x:v>
      </x:c>
      <x:c r="K513" s="9" t="str"/>
      <x:c r="L513" s="9" t="str">
        <x:f>IF(K513="",J513,K513)</x:f>
        <x:v>博客A-知识教程</x:v>
      </x:c>
      <x:c r="M513" s="9" t="str">
        <x:v>百科/How-to/FAQ文章</x:v>
      </x:c>
      <x:c r="N513" s="9" t="str">
        <x:v>Guide angle: explain how to start vaping, answer common questions, and avoid sales-first writing</x:v>
      </x:c>
      <x:c r="O513" s="9" t="str">
        <x:v>/collections/disposable-vapes</x:v>
      </x:c>
      <x:c r="P513" s="9" t="str">
        <x:v>谨慎</x:v>
      </x:c>
      <x:c r="Q513" s="9" t="str">
        <x:v>自然句/品牌词</x:v>
      </x:c>
      <x:c r="R513" s="9" t="str">
        <x:v>低中风险：先满足信息意图，导流要克制</x:v>
      </x:c>
      <x:c r="S513" s="9" t="str">
        <x:v>如果文章能自然回答下一步购买问题，再放 1 个主站内链；否则只做知识闭环。</x:v>
      </x:c>
      <x:c r="T513" s="38" t="n">
        <x:v>7</x:v>
      </x:c>
      <x:c r="U513" s="38" t="n">
        <x:v>15</x:v>
      </x:c>
      <x:c r="V513" s="38" t="n">
        <x:v>9</x:v>
      </x:c>
      <x:c r="W513" s="38" t="n">
        <x:v>14</x:v>
      </x:c>
      <x:c r="X513" s="38" t="n">
        <x:v>12</x:v>
      </x:c>
      <x:c r="Y513" s="38" t="n">
        <x:v>5</x:v>
      </x:c>
      <x:c r="Z513" s="38" t="n">
        <x:f>MAX(0,MIN(100,ROUND(((T513+U513+V513+W513+X513)-Y513)/85*100,0)))</x:f>
        <x:v>61</x:v>
      </x:c>
      <x:c r="AA513" s="9" t="str">
        <x:f>IF(L513="暂不做","P3 暂缓",IF(Z513&gt;=75,"P0 本周做",IF(Z513&gt;=60,"P1 近期做",IF(Z513&gt;=45,"P2 备选","P3 暂缓"))))</x:f>
        <x:v>P1 近期做</x:v>
      </x:c>
      <x:c r="AB513" s="9" t="str">
        <x:f>IF(Y513&gt;=15,"先做合规/相关性复核，不建议直接商业导流",IF(L513="主站","建/优化主站商业页",IF(L513="博客A-知识教程","写知识教程/FAQ文章",IF(L513="博客B-场景人群","写场景需求/选购指南文章",IF(L513="博客C-对比评测","写对比评测/榜单文章","暂不做或人工复核")))))</x:f>
        <x:v>写知识教程/FAQ文章</x:v>
      </x:c>
      <x:c r="AC513" s="9" t="str">
        <x:v>A Guide for Beginners Choosing Their First E-cigarette Device - ExDivo</x:v>
      </x:c>
      <x:c r="AD513" s="10" t="str">
        <x:v>a guide for beginners choosing their first e-cigarette device</x:v>
      </x:c>
    </x:row>
    <x:row r="514">
      <x:c r="A514" s="34" t="n">
        <x:v>514</x:v>
      </x:c>
      <x:c r="B514" s="9" t="str">
        <x:v>https://exdivo.com/blogs/a-beginner-s-guide-to-choosing-your-first-vape-device</x:v>
      </x:c>
      <x:c r="C514" s="9" t="str">
        <x:v>how to choose a vape</x:v>
      </x:c>
      <x:c r="D514" s="9" t="str">
        <x:v>recommended</x:v>
      </x:c>
      <x:c r="E514" s="36" t="n">
        <x:v>50</x:v>
      </x:c>
      <x:c r="F514" s="36" t="n">
        <x:v>11</x:v>
      </x:c>
      <x:c r="G514" s="9" t="str">
        <x:v>informational</x:v>
      </x:c>
      <x:c r="H514" s="9" t="str">
        <x:v>知识教程</x:v>
      </x:c>
      <x:c r="I514" s="9" t="str">
        <x:v>知识/教程词</x:v>
      </x:c>
      <x:c r="J514" s="9" t="str">
        <x:v>博客A-知识教程</x:v>
      </x:c>
      <x:c r="K514" s="9" t="str"/>
      <x:c r="L514" s="9" t="str">
        <x:f>IF(K514="",J514,K514)</x:f>
        <x:v>博客A-知识教程</x:v>
      </x:c>
      <x:c r="M514" s="9" t="str">
        <x:v>百科/How-to/FAQ文章</x:v>
      </x:c>
      <x:c r="N514" s="9" t="str">
        <x:v>Guide angle: explain how to choose a vape, answer common questions, and avoid sales-first writing</x:v>
      </x:c>
      <x:c r="O514" s="9" t="str">
        <x:v>/collections/disposable-vapes</x:v>
      </x:c>
      <x:c r="P514" s="9" t="str">
        <x:v>谨慎</x:v>
      </x:c>
      <x:c r="Q514" s="9" t="str">
        <x:v>自然句/品牌词</x:v>
      </x:c>
      <x:c r="R514" s="9" t="str">
        <x:v>低中风险：先满足信息意图，导流要克制</x:v>
      </x:c>
      <x:c r="S514" s="9" t="str">
        <x:v>如果文章能自然回答下一步购买问题，再放 1 个主站内链；否则只做知识闭环。</x:v>
      </x:c>
      <x:c r="T514" s="38" t="n">
        <x:v>4</x:v>
      </x:c>
      <x:c r="U514" s="38" t="n">
        <x:v>15</x:v>
      </x:c>
      <x:c r="V514" s="38" t="n">
        <x:v>9</x:v>
      </x:c>
      <x:c r="W514" s="38" t="n">
        <x:v>14</x:v>
      </x:c>
      <x:c r="X514" s="38" t="n">
        <x:v>12</x:v>
      </x:c>
      <x:c r="Y514" s="38" t="n">
        <x:v>5</x:v>
      </x:c>
      <x:c r="Z514" s="38" t="n">
        <x:f>MAX(0,MIN(100,ROUND(((T514+U514+V514+W514+X514)-Y514)/85*100,0)))</x:f>
        <x:v>58</x:v>
      </x:c>
      <x:c r="AA514" s="9" t="str">
        <x:f>IF(L514="暂不做","P3 暂缓",IF(Z514&gt;=75,"P0 本周做",IF(Z514&gt;=60,"P1 近期做",IF(Z514&gt;=45,"P2 备选","P3 暂缓"))))</x:f>
        <x:v>P2 备选</x:v>
      </x:c>
      <x:c r="AB514" s="9" t="str">
        <x:f>IF(Y514&gt;=15,"先做合规/相关性复核，不建议直接商业导流",IF(L514="主站","建/优化主站商业页",IF(L514="博客A-知识教程","写知识教程/FAQ文章",IF(L514="博客B-场景人群","写场景需求/选购指南文章",IF(L514="博客C-对比评测","写对比评测/榜单文章","暂不做或人工复核")))))</x:f>
        <x:v>写知识教程/FAQ文章</x:v>
      </x:c>
      <x:c r="AC514" s="9" t="str">
        <x:v>A Guide for Beginners Choosing Their First E-cigarette Device - ExDivo</x:v>
      </x:c>
      <x:c r="AD514" s="10" t="str">
        <x:v>a guide for beginners choosing their first e-cigarette device</x:v>
      </x:c>
    </x:row>
    <x:row r="515">
      <x:c r="A515" s="34" t="n">
        <x:v>515</x:v>
      </x:c>
      <x:c r="B515" s="9" t="str">
        <x:v>https://exdivo.com/blogs/a-beginner-s-guide-to-choosing-your-first-vape-device</x:v>
      </x:c>
      <x:c r="C515" s="9" t="str">
        <x:v>how to vape for beginners</x:v>
      </x:c>
      <x:c r="D515" s="9" t="str">
        <x:v>recommended</x:v>
      </x:c>
      <x:c r="E515" s="36" t="n">
        <x:v>90</x:v>
      </x:c>
      <x:c r="F515" s="36" t="n">
        <x:v>14</x:v>
      </x:c>
      <x:c r="G515" s="9" t="str">
        <x:v>informational</x:v>
      </x:c>
      <x:c r="H515" s="9" t="str">
        <x:v>知识教程</x:v>
      </x:c>
      <x:c r="I515" s="9" t="str">
        <x:v>场景/需求词</x:v>
      </x:c>
      <x:c r="J515" s="9" t="str">
        <x:v>博客B-场景人群</x:v>
      </x:c>
      <x:c r="K515" s="9" t="str"/>
      <x:c r="L515" s="9" t="str">
        <x:f>IF(K515="",J515,K515)</x:f>
        <x:v>博客B-场景人群</x:v>
      </x:c>
      <x:c r="M515" s="9" t="str">
        <x:v>场景解决方案/选购指南文章</x:v>
      </x:c>
      <x:c r="N515" s="9" t="str">
        <x:v>Scenario angle: how to choose how to vape for beginners based on use case, flavor, nicotine, and budget</x:v>
      </x:c>
      <x:c r="O515" s="9" t="str">
        <x:v>/collections/disposable-vapes</x:v>
      </x:c>
      <x:c r="P515" s="9" t="str">
        <x:v>是</x:v>
      </x:c>
      <x:c r="Q515" s="9" t="str">
        <x:v>自然句/品类词</x:v>
      </x:c>
      <x:c r="R515" s="9" t="str">
        <x:v>低中风险：适合软性导流，但不要夸大效果或触碰健康疗效</x:v>
      </x:c>
      <x:c r="S515" s="9" t="str">
        <x:v>围绕使用场景、口味、尼古丁需求、便携性等写，不和主站品类页抢词。</x:v>
      </x:c>
      <x:c r="T515" s="38" t="n">
        <x:v>4</x:v>
      </x:c>
      <x:c r="U515" s="38" t="n">
        <x:v>15</x:v>
      </x:c>
      <x:c r="V515" s="38" t="n">
        <x:v>13</x:v>
      </x:c>
      <x:c r="W515" s="38" t="n">
        <x:v>14</x:v>
      </x:c>
      <x:c r="X515" s="38" t="n">
        <x:v>13</x:v>
      </x:c>
      <x:c r="Y515" s="38" t="n">
        <x:v>5</x:v>
      </x:c>
      <x:c r="Z515" s="38" t="n">
        <x:f>MAX(0,MIN(100,ROUND(((T515+U515+V515+W515+X515)-Y515)/85*100,0)))</x:f>
        <x:v>64</x:v>
      </x:c>
      <x:c r="AA515" s="9" t="str">
        <x:f>IF(L515="暂不做","P3 暂缓",IF(Z515&gt;=75,"P0 本周做",IF(Z515&gt;=60,"P1 近期做",IF(Z515&gt;=45,"P2 备选","P3 暂缓"))))</x:f>
        <x:v>P1 近期做</x:v>
      </x:c>
      <x:c r="AB515" s="9" t="str">
        <x:f>IF(Y515&gt;=15,"先做合规/相关性复核，不建议直接商业导流",IF(L515="主站","建/优化主站商业页",IF(L515="博客A-知识教程","写知识教程/FAQ文章",IF(L515="博客B-场景人群","写场景需求/选购指南文章",IF(L515="博客C-对比评测","写对比评测/榜单文章","暂不做或人工复核")))))</x:f>
        <x:v>写场景需求/选购指南文章</x:v>
      </x:c>
      <x:c r="AC515" s="9" t="str">
        <x:v>A Guide for Beginners Choosing Their First E-cigarette Device - ExDivo</x:v>
      </x:c>
      <x:c r="AD515" s="10" t="str">
        <x:v>a guide for beginners choosing their first e-cigarette device</x:v>
      </x:c>
    </x:row>
    <x:row r="516">
      <x:c r="A516" s="34" t="n">
        <x:v>516</x:v>
      </x:c>
      <x:c r="B516" s="9" t="str">
        <x:v>https://exdivo.com/blogs/a-beginner-s-guide-to-choosing-your-first-vape-device</x:v>
      </x:c>
      <x:c r="C516" s="9" t="str">
        <x:v>vaping for beginners</x:v>
      </x:c>
      <x:c r="D516" s="9" t="str">
        <x:v>recommended</x:v>
      </x:c>
      <x:c r="E516" s="36" t="n">
        <x:v>260</x:v>
      </x:c>
      <x:c r="F516" s="36" t="n">
        <x:v>17</x:v>
      </x:c>
      <x:c r="G516" s="9" t="str">
        <x:v>informational</x:v>
      </x:c>
      <x:c r="H516" s="9" t="str">
        <x:v>知识教程</x:v>
      </x:c>
      <x:c r="I516" s="9" t="str">
        <x:v>场景/需求词</x:v>
      </x:c>
      <x:c r="J516" s="9" t="str">
        <x:v>博客B-场景人群</x:v>
      </x:c>
      <x:c r="K516" s="9" t="str"/>
      <x:c r="L516" s="9" t="str">
        <x:f>IF(K516="",J516,K516)</x:f>
        <x:v>博客B-场景人群</x:v>
      </x:c>
      <x:c r="M516" s="9" t="str">
        <x:v>场景解决方案/选购指南文章</x:v>
      </x:c>
      <x:c r="N516" s="9" t="str">
        <x:v>Scenario angle: how to choose vaping for beginners based on use case, flavor, nicotine, and budget</x:v>
      </x:c>
      <x:c r="O516" s="9" t="str">
        <x:v>/collections/disposable-vapes</x:v>
      </x:c>
      <x:c r="P516" s="9" t="str">
        <x:v>是</x:v>
      </x:c>
      <x:c r="Q516" s="9" t="str">
        <x:v>自然句/品类词</x:v>
      </x:c>
      <x:c r="R516" s="9" t="str">
        <x:v>低中风险：适合软性导流，但不要夸大效果或触碰健康疗效</x:v>
      </x:c>
      <x:c r="S516" s="9" t="str">
        <x:v>围绕使用场景、口味、尼古丁需求、便携性等写，不和主站品类页抢词。</x:v>
      </x:c>
      <x:c r="T516" s="38" t="n">
        <x:v>7</x:v>
      </x:c>
      <x:c r="U516" s="38" t="n">
        <x:v>12</x:v>
      </x:c>
      <x:c r="V516" s="38" t="n">
        <x:v>13</x:v>
      </x:c>
      <x:c r="W516" s="38" t="n">
        <x:v>14</x:v>
      </x:c>
      <x:c r="X516" s="38" t="n">
        <x:v>13</x:v>
      </x:c>
      <x:c r="Y516" s="38" t="n">
        <x:v>5</x:v>
      </x:c>
      <x:c r="Z516" s="38" t="n">
        <x:f>MAX(0,MIN(100,ROUND(((T516+U516+V516+W516+X516)-Y516)/85*100,0)))</x:f>
        <x:v>64</x:v>
      </x:c>
      <x:c r="AA516" s="9" t="str">
        <x:f>IF(L516="暂不做","P3 暂缓",IF(Z516&gt;=75,"P0 本周做",IF(Z516&gt;=60,"P1 近期做",IF(Z516&gt;=45,"P2 备选","P3 暂缓"))))</x:f>
        <x:v>P1 近期做</x:v>
      </x:c>
      <x:c r="AB516" s="9" t="str">
        <x:f>IF(Y516&gt;=15,"先做合规/相关性复核，不建议直接商业导流",IF(L516="主站","建/优化主站商业页",IF(L516="博客A-知识教程","写知识教程/FAQ文章",IF(L516="博客B-场景人群","写场景需求/选购指南文章",IF(L516="博客C-对比评测","写对比评测/榜单文章","暂不做或人工复核")))))</x:f>
        <x:v>写场景需求/选购指南文章</x:v>
      </x:c>
      <x:c r="AC516" s="9" t="str">
        <x:v>A Guide for Beginners Choosing Their First E-cigarette Device - ExDivo</x:v>
      </x:c>
      <x:c r="AD516" s="10" t="str">
        <x:v>a guide for beginners choosing their first e-cigarette device</x:v>
      </x:c>
    </x:row>
    <x:row r="517">
      <x:c r="A517" s="34" t="n">
        <x:v>517</x:v>
      </x:c>
      <x:c r="B517" s="9" t="str">
        <x:v>https://exdivo.com/blogs/a-beginner-s-guide-to-choosing-your-first-vape-device</x:v>
      </x:c>
      <x:c r="C517" s="9" t="str">
        <x:v>vaping guide</x:v>
      </x:c>
      <x:c r="D517" s="9" t="str">
        <x:v>recommended</x:v>
      </x:c>
      <x:c r="E517" s="36" t="n">
        <x:v>50</x:v>
      </x:c>
      <x:c r="F517" s="36" t="n">
        <x:v>45</x:v>
      </x:c>
      <x:c r="G517" s="9" t="str">
        <x:v>informational</x:v>
      </x:c>
      <x:c r="H517" s="9" t="str">
        <x:v>知识教程</x:v>
      </x:c>
      <x:c r="I517" s="9" t="str">
        <x:v>品类承接词</x:v>
      </x:c>
      <x:c r="J517" s="9" t="str">
        <x:v>主站</x:v>
      </x:c>
      <x:c r="K517" s="9" t="str"/>
      <x:c r="L517" s="9" t="str">
        <x:f>IF(K517="",J517,K517)</x:f>
        <x:v>主站</x:v>
      </x:c>
      <x:c r="M517" s="9" t="str">
        <x:v>品类页/集合页 + FAQ内容块</x:v>
      </x:c>
      <x:c r="N517" s="9" t="str">
        <x:v>主站品类页：用产品集合 + 选购说明承接</x:v>
      </x:c>
      <x:c r="O517" s="9" t="str">
        <x:v>/collections/disposable-vapes</x:v>
      </x:c>
      <x:c r="P517" s="9" t="str">
        <x:v>不适用</x:v>
      </x:c>
      <x:c r="Q517" s="9" t="str">
        <x:v>主站页面自身承接</x:v>
      </x:c>
      <x:c r="R517" s="9" t="str">
        <x:v>核心品类词：主站优先，博客只做长尾解释，不直接抢同一词</x:v>
      </x:c>
      <x:c r="S517" s="9" t="str">
        <x:v>如果 Google 首页产品页和指南混合，主站页要加 FAQ、选购指南、对比模块。</x:v>
      </x:c>
      <x:c r="T517" s="38" t="n">
        <x:v>4</x:v>
      </x:c>
      <x:c r="U517" s="38" t="n">
        <x:v>9</x:v>
      </x:c>
      <x:c r="V517" s="38" t="n">
        <x:v>16</x:v>
      </x:c>
      <x:c r="W517" s="38" t="n">
        <x:v>8</x:v>
      </x:c>
      <x:c r="X517" s="38" t="n">
        <x:v>15</x:v>
      </x:c>
      <x:c r="Y517" s="38" t="n">
        <x:v>4</x:v>
      </x:c>
      <x:c r="Z517" s="38" t="n">
        <x:f>MAX(0,MIN(100,ROUND(((T517+U517+V517+W517+X517)-Y517)/85*100,0)))</x:f>
        <x:v>56</x:v>
      </x:c>
      <x:c r="AA517" s="9" t="str">
        <x:f>IF(L517="暂不做","P3 暂缓",IF(Z517&gt;=75,"P0 本周做",IF(Z517&gt;=60,"P1 近期做",IF(Z517&gt;=45,"P2 备选","P3 暂缓"))))</x:f>
        <x:v>P2 备选</x:v>
      </x:c>
      <x:c r="AB517" s="9" t="str">
        <x:f>IF(Y517&gt;=15,"先做合规/相关性复核，不建议直接商业导流",IF(L517="主站","建/优化主站商业页",IF(L517="博客A-知识教程","写知识教程/FAQ文章",IF(L517="博客B-场景人群","写场景需求/选购指南文章",IF(L517="博客C-对比评测","写对比评测/榜单文章","暂不做或人工复核")))))</x:f>
        <x:v>建/优化主站商业页</x:v>
      </x:c>
      <x:c r="AC517" s="9" t="str">
        <x:v>A Guide for Beginners Choosing Their First E-cigarette Device - ExDivo</x:v>
      </x:c>
      <x:c r="AD517" s="10" t="str">
        <x:v>a guide for beginners choosing their first e-cigarette device</x:v>
      </x:c>
    </x:row>
    <x:row r="518">
      <x:c r="A518" s="34" t="n">
        <x:v>518</x:v>
      </x:c>
      <x:c r="B518" s="9" t="str">
        <x:v>https://exdivo.com/collections/meifu/products/luxury-women-s-vape-18ml-dual-mesh-40000-puffs_151a2c79?data_from=index_index&amp;spm=index_index..block_collection_list-11702354.5.</x:v>
      </x:c>
      <x:c r="C518" s="9" t="str">
        <x:v>white gummy ice</x:v>
      </x:c>
      <x:c r="D518" s="9" t="str">
        <x:v>recommended</x:v>
      </x:c>
      <x:c r="E518" s="36" t="n">
        <x:v>1300</x:v>
      </x:c>
      <x:c r="F518" s="36" t="n">
        <x:v>4</x:v>
      </x:c>
      <x:c r="G518" s="9" t="str">
        <x:v>informational</x:v>
      </x:c>
      <x:c r="H518" s="9" t="str">
        <x:v>General Vape</x:v>
      </x:c>
      <x:c r="I518" s="9" t="str">
        <x:v>知识/教程词</x:v>
      </x:c>
      <x:c r="J518" s="9" t="str">
        <x:v>博客A-知识教程</x:v>
      </x:c>
      <x:c r="K518" s="9" t="str"/>
      <x:c r="L518" s="9" t="str">
        <x:f>IF(K518="",J518,K518)</x:f>
        <x:v>博客A-知识教程</x:v>
      </x:c>
      <x:c r="M518" s="9" t="str">
        <x:v>百科/How-to/FAQ文章</x:v>
      </x:c>
      <x:c r="N518" s="9" t="str">
        <x:v>Guide angle: explain white gummy ice, answer common questions, and avoid sales-first writing</x:v>
      </x:c>
      <x:c r="O518" s="9" t="str">
        <x:v>/collections/disposable-vapes</x:v>
      </x:c>
      <x:c r="P518" s="9" t="str">
        <x:v>谨慎</x:v>
      </x:c>
      <x:c r="Q518" s="9" t="str">
        <x:v>自然句/品牌词</x:v>
      </x:c>
      <x:c r="R518" s="9" t="str">
        <x:v>低中风险：先满足信息意图，导流要克制</x:v>
      </x:c>
      <x:c r="S518" s="9" t="str">
        <x:v>如果文章能自然回答下一步购买问题，再放 1 个主站内链；否则只做知识闭环。</x:v>
      </x:c>
      <x:c r="T518" s="38" t="n">
        <x:v>13</x:v>
      </x:c>
      <x:c r="U518" s="38" t="n">
        <x:v>15</x:v>
      </x:c>
      <x:c r="V518" s="38" t="n">
        <x:v>9</x:v>
      </x:c>
      <x:c r="W518" s="38" t="n">
        <x:v>14</x:v>
      </x:c>
      <x:c r="X518" s="38" t="n">
        <x:v>12</x:v>
      </x:c>
      <x:c r="Y518" s="38" t="n">
        <x:v>5</x:v>
      </x:c>
      <x:c r="Z518" s="38" t="n">
        <x:f>MAX(0,MIN(100,ROUND(((T518+U518+V518+W518+X518)-Y518)/85*100,0)))</x:f>
        <x:v>68</x:v>
      </x:c>
      <x:c r="AA518" s="9" t="str">
        <x:f>IF(L518="暂不做","P3 暂缓",IF(Z518&gt;=75,"P0 本周做",IF(Z518&gt;=60,"P1 近期做",IF(Z518&gt;=45,"P2 备选","P3 暂缓"))))</x:f>
        <x:v>P1 近期做</x:v>
      </x:c>
      <x:c r="AB518" s="9" t="str">
        <x:f>IF(Y518&gt;=15,"先做合规/相关性复核，不建议直接商业导流",IF(L518="主站","建/优化主站商业页",IF(L518="博客A-知识教程","写知识教程/FAQ文章",IF(L518="博客B-场景人群","写场景需求/选购指南文章",IF(L518="博客C-对比评测","写对比评测/榜单文章","暂不做或人工复核")))))</x:f>
        <x:v>写知识教程/FAQ文章</x:v>
      </x:c>
      <x:c r="AC518" s="9" t="str">
        <x:v>WHITE GUMMY ICE - ExDivo FLORA 40K Disposable Vape - ExDivo</x:v>
      </x:c>
      <x:c r="AD518" s="10" t="str">
        <x:v>white gummy ice - exdivo flora 40k disposable vape</x:v>
      </x:c>
    </x:row>
    <x:row r="519">
      <x:c r="A519" s="34" t="n">
        <x:v>519</x:v>
      </x:c>
      <x:c r="B519" s="9" t="str">
        <x:v>https://exdivo.com/collections/meifu/products/luxury-women-s-vape-18ml-dual-mesh-40000-puffs_151a2c79?data_from=index_index&amp;spm=index_index..block_collection_list-11702354.5.</x:v>
      </x:c>
      <x:c r="C519" s="9" t="str">
        <x:v>white yummy ice vape flavor</x:v>
      </x:c>
      <x:c r="D519" s="9" t="str">
        <x:v>recommended</x:v>
      </x:c>
      <x:c r="E519" s="36" t="n">
        <x:v>40</x:v>
      </x:c>
      <x:c r="F519" s="36" t="n">
        <x:v>1</x:v>
      </x:c>
      <x:c r="G519" s="9" t="str">
        <x:v>informational</x:v>
      </x:c>
      <x:c r="H519" s="9" t="str">
        <x:v>Flavor / 口味</x:v>
      </x:c>
      <x:c r="I519" s="9" t="str">
        <x:v>场景/需求词</x:v>
      </x:c>
      <x:c r="J519" s="9" t="str">
        <x:v>博客B-场景人群</x:v>
      </x:c>
      <x:c r="K519" s="9" t="str"/>
      <x:c r="L519" s="9" t="str">
        <x:f>IF(K519="",J519,K519)</x:f>
        <x:v>博客B-场景人群</x:v>
      </x:c>
      <x:c r="M519" s="9" t="str">
        <x:v>场景解决方案/选购指南文章</x:v>
      </x:c>
      <x:c r="N519" s="9" t="str">
        <x:v>Scenario angle: how to choose white yummy ice vape flavor based on use case, flavor, nicotine, and budget</x:v>
      </x:c>
      <x:c r="O519" s="9" t="str">
        <x:v>/collections/flavored-disposable-vapes</x:v>
      </x:c>
      <x:c r="P519" s="9" t="str">
        <x:v>是</x:v>
      </x:c>
      <x:c r="Q519" s="9" t="str">
        <x:v>自然句/品类词</x:v>
      </x:c>
      <x:c r="R519" s="9" t="str">
        <x:v>低中风险：适合软性导流，但不要夸大效果或触碰健康疗效</x:v>
      </x:c>
      <x:c r="S519" s="9" t="str">
        <x:v>围绕使用场景、口味、尼古丁需求、便携性等写，不和主站品类页抢词。</x:v>
      </x:c>
      <x:c r="T519" s="38" t="n">
        <x:v>4</x:v>
      </x:c>
      <x:c r="U519" s="38" t="n">
        <x:v>15</x:v>
      </x:c>
      <x:c r="V519" s="38" t="n">
        <x:v>13</x:v>
      </x:c>
      <x:c r="W519" s="38" t="n">
        <x:v>14</x:v>
      </x:c>
      <x:c r="X519" s="38" t="n">
        <x:v>13</x:v>
      </x:c>
      <x:c r="Y519" s="38" t="n">
        <x:v>5</x:v>
      </x:c>
      <x:c r="Z519" s="38" t="n">
        <x:f>MAX(0,MIN(100,ROUND(((T519+U519+V519+W519+X519)-Y519)/85*100,0)))</x:f>
        <x:v>64</x:v>
      </x:c>
      <x:c r="AA519" s="9" t="str">
        <x:f>IF(L519="暂不做","P3 暂缓",IF(Z519&gt;=75,"P0 本周做",IF(Z519&gt;=60,"P1 近期做",IF(Z519&gt;=45,"P2 备选","P3 暂缓"))))</x:f>
        <x:v>P1 近期做</x:v>
      </x:c>
      <x:c r="AB519" s="9" t="str">
        <x:f>IF(Y519&gt;=15,"先做合规/相关性复核，不建议直接商业导流",IF(L519="主站","建/优化主站商业页",IF(L519="博客A-知识教程","写知识教程/FAQ文章",IF(L519="博客B-场景人群","写场景需求/选购指南文章",IF(L519="博客C-对比评测","写对比评测/榜单文章","暂不做或人工复核")))))</x:f>
        <x:v>写场景需求/选购指南文章</x:v>
      </x:c>
      <x:c r="AC519" s="9" t="str">
        <x:v>WHITE GUMMY ICE - ExDivo FLORA 40K Disposable Vape - ExDivo</x:v>
      </x:c>
      <x:c r="AD519" s="10" t="str">
        <x:v>white gummy ice - exdivo flora 40k disposable vape</x:v>
      </x:c>
    </x:row>
    <x:row r="520">
      <x:c r="A520" s="34" t="n">
        <x:v>520</x:v>
      </x:c>
      <x:c r="B520" s="9" t="str">
        <x:v>https://exdivo.com/collections/meifu/products/luxury-women-s-vape-18ml-dual-mesh-40000-puffs_151a2c79?data_from=index_index&amp;spm=index_index..block_collection_list-11702354.5.</x:v>
      </x:c>
      <x:c r="C520" s="9" t="str">
        <x:v>what does white gummy vape taste like</x:v>
      </x:c>
      <x:c r="D520" s="9" t="str">
        <x:v>recommended</x:v>
      </x:c>
      <x:c r="E520" s="36" t="n">
        <x:v>50</x:v>
      </x:c>
      <x:c r="F520" s="36" t="n">
        <x:v>2</x:v>
      </x:c>
      <x:c r="G520" s="9" t="str">
        <x:v>informational</x:v>
      </x:c>
      <x:c r="H520" s="9" t="str">
        <x:v>知识教程</x:v>
      </x:c>
      <x:c r="I520" s="9" t="str">
        <x:v>知识/教程词</x:v>
      </x:c>
      <x:c r="J520" s="9" t="str">
        <x:v>博客A-知识教程</x:v>
      </x:c>
      <x:c r="K520" s="9" t="str"/>
      <x:c r="L520" s="9" t="str">
        <x:f>IF(K520="",J520,K520)</x:f>
        <x:v>博客A-知识教程</x:v>
      </x:c>
      <x:c r="M520" s="9" t="str">
        <x:v>百科/How-to/FAQ文章</x:v>
      </x:c>
      <x:c r="N520" s="9" t="str">
        <x:v>Guide angle: explain what does white gummy vape taste like, answer common questions, and avoid sales-first writing</x:v>
      </x:c>
      <x:c r="O520" s="9" t="str">
        <x:v>/collections/disposable-vapes</x:v>
      </x:c>
      <x:c r="P520" s="9" t="str">
        <x:v>谨慎</x:v>
      </x:c>
      <x:c r="Q520" s="9" t="str">
        <x:v>自然句/品牌词</x:v>
      </x:c>
      <x:c r="R520" s="9" t="str">
        <x:v>低中风险：先满足信息意图，导流要克制</x:v>
      </x:c>
      <x:c r="S520" s="9" t="str">
        <x:v>如果文章能自然回答下一步购买问题，再放 1 个主站内链；否则只做知识闭环。</x:v>
      </x:c>
      <x:c r="T520" s="38" t="n">
        <x:v>4</x:v>
      </x:c>
      <x:c r="U520" s="38" t="n">
        <x:v>15</x:v>
      </x:c>
      <x:c r="V520" s="38" t="n">
        <x:v>9</x:v>
      </x:c>
      <x:c r="W520" s="38" t="n">
        <x:v>14</x:v>
      </x:c>
      <x:c r="X520" s="38" t="n">
        <x:v>12</x:v>
      </x:c>
      <x:c r="Y520" s="38" t="n">
        <x:v>5</x:v>
      </x:c>
      <x:c r="Z520" s="38" t="n">
        <x:f>MAX(0,MIN(100,ROUND(((T520+U520+V520+W520+X520)-Y520)/85*100,0)))</x:f>
        <x:v>58</x:v>
      </x:c>
      <x:c r="AA520" s="9" t="str">
        <x:f>IF(L520="暂不做","P3 暂缓",IF(Z520&gt;=75,"P0 本周做",IF(Z520&gt;=60,"P1 近期做",IF(Z520&gt;=45,"P2 备选","P3 暂缓"))))</x:f>
        <x:v>P2 备选</x:v>
      </x:c>
      <x:c r="AB520" s="9" t="str">
        <x:f>IF(Y520&gt;=15,"先做合规/相关性复核，不建议直接商业导流",IF(L520="主站","建/优化主站商业页",IF(L520="博客A-知识教程","写知识教程/FAQ文章",IF(L520="博客B-场景人群","写场景需求/选购指南文章",IF(L520="博客C-对比评测","写对比评测/榜单文章","暂不做或人工复核")))))</x:f>
        <x:v>写知识教程/FAQ文章</x:v>
      </x:c>
      <x:c r="AC520" s="9" t="str">
        <x:v>WHITE GUMMY ICE - ExDivo FLORA 40K Disposable Vape - ExDivo</x:v>
      </x:c>
      <x:c r="AD520" s="10" t="str">
        <x:v>white gummy ice - exdivo flora 40k disposable vape</x:v>
      </x:c>
    </x:row>
    <x:row r="521">
      <x:c r="A521" s="34" t="n">
        <x:v>521</x:v>
      </x:c>
      <x:c r="B521" s="9" t="str">
        <x:v>https://exdivo.com/collections/meifu/products/luxury-women-s-vape-18ml-dual-mesh-40000-puffs_151a2c79?data_from=index_index&amp;spm=index_index..block_collection_list-11702354.5.</x:v>
      </x:c>
      <x:c r="C521" s="9" t="str">
        <x:v>white gummy vape juice</x:v>
      </x:c>
      <x:c r="D521" s="9" t="str">
        <x:v>recommended</x:v>
      </x:c>
      <x:c r="E521" s="36" t="n">
        <x:v>50</x:v>
      </x:c>
      <x:c r="F521" s="36" t="n">
        <x:v>4</x:v>
      </x:c>
      <x:c r="G521" s="9" t="str">
        <x:v>informational</x:v>
      </x:c>
      <x:c r="H521" s="9" t="str">
        <x:v>General Vape</x:v>
      </x:c>
      <x:c r="I521" s="9" t="str">
        <x:v>知识/教程词</x:v>
      </x:c>
      <x:c r="J521" s="9" t="str">
        <x:v>博客A-知识教程</x:v>
      </x:c>
      <x:c r="K521" s="9" t="str"/>
      <x:c r="L521" s="9" t="str">
        <x:f>IF(K521="",J521,K521)</x:f>
        <x:v>博客A-知识教程</x:v>
      </x:c>
      <x:c r="M521" s="9" t="str">
        <x:v>百科/How-to/FAQ文章</x:v>
      </x:c>
      <x:c r="N521" s="9" t="str">
        <x:v>Guide angle: explain white gummy vape juice, answer common questions, and avoid sales-first writing</x:v>
      </x:c>
      <x:c r="O521" s="9" t="str">
        <x:v>/collections/disposable-vapes</x:v>
      </x:c>
      <x:c r="P521" s="9" t="str">
        <x:v>谨慎</x:v>
      </x:c>
      <x:c r="Q521" s="9" t="str">
        <x:v>自然句/品牌词</x:v>
      </x:c>
      <x:c r="R521" s="9" t="str">
        <x:v>低中风险：先满足信息意图，导流要克制</x:v>
      </x:c>
      <x:c r="S521" s="9" t="str">
        <x:v>如果文章能自然回答下一步购买问题，再放 1 个主站内链；否则只做知识闭环。</x:v>
      </x:c>
      <x:c r="T521" s="38" t="n">
        <x:v>4</x:v>
      </x:c>
      <x:c r="U521" s="38" t="n">
        <x:v>15</x:v>
      </x:c>
      <x:c r="V521" s="38" t="n">
        <x:v>9</x:v>
      </x:c>
      <x:c r="W521" s="38" t="n">
        <x:v>14</x:v>
      </x:c>
      <x:c r="X521" s="38" t="n">
        <x:v>12</x:v>
      </x:c>
      <x:c r="Y521" s="38" t="n">
        <x:v>5</x:v>
      </x:c>
      <x:c r="Z521" s="38" t="n">
        <x:f>MAX(0,MIN(100,ROUND(((T521+U521+V521+W521+X521)-Y521)/85*100,0)))</x:f>
        <x:v>58</x:v>
      </x:c>
      <x:c r="AA521" s="9" t="str">
        <x:f>IF(L521="暂不做","P3 暂缓",IF(Z521&gt;=75,"P0 本周做",IF(Z521&gt;=60,"P1 近期做",IF(Z521&gt;=45,"P2 备选","P3 暂缓"))))</x:f>
        <x:v>P2 备选</x:v>
      </x:c>
      <x:c r="AB521" s="9" t="str">
        <x:f>IF(Y521&gt;=15,"先做合规/相关性复核，不建议直接商业导流",IF(L521="主站","建/优化主站商业页",IF(L521="博客A-知识教程","写知识教程/FAQ文章",IF(L521="博客B-场景人群","写场景需求/选购指南文章",IF(L521="博客C-对比评测","写对比评测/榜单文章","暂不做或人工复核")))))</x:f>
        <x:v>写知识教程/FAQ文章</x:v>
      </x:c>
      <x:c r="AC521" s="9" t="str">
        <x:v>WHITE GUMMY ICE - ExDivo FLORA 40K Disposable Vape - ExDivo</x:v>
      </x:c>
      <x:c r="AD521" s="10" t="str">
        <x:v>white gummy ice - exdivo flora 40k disposable vape</x:v>
      </x:c>
    </x:row>
    <x:row r="522">
      <x:c r="A522" s="34" t="n">
        <x:v>522</x:v>
      </x:c>
      <x:c r="B522" s="9" t="str">
        <x:v>https://exdivo.com/collections/meifu/products/luxury-women-s-vape-18ml-dual-mesh-40000-puffs_151a2c79?data_from=index_index&amp;spm=index_index..block_collection_list-11702354.5.</x:v>
      </x:c>
      <x:c r="C522" s="9" t="str">
        <x:v>white gummy ice vape juice</x:v>
      </x:c>
      <x:c r="D522" s="9" t="str">
        <x:v>recommended</x:v>
      </x:c>
      <x:c r="E522" s="36" t="n">
        <x:v>40</x:v>
      </x:c>
      <x:c r="F522" s="36" t="n">
        <x:v>3</x:v>
      </x:c>
      <x:c r="G522" s="9" t="str">
        <x:v>informational</x:v>
      </x:c>
      <x:c r="H522" s="9" t="str">
        <x:v>General Vape</x:v>
      </x:c>
      <x:c r="I522" s="9" t="str">
        <x:v>知识/教程词</x:v>
      </x:c>
      <x:c r="J522" s="9" t="str">
        <x:v>博客A-知识教程</x:v>
      </x:c>
      <x:c r="K522" s="9" t="str"/>
      <x:c r="L522" s="9" t="str">
        <x:f>IF(K522="",J522,K522)</x:f>
        <x:v>博客A-知识教程</x:v>
      </x:c>
      <x:c r="M522" s="9" t="str">
        <x:v>百科/How-to/FAQ文章</x:v>
      </x:c>
      <x:c r="N522" s="9" t="str">
        <x:v>Guide angle: explain white gummy ice vape juice, answer common questions, and avoid sales-first writing</x:v>
      </x:c>
      <x:c r="O522" s="9" t="str">
        <x:v>/collections/disposable-vapes</x:v>
      </x:c>
      <x:c r="P522" s="9" t="str">
        <x:v>谨慎</x:v>
      </x:c>
      <x:c r="Q522" s="9" t="str">
        <x:v>自然句/品牌词</x:v>
      </x:c>
      <x:c r="R522" s="9" t="str">
        <x:v>低中风险：先满足信息意图，导流要克制</x:v>
      </x:c>
      <x:c r="S522" s="9" t="str">
        <x:v>如果文章能自然回答下一步购买问题，再放 1 个主站内链；否则只做知识闭环。</x:v>
      </x:c>
      <x:c r="T522" s="38" t="n">
        <x:v>4</x:v>
      </x:c>
      <x:c r="U522" s="38" t="n">
        <x:v>15</x:v>
      </x:c>
      <x:c r="V522" s="38" t="n">
        <x:v>9</x:v>
      </x:c>
      <x:c r="W522" s="38" t="n">
        <x:v>14</x:v>
      </x:c>
      <x:c r="X522" s="38" t="n">
        <x:v>12</x:v>
      </x:c>
      <x:c r="Y522" s="38" t="n">
        <x:v>5</x:v>
      </x:c>
      <x:c r="Z522" s="38" t="n">
        <x:f>MAX(0,MIN(100,ROUND(((T522+U522+V522+W522+X522)-Y522)/85*100,0)))</x:f>
        <x:v>58</x:v>
      </x:c>
      <x:c r="AA522" s="9" t="str">
        <x:f>IF(L522="暂不做","P3 暂缓",IF(Z522&gt;=75,"P0 本周做",IF(Z522&gt;=60,"P1 近期做",IF(Z522&gt;=45,"P2 备选","P3 暂缓"))))</x:f>
        <x:v>P2 备选</x:v>
      </x:c>
      <x:c r="AB522" s="9" t="str">
        <x:f>IF(Y522&gt;=15,"先做合规/相关性复核，不建议直接商业导流",IF(L522="主站","建/优化主站商业页",IF(L522="博客A-知识教程","写知识教程/FAQ文章",IF(L522="博客B-场景人群","写场景需求/选购指南文章",IF(L522="博客C-对比评测","写对比评测/榜单文章","暂不做或人工复核")))))</x:f>
        <x:v>写知识教程/FAQ文章</x:v>
      </x:c>
      <x:c r="AC522" s="9" t="str">
        <x:v>WHITE GUMMY ICE - ExDivo FLORA 40K Disposable Vape - ExDivo</x:v>
      </x:c>
      <x:c r="AD522" s="10" t="str">
        <x:v>white gummy ice - exdivo flora 40k disposable vape</x:v>
      </x:c>
    </x:row>
    <x:row r="523">
      <x:c r="A523" s="34" t="n">
        <x:v>523</x:v>
      </x:c>
      <x:c r="B523" s="9" t="str">
        <x:v>https://exdivo.com/collections/meifu/products/luxury-women-s-vape-18ml-dual-mesh-40000-puffs_151a2c79?data_from=index_index&amp;spm=index_index..block_collection_list-11702354.5.</x:v>
      </x:c>
      <x:c r="C523" s="9" t="str">
        <x:v>vape flavor white gummy ice</x:v>
      </x:c>
      <x:c r="D523" s="9" t="str">
        <x:v>recommended</x:v>
      </x:c>
      <x:c r="E523" s="36" t="n">
        <x:v>0</x:v>
      </x:c>
      <x:c r="F523" s="36" t="n">
        <x:v>0</x:v>
      </x:c>
      <x:c r="G523" s="9" t="str">
        <x:v>48</x:v>
      </x:c>
      <x:c r="H523" s="9" t="str">
        <x:v>Flavor / 口味</x:v>
      </x:c>
      <x:c r="I523" s="9" t="str">
        <x:v>场景/需求词</x:v>
      </x:c>
      <x:c r="J523" s="9" t="str">
        <x:v>博客B-场景人群</x:v>
      </x:c>
      <x:c r="K523" s="9" t="str"/>
      <x:c r="L523" s="9" t="str">
        <x:f>IF(K523="",J523,K523)</x:f>
        <x:v>博客B-场景人群</x:v>
      </x:c>
      <x:c r="M523" s="9" t="str">
        <x:v>场景解决方案/选购指南文章</x:v>
      </x:c>
      <x:c r="N523" s="9" t="str">
        <x:v>Scenario angle: how to choose vape flavor white gummy ice based on use case, flavor, nicotine, and budget</x:v>
      </x:c>
      <x:c r="O523" s="9" t="str">
        <x:v>/collections/flavored-disposable-vapes</x:v>
      </x:c>
      <x:c r="P523" s="9" t="str">
        <x:v>是</x:v>
      </x:c>
      <x:c r="Q523" s="9" t="str">
        <x:v>自然句/品类词</x:v>
      </x:c>
      <x:c r="R523" s="9" t="str">
        <x:v>低中风险：适合软性导流，但不要夸大效果或触碰健康疗效</x:v>
      </x:c>
      <x:c r="S523" s="9" t="str">
        <x:v>围绕使用场景、口味、尼古丁需求、便携性等写，不和主站品类页抢词。</x:v>
      </x:c>
      <x:c r="T523" s="38" t="n">
        <x:v>1</x:v>
      </x:c>
      <x:c r="U523" s="38" t="n">
        <x:v>15</x:v>
      </x:c>
      <x:c r="V523" s="38" t="n">
        <x:v>13</x:v>
      </x:c>
      <x:c r="W523" s="38" t="n">
        <x:v>14</x:v>
      </x:c>
      <x:c r="X523" s="38" t="n">
        <x:v>13</x:v>
      </x:c>
      <x:c r="Y523" s="38" t="n">
        <x:v>5</x:v>
      </x:c>
      <x:c r="Z523" s="38" t="n">
        <x:f>MAX(0,MIN(100,ROUND(((T523+U523+V523+W523+X523)-Y523)/85*100,0)))</x:f>
        <x:v>60</x:v>
      </x:c>
      <x:c r="AA523" s="9" t="str">
        <x:f>IF(L523="暂不做","P3 暂缓",IF(Z523&gt;=75,"P0 本周做",IF(Z523&gt;=60,"P1 近期做",IF(Z523&gt;=45,"P2 备选","P3 暂缓"))))</x:f>
        <x:v>P1 近期做</x:v>
      </x:c>
      <x:c r="AB523" s="9" t="str">
        <x:f>IF(Y523&gt;=15,"先做合规/相关性复核，不建议直接商业导流",IF(L523="主站","建/优化主站商业页",IF(L523="博客A-知识教程","写知识教程/FAQ文章",IF(L523="博客B-场景人群","写场景需求/选购指南文章",IF(L523="博客C-对比评测","写对比评测/榜单文章","暂不做或人工复核")))))</x:f>
        <x:v>写场景需求/选购指南文章</x:v>
      </x:c>
      <x:c r="AC523" s="9" t="str">
        <x:v>WHITE GUMMY ICE - ExDivo FLORA 40K Disposable Vape - ExDivo</x:v>
      </x:c>
      <x:c r="AD523" s="10" t="str">
        <x:v>white gummy ice - exdivo flora 40k disposable vape</x:v>
      </x:c>
    </x:row>
    <x:row r="524">
      <x:c r="A524" s="34" t="n">
        <x:v>524</x:v>
      </x:c>
      <x:c r="B524" s="9" t="str">
        <x:v>https://exdivo.com/collections/meifu/products/luxury-women-s-vape-18ml-dual-mesh-40000-puffs_151a2c79?data_from=index_index&amp;spm=index_index..block_collection_list-11702354.5.</x:v>
      </x:c>
      <x:c r="C524" s="9" t="str">
        <x:v>white gummy ice disposable vape</x:v>
      </x:c>
      <x:c r="D524" s="9" t="str">
        <x:v>recommended</x:v>
      </x:c>
      <x:c r="E524" s="36" t="n">
        <x:v>0</x:v>
      </x:c>
      <x:c r="F524" s="36" t="n">
        <x:v>0</x:v>
      </x:c>
      <x:c r="G524" s="9" t="str">
        <x:v>48</x:v>
      </x:c>
      <x:c r="H524" s="9" t="str">
        <x:v>Disposable Vape</x:v>
      </x:c>
      <x:c r="I524" s="9" t="str">
        <x:v>内容词</x:v>
      </x:c>
      <x:c r="J524" s="9" t="str">
        <x:v>博客A-知识教程</x:v>
      </x:c>
      <x:c r="K524" s="9" t="str"/>
      <x:c r="L524" s="9" t="str">
        <x:f>IF(K524="",J524,K524)</x:f>
        <x:v>博客A-知识教程</x:v>
      </x:c>
      <x:c r="M524" s="9" t="str">
        <x:v>知识/教程文章</x:v>
      </x:c>
      <x:c r="N524" s="9" t="str">
        <x:v>Guide angle: explain white gummy ice disposable vape, answer common questions, and avoid sales-first writing</x:v>
      </x:c>
      <x:c r="O524" s="9" t="str">
        <x:v>/collections/disposable-vapes 或最接近的产品集合页</x:v>
      </x:c>
      <x:c r="P524" s="9" t="str">
        <x:v>谨慎</x:v>
      </x:c>
      <x:c r="Q524" s="9" t="str">
        <x:v>品牌词/自然句</x:v>
      </x:c>
      <x:c r="R524" s="9" t="str">
        <x:v>低风险：按常规内容质量和搜索意图校验</x:v>
      </x:c>
      <x:c r="S524" s="9" t="str">
        <x:v>先看 Google SERP：如果首页多数为产品集合页，改回主站；如果多数为教程/问答，保持博客。</x:v>
      </x:c>
      <x:c r="T524" s="38" t="n">
        <x:v>1</x:v>
      </x:c>
      <x:c r="U524" s="38" t="n">
        <x:v>15</x:v>
      </x:c>
      <x:c r="V524" s="38" t="n">
        <x:v>10</x:v>
      </x:c>
      <x:c r="W524" s="38" t="n">
        <x:v>12</x:v>
      </x:c>
      <x:c r="X524" s="38" t="n">
        <x:v>12</x:v>
      </x:c>
      <x:c r="Y524" s="38" t="n">
        <x:v>4</x:v>
      </x:c>
      <x:c r="Z524" s="38" t="n">
        <x:f>MAX(0,MIN(100,ROUND(((T524+U524+V524+W524+X524)-Y524)/85*100,0)))</x:f>
        <x:v>54</x:v>
      </x:c>
      <x:c r="AA524" s="9" t="str">
        <x:f>IF(L524="暂不做","P3 暂缓",IF(Z524&gt;=75,"P0 本周做",IF(Z524&gt;=60,"P1 近期做",IF(Z524&gt;=45,"P2 备选","P3 暂缓"))))</x:f>
        <x:v>P2 备选</x:v>
      </x:c>
      <x:c r="AB524" s="9" t="str">
        <x:f>IF(Y524&gt;=15,"先做合规/相关性复核，不建议直接商业导流",IF(L524="主站","建/优化主站商业页",IF(L524="博客A-知识教程","写知识教程/FAQ文章",IF(L524="博客B-场景人群","写场景需求/选购指南文章",IF(L524="博客C-对比评测","写对比评测/榜单文章","暂不做或人工复核")))))</x:f>
        <x:v>写知识教程/FAQ文章</x:v>
      </x:c>
      <x:c r="AC524" s="9" t="str">
        <x:v>WHITE GUMMY ICE - ExDivo FLORA 40K Disposable Vape - ExDivo</x:v>
      </x:c>
      <x:c r="AD524" s="10" t="str">
        <x:v>white gummy ice - exdivo flora 40k disposable vape</x:v>
      </x:c>
    </x:row>
    <x:row r="525">
      <x:c r="A525" s="34" t="n">
        <x:v>525</x:v>
      </x:c>
      <x:c r="B525" s="9" t="str">
        <x:v>https://exdivo.com/collections/meifu/products/luxury-women-s-vape-18ml-dual-mesh-40000-puffs_151a2c79?data_from=index_index&amp;spm=index_index..block_collection_list-11702354.5.</x:v>
      </x:c>
      <x:c r="C525" s="9" t="str">
        <x:v>disposable vape flavor white gummy</x:v>
      </x:c>
      <x:c r="D525" s="9" t="str">
        <x:v>recommended</x:v>
      </x:c>
      <x:c r="E525" s="36" t="n">
        <x:v>0</x:v>
      </x:c>
      <x:c r="F525" s="36" t="n">
        <x:v>0</x:v>
      </x:c>
      <x:c r="G525" s="9" t="str">
        <x:v>48</x:v>
      </x:c>
      <x:c r="H525" s="9" t="str">
        <x:v>Disposable Vape</x:v>
      </x:c>
      <x:c r="I525" s="9" t="str">
        <x:v>场景/需求词</x:v>
      </x:c>
      <x:c r="J525" s="9" t="str">
        <x:v>博客B-场景人群</x:v>
      </x:c>
      <x:c r="K525" s="9" t="str"/>
      <x:c r="L525" s="9" t="str">
        <x:f>IF(K525="",J525,K525)</x:f>
        <x:v>博客B-场景人群</x:v>
      </x:c>
      <x:c r="M525" s="9" t="str">
        <x:v>场景解决方案/选购指南文章</x:v>
      </x:c>
      <x:c r="N525" s="9" t="str">
        <x:v>Scenario angle: how to choose disposable vape flavor white gummy based on use case, flavor, nicotine, and budget</x:v>
      </x:c>
      <x:c r="O525" s="9" t="str">
        <x:v>/collections/flavored-disposable-vapes</x:v>
      </x:c>
      <x:c r="P525" s="9" t="str">
        <x:v>是</x:v>
      </x:c>
      <x:c r="Q525" s="9" t="str">
        <x:v>自然句/品类词</x:v>
      </x:c>
      <x:c r="R525" s="9" t="str">
        <x:v>低中风险：适合软性导流，但不要夸大效果或触碰健康疗效</x:v>
      </x:c>
      <x:c r="S525" s="9" t="str">
        <x:v>围绕使用场景、口味、尼古丁需求、便携性等写，不和主站品类页抢词。</x:v>
      </x:c>
      <x:c r="T525" s="38" t="n">
        <x:v>1</x:v>
      </x:c>
      <x:c r="U525" s="38" t="n">
        <x:v>15</x:v>
      </x:c>
      <x:c r="V525" s="38" t="n">
        <x:v>13</x:v>
      </x:c>
      <x:c r="W525" s="38" t="n">
        <x:v>14</x:v>
      </x:c>
      <x:c r="X525" s="38" t="n">
        <x:v>13</x:v>
      </x:c>
      <x:c r="Y525" s="38" t="n">
        <x:v>5</x:v>
      </x:c>
      <x:c r="Z525" s="38" t="n">
        <x:f>MAX(0,MIN(100,ROUND(((T525+U525+V525+W525+X525)-Y525)/85*100,0)))</x:f>
        <x:v>60</x:v>
      </x:c>
      <x:c r="AA525" s="9" t="str">
        <x:f>IF(L525="暂不做","P3 暂缓",IF(Z525&gt;=75,"P0 本周做",IF(Z525&gt;=60,"P1 近期做",IF(Z525&gt;=45,"P2 备选","P3 暂缓"))))</x:f>
        <x:v>P1 近期做</x:v>
      </x:c>
      <x:c r="AB525" s="9" t="str">
        <x:f>IF(Y525&gt;=15,"先做合规/相关性复核，不建议直接商业导流",IF(L525="主站","建/优化主站商业页",IF(L525="博客A-知识教程","写知识教程/FAQ文章",IF(L525="博客B-场景人群","写场景需求/选购指南文章",IF(L525="博客C-对比评测","写对比评测/榜单文章","暂不做或人工复核")))))</x:f>
        <x:v>写场景需求/选购指南文章</x:v>
      </x:c>
      <x:c r="AC525" s="9" t="str">
        <x:v>WHITE GUMMY ICE - ExDivo FLORA 40K Disposable Vape - ExDivo</x:v>
      </x:c>
      <x:c r="AD525" s="10" t="str">
        <x:v>white gummy ice - exdivo flora 40k disposable vape</x:v>
      </x:c>
    </x:row>
    <x:row r="526">
      <x:c r="A526" s="34" t="n">
        <x:v>526</x:v>
      </x:c>
      <x:c r="B526" s="9" t="str">
        <x:v>https://exdivo.com/collections/meifu/products/luxury-women-s-vape-18ml-dual-mesh-40000-puffs_151a2c79?data_from=index_index&amp;spm=index_index..block_collection_list-11702354.5.</x:v>
      </x:c>
      <x:c r="C526" s="9" t="str">
        <x:v>white gummy ice vape review</x:v>
      </x:c>
      <x:c r="D526" s="9" t="str">
        <x:v>recommended</x:v>
      </x:c>
      <x:c r="E526" s="36" t="n">
        <x:v>0</x:v>
      </x:c>
      <x:c r="F526" s="36" t="n">
        <x:v>0</x:v>
      </x:c>
      <x:c r="G526" s="9" t="str">
        <x:v>48</x:v>
      </x:c>
      <x:c r="H526" s="9" t="str">
        <x:v>对比评测</x:v>
      </x:c>
      <x:c r="I526" s="9" t="str">
        <x:v>商业调查词</x:v>
      </x:c>
      <x:c r="J526" s="9" t="str">
        <x:v>博客C-对比评测</x:v>
      </x:c>
      <x:c r="K526" s="9" t="str"/>
      <x:c r="L526" s="9" t="str">
        <x:f>IF(K526="",J526,K526)</x:f>
        <x:v>博客C-对比评测</x:v>
      </x:c>
      <x:c r="M526" s="9" t="str">
        <x:v>Best/Top/Review/VS/替代方案文章</x:v>
      </x:c>
      <x:c r="N526" s="9" t="str">
        <x:v>Best angle: white gummy ice vape review - comparison, pros/cons, and which option fits different buyers</x:v>
      </x:c>
      <x:c r="O526" s="9" t="str">
        <x:v>/collections/disposable-vapes</x:v>
      </x:c>
      <x:c r="P526" s="9" t="str">
        <x:v>是</x:v>
      </x:c>
      <x:c r="Q526" s="9" t="str">
        <x:v>自然句/品类词/品牌词</x:v>
      </x:c>
      <x:c r="R526" s="9" t="str">
        <x:v>中风险：榜单和评测必须真实、中立，避免夸大</x:v>
      </x:c>
      <x:c r="S526" s="9" t="str">
        <x:v>这类词不直接给主站，先用博客C教育和比较，再导流到最相关集合页。</x:v>
      </x:c>
      <x:c r="T526" s="38" t="n">
        <x:v>1</x:v>
      </x:c>
      <x:c r="U526" s="38" t="n">
        <x:v>15</x:v>
      </x:c>
      <x:c r="V526" s="38" t="n">
        <x:v>16</x:v>
      </x:c>
      <x:c r="W526" s="38" t="n">
        <x:v>15</x:v>
      </x:c>
      <x:c r="X526" s="38" t="n">
        <x:v>13</x:v>
      </x:c>
      <x:c r="Y526" s="38" t="n">
        <x:v>6</x:v>
      </x:c>
      <x:c r="Z526" s="38" t="n">
        <x:f>MAX(0,MIN(100,ROUND(((T526+U526+V526+W526+X526)-Y526)/85*100,0)))</x:f>
        <x:v>64</x:v>
      </x:c>
      <x:c r="AA526" s="9" t="str">
        <x:f>IF(L526="暂不做","P3 暂缓",IF(Z526&gt;=75,"P0 本周做",IF(Z526&gt;=60,"P1 近期做",IF(Z526&gt;=45,"P2 备选","P3 暂缓"))))</x:f>
        <x:v>P1 近期做</x:v>
      </x:c>
      <x:c r="AB526" s="9" t="str">
        <x:f>IF(Y526&gt;=15,"先做合规/相关性复核，不建议直接商业导流",IF(L526="主站","建/优化主站商业页",IF(L526="博客A-知识教程","写知识教程/FAQ文章",IF(L526="博客B-场景人群","写场景需求/选购指南文章",IF(L526="博客C-对比评测","写对比评测/榜单文章","暂不做或人工复核")))))</x:f>
        <x:v>写对比评测/榜单文章</x:v>
      </x:c>
      <x:c r="AC526" s="9" t="str">
        <x:v>WHITE GUMMY ICE - ExDivo FLORA 40K Disposable Vape - ExDivo</x:v>
      </x:c>
      <x:c r="AD526" s="10" t="str">
        <x:v>white gummy ice - exdivo flora 40k disposable vape</x:v>
      </x:c>
    </x:row>
    <x:row r="527">
      <x:c r="A527" s="34" t="n">
        <x:v>527</x:v>
      </x:c>
      <x:c r="B527" s="9" t="str">
        <x:v>https://exdivo.com/collections/meifu/products/luxury-women-s-vape-18ml-dual-mesh-40000-puffs_151a2c79?data_from=index_index&amp;spm=index_index..block_collection_list-11702354.5.</x:v>
      </x:c>
      <x:c r="C527" s="9" t="str">
        <x:v>white gummy ice disposable vape review</x:v>
      </x:c>
      <x:c r="D527" s="9" t="str">
        <x:v>recommended</x:v>
      </x:c>
      <x:c r="E527" s="36" t="n">
        <x:v>0</x:v>
      </x:c>
      <x:c r="F527" s="36" t="n">
        <x:v>0</x:v>
      </x:c>
      <x:c r="G527" s="9" t="str">
        <x:v>48</x:v>
      </x:c>
      <x:c r="H527" s="9" t="str">
        <x:v>Disposable Vape</x:v>
      </x:c>
      <x:c r="I527" s="9" t="str">
        <x:v>商业调查词</x:v>
      </x:c>
      <x:c r="J527" s="9" t="str">
        <x:v>博客C-对比评测</x:v>
      </x:c>
      <x:c r="K527" s="9" t="str"/>
      <x:c r="L527" s="9" t="str">
        <x:f>IF(K527="",J527,K527)</x:f>
        <x:v>博客C-对比评测</x:v>
      </x:c>
      <x:c r="M527" s="9" t="str">
        <x:v>Best/Top/Review/VS/替代方案文章</x:v>
      </x:c>
      <x:c r="N527" s="9" t="str">
        <x:v>Best angle: white gummy ice disposable vape review - comparison, pros/cons, and which option fits different buyers</x:v>
      </x:c>
      <x:c r="O527" s="9" t="str">
        <x:v>/collections/disposable-vapes</x:v>
      </x:c>
      <x:c r="P527" s="9" t="str">
        <x:v>是</x:v>
      </x:c>
      <x:c r="Q527" s="9" t="str">
        <x:v>自然句/品类词/品牌词</x:v>
      </x:c>
      <x:c r="R527" s="9" t="str">
        <x:v>中风险：榜单和评测必须真实、中立，避免夸大</x:v>
      </x:c>
      <x:c r="S527" s="9" t="str">
        <x:v>这类词不直接给主站，先用博客C教育和比较，再导流到最相关集合页。</x:v>
      </x:c>
      <x:c r="T527" s="38" t="n">
        <x:v>1</x:v>
      </x:c>
      <x:c r="U527" s="38" t="n">
        <x:v>15</x:v>
      </x:c>
      <x:c r="V527" s="38" t="n">
        <x:v>16</x:v>
      </x:c>
      <x:c r="W527" s="38" t="n">
        <x:v>15</x:v>
      </x:c>
      <x:c r="X527" s="38" t="n">
        <x:v>13</x:v>
      </x:c>
      <x:c r="Y527" s="38" t="n">
        <x:v>6</x:v>
      </x:c>
      <x:c r="Z527" s="38" t="n">
        <x:f>MAX(0,MIN(100,ROUND(((T527+U527+V527+W527+X527)-Y527)/85*100,0)))</x:f>
        <x:v>64</x:v>
      </x:c>
      <x:c r="AA527" s="9" t="str">
        <x:f>IF(L527="暂不做","P3 暂缓",IF(Z527&gt;=75,"P0 本周做",IF(Z527&gt;=60,"P1 近期做",IF(Z527&gt;=45,"P2 备选","P3 暂缓"))))</x:f>
        <x:v>P1 近期做</x:v>
      </x:c>
      <x:c r="AB527" s="9" t="str">
        <x:f>IF(Y527&gt;=15,"先做合规/相关性复核，不建议直接商业导流",IF(L527="主站","建/优化主站商业页",IF(L527="博客A-知识教程","写知识教程/FAQ文章",IF(L527="博客B-场景人群","写场景需求/选购指南文章",IF(L527="博客C-对比评测","写对比评测/榜单文章","暂不做或人工复核")))))</x:f>
        <x:v>写对比评测/榜单文章</x:v>
      </x:c>
      <x:c r="AC527" s="9" t="str">
        <x:v>WHITE GUMMY ICE - ExDivo FLORA 40K Disposable Vape - ExDivo</x:v>
      </x:c>
      <x:c r="AD527" s="10" t="str">
        <x:v>white gummy ice - exdivo flora 40k disposable vape</x:v>
      </x:c>
    </x:row>
    <x:row r="528">
      <x:c r="A528" s="34" t="n">
        <x:v>528</x:v>
      </x:c>
      <x:c r="B528" s="9" t="str">
        <x:v>https://exdivo.com/collections/meifu/products/luxury-women-s-vape-18ml-dual-mesh-40000-puffs_151a2c79?data_from=index_index&amp;spm=index_index..block_collection_list-11702354.5.</x:v>
      </x:c>
      <x:c r="C528" s="9" t="str">
        <x:v>40000 puff vape white gummy ice</x:v>
      </x:c>
      <x:c r="D528" s="9" t="str">
        <x:v>recommended</x:v>
      </x:c>
      <x:c r="E528" s="36" t="n">
        <x:v>0</x:v>
      </x:c>
      <x:c r="F528" s="36" t="n">
        <x:v>0</x:v>
      </x:c>
      <x:c r="G528" s="9" t="str">
        <x:v>48</x:v>
      </x:c>
      <x:c r="H528" s="9" t="str">
        <x:v>General Vape</x:v>
      </x:c>
      <x:c r="I528" s="9" t="str">
        <x:v>内容词</x:v>
      </x:c>
      <x:c r="J528" s="9" t="str">
        <x:v>博客A-知识教程</x:v>
      </x:c>
      <x:c r="K528" s="9" t="str"/>
      <x:c r="L528" s="9" t="str">
        <x:f>IF(K528="",J528,K528)</x:f>
        <x:v>博客A-知识教程</x:v>
      </x:c>
      <x:c r="M528" s="9" t="str">
        <x:v>知识/教程文章</x:v>
      </x:c>
      <x:c r="N528" s="9" t="str">
        <x:v>Guide angle: explain 40000 puff vape white gummy ice, answer common questions, and avoid sales-first writing</x:v>
      </x:c>
      <x:c r="O528" s="9" t="str">
        <x:v>/collections/disposable-vapes 或最接近的产品集合页</x:v>
      </x:c>
      <x:c r="P528" s="9" t="str">
        <x:v>谨慎</x:v>
      </x:c>
      <x:c r="Q528" s="9" t="str">
        <x:v>品牌词/自然句</x:v>
      </x:c>
      <x:c r="R528" s="9" t="str">
        <x:v>低风险：按常规内容质量和搜索意图校验</x:v>
      </x:c>
      <x:c r="S528" s="9" t="str">
        <x:v>先看 Google SERP：如果首页多数为产品集合页，改回主站；如果多数为教程/问答，保持博客。</x:v>
      </x:c>
      <x:c r="T528" s="38" t="n">
        <x:v>1</x:v>
      </x:c>
      <x:c r="U528" s="38" t="n">
        <x:v>15</x:v>
      </x:c>
      <x:c r="V528" s="38" t="n">
        <x:v>10</x:v>
      </x:c>
      <x:c r="W528" s="38" t="n">
        <x:v>12</x:v>
      </x:c>
      <x:c r="X528" s="38" t="n">
        <x:v>12</x:v>
      </x:c>
      <x:c r="Y528" s="38" t="n">
        <x:v>4</x:v>
      </x:c>
      <x:c r="Z528" s="38" t="n">
        <x:f>MAX(0,MIN(100,ROUND(((T528+U528+V528+W528+X528)-Y528)/85*100,0)))</x:f>
        <x:v>54</x:v>
      </x:c>
      <x:c r="AA528" s="9" t="str">
        <x:f>IF(L528="暂不做","P3 暂缓",IF(Z528&gt;=75,"P0 本周做",IF(Z528&gt;=60,"P1 近期做",IF(Z528&gt;=45,"P2 备选","P3 暂缓"))))</x:f>
        <x:v>P2 备选</x:v>
      </x:c>
      <x:c r="AB528" s="9" t="str">
        <x:f>IF(Y528&gt;=15,"先做合规/相关性复核，不建议直接商业导流",IF(L528="主站","建/优化主站商业页",IF(L528="博客A-知识教程","写知识教程/FAQ文章",IF(L528="博客B-场景人群","写场景需求/选购指南文章",IF(L528="博客C-对比评测","写对比评测/榜单文章","暂不做或人工复核")))))</x:f>
        <x:v>写知识教程/FAQ文章</x:v>
      </x:c>
      <x:c r="AC528" s="9" t="str">
        <x:v>WHITE GUMMY ICE - ExDivo FLORA 40K Disposable Vape - ExDivo</x:v>
      </x:c>
      <x:c r="AD528" s="10" t="str">
        <x:v>white gummy ice - exdivo flora 40k disposable vape</x:v>
      </x:c>
    </x:row>
    <x:row r="529">
      <x:c r="A529" s="34" t="n">
        <x:v>529</x:v>
      </x:c>
      <x:c r="B529" s="9" t="str">
        <x:v>https://exdivo.com/collections/meifu/products/luxury-women-s-vape-18ml-dual-mesh-40000-puffs_151a2c79?data_from=index_index&amp;spm=index_index..block_collection_list-11702354.5.</x:v>
      </x:c>
      <x:c r="C529" s="9" t="str">
        <x:v>white gummy vape review</x:v>
      </x:c>
      <x:c r="D529" s="9" t="str">
        <x:v>recommended</x:v>
      </x:c>
      <x:c r="E529" s="36" t="n">
        <x:v>0</x:v>
      </x:c>
      <x:c r="F529" s="36" t="n">
        <x:v>0</x:v>
      </x:c>
      <x:c r="G529" s="9" t="str">
        <x:v>48</x:v>
      </x:c>
      <x:c r="H529" s="9" t="str">
        <x:v>对比评测</x:v>
      </x:c>
      <x:c r="I529" s="9" t="str">
        <x:v>商业调查词</x:v>
      </x:c>
      <x:c r="J529" s="9" t="str">
        <x:v>博客C-对比评测</x:v>
      </x:c>
      <x:c r="K529" s="9" t="str"/>
      <x:c r="L529" s="9" t="str">
        <x:f>IF(K529="",J529,K529)</x:f>
        <x:v>博客C-对比评测</x:v>
      </x:c>
      <x:c r="M529" s="9" t="str">
        <x:v>Best/Top/Review/VS/替代方案文章</x:v>
      </x:c>
      <x:c r="N529" s="9" t="str">
        <x:v>Best angle: white gummy vape review - comparison, pros/cons, and which option fits different buyers</x:v>
      </x:c>
      <x:c r="O529" s="9" t="str">
        <x:v>/collections/disposable-vapes</x:v>
      </x:c>
      <x:c r="P529" s="9" t="str">
        <x:v>是</x:v>
      </x:c>
      <x:c r="Q529" s="9" t="str">
        <x:v>自然句/品类词/品牌词</x:v>
      </x:c>
      <x:c r="R529" s="9" t="str">
        <x:v>中风险：榜单和评测必须真实、中立，避免夸大</x:v>
      </x:c>
      <x:c r="S529" s="9" t="str">
        <x:v>这类词不直接给主站，先用博客C教育和比较，再导流到最相关集合页。</x:v>
      </x:c>
      <x:c r="T529" s="38" t="n">
        <x:v>1</x:v>
      </x:c>
      <x:c r="U529" s="38" t="n">
        <x:v>15</x:v>
      </x:c>
      <x:c r="V529" s="38" t="n">
        <x:v>16</x:v>
      </x:c>
      <x:c r="W529" s="38" t="n">
        <x:v>15</x:v>
      </x:c>
      <x:c r="X529" s="38" t="n">
        <x:v>13</x:v>
      </x:c>
      <x:c r="Y529" s="38" t="n">
        <x:v>6</x:v>
      </x:c>
      <x:c r="Z529" s="38" t="n">
        <x:f>MAX(0,MIN(100,ROUND(((T529+U529+V529+W529+X529)-Y529)/85*100,0)))</x:f>
        <x:v>64</x:v>
      </x:c>
      <x:c r="AA529" s="9" t="str">
        <x:f>IF(L529="暂不做","P3 暂缓",IF(Z529&gt;=75,"P0 本周做",IF(Z529&gt;=60,"P1 近期做",IF(Z529&gt;=45,"P2 备选","P3 暂缓"))))</x:f>
        <x:v>P1 近期做</x:v>
      </x:c>
      <x:c r="AB529" s="9" t="str">
        <x:f>IF(Y529&gt;=15,"先做合规/相关性复核，不建议直接商业导流",IF(L529="主站","建/优化主站商业页",IF(L529="博客A-知识教程","写知识教程/FAQ文章",IF(L529="博客B-场景人群","写场景需求/选购指南文章",IF(L529="博客C-对比评测","写对比评测/榜单文章","暂不做或人工复核")))))</x:f>
        <x:v>写对比评测/榜单文章</x:v>
      </x:c>
      <x:c r="AC529" s="9" t="str">
        <x:v>WHITE GUMMY ICE - ExDivo FLORA 40K Disposable Vape - ExDivo</x:v>
      </x:c>
      <x:c r="AD529" s="10" t="str">
        <x:v>white gummy ice - exdivo flora 40k disposable vape</x:v>
      </x:c>
    </x:row>
    <x:row r="530">
      <x:c r="A530" s="34" t="n">
        <x:v>530</x:v>
      </x:c>
      <x:c r="B530" s="9" t="str">
        <x:v>https://exdivo.com/collections/meifu/products/luxury-women-s-vape-18ml-dual-mesh-40000-puffs_151a2c79?data_from=index_index&amp;spm=index_index..block_collection_list-11702354.5.</x:v>
      </x:c>
      <x:c r="C530" s="9" t="str">
        <x:v>white gummy ice flavor</x:v>
      </x:c>
      <x:c r="D530" s="9" t="str">
        <x:v>recommended</x:v>
      </x:c>
      <x:c r="E530" s="36" t="n">
        <x:v>110</x:v>
      </x:c>
      <x:c r="F530" s="36" t="n">
        <x:v>2</x:v>
      </x:c>
      <x:c r="G530" s="9" t="str">
        <x:v>commercial</x:v>
      </x:c>
      <x:c r="H530" s="9" t="str">
        <x:v>Flavor / 口味</x:v>
      </x:c>
      <x:c r="I530" s="9" t="str">
        <x:v>场景/需求词</x:v>
      </x:c>
      <x:c r="J530" s="9" t="str">
        <x:v>博客B-场景人群</x:v>
      </x:c>
      <x:c r="K530" s="9" t="str"/>
      <x:c r="L530" s="9" t="str">
        <x:f>IF(K530="",J530,K530)</x:f>
        <x:v>博客B-场景人群</x:v>
      </x:c>
      <x:c r="M530" s="9" t="str">
        <x:v>场景解决方案/选购指南文章</x:v>
      </x:c>
      <x:c r="N530" s="9" t="str">
        <x:v>Scenario angle: how to choose white gummy ice flavor based on use case, flavor, nicotine, and budget</x:v>
      </x:c>
      <x:c r="O530" s="9" t="str">
        <x:v>/collections/flavored-disposable-vapes</x:v>
      </x:c>
      <x:c r="P530" s="9" t="str">
        <x:v>是</x:v>
      </x:c>
      <x:c r="Q530" s="9" t="str">
        <x:v>自然句/品类词</x:v>
      </x:c>
      <x:c r="R530" s="9" t="str">
        <x:v>低中风险：适合软性导流，但不要夸大效果或触碰健康疗效</x:v>
      </x:c>
      <x:c r="S530" s="9" t="str">
        <x:v>围绕使用场景、口味、尼古丁需求、便携性等写，不和主站品类页抢词。</x:v>
      </x:c>
      <x:c r="T530" s="38" t="n">
        <x:v>7</x:v>
      </x:c>
      <x:c r="U530" s="38" t="n">
        <x:v>15</x:v>
      </x:c>
      <x:c r="V530" s="38" t="n">
        <x:v>13</x:v>
      </x:c>
      <x:c r="W530" s="38" t="n">
        <x:v>14</x:v>
      </x:c>
      <x:c r="X530" s="38" t="n">
        <x:v>13</x:v>
      </x:c>
      <x:c r="Y530" s="38" t="n">
        <x:v>5</x:v>
      </x:c>
      <x:c r="Z530" s="38" t="n">
        <x:f>MAX(0,MIN(100,ROUND(((T530+U530+V530+W530+X530)-Y530)/85*100,0)))</x:f>
        <x:v>67</x:v>
      </x:c>
      <x:c r="AA530" s="9" t="str">
        <x:f>IF(L530="暂不做","P3 暂缓",IF(Z530&gt;=75,"P0 本周做",IF(Z530&gt;=60,"P1 近期做",IF(Z530&gt;=45,"P2 备选","P3 暂缓"))))</x:f>
        <x:v>P1 近期做</x:v>
      </x:c>
      <x:c r="AB530" s="9" t="str">
        <x:f>IF(Y530&gt;=15,"先做合规/相关性复核，不建议直接商业导流",IF(L530="主站","建/优化主站商业页",IF(L530="博客A-知识教程","写知识教程/FAQ文章",IF(L530="博客B-场景人群","写场景需求/选购指南文章",IF(L530="博客C-对比评测","写对比评测/榜单文章","暂不做或人工复核")))))</x:f>
        <x:v>写场景需求/选购指南文章</x:v>
      </x:c>
      <x:c r="AC530" s="9" t="str">
        <x:v>WHITE GUMMY ICE - ExDivo FLORA 40K Disposable Vape - ExDivo</x:v>
      </x:c>
      <x:c r="AD530" s="10" t="str">
        <x:v>white gummy ice - exdivo flora 40k disposable vape</x:v>
      </x:c>
    </x:row>
    <x:row r="531">
      <x:c r="A531" s="34" t="n">
        <x:v>531</x:v>
      </x:c>
      <x:c r="B531" s="9" t="str">
        <x:v>https://exdivo.com/products/exdivo-interstellar-35k-disposable-vape?data_from=blog_detail&amp;spm=</x:v>
      </x:c>
      <x:c r="C531" s="9" t="str">
        <x:v>disposable vape 35k puffs</x:v>
      </x:c>
      <x:c r="D531" s="9" t="str">
        <x:v>recommended</x:v>
      </x:c>
      <x:c r="E531" s="36" t="n">
        <x:v>0</x:v>
      </x:c>
      <x:c r="F531" s="36" t="n">
        <x:v>0</x:v>
      </x:c>
      <x:c r="G531" s="9" t="str">
        <x:v>48</x:v>
      </x:c>
      <x:c r="H531" s="9" t="str">
        <x:v>Disposable Vape</x:v>
      </x:c>
      <x:c r="I531" s="9" t="str">
        <x:v>内容词</x:v>
      </x:c>
      <x:c r="J531" s="9" t="str">
        <x:v>博客A-知识教程</x:v>
      </x:c>
      <x:c r="K531" s="9" t="str"/>
      <x:c r="L531" s="9" t="str">
        <x:f>IF(K531="",J531,K531)</x:f>
        <x:v>博客A-知识教程</x:v>
      </x:c>
      <x:c r="M531" s="9" t="str">
        <x:v>知识/教程文章</x:v>
      </x:c>
      <x:c r="N531" s="9" t="str">
        <x:v>Guide angle: explain disposable vape 35k puffs, answer common questions, and avoid sales-first writing</x:v>
      </x:c>
      <x:c r="O531" s="9" t="str">
        <x:v>/collections/disposable-vapes 或最接近的产品集合页</x:v>
      </x:c>
      <x:c r="P531" s="9" t="str">
        <x:v>谨慎</x:v>
      </x:c>
      <x:c r="Q531" s="9" t="str">
        <x:v>品牌词/自然句</x:v>
      </x:c>
      <x:c r="R531" s="9" t="str">
        <x:v>低风险：按常规内容质量和搜索意图校验</x:v>
      </x:c>
      <x:c r="S531" s="9" t="str">
        <x:v>先看 Google SERP：如果首页多数为产品集合页，改回主站；如果多数为教程/问答，保持博客。</x:v>
      </x:c>
      <x:c r="T531" s="38" t="n">
        <x:v>1</x:v>
      </x:c>
      <x:c r="U531" s="38" t="n">
        <x:v>15</x:v>
      </x:c>
      <x:c r="V531" s="38" t="n">
        <x:v>10</x:v>
      </x:c>
      <x:c r="W531" s="38" t="n">
        <x:v>12</x:v>
      </x:c>
      <x:c r="X531" s="38" t="n">
        <x:v>12</x:v>
      </x:c>
      <x:c r="Y531" s="38" t="n">
        <x:v>4</x:v>
      </x:c>
      <x:c r="Z531" s="38" t="n">
        <x:f>MAX(0,MIN(100,ROUND(((T531+U531+V531+W531+X531)-Y531)/85*100,0)))</x:f>
        <x:v>54</x:v>
      </x:c>
      <x:c r="AA531" s="9" t="str">
        <x:f>IF(L531="暂不做","P3 暂缓",IF(Z531&gt;=75,"P0 本周做",IF(Z531&gt;=60,"P1 近期做",IF(Z531&gt;=45,"P2 备选","P3 暂缓"))))</x:f>
        <x:v>P2 备选</x:v>
      </x:c>
      <x:c r="AB531" s="9" t="str">
        <x:f>IF(Y531&gt;=15,"先做合规/相关性复核，不建议直接商业导流",IF(L531="主站","建/优化主站商业页",IF(L531="博客A-知识教程","写知识教程/FAQ文章",IF(L531="博客B-场景人群","写场景需求/选购指南文章",IF(L531="博客C-对比评测","写对比评测/榜单文章","暂不做或人工复核")))))</x:f>
        <x:v>写知识教程/FAQ文章</x:v>
      </x:c>
      <x:c r="AC531" s="9" t="str">
        <x:v>ExDivo INTERSTELLAR 35K Disposable Vape</x:v>
      </x:c>
      <x:c r="AD531" s="10" t="str">
        <x:v>35000 puffs</x:v>
      </x:c>
    </x:row>
    <x:row r="532">
      <x:c r="A532" s="34" t="n">
        <x:v>532</x:v>
      </x:c>
      <x:c r="B532" s="9" t="str">
        <x:v>https://exdivo.com/products/exdivo-interstellar-35k-disposable-vape?data_from=blog_detail&amp;spm=</x:v>
      </x:c>
      <x:c r="C532" s="9" t="str">
        <x:v>disposable vape 35000 puffs</x:v>
      </x:c>
      <x:c r="D532" s="9" t="str">
        <x:v>recommended</x:v>
      </x:c>
      <x:c r="E532" s="36" t="n">
        <x:v>0</x:v>
      </x:c>
      <x:c r="F532" s="36" t="n">
        <x:v>0</x:v>
      </x:c>
      <x:c r="G532" s="9" t="str">
        <x:v>48</x:v>
      </x:c>
      <x:c r="H532" s="9" t="str">
        <x:v>Disposable Vape</x:v>
      </x:c>
      <x:c r="I532" s="9" t="str">
        <x:v>内容词</x:v>
      </x:c>
      <x:c r="J532" s="9" t="str">
        <x:v>博客A-知识教程</x:v>
      </x:c>
      <x:c r="K532" s="9" t="str"/>
      <x:c r="L532" s="9" t="str">
        <x:f>IF(K532="",J532,K532)</x:f>
        <x:v>博客A-知识教程</x:v>
      </x:c>
      <x:c r="M532" s="9" t="str">
        <x:v>知识/教程文章</x:v>
      </x:c>
      <x:c r="N532" s="9" t="str">
        <x:v>Guide angle: explain disposable vape 35000 puffs, answer common questions, and avoid sales-first writing</x:v>
      </x:c>
      <x:c r="O532" s="9" t="str">
        <x:v>/collections/disposable-vapes 或最接近的产品集合页</x:v>
      </x:c>
      <x:c r="P532" s="9" t="str">
        <x:v>谨慎</x:v>
      </x:c>
      <x:c r="Q532" s="9" t="str">
        <x:v>品牌词/自然句</x:v>
      </x:c>
      <x:c r="R532" s="9" t="str">
        <x:v>低风险：按常规内容质量和搜索意图校验</x:v>
      </x:c>
      <x:c r="S532" s="9" t="str">
        <x:v>先看 Google SERP：如果首页多数为产品集合页，改回主站；如果多数为教程/问答，保持博客。</x:v>
      </x:c>
      <x:c r="T532" s="38" t="n">
        <x:v>1</x:v>
      </x:c>
      <x:c r="U532" s="38" t="n">
        <x:v>15</x:v>
      </x:c>
      <x:c r="V532" s="38" t="n">
        <x:v>10</x:v>
      </x:c>
      <x:c r="W532" s="38" t="n">
        <x:v>12</x:v>
      </x:c>
      <x:c r="X532" s="38" t="n">
        <x:v>12</x:v>
      </x:c>
      <x:c r="Y532" s="38" t="n">
        <x:v>4</x:v>
      </x:c>
      <x:c r="Z532" s="38" t="n">
        <x:f>MAX(0,MIN(100,ROUND(((T532+U532+V532+W532+X532)-Y532)/85*100,0)))</x:f>
        <x:v>54</x:v>
      </x:c>
      <x:c r="AA532" s="9" t="str">
        <x:f>IF(L532="暂不做","P3 暂缓",IF(Z532&gt;=75,"P0 本周做",IF(Z532&gt;=60,"P1 近期做",IF(Z532&gt;=45,"P2 备选","P3 暂缓"))))</x:f>
        <x:v>P2 备选</x:v>
      </x:c>
      <x:c r="AB532" s="9" t="str">
        <x:f>IF(Y532&gt;=15,"先做合规/相关性复核，不建议直接商业导流",IF(L532="主站","建/优化主站商业页",IF(L532="博客A-知识教程","写知识教程/FAQ文章",IF(L532="博客B-场景人群","写场景需求/选购指南文章",IF(L532="博客C-对比评测","写对比评测/榜单文章","暂不做或人工复核")))))</x:f>
        <x:v>写知识教程/FAQ文章</x:v>
      </x:c>
      <x:c r="AC532" s="9" t="str">
        <x:v>ExDivo INTERSTELLAR 35K Disposable Vape</x:v>
      </x:c>
      <x:c r="AD532" s="10" t="str">
        <x:v>35000 puffs</x:v>
      </x:c>
    </x:row>
    <x:row r="533">
      <x:c r="A533" s="34" t="n">
        <x:v>533</x:v>
      </x:c>
      <x:c r="B533" s="9" t="str">
        <x:v>https://exdivo.com/products/exdivo-interstellar-35k-disposable-vape?data_from=blog_detail&amp;spm=</x:v>
      </x:c>
      <x:c r="C533" s="9" t="str">
        <x:v>best disposable vape 35000 puffs</x:v>
      </x:c>
      <x:c r="D533" s="9" t="str">
        <x:v>recommended</x:v>
      </x:c>
      <x:c r="E533" s="36" t="n">
        <x:v>0</x:v>
      </x:c>
      <x:c r="F533" s="36" t="n">
        <x:v>0</x:v>
      </x:c>
      <x:c r="G533" s="9" t="str">
        <x:v>48</x:v>
      </x:c>
      <x:c r="H533" s="9" t="str">
        <x:v>Disposable Vape</x:v>
      </x:c>
      <x:c r="I533" s="9" t="str">
        <x:v>商业调查词</x:v>
      </x:c>
      <x:c r="J533" s="9" t="str">
        <x:v>博客C-对比评测</x:v>
      </x:c>
      <x:c r="K533" s="9" t="str"/>
      <x:c r="L533" s="9" t="str">
        <x:f>IF(K533="",J533,K533)</x:f>
        <x:v>博客C-对比评测</x:v>
      </x:c>
      <x:c r="M533" s="9" t="str">
        <x:v>Best/Top/Review/VS/替代方案文章</x:v>
      </x:c>
      <x:c r="N533" s="9" t="str">
        <x:v>Best angle: best disposable vape 35000 puffs - comparison, pros/cons, and which option fits different buyers</x:v>
      </x:c>
      <x:c r="O533" s="9" t="str">
        <x:v>/collections/disposable-vapes</x:v>
      </x:c>
      <x:c r="P533" s="9" t="str">
        <x:v>是</x:v>
      </x:c>
      <x:c r="Q533" s="9" t="str">
        <x:v>自然句/品类词/品牌词</x:v>
      </x:c>
      <x:c r="R533" s="9" t="str">
        <x:v>中风险：榜单和评测必须真实、中立，避免夸大</x:v>
      </x:c>
      <x:c r="S533" s="9" t="str">
        <x:v>这类词不直接给主站，先用博客C教育和比较，再导流到最相关集合页。</x:v>
      </x:c>
      <x:c r="T533" s="38" t="n">
        <x:v>1</x:v>
      </x:c>
      <x:c r="U533" s="38" t="n">
        <x:v>15</x:v>
      </x:c>
      <x:c r="V533" s="38" t="n">
        <x:v>16</x:v>
      </x:c>
      <x:c r="W533" s="38" t="n">
        <x:v>15</x:v>
      </x:c>
      <x:c r="X533" s="38" t="n">
        <x:v>13</x:v>
      </x:c>
      <x:c r="Y533" s="38" t="n">
        <x:v>6</x:v>
      </x:c>
      <x:c r="Z533" s="38" t="n">
        <x:f>MAX(0,MIN(100,ROUND(((T533+U533+V533+W533+X533)-Y533)/85*100,0)))</x:f>
        <x:v>64</x:v>
      </x:c>
      <x:c r="AA533" s="9" t="str">
        <x:f>IF(L533="暂不做","P3 暂缓",IF(Z533&gt;=75,"P0 本周做",IF(Z533&gt;=60,"P1 近期做",IF(Z533&gt;=45,"P2 备选","P3 暂缓"))))</x:f>
        <x:v>P1 近期做</x:v>
      </x:c>
      <x:c r="AB533" s="9" t="str">
        <x:f>IF(Y533&gt;=15,"先做合规/相关性复核，不建议直接商业导流",IF(L533="主站","建/优化主站商业页",IF(L533="博客A-知识教程","写知识教程/FAQ文章",IF(L533="博客B-场景人群","写场景需求/选购指南文章",IF(L533="博客C-对比评测","写对比评测/榜单文章","暂不做或人工复核")))))</x:f>
        <x:v>写对比评测/榜单文章</x:v>
      </x:c>
      <x:c r="AC533" s="9" t="str">
        <x:v>ExDivo INTERSTELLAR 35K Disposable Vape</x:v>
      </x:c>
      <x:c r="AD533" s="10" t="str">
        <x:v>35000 puffs</x:v>
      </x:c>
    </x:row>
    <x:row r="534">
      <x:c r="A534" s="34" t="n">
        <x:v>534</x:v>
      </x:c>
      <x:c r="B534" s="9" t="str">
        <x:v>https://exdivo.com/products/exdivo-interstellar-35k-disposable-vape?data_from=blog_detail&amp;spm=</x:v>
      </x:c>
      <x:c r="C534" s="9" t="str">
        <x:v>35000 puff disposable vape us</x:v>
      </x:c>
      <x:c r="D534" s="9" t="str">
        <x:v>recommended</x:v>
      </x:c>
      <x:c r="E534" s="36" t="n">
        <x:v>0</x:v>
      </x:c>
      <x:c r="F534" s="36" t="n">
        <x:v>0</x:v>
      </x:c>
      <x:c r="G534" s="9" t="str">
        <x:v>48</x:v>
      </x:c>
      <x:c r="H534" s="9" t="str">
        <x:v>Disposable Vape</x:v>
      </x:c>
      <x:c r="I534" s="9" t="str">
        <x:v>内容词</x:v>
      </x:c>
      <x:c r="J534" s="9" t="str">
        <x:v>博客A-知识教程</x:v>
      </x:c>
      <x:c r="K534" s="9" t="str"/>
      <x:c r="L534" s="9" t="str">
        <x:f>IF(K534="",J534,K534)</x:f>
        <x:v>博客A-知识教程</x:v>
      </x:c>
      <x:c r="M534" s="9" t="str">
        <x:v>知识/教程文章</x:v>
      </x:c>
      <x:c r="N534" s="9" t="str">
        <x:v>Guide angle: explain 35000 puff disposable vape us, answer common questions, and avoid sales-first writing</x:v>
      </x:c>
      <x:c r="O534" s="9" t="str">
        <x:v>/collections/disposable-vapes 或最接近的产品集合页</x:v>
      </x:c>
      <x:c r="P534" s="9" t="str">
        <x:v>谨慎</x:v>
      </x:c>
      <x:c r="Q534" s="9" t="str">
        <x:v>品牌词/自然句</x:v>
      </x:c>
      <x:c r="R534" s="9" t="str">
        <x:v>低风险：按常规内容质量和搜索意图校验</x:v>
      </x:c>
      <x:c r="S534" s="9" t="str">
        <x:v>先看 Google SERP：如果首页多数为产品集合页，改回主站；如果多数为教程/问答，保持博客。</x:v>
      </x:c>
      <x:c r="T534" s="38" t="n">
        <x:v>1</x:v>
      </x:c>
      <x:c r="U534" s="38" t="n">
        <x:v>15</x:v>
      </x:c>
      <x:c r="V534" s="38" t="n">
        <x:v>10</x:v>
      </x:c>
      <x:c r="W534" s="38" t="n">
        <x:v>12</x:v>
      </x:c>
      <x:c r="X534" s="38" t="n">
        <x:v>12</x:v>
      </x:c>
      <x:c r="Y534" s="38" t="n">
        <x:v>4</x:v>
      </x:c>
      <x:c r="Z534" s="38" t="n">
        <x:f>MAX(0,MIN(100,ROUND(((T534+U534+V534+W534+X534)-Y534)/85*100,0)))</x:f>
        <x:v>54</x:v>
      </x:c>
      <x:c r="AA534" s="9" t="str">
        <x:f>IF(L534="暂不做","P3 暂缓",IF(Z534&gt;=75,"P0 本周做",IF(Z534&gt;=60,"P1 近期做",IF(Z534&gt;=45,"P2 备选","P3 暂缓"))))</x:f>
        <x:v>P2 备选</x:v>
      </x:c>
      <x:c r="AB534" s="9" t="str">
        <x:f>IF(Y534&gt;=15,"先做合规/相关性复核，不建议直接商业导流",IF(L534="主站","建/优化主站商业页",IF(L534="博客A-知识教程","写知识教程/FAQ文章",IF(L534="博客B-场景人群","写场景需求/选购指南文章",IF(L534="博客C-对比评测","写对比评测/榜单文章","暂不做或人工复核")))))</x:f>
        <x:v>写知识教程/FAQ文章</x:v>
      </x:c>
      <x:c r="AC534" s="9" t="str">
        <x:v>ExDivo INTERSTELLAR 35K Disposable Vape</x:v>
      </x:c>
      <x:c r="AD534" s="10" t="str">
        <x:v>35000 puffs</x:v>
      </x:c>
    </x:row>
    <x:row r="535">
      <x:c r="A535" s="34" t="n">
        <x:v>535</x:v>
      </x:c>
      <x:c r="B535" s="9" t="str">
        <x:v>https://exdivo.com/products/exdivo-interstellar-35k-disposable-vape?data_from=blog_detail&amp;spm=</x:v>
      </x:c>
      <x:c r="C535" s="9" t="str">
        <x:v>best 35k disposable vape</x:v>
      </x:c>
      <x:c r="D535" s="9" t="str">
        <x:v>recommended</x:v>
      </x:c>
      <x:c r="E535" s="36" t="n">
        <x:v>0</x:v>
      </x:c>
      <x:c r="F535" s="36" t="n">
        <x:v>0</x:v>
      </x:c>
      <x:c r="G535" s="9" t="str">
        <x:v>48</x:v>
      </x:c>
      <x:c r="H535" s="9" t="str">
        <x:v>Disposable Vape</x:v>
      </x:c>
      <x:c r="I535" s="9" t="str">
        <x:v>商业调查词</x:v>
      </x:c>
      <x:c r="J535" s="9" t="str">
        <x:v>博客C-对比评测</x:v>
      </x:c>
      <x:c r="K535" s="9" t="str"/>
      <x:c r="L535" s="9" t="str">
        <x:f>IF(K535="",J535,K535)</x:f>
        <x:v>博客C-对比评测</x:v>
      </x:c>
      <x:c r="M535" s="9" t="str">
        <x:v>Best/Top/Review/VS/替代方案文章</x:v>
      </x:c>
      <x:c r="N535" s="9" t="str">
        <x:v>Best angle: best 35k disposable vape - comparison, pros/cons, and which option fits different buyers</x:v>
      </x:c>
      <x:c r="O535" s="9" t="str">
        <x:v>/collections/disposable-vapes</x:v>
      </x:c>
      <x:c r="P535" s="9" t="str">
        <x:v>是</x:v>
      </x:c>
      <x:c r="Q535" s="9" t="str">
        <x:v>自然句/品类词/品牌词</x:v>
      </x:c>
      <x:c r="R535" s="9" t="str">
        <x:v>中风险：榜单和评测必须真实、中立，避免夸大</x:v>
      </x:c>
      <x:c r="S535" s="9" t="str">
        <x:v>这类词不直接给主站，先用博客C教育和比较，再导流到最相关集合页。</x:v>
      </x:c>
      <x:c r="T535" s="38" t="n">
        <x:v>1</x:v>
      </x:c>
      <x:c r="U535" s="38" t="n">
        <x:v>15</x:v>
      </x:c>
      <x:c r="V535" s="38" t="n">
        <x:v>16</x:v>
      </x:c>
      <x:c r="W535" s="38" t="n">
        <x:v>15</x:v>
      </x:c>
      <x:c r="X535" s="38" t="n">
        <x:v>13</x:v>
      </x:c>
      <x:c r="Y535" s="38" t="n">
        <x:v>6</x:v>
      </x:c>
      <x:c r="Z535" s="38" t="n">
        <x:f>MAX(0,MIN(100,ROUND(((T535+U535+V535+W535+X535)-Y535)/85*100,0)))</x:f>
        <x:v>64</x:v>
      </x:c>
      <x:c r="AA535" s="9" t="str">
        <x:f>IF(L535="暂不做","P3 暂缓",IF(Z535&gt;=75,"P0 本周做",IF(Z535&gt;=60,"P1 近期做",IF(Z535&gt;=45,"P2 备选","P3 暂缓"))))</x:f>
        <x:v>P1 近期做</x:v>
      </x:c>
      <x:c r="AB535" s="9" t="str">
        <x:f>IF(Y535&gt;=15,"先做合规/相关性复核，不建议直接商业导流",IF(L535="主站","建/优化主站商业页",IF(L535="博客A-知识教程","写知识教程/FAQ文章",IF(L535="博客B-场景人群","写场景需求/选购指南文章",IF(L535="博客C-对比评测","写对比评测/榜单文章","暂不做或人工复核")))))</x:f>
        <x:v>写对比评测/榜单文章</x:v>
      </x:c>
      <x:c r="AC535" s="9" t="str">
        <x:v>ExDivo INTERSTELLAR 35K Disposable Vape</x:v>
      </x:c>
      <x:c r="AD535" s="10" t="str">
        <x:v>35000 puffs</x:v>
      </x:c>
    </x:row>
    <x:row r="536">
      <x:c r="A536" s="34" t="n">
        <x:v>536</x:v>
      </x:c>
      <x:c r="B536" s="9" t="str">
        <x:v>https://exdivo.com/products/exdivo-interstellar-35k-disposable-vape?data_from=blog_detail&amp;spm=</x:v>
      </x:c>
      <x:c r="C536" s="9" t="str">
        <x:v>best 35k puff vape</x:v>
      </x:c>
      <x:c r="D536" s="9" t="str">
        <x:v>recommended</x:v>
      </x:c>
      <x:c r="E536" s="36" t="n">
        <x:v>0</x:v>
      </x:c>
      <x:c r="F536" s="36" t="n">
        <x:v>0</x:v>
      </x:c>
      <x:c r="G536" s="9" t="str">
        <x:v>48</x:v>
      </x:c>
      <x:c r="H536" s="9" t="str">
        <x:v>对比评测</x:v>
      </x:c>
      <x:c r="I536" s="9" t="str">
        <x:v>商业调查词</x:v>
      </x:c>
      <x:c r="J536" s="9" t="str">
        <x:v>博客C-对比评测</x:v>
      </x:c>
      <x:c r="K536" s="9" t="str"/>
      <x:c r="L536" s="9" t="str">
        <x:f>IF(K536="",J536,K536)</x:f>
        <x:v>博客C-对比评测</x:v>
      </x:c>
      <x:c r="M536" s="9" t="str">
        <x:v>Best/Top/Review/VS/替代方案文章</x:v>
      </x:c>
      <x:c r="N536" s="9" t="str">
        <x:v>Best angle: best 35k puff vape - comparison, pros/cons, and which option fits different buyers</x:v>
      </x:c>
      <x:c r="O536" s="9" t="str">
        <x:v>/collections/disposable-vapes</x:v>
      </x:c>
      <x:c r="P536" s="9" t="str">
        <x:v>是</x:v>
      </x:c>
      <x:c r="Q536" s="9" t="str">
        <x:v>自然句/品类词/品牌词</x:v>
      </x:c>
      <x:c r="R536" s="9" t="str">
        <x:v>中风险：榜单和评测必须真实、中立，避免夸大</x:v>
      </x:c>
      <x:c r="S536" s="9" t="str">
        <x:v>这类词不直接给主站，先用博客C教育和比较，再导流到最相关集合页。</x:v>
      </x:c>
      <x:c r="T536" s="38" t="n">
        <x:v>1</x:v>
      </x:c>
      <x:c r="U536" s="38" t="n">
        <x:v>15</x:v>
      </x:c>
      <x:c r="V536" s="38" t="n">
        <x:v>16</x:v>
      </x:c>
      <x:c r="W536" s="38" t="n">
        <x:v>15</x:v>
      </x:c>
      <x:c r="X536" s="38" t="n">
        <x:v>13</x:v>
      </x:c>
      <x:c r="Y536" s="38" t="n">
        <x:v>6</x:v>
      </x:c>
      <x:c r="Z536" s="38" t="n">
        <x:f>MAX(0,MIN(100,ROUND(((T536+U536+V536+W536+X536)-Y536)/85*100,0)))</x:f>
        <x:v>64</x:v>
      </x:c>
      <x:c r="AA536" s="9" t="str">
        <x:f>IF(L536="暂不做","P3 暂缓",IF(Z536&gt;=75,"P0 本周做",IF(Z536&gt;=60,"P1 近期做",IF(Z536&gt;=45,"P2 备选","P3 暂缓"))))</x:f>
        <x:v>P1 近期做</x:v>
      </x:c>
      <x:c r="AB536" s="9" t="str">
        <x:f>IF(Y536&gt;=15,"先做合规/相关性复核，不建议直接商业导流",IF(L536="主站","建/优化主站商业页",IF(L536="博客A-知识教程","写知识教程/FAQ文章",IF(L536="博客B-场景人群","写场景需求/选购指南文章",IF(L536="博客C-对比评测","写对比评测/榜单文章","暂不做或人工复核")))))</x:f>
        <x:v>写对比评测/榜单文章</x:v>
      </x:c>
      <x:c r="AC536" s="9" t="str">
        <x:v>ExDivo INTERSTELLAR 35K Disposable Vape</x:v>
      </x:c>
      <x:c r="AD536" s="10" t="str">
        <x:v>35000 puffs</x:v>
      </x:c>
    </x:row>
    <x:row r="537">
      <x:c r="A537" s="34" t="n">
        <x:v>537</x:v>
      </x:c>
      <x:c r="B537" s="9" t="str">
        <x:v>https://exdivo.com/products/exdivo-interstellar-35k-disposable-vape?data_from=blog_detail&amp;spm=</x:v>
      </x:c>
      <x:c r="C537" s="9" t="str">
        <x:v>best 35000 puff vape</x:v>
      </x:c>
      <x:c r="D537" s="9" t="str">
        <x:v>recommended</x:v>
      </x:c>
      <x:c r="E537" s="36" t="n">
        <x:v>0</x:v>
      </x:c>
      <x:c r="F537" s="36" t="n">
        <x:v>0</x:v>
      </x:c>
      <x:c r="G537" s="9" t="str">
        <x:v>48</x:v>
      </x:c>
      <x:c r="H537" s="9" t="str">
        <x:v>对比评测</x:v>
      </x:c>
      <x:c r="I537" s="9" t="str">
        <x:v>商业调查词</x:v>
      </x:c>
      <x:c r="J537" s="9" t="str">
        <x:v>博客C-对比评测</x:v>
      </x:c>
      <x:c r="K537" s="9" t="str"/>
      <x:c r="L537" s="9" t="str">
        <x:f>IF(K537="",J537,K537)</x:f>
        <x:v>博客C-对比评测</x:v>
      </x:c>
      <x:c r="M537" s="9" t="str">
        <x:v>Best/Top/Review/VS/替代方案文章</x:v>
      </x:c>
      <x:c r="N537" s="9" t="str">
        <x:v>Best angle: best 35000 puff vape - comparison, pros/cons, and which option fits different buyers</x:v>
      </x:c>
      <x:c r="O537" s="9" t="str">
        <x:v>/collections/disposable-vapes</x:v>
      </x:c>
      <x:c r="P537" s="9" t="str">
        <x:v>是</x:v>
      </x:c>
      <x:c r="Q537" s="9" t="str">
        <x:v>自然句/品类词/品牌词</x:v>
      </x:c>
      <x:c r="R537" s="9" t="str">
        <x:v>中风险：榜单和评测必须真实、中立，避免夸大</x:v>
      </x:c>
      <x:c r="S537" s="9" t="str">
        <x:v>这类词不直接给主站，先用博客C教育和比较，再导流到最相关集合页。</x:v>
      </x:c>
      <x:c r="T537" s="38" t="n">
        <x:v>1</x:v>
      </x:c>
      <x:c r="U537" s="38" t="n">
        <x:v>15</x:v>
      </x:c>
      <x:c r="V537" s="38" t="n">
        <x:v>16</x:v>
      </x:c>
      <x:c r="W537" s="38" t="n">
        <x:v>15</x:v>
      </x:c>
      <x:c r="X537" s="38" t="n">
        <x:v>13</x:v>
      </x:c>
      <x:c r="Y537" s="38" t="n">
        <x:v>6</x:v>
      </x:c>
      <x:c r="Z537" s="38" t="n">
        <x:f>MAX(0,MIN(100,ROUND(((T537+U537+V537+W537+X537)-Y537)/85*100,0)))</x:f>
        <x:v>64</x:v>
      </x:c>
      <x:c r="AA537" s="9" t="str">
        <x:f>IF(L537="暂不做","P3 暂缓",IF(Z537&gt;=75,"P0 本周做",IF(Z537&gt;=60,"P1 近期做",IF(Z537&gt;=45,"P2 备选","P3 暂缓"))))</x:f>
        <x:v>P1 近期做</x:v>
      </x:c>
      <x:c r="AB537" s="9" t="str">
        <x:f>IF(Y537&gt;=15,"先做合规/相关性复核，不建议直接商业导流",IF(L537="主站","建/优化主站商业页",IF(L537="博客A-知识教程","写知识教程/FAQ文章",IF(L537="博客B-场景人群","写场景需求/选购指南文章",IF(L537="博客C-对比评测","写对比评测/榜单文章","暂不做或人工复核")))))</x:f>
        <x:v>写对比评测/榜单文章</x:v>
      </x:c>
      <x:c r="AC537" s="9" t="str">
        <x:v>ExDivo INTERSTELLAR 35K Disposable Vape</x:v>
      </x:c>
      <x:c r="AD537" s="10" t="str">
        <x:v>35000 puffs</x:v>
      </x:c>
    </x:row>
    <x:row r="538">
      <x:c r="A538" s="34" t="n">
        <x:v>538</x:v>
      </x:c>
      <x:c r="B538" s="9" t="str">
        <x:v>https://exdivo.com/products/exdivo-interstellar-35k-disposable-vape?data_from=blog_detail&amp;spm=</x:v>
      </x:c>
      <x:c r="C538" s="9" t="str">
        <x:v>30k puff vape</x:v>
      </x:c>
      <x:c r="D538" s="9" t="str">
        <x:v>recommended</x:v>
      </x:c>
      <x:c r="E538" s="36" t="n">
        <x:v>70</x:v>
      </x:c>
      <x:c r="F538" s="36" t="n">
        <x:v>4</x:v>
      </x:c>
      <x:c r="G538" s="9" t="str">
        <x:v>informational</x:v>
      </x:c>
      <x:c r="H538" s="9" t="str">
        <x:v>General Vape</x:v>
      </x:c>
      <x:c r="I538" s="9" t="str">
        <x:v>品类承接词</x:v>
      </x:c>
      <x:c r="J538" s="9" t="str">
        <x:v>主站</x:v>
      </x:c>
      <x:c r="K538" s="9" t="str"/>
      <x:c r="L538" s="9" t="str">
        <x:f>IF(K538="",J538,K538)</x:f>
        <x:v>主站</x:v>
      </x:c>
      <x:c r="M538" s="9" t="str">
        <x:v>品类页/集合页 + FAQ内容块</x:v>
      </x:c>
      <x:c r="N538" s="9" t="str">
        <x:v>主站品类页：用产品集合 + 选购说明承接</x:v>
      </x:c>
      <x:c r="O538" s="9" t="str">
        <x:v>/collections/disposable-vapes</x:v>
      </x:c>
      <x:c r="P538" s="9" t="str">
        <x:v>不适用</x:v>
      </x:c>
      <x:c r="Q538" s="9" t="str">
        <x:v>主站页面自身承接</x:v>
      </x:c>
      <x:c r="R538" s="9" t="str">
        <x:v>核心品类词：主站优先，博客只做长尾解释，不直接抢同一词</x:v>
      </x:c>
      <x:c r="S538" s="9" t="str">
        <x:v>如果 Google 首页产品页和指南混合，主站页要加 FAQ、选购指南、对比模块。</x:v>
      </x:c>
      <x:c r="T538" s="38" t="n">
        <x:v>4</x:v>
      </x:c>
      <x:c r="U538" s="38" t="n">
        <x:v>15</x:v>
      </x:c>
      <x:c r="V538" s="38" t="n">
        <x:v>16</x:v>
      </x:c>
      <x:c r="W538" s="38" t="n">
        <x:v>8</x:v>
      </x:c>
      <x:c r="X538" s="38" t="n">
        <x:v>15</x:v>
      </x:c>
      <x:c r="Y538" s="38" t="n">
        <x:v>4</x:v>
      </x:c>
      <x:c r="Z538" s="38" t="n">
        <x:f>MAX(0,MIN(100,ROUND(((T538+U538+V538+W538+X538)-Y538)/85*100,0)))</x:f>
        <x:v>64</x:v>
      </x:c>
      <x:c r="AA538" s="9" t="str">
        <x:f>IF(L538="暂不做","P3 暂缓",IF(Z538&gt;=75,"P0 本周做",IF(Z538&gt;=60,"P1 近期做",IF(Z538&gt;=45,"P2 备选","P3 暂缓"))))</x:f>
        <x:v>P1 近期做</x:v>
      </x:c>
      <x:c r="AB538" s="9" t="str">
        <x:f>IF(Y538&gt;=15,"先做合规/相关性复核，不建议直接商业导流",IF(L538="主站","建/优化主站商业页",IF(L538="博客A-知识教程","写知识教程/FAQ文章",IF(L538="博客B-场景人群","写场景需求/选购指南文章",IF(L538="博客C-对比评测","写对比评测/榜单文章","暂不做或人工复核")))))</x:f>
        <x:v>建/优化主站商业页</x:v>
      </x:c>
      <x:c r="AC538" s="9" t="str">
        <x:v>ExDivo INTERSTELLAR 35K Disposable Vape</x:v>
      </x:c>
      <x:c r="AD538" s="10" t="str">
        <x:v>35000 puffs</x:v>
      </x:c>
    </x:row>
    <x:row r="539">
      <x:c r="A539" s="34" t="n">
        <x:v>539</x:v>
      </x:c>
      <x:c r="B539" s="9" t="str">
        <x:v>https://exdivo.com/collections/brightmirror/products/exdivo-bright-mirror-35k-replaceable-vape-kit_17dd6a51?data_from=index_index&amp;spm=index_index..block_collection_slides-11702967.3.</x:v>
      </x:c>
      <x:c r="C539" s="9" t="str">
        <x:v>replaceable vape kit 35k puff</x:v>
      </x:c>
      <x:c r="D539" s="9" t="str">
        <x:v>recommended</x:v>
      </x:c>
      <x:c r="E539" s="36" t="n">
        <x:v>0</x:v>
      </x:c>
      <x:c r="F539" s="36" t="n">
        <x:v>0</x:v>
      </x:c>
      <x:c r="G539" s="9" t="str">
        <x:v>48</x:v>
      </x:c>
      <x:c r="H539" s="9" t="str">
        <x:v>General Vape</x:v>
      </x:c>
      <x:c r="I539" s="9" t="str">
        <x:v>内容词</x:v>
      </x:c>
      <x:c r="J539" s="9" t="str">
        <x:v>博客A-知识教程</x:v>
      </x:c>
      <x:c r="K539" s="9" t="str"/>
      <x:c r="L539" s="9" t="str">
        <x:f>IF(K539="",J539,K539)</x:f>
        <x:v>博客A-知识教程</x:v>
      </x:c>
      <x:c r="M539" s="9" t="str">
        <x:v>知识/教程文章</x:v>
      </x:c>
      <x:c r="N539" s="9" t="str">
        <x:v>Guide angle: explain replaceable vape kit 35k puff, answer common questions, and avoid sales-first writing</x:v>
      </x:c>
      <x:c r="O539" s="9" t="str">
        <x:v>/collections/disposable-vapes 或最接近的产品集合页</x:v>
      </x:c>
      <x:c r="P539" s="9" t="str">
        <x:v>谨慎</x:v>
      </x:c>
      <x:c r="Q539" s="9" t="str">
        <x:v>品牌词/自然句</x:v>
      </x:c>
      <x:c r="R539" s="9" t="str">
        <x:v>低风险：按常规内容质量和搜索意图校验</x:v>
      </x:c>
      <x:c r="S539" s="9" t="str">
        <x:v>先看 Google SERP：如果首页多数为产品集合页，改回主站；如果多数为教程/问答，保持博客。</x:v>
      </x:c>
      <x:c r="T539" s="38" t="n">
        <x:v>1</x:v>
      </x:c>
      <x:c r="U539" s="38" t="n">
        <x:v>15</x:v>
      </x:c>
      <x:c r="V539" s="38" t="n">
        <x:v>10</x:v>
      </x:c>
      <x:c r="W539" s="38" t="n">
        <x:v>12</x:v>
      </x:c>
      <x:c r="X539" s="38" t="n">
        <x:v>12</x:v>
      </x:c>
      <x:c r="Y539" s="38" t="n">
        <x:v>4</x:v>
      </x:c>
      <x:c r="Z539" s="38" t="n">
        <x:f>MAX(0,MIN(100,ROUND(((T539+U539+V539+W539+X539)-Y539)/85*100,0)))</x:f>
        <x:v>54</x:v>
      </x:c>
      <x:c r="AA539" s="9" t="str">
        <x:f>IF(L539="暂不做","P3 暂缓",IF(Z539&gt;=75,"P0 本周做",IF(Z539&gt;=60,"P1 近期做",IF(Z539&gt;=45,"P2 备选","P3 暂缓"))))</x:f>
        <x:v>P2 备选</x:v>
      </x:c>
      <x:c r="AB539" s="9" t="str">
        <x:f>IF(Y539&gt;=15,"先做合规/相关性复核，不建议直接商业导流",IF(L539="主站","建/优化主站商业页",IF(L539="博客A-知识教程","写知识教程/FAQ文章",IF(L539="博客B-场景人群","写场景需求/选购指南文章",IF(L539="博客C-对比评测","写对比评测/榜单文章","暂不做或人工复核")))))</x:f>
        <x:v>写知识教程/FAQ文章</x:v>
      </x:c>
      <x:c r="AC539" s="9" t="str">
        <x:v>ExDivo BRIGHT MIRROR 35K Replaceable VAPE kit</x:v>
      </x:c>
      <x:c r="AD539" s="10" t="str">
        <x:v>35000 puffs</x:v>
      </x:c>
    </x:row>
    <x:row r="540">
      <x:c r="A540" s="34" t="n">
        <x:v>540</x:v>
      </x:c>
      <x:c r="B540" s="9" t="str">
        <x:v>https://exdivo.com/collections/brightmirror/products/exdivo-bright-mirror-35k-replaceable-vape-kit_17dd6a51?data_from=index_index&amp;spm=index_index..block_collection_slides-11702967.3.</x:v>
      </x:c>
      <x:c r="C540" s="9" t="str">
        <x:v>vape kit 35k puffs</x:v>
      </x:c>
      <x:c r="D540" s="9" t="str">
        <x:v>recommended</x:v>
      </x:c>
      <x:c r="E540" s="36" t="n">
        <x:v>0</x:v>
      </x:c>
      <x:c r="F540" s="36" t="n">
        <x:v>0</x:v>
      </x:c>
      <x:c r="G540" s="9" t="str">
        <x:v>48</x:v>
      </x:c>
      <x:c r="H540" s="9" t="str">
        <x:v>General Vape</x:v>
      </x:c>
      <x:c r="I540" s="9" t="str">
        <x:v>内容词</x:v>
      </x:c>
      <x:c r="J540" s="9" t="str">
        <x:v>博客A-知识教程</x:v>
      </x:c>
      <x:c r="K540" s="9" t="str"/>
      <x:c r="L540" s="9" t="str">
        <x:f>IF(K540="",J540,K540)</x:f>
        <x:v>博客A-知识教程</x:v>
      </x:c>
      <x:c r="M540" s="9" t="str">
        <x:v>知识/教程文章</x:v>
      </x:c>
      <x:c r="N540" s="9" t="str">
        <x:v>Guide angle: explain vape kit 35k puffs, answer common questions, and avoid sales-first writing</x:v>
      </x:c>
      <x:c r="O540" s="9" t="str">
        <x:v>/collections/disposable-vapes 或最接近的产品集合页</x:v>
      </x:c>
      <x:c r="P540" s="9" t="str">
        <x:v>谨慎</x:v>
      </x:c>
      <x:c r="Q540" s="9" t="str">
        <x:v>品牌词/自然句</x:v>
      </x:c>
      <x:c r="R540" s="9" t="str">
        <x:v>低风险：按常规内容质量和搜索意图校验</x:v>
      </x:c>
      <x:c r="S540" s="9" t="str">
        <x:v>先看 Google SERP：如果首页多数为产品集合页，改回主站；如果多数为教程/问答，保持博客。</x:v>
      </x:c>
      <x:c r="T540" s="38" t="n">
        <x:v>1</x:v>
      </x:c>
      <x:c r="U540" s="38" t="n">
        <x:v>15</x:v>
      </x:c>
      <x:c r="V540" s="38" t="n">
        <x:v>10</x:v>
      </x:c>
      <x:c r="W540" s="38" t="n">
        <x:v>12</x:v>
      </x:c>
      <x:c r="X540" s="38" t="n">
        <x:v>12</x:v>
      </x:c>
      <x:c r="Y540" s="38" t="n">
        <x:v>4</x:v>
      </x:c>
      <x:c r="Z540" s="38" t="n">
        <x:f>MAX(0,MIN(100,ROUND(((T540+U540+V540+W540+X540)-Y540)/85*100,0)))</x:f>
        <x:v>54</x:v>
      </x:c>
      <x:c r="AA540" s="9" t="str">
        <x:f>IF(L540="暂不做","P3 暂缓",IF(Z540&gt;=75,"P0 本周做",IF(Z540&gt;=60,"P1 近期做",IF(Z540&gt;=45,"P2 备选","P3 暂缓"))))</x:f>
        <x:v>P2 备选</x:v>
      </x:c>
      <x:c r="AB540" s="9" t="str">
        <x:f>IF(Y540&gt;=15,"先做合规/相关性复核，不建议直接商业导流",IF(L540="主站","建/优化主站商业页",IF(L540="博客A-知识教程","写知识教程/FAQ文章",IF(L540="博客B-场景人群","写场景需求/选购指南文章",IF(L540="博客C-对比评测","写对比评测/榜单文章","暂不做或人工复核")))))</x:f>
        <x:v>写知识教程/FAQ文章</x:v>
      </x:c>
      <x:c r="AC540" s="9" t="str">
        <x:v>ExDivo BRIGHT MIRROR 35K Replaceable VAPE kit</x:v>
      </x:c>
      <x:c r="AD540" s="10" t="str">
        <x:v>35000 puffs</x:v>
      </x:c>
    </x:row>
    <x:row r="541">
      <x:c r="A541" s="34" t="n">
        <x:v>541</x:v>
      </x:c>
      <x:c r="B541" s="9" t="str">
        <x:v>https://exdivo.com/collections/brightmirror/products/exdivo-bright-mirror-35k-replaceable-vape-kit_17dd6a51?data_from=index_index&amp;spm=index_index..block_collection_slides-11702967.3.</x:v>
      </x:c>
      <x:c r="C541" s="9" t="str">
        <x:v>35000 puff vape kit replaceable</x:v>
      </x:c>
      <x:c r="D541" s="9" t="str">
        <x:v>recommended</x:v>
      </x:c>
      <x:c r="E541" s="36" t="n">
        <x:v>0</x:v>
      </x:c>
      <x:c r="F541" s="36" t="n">
        <x:v>0</x:v>
      </x:c>
      <x:c r="G541" s="9" t="str">
        <x:v>48</x:v>
      </x:c>
      <x:c r="H541" s="9" t="str">
        <x:v>General Vape</x:v>
      </x:c>
      <x:c r="I541" s="9" t="str">
        <x:v>内容词</x:v>
      </x:c>
      <x:c r="J541" s="9" t="str">
        <x:v>博客A-知识教程</x:v>
      </x:c>
      <x:c r="K541" s="9" t="str"/>
      <x:c r="L541" s="9" t="str">
        <x:f>IF(K541="",J541,K541)</x:f>
        <x:v>博客A-知识教程</x:v>
      </x:c>
      <x:c r="M541" s="9" t="str">
        <x:v>知识/教程文章</x:v>
      </x:c>
      <x:c r="N541" s="9" t="str">
        <x:v>Guide angle: explain 35000 puff vape kit replaceable, answer common questions, and avoid sales-first writing</x:v>
      </x:c>
      <x:c r="O541" s="9" t="str">
        <x:v>/collections/disposable-vapes 或最接近的产品集合页</x:v>
      </x:c>
      <x:c r="P541" s="9" t="str">
        <x:v>谨慎</x:v>
      </x:c>
      <x:c r="Q541" s="9" t="str">
        <x:v>品牌词/自然句</x:v>
      </x:c>
      <x:c r="R541" s="9" t="str">
        <x:v>低风险：按常规内容质量和搜索意图校验</x:v>
      </x:c>
      <x:c r="S541" s="9" t="str">
        <x:v>先看 Google SERP：如果首页多数为产品集合页，改回主站；如果多数为教程/问答，保持博客。</x:v>
      </x:c>
      <x:c r="T541" s="38" t="n">
        <x:v>1</x:v>
      </x:c>
      <x:c r="U541" s="38" t="n">
        <x:v>15</x:v>
      </x:c>
      <x:c r="V541" s="38" t="n">
        <x:v>10</x:v>
      </x:c>
      <x:c r="W541" s="38" t="n">
        <x:v>12</x:v>
      </x:c>
      <x:c r="X541" s="38" t="n">
        <x:v>12</x:v>
      </x:c>
      <x:c r="Y541" s="38" t="n">
        <x:v>4</x:v>
      </x:c>
      <x:c r="Z541" s="38" t="n">
        <x:f>MAX(0,MIN(100,ROUND(((T541+U541+V541+W541+X541)-Y541)/85*100,0)))</x:f>
        <x:v>54</x:v>
      </x:c>
      <x:c r="AA541" s="9" t="str">
        <x:f>IF(L541="暂不做","P3 暂缓",IF(Z541&gt;=75,"P0 本周做",IF(Z541&gt;=60,"P1 近期做",IF(Z541&gt;=45,"P2 备选","P3 暂缓"))))</x:f>
        <x:v>P2 备选</x:v>
      </x:c>
      <x:c r="AB541" s="9" t="str">
        <x:f>IF(Y541&gt;=15,"先做合规/相关性复核，不建议直接商业导流",IF(L541="主站","建/优化主站商业页",IF(L541="博客A-知识教程","写知识教程/FAQ文章",IF(L541="博客B-场景人群","写场景需求/选购指南文章",IF(L541="博客C-对比评测","写对比评测/榜单文章","暂不做或人工复核")))))</x:f>
        <x:v>写知识教程/FAQ文章</x:v>
      </x:c>
      <x:c r="AC541" s="9" t="str">
        <x:v>ExDivo BRIGHT MIRROR 35K Replaceable VAPE kit</x:v>
      </x:c>
      <x:c r="AD541" s="10" t="str">
        <x:v>35000 puffs</x:v>
      </x:c>
    </x:row>
    <x:row r="542">
      <x:c r="A542" s="34" t="n">
        <x:v>542</x:v>
      </x:c>
      <x:c r="B542" s="9" t="str">
        <x:v>https://exdivo.com/collections/brightmirror/products/exdivo-bright-mirror-35k-replaceable-vape-kit_17dd6a51?data_from=index_index&amp;spm=index_index..block_collection_slides-11702967.3.</x:v>
      </x:c>
      <x:c r="C542" s="9" t="str">
        <x:v>replaceable vape kit 35000 puffs</x:v>
      </x:c>
      <x:c r="D542" s="9" t="str">
        <x:v>recommended</x:v>
      </x:c>
      <x:c r="E542" s="36" t="n">
        <x:v>0</x:v>
      </x:c>
      <x:c r="F542" s="36" t="n">
        <x:v>0</x:v>
      </x:c>
      <x:c r="G542" s="9" t="str">
        <x:v>48</x:v>
      </x:c>
      <x:c r="H542" s="9" t="str">
        <x:v>General Vape</x:v>
      </x:c>
      <x:c r="I542" s="9" t="str">
        <x:v>内容词</x:v>
      </x:c>
      <x:c r="J542" s="9" t="str">
        <x:v>博客A-知识教程</x:v>
      </x:c>
      <x:c r="K542" s="9" t="str"/>
      <x:c r="L542" s="9" t="str">
        <x:f>IF(K542="",J542,K542)</x:f>
        <x:v>博客A-知识教程</x:v>
      </x:c>
      <x:c r="M542" s="9" t="str">
        <x:v>知识/教程文章</x:v>
      </x:c>
      <x:c r="N542" s="9" t="str">
        <x:v>Guide angle: explain replaceable vape kit 35000 puffs, answer common questions, and avoid sales-first writing</x:v>
      </x:c>
      <x:c r="O542" s="9" t="str">
        <x:v>/collections/disposable-vapes 或最接近的产品集合页</x:v>
      </x:c>
      <x:c r="P542" s="9" t="str">
        <x:v>谨慎</x:v>
      </x:c>
      <x:c r="Q542" s="9" t="str">
        <x:v>品牌词/自然句</x:v>
      </x:c>
      <x:c r="R542" s="9" t="str">
        <x:v>低风险：按常规内容质量和搜索意图校验</x:v>
      </x:c>
      <x:c r="S542" s="9" t="str">
        <x:v>先看 Google SERP：如果首页多数为产品集合页，改回主站；如果多数为教程/问答，保持博客。</x:v>
      </x:c>
      <x:c r="T542" s="38" t="n">
        <x:v>1</x:v>
      </x:c>
      <x:c r="U542" s="38" t="n">
        <x:v>15</x:v>
      </x:c>
      <x:c r="V542" s="38" t="n">
        <x:v>10</x:v>
      </x:c>
      <x:c r="W542" s="38" t="n">
        <x:v>12</x:v>
      </x:c>
      <x:c r="X542" s="38" t="n">
        <x:v>12</x:v>
      </x:c>
      <x:c r="Y542" s="38" t="n">
        <x:v>4</x:v>
      </x:c>
      <x:c r="Z542" s="38" t="n">
        <x:f>MAX(0,MIN(100,ROUND(((T542+U542+V542+W542+X542)-Y542)/85*100,0)))</x:f>
        <x:v>54</x:v>
      </x:c>
      <x:c r="AA542" s="9" t="str">
        <x:f>IF(L542="暂不做","P3 暂缓",IF(Z542&gt;=75,"P0 本周做",IF(Z542&gt;=60,"P1 近期做",IF(Z542&gt;=45,"P2 备选","P3 暂缓"))))</x:f>
        <x:v>P2 备选</x:v>
      </x:c>
      <x:c r="AB542" s="9" t="str">
        <x:f>IF(Y542&gt;=15,"先做合规/相关性复核，不建议直接商业导流",IF(L542="主站","建/优化主站商业页",IF(L542="博客A-知识教程","写知识教程/FAQ文章",IF(L542="博客B-场景人群","写场景需求/选购指南文章",IF(L542="博客C-对比评测","写对比评测/榜单文章","暂不做或人工复核")))))</x:f>
        <x:v>写知识教程/FAQ文章</x:v>
      </x:c>
      <x:c r="AC542" s="9" t="str">
        <x:v>ExDivo BRIGHT MIRROR 35K Replaceable VAPE kit</x:v>
      </x:c>
      <x:c r="AD542" s="10" t="str">
        <x:v>35000 puffs</x:v>
      </x:c>
    </x:row>
    <x:row r="543">
      <x:c r="A543" s="34" t="n">
        <x:v>543</x:v>
      </x:c>
      <x:c r="B543" s="9" t="str">
        <x:v>https://exdivo.com/collections/brightmirror/products/exdivo-bright-mirror-35k-replaceable-vape-kit_17dd6a51?data_from=index_index&amp;spm=index_index..block_collection_slides-11702967.3.</x:v>
      </x:c>
      <x:c r="C543" s="9" t="str">
        <x:v>35k replaceable vape</x:v>
      </x:c>
      <x:c r="D543" s="9" t="str">
        <x:v>recommended</x:v>
      </x:c>
      <x:c r="E543" s="36" t="n">
        <x:v>0</x:v>
      </x:c>
      <x:c r="F543" s="36" t="n">
        <x:v>0</x:v>
      </x:c>
      <x:c r="G543" s="9" t="str">
        <x:v>48</x:v>
      </x:c>
      <x:c r="H543" s="9" t="str">
        <x:v>General Vape</x:v>
      </x:c>
      <x:c r="I543" s="9" t="str">
        <x:v>品类承接词</x:v>
      </x:c>
      <x:c r="J543" s="9" t="str">
        <x:v>主站</x:v>
      </x:c>
      <x:c r="K543" s="9" t="str"/>
      <x:c r="L543" s="9" t="str">
        <x:f>IF(K543="",J543,K543)</x:f>
        <x:v>主站</x:v>
      </x:c>
      <x:c r="M543" s="9" t="str">
        <x:v>品类页/集合页 + FAQ内容块</x:v>
      </x:c>
      <x:c r="N543" s="9" t="str">
        <x:v>主站品类页：用产品集合 + 选购说明承接</x:v>
      </x:c>
      <x:c r="O543" s="9" t="str">
        <x:v>/collections/disposable-vapes</x:v>
      </x:c>
      <x:c r="P543" s="9" t="str">
        <x:v>不适用</x:v>
      </x:c>
      <x:c r="Q543" s="9" t="str">
        <x:v>主站页面自身承接</x:v>
      </x:c>
      <x:c r="R543" s="9" t="str">
        <x:v>核心品类词：主站优先，博客只做长尾解释，不直接抢同一词</x:v>
      </x:c>
      <x:c r="S543" s="9" t="str">
        <x:v>如果 Google 首页产品页和指南混合，主站页要加 FAQ、选购指南、对比模块。</x:v>
      </x:c>
      <x:c r="T543" s="38" t="n">
        <x:v>1</x:v>
      </x:c>
      <x:c r="U543" s="38" t="n">
        <x:v>15</x:v>
      </x:c>
      <x:c r="V543" s="38" t="n">
        <x:v>16</x:v>
      </x:c>
      <x:c r="W543" s="38" t="n">
        <x:v>8</x:v>
      </x:c>
      <x:c r="X543" s="38" t="n">
        <x:v>15</x:v>
      </x:c>
      <x:c r="Y543" s="38" t="n">
        <x:v>4</x:v>
      </x:c>
      <x:c r="Z543" s="38" t="n">
        <x:f>MAX(0,MIN(100,ROUND(((T543+U543+V543+W543+X543)-Y543)/85*100,0)))</x:f>
        <x:v>60</x:v>
      </x:c>
      <x:c r="AA543" s="9" t="str">
        <x:f>IF(L543="暂不做","P3 暂缓",IF(Z543&gt;=75,"P0 本周做",IF(Z543&gt;=60,"P1 近期做",IF(Z543&gt;=45,"P2 备选","P3 暂缓"))))</x:f>
        <x:v>P1 近期做</x:v>
      </x:c>
      <x:c r="AB543" s="9" t="str">
        <x:f>IF(Y543&gt;=15,"先做合规/相关性复核，不建议直接商业导流",IF(L543="主站","建/优化主站商业页",IF(L543="博客A-知识教程","写知识教程/FAQ文章",IF(L543="博客B-场景人群","写场景需求/选购指南文章",IF(L543="博客C-对比评测","写对比评测/榜单文章","暂不做或人工复核")))))</x:f>
        <x:v>建/优化主站商业页</x:v>
      </x:c>
      <x:c r="AC543" s="9" t="str">
        <x:v>ExDivo BRIGHT MIRROR 35K Replaceable VAPE kit</x:v>
      </x:c>
      <x:c r="AD543" s="10" t="str">
        <x:v>35000 puffs</x:v>
      </x:c>
    </x:row>
    <x:row r="544">
      <x:c r="A544" s="34" t="n">
        <x:v>544</x:v>
      </x:c>
      <x:c r="B544" s="9" t="str">
        <x:v>https://exdivo.com/collections/brightmirror/products/exdivo-bright-mirror-35k-replaceable-vape-kit_17dd6a51?data_from=index_index&amp;spm=index_index..block_collection_slides-11702967.3.</x:v>
      </x:c>
      <x:c r="C544" s="9" t="str">
        <x:v>35k puff vape kit</x:v>
      </x:c>
      <x:c r="D544" s="9" t="str">
        <x:v>recommended</x:v>
      </x:c>
      <x:c r="E544" s="36" t="n">
        <x:v>0</x:v>
      </x:c>
      <x:c r="F544" s="36" t="n">
        <x:v>0</x:v>
      </x:c>
      <x:c r="G544" s="9" t="str">
        <x:v>48</x:v>
      </x:c>
      <x:c r="H544" s="9" t="str">
        <x:v>General Vape</x:v>
      </x:c>
      <x:c r="I544" s="9" t="str">
        <x:v>内容词</x:v>
      </x:c>
      <x:c r="J544" s="9" t="str">
        <x:v>博客A-知识教程</x:v>
      </x:c>
      <x:c r="K544" s="9" t="str"/>
      <x:c r="L544" s="9" t="str">
        <x:f>IF(K544="",J544,K544)</x:f>
        <x:v>博客A-知识教程</x:v>
      </x:c>
      <x:c r="M544" s="9" t="str">
        <x:v>知识/教程文章</x:v>
      </x:c>
      <x:c r="N544" s="9" t="str">
        <x:v>Guide angle: explain 35k puff vape kit, answer common questions, and avoid sales-first writing</x:v>
      </x:c>
      <x:c r="O544" s="9" t="str">
        <x:v>/collections/disposable-vapes 或最接近的产品集合页</x:v>
      </x:c>
      <x:c r="P544" s="9" t="str">
        <x:v>谨慎</x:v>
      </x:c>
      <x:c r="Q544" s="9" t="str">
        <x:v>品牌词/自然句</x:v>
      </x:c>
      <x:c r="R544" s="9" t="str">
        <x:v>低风险：按常规内容质量和搜索意图校验</x:v>
      </x:c>
      <x:c r="S544" s="9" t="str">
        <x:v>先看 Google SERP：如果首页多数为产品集合页，改回主站；如果多数为教程/问答，保持博客。</x:v>
      </x:c>
      <x:c r="T544" s="38" t="n">
        <x:v>1</x:v>
      </x:c>
      <x:c r="U544" s="38" t="n">
        <x:v>15</x:v>
      </x:c>
      <x:c r="V544" s="38" t="n">
        <x:v>10</x:v>
      </x:c>
      <x:c r="W544" s="38" t="n">
        <x:v>12</x:v>
      </x:c>
      <x:c r="X544" s="38" t="n">
        <x:v>12</x:v>
      </x:c>
      <x:c r="Y544" s="38" t="n">
        <x:v>4</x:v>
      </x:c>
      <x:c r="Z544" s="38" t="n">
        <x:f>MAX(0,MIN(100,ROUND(((T544+U544+V544+W544+X544)-Y544)/85*100,0)))</x:f>
        <x:v>54</x:v>
      </x:c>
      <x:c r="AA544" s="9" t="str">
        <x:f>IF(L544="暂不做","P3 暂缓",IF(Z544&gt;=75,"P0 本周做",IF(Z544&gt;=60,"P1 近期做",IF(Z544&gt;=45,"P2 备选","P3 暂缓"))))</x:f>
        <x:v>P2 备选</x:v>
      </x:c>
      <x:c r="AB544" s="9" t="str">
        <x:f>IF(Y544&gt;=15,"先做合规/相关性复核，不建议直接商业导流",IF(L544="主站","建/优化主站商业页",IF(L544="博客A-知识教程","写知识教程/FAQ文章",IF(L544="博客B-场景人群","写场景需求/选购指南文章",IF(L544="博客C-对比评测","写对比评测/榜单文章","暂不做或人工复核")))))</x:f>
        <x:v>写知识教程/FAQ文章</x:v>
      </x:c>
      <x:c r="AC544" s="9" t="str">
        <x:v>ExDivo BRIGHT MIRROR 35K Replaceable VAPE kit</x:v>
      </x:c>
      <x:c r="AD544" s="10" t="str">
        <x:v>35000 puffs</x:v>
      </x:c>
    </x:row>
    <x:row r="545">
      <x:c r="A545" s="34" t="n">
        <x:v>545</x:v>
      </x:c>
      <x:c r="B545" s="9" t="str">
        <x:v>https://exdivo.com/collections/brightmirror/products/exdivo-bright-mirror-35k-replaceable-vape-kit_17dd6a51?data_from=index_index&amp;spm=index_index..block_collection_slides-11702967.3.</x:v>
      </x:c>
      <x:c r="C545" s="9" t="str">
        <x:v>replaceable vape kit 35k</x:v>
      </x:c>
      <x:c r="D545" s="9" t="str">
        <x:v>recommended</x:v>
      </x:c>
      <x:c r="E545" s="36" t="n">
        <x:v>0</x:v>
      </x:c>
      <x:c r="F545" s="36" t="n">
        <x:v>0</x:v>
      </x:c>
      <x:c r="G545" s="9" t="str">
        <x:v>48</x:v>
      </x:c>
      <x:c r="H545" s="9" t="str">
        <x:v>General Vape</x:v>
      </x:c>
      <x:c r="I545" s="9" t="str">
        <x:v>内容词</x:v>
      </x:c>
      <x:c r="J545" s="9" t="str">
        <x:v>博客A-知识教程</x:v>
      </x:c>
      <x:c r="K545" s="9" t="str"/>
      <x:c r="L545" s="9" t="str">
        <x:f>IF(K545="",J545,K545)</x:f>
        <x:v>博客A-知识教程</x:v>
      </x:c>
      <x:c r="M545" s="9" t="str">
        <x:v>知识/教程文章</x:v>
      </x:c>
      <x:c r="N545" s="9" t="str">
        <x:v>Guide angle: explain replaceable vape kit 35k, answer common questions, and avoid sales-first writing</x:v>
      </x:c>
      <x:c r="O545" s="9" t="str">
        <x:v>/collections/disposable-vapes 或最接近的产品集合页</x:v>
      </x:c>
      <x:c r="P545" s="9" t="str">
        <x:v>谨慎</x:v>
      </x:c>
      <x:c r="Q545" s="9" t="str">
        <x:v>品牌词/自然句</x:v>
      </x:c>
      <x:c r="R545" s="9" t="str">
        <x:v>低风险：按常规内容质量和搜索意图校验</x:v>
      </x:c>
      <x:c r="S545" s="9" t="str">
        <x:v>先看 Google SERP：如果首页多数为产品集合页，改回主站；如果多数为教程/问答，保持博客。</x:v>
      </x:c>
      <x:c r="T545" s="38" t="n">
        <x:v>1</x:v>
      </x:c>
      <x:c r="U545" s="38" t="n">
        <x:v>15</x:v>
      </x:c>
      <x:c r="V545" s="38" t="n">
        <x:v>10</x:v>
      </x:c>
      <x:c r="W545" s="38" t="n">
        <x:v>12</x:v>
      </x:c>
      <x:c r="X545" s="38" t="n">
        <x:v>12</x:v>
      </x:c>
      <x:c r="Y545" s="38" t="n">
        <x:v>4</x:v>
      </x:c>
      <x:c r="Z545" s="38" t="n">
        <x:f>MAX(0,MIN(100,ROUND(((T545+U545+V545+W545+X545)-Y545)/85*100,0)))</x:f>
        <x:v>54</x:v>
      </x:c>
      <x:c r="AA545" s="9" t="str">
        <x:f>IF(L545="暂不做","P3 暂缓",IF(Z545&gt;=75,"P0 本周做",IF(Z545&gt;=60,"P1 近期做",IF(Z545&gt;=45,"P2 备选","P3 暂缓"))))</x:f>
        <x:v>P2 备选</x:v>
      </x:c>
      <x:c r="AB545" s="9" t="str">
        <x:f>IF(Y545&gt;=15,"先做合规/相关性复核，不建议直接商业导流",IF(L545="主站","建/优化主站商业页",IF(L545="博客A-知识教程","写知识教程/FAQ文章",IF(L545="博客B-场景人群","写场景需求/选购指南文章",IF(L545="博客C-对比评测","写对比评测/榜单文章","暂不做或人工复核")))))</x:f>
        <x:v>写知识教程/FAQ文章</x:v>
      </x:c>
      <x:c r="AC545" s="9" t="str">
        <x:v>ExDivo BRIGHT MIRROR 35K Replaceable VAPE kit</x:v>
      </x:c>
      <x:c r="AD545" s="10" t="str">
        <x:v>35000 puffs</x:v>
      </x:c>
    </x:row>
    <x:row r="546">
      <x:c r="A546" s="34" t="n">
        <x:v>546</x:v>
      </x:c>
      <x:c r="B546" s="9" t="str">
        <x:v>https://exdivo.com/collections/brightmirror/products/exdivo-bright-mirror-35k-replaceable-vape-kit_17dd6a51?data_from=index_index&amp;spm=index_index..block_collection_slides-11702967.3.</x:v>
      </x:c>
      <x:c r="C546" s="9" t="str">
        <x:v>35000 puff replaceable vape</x:v>
      </x:c>
      <x:c r="D546" s="9" t="str">
        <x:v>recommended</x:v>
      </x:c>
      <x:c r="E546" s="36" t="n">
        <x:v>0</x:v>
      </x:c>
      <x:c r="F546" s="36" t="n">
        <x:v>0</x:v>
      </x:c>
      <x:c r="G546" s="9" t="str">
        <x:v>48</x:v>
      </x:c>
      <x:c r="H546" s="9" t="str">
        <x:v>General Vape</x:v>
      </x:c>
      <x:c r="I546" s="9" t="str">
        <x:v>内容词</x:v>
      </x:c>
      <x:c r="J546" s="9" t="str">
        <x:v>博客A-知识教程</x:v>
      </x:c>
      <x:c r="K546" s="9" t="str"/>
      <x:c r="L546" s="9" t="str">
        <x:f>IF(K546="",J546,K546)</x:f>
        <x:v>博客A-知识教程</x:v>
      </x:c>
      <x:c r="M546" s="9" t="str">
        <x:v>知识/教程文章</x:v>
      </x:c>
      <x:c r="N546" s="9" t="str">
        <x:v>Guide angle: explain 35000 puff replaceable vape, answer common questions, and avoid sales-first writing</x:v>
      </x:c>
      <x:c r="O546" s="9" t="str">
        <x:v>/collections/disposable-vapes 或最接近的产品集合页</x:v>
      </x:c>
      <x:c r="P546" s="9" t="str">
        <x:v>谨慎</x:v>
      </x:c>
      <x:c r="Q546" s="9" t="str">
        <x:v>品牌词/自然句</x:v>
      </x:c>
      <x:c r="R546" s="9" t="str">
        <x:v>低风险：按常规内容质量和搜索意图校验</x:v>
      </x:c>
      <x:c r="S546" s="9" t="str">
        <x:v>先看 Google SERP：如果首页多数为产品集合页，改回主站；如果多数为教程/问答，保持博客。</x:v>
      </x:c>
      <x:c r="T546" s="38" t="n">
        <x:v>1</x:v>
      </x:c>
      <x:c r="U546" s="38" t="n">
        <x:v>15</x:v>
      </x:c>
      <x:c r="V546" s="38" t="n">
        <x:v>10</x:v>
      </x:c>
      <x:c r="W546" s="38" t="n">
        <x:v>12</x:v>
      </x:c>
      <x:c r="X546" s="38" t="n">
        <x:v>12</x:v>
      </x:c>
      <x:c r="Y546" s="38" t="n">
        <x:v>4</x:v>
      </x:c>
      <x:c r="Z546" s="38" t="n">
        <x:f>MAX(0,MIN(100,ROUND(((T546+U546+V546+W546+X546)-Y546)/85*100,0)))</x:f>
        <x:v>54</x:v>
      </x:c>
      <x:c r="AA546" s="9" t="str">
        <x:f>IF(L546="暂不做","P3 暂缓",IF(Z546&gt;=75,"P0 本周做",IF(Z546&gt;=60,"P1 近期做",IF(Z546&gt;=45,"P2 备选","P3 暂缓"))))</x:f>
        <x:v>P2 备选</x:v>
      </x:c>
      <x:c r="AB546" s="9" t="str">
        <x:f>IF(Y546&gt;=15,"先做合规/相关性复核，不建议直接商业导流",IF(L546="主站","建/优化主站商业页",IF(L546="博客A-知识教程","写知识教程/FAQ文章",IF(L546="博客B-场景人群","写场景需求/选购指南文章",IF(L546="博客C-对比评测","写对比评测/榜单文章","暂不做或人工复核")))))</x:f>
        <x:v>写知识教程/FAQ文章</x:v>
      </x:c>
      <x:c r="AC546" s="9" t="str">
        <x:v>ExDivo BRIGHT MIRROR 35K Replaceable VAPE kit</x:v>
      </x:c>
      <x:c r="AD546" s="10" t="str">
        <x:v>35000 puffs</x:v>
      </x:c>
    </x:row>
    <x:row r="547">
      <x:c r="A547" s="34" t="n">
        <x:v>547</x:v>
      </x:c>
      <x:c r="B547" s="9" t="str">
        <x:v>https://exdivo.com/collections/visionaura-full-screen/products/exdivo-space-45k-disposable-vape_fbf48b6e?data_from=collection_detail&amp;spm=collection_detail.313081.collection_detail-11702364.10.</x:v>
      </x:c>
      <x:c r="C547" s="9" t="str">
        <x:v>disposable vape</x:v>
      </x:c>
      <x:c r="D547" s="9" t="str">
        <x:v>recommended</x:v>
      </x:c>
      <x:c r="E547" s="36" t="n">
        <x:v>27100</x:v>
      </x:c>
      <x:c r="F547" s="36" t="n">
        <x:v>50</x:v>
      </x:c>
      <x:c r="G547" s="9" t="str">
        <x:v>informational</x:v>
      </x:c>
      <x:c r="H547" s="9" t="str">
        <x:v>Disposable Vape</x:v>
      </x:c>
      <x:c r="I547" s="9" t="str">
        <x:v>品类承接词</x:v>
      </x:c>
      <x:c r="J547" s="9" t="str">
        <x:v>主站</x:v>
      </x:c>
      <x:c r="K547" s="9" t="str"/>
      <x:c r="L547" s="9" t="str">
        <x:f>IF(K547="",J547,K547)</x:f>
        <x:v>主站</x:v>
      </x:c>
      <x:c r="M547" s="9" t="str">
        <x:v>品类页/集合页 + FAQ内容块</x:v>
      </x:c>
      <x:c r="N547" s="9" t="str">
        <x:v>主站品类页：用产品集合 + 选购说明承接</x:v>
      </x:c>
      <x:c r="O547" s="9" t="str">
        <x:v>/collections/disposable-vapes</x:v>
      </x:c>
      <x:c r="P547" s="9" t="str">
        <x:v>不适用</x:v>
      </x:c>
      <x:c r="Q547" s="9" t="str">
        <x:v>主站页面自身承接</x:v>
      </x:c>
      <x:c r="R547" s="9" t="str">
        <x:v>核心品类词：主站优先，博客只做长尾解释，不直接抢同一词</x:v>
      </x:c>
      <x:c r="S547" s="9" t="str">
        <x:v>如果 Google 首页产品页和指南混合，主站页要加 FAQ、选购指南、对比模块。</x:v>
      </x:c>
      <x:c r="T547" s="38" t="n">
        <x:v>20</x:v>
      </x:c>
      <x:c r="U547" s="38" t="n">
        <x:v>6</x:v>
      </x:c>
      <x:c r="V547" s="38" t="n">
        <x:v>16</x:v>
      </x:c>
      <x:c r="W547" s="38" t="n">
        <x:v>8</x:v>
      </x:c>
      <x:c r="X547" s="38" t="n">
        <x:v>15</x:v>
      </x:c>
      <x:c r="Y547" s="38" t="n">
        <x:v>4</x:v>
      </x:c>
      <x:c r="Z547" s="38" t="n">
        <x:f>MAX(0,MIN(100,ROUND(((T547+U547+V547+W547+X547)-Y547)/85*100,0)))</x:f>
        <x:v>72</x:v>
      </x:c>
      <x:c r="AA547" s="9" t="str">
        <x:f>IF(L547="暂不做","P3 暂缓",IF(Z547&gt;=75,"P0 本周做",IF(Z547&gt;=60,"P1 近期做",IF(Z547&gt;=45,"P2 备选","P3 暂缓"))))</x:f>
        <x:v>P1 近期做</x:v>
      </x:c>
      <x:c r="AB547" s="9" t="str">
        <x:f>IF(Y547&gt;=15,"先做合规/相关性复核，不建议直接商业导流",IF(L547="主站","建/优化主站商业页",IF(L547="博客A-知识教程","写知识教程/FAQ文章",IF(L547="博客B-场景人群","写场景需求/选购指南文章",IF(L547="博客C-对比评测","写对比评测/榜单文章","暂不做或人工复核")))))</x:f>
        <x:v>建/优化主站商业页</x:v>
      </x:c>
      <x:c r="AC547" s="9" t="str">
        <x:v>ExDivo SPACE 45K Disposable Vape</x:v>
      </x:c>
      <x:c r="AD547" s="10" t="str">
        <x:v>45000 puffs</x:v>
      </x:c>
    </x:row>
    <x:row r="548">
      <x:c r="A548" s="34" t="n">
        <x:v>548</x:v>
      </x:c>
      <x:c r="B548" s="9" t="str">
        <x:v>https://exdivo.com/collections/visionaura-full-screen/products/exdivo-space-45k-disposable-vape_fbf48b6e?data_from=collection_detail&amp;spm=collection_detail.313081.collection_detail-11702364.10.</x:v>
      </x:c>
      <x:c r="C548" s="9" t="str">
        <x:v>non disposable vape</x:v>
      </x:c>
      <x:c r="D548" s="9" t="str">
        <x:v>recommended</x:v>
      </x:c>
      <x:c r="E548" s="36" t="n">
        <x:v>880</x:v>
      </x:c>
      <x:c r="F548" s="36" t="n">
        <x:v>16</x:v>
      </x:c>
      <x:c r="G548" s="9" t="str">
        <x:v>informational</x:v>
      </x:c>
      <x:c r="H548" s="9" t="str">
        <x:v>Disposable Vape</x:v>
      </x:c>
      <x:c r="I548" s="9" t="str">
        <x:v>品类承接词</x:v>
      </x:c>
      <x:c r="J548" s="9" t="str">
        <x:v>主站</x:v>
      </x:c>
      <x:c r="K548" s="9" t="str"/>
      <x:c r="L548" s="9" t="str">
        <x:f>IF(K548="",J548,K548)</x:f>
        <x:v>主站</x:v>
      </x:c>
      <x:c r="M548" s="9" t="str">
        <x:v>品类页/集合页 + FAQ内容块</x:v>
      </x:c>
      <x:c r="N548" s="9" t="str">
        <x:v>主站品类页：用产品集合 + 选购说明承接</x:v>
      </x:c>
      <x:c r="O548" s="9" t="str">
        <x:v>/collections/disposable-vapes</x:v>
      </x:c>
      <x:c r="P548" s="9" t="str">
        <x:v>不适用</x:v>
      </x:c>
      <x:c r="Q548" s="9" t="str">
        <x:v>主站页面自身承接</x:v>
      </x:c>
      <x:c r="R548" s="9" t="str">
        <x:v>核心品类词：主站优先，博客只做长尾解释，不直接抢同一词</x:v>
      </x:c>
      <x:c r="S548" s="9" t="str">
        <x:v>如果 Google 首页产品页和指南混合，主站页要加 FAQ、选购指南、对比模块。</x:v>
      </x:c>
      <x:c r="T548" s="38" t="n">
        <x:v>10</x:v>
      </x:c>
      <x:c r="U548" s="38" t="n">
        <x:v>12</x:v>
      </x:c>
      <x:c r="V548" s="38" t="n">
        <x:v>16</x:v>
      </x:c>
      <x:c r="W548" s="38" t="n">
        <x:v>8</x:v>
      </x:c>
      <x:c r="X548" s="38" t="n">
        <x:v>15</x:v>
      </x:c>
      <x:c r="Y548" s="38" t="n">
        <x:v>4</x:v>
      </x:c>
      <x:c r="Z548" s="38" t="n">
        <x:f>MAX(0,MIN(100,ROUND(((T548+U548+V548+W548+X548)-Y548)/85*100,0)))</x:f>
        <x:v>67</x:v>
      </x:c>
      <x:c r="AA548" s="9" t="str">
        <x:f>IF(L548="暂不做","P3 暂缓",IF(Z548&gt;=75,"P0 本周做",IF(Z548&gt;=60,"P1 近期做",IF(Z548&gt;=45,"P2 备选","P3 暂缓"))))</x:f>
        <x:v>P1 近期做</x:v>
      </x:c>
      <x:c r="AB548" s="9" t="str">
        <x:f>IF(Y548&gt;=15,"先做合规/相关性复核，不建议直接商业导流",IF(L548="主站","建/优化主站商业页",IF(L548="博客A-知识教程","写知识教程/FAQ文章",IF(L548="博客B-场景人群","写场景需求/选购指南文章",IF(L548="博客C-对比评测","写对比评测/榜单文章","暂不做或人工复核")))))</x:f>
        <x:v>建/优化主站商业页</x:v>
      </x:c>
      <x:c r="AC548" s="9" t="str">
        <x:v>ExDivo SPACE 45K Disposable Vape</x:v>
      </x:c>
      <x:c r="AD548" s="10" t="str">
        <x:v>45000 puffs</x:v>
      </x:c>
    </x:row>
    <x:row r="549">
      <x:c r="A549" s="34" t="n">
        <x:v>549</x:v>
      </x:c>
      <x:c r="B549" s="9" t="str">
        <x:v>https://exdivo.com/collections/visionaura-full-screen/products/exdivo-space-45k-disposable-vape_fbf48b6e?data_from=collection_detail&amp;spm=collection_detail.313081.collection_detail-11702364.10.</x:v>
      </x:c>
      <x:c r="C549" s="9" t="str">
        <x:v>disposable vape juice</x:v>
      </x:c>
      <x:c r="D549" s="9" t="str">
        <x:v>recommended</x:v>
      </x:c>
      <x:c r="E549" s="36" t="n">
        <x:v>90</x:v>
      </x:c>
      <x:c r="F549" s="36" t="n">
        <x:v>16</x:v>
      </x:c>
      <x:c r="G549" s="9" t="str">
        <x:v>commercial</x:v>
      </x:c>
      <x:c r="H549" s="9" t="str">
        <x:v>Disposable Vape</x:v>
      </x:c>
      <x:c r="I549" s="9" t="str">
        <x:v>品类承接词</x:v>
      </x:c>
      <x:c r="J549" s="9" t="str">
        <x:v>主站</x:v>
      </x:c>
      <x:c r="K549" s="9" t="str"/>
      <x:c r="L549" s="9" t="str">
        <x:f>IF(K549="",J549,K549)</x:f>
        <x:v>主站</x:v>
      </x:c>
      <x:c r="M549" s="9" t="str">
        <x:v>品类页/集合页 + FAQ内容块</x:v>
      </x:c>
      <x:c r="N549" s="9" t="str">
        <x:v>主站品类页：用产品集合 + 选购说明承接</x:v>
      </x:c>
      <x:c r="O549" s="9" t="str">
        <x:v>/collections/disposable-vapes</x:v>
      </x:c>
      <x:c r="P549" s="9" t="str">
        <x:v>不适用</x:v>
      </x:c>
      <x:c r="Q549" s="9" t="str">
        <x:v>主站页面自身承接</x:v>
      </x:c>
      <x:c r="R549" s="9" t="str">
        <x:v>核心品类词：主站优先，博客只做长尾解释，不直接抢同一词</x:v>
      </x:c>
      <x:c r="S549" s="9" t="str">
        <x:v>如果 Google 首页产品页和指南混合，主站页要加 FAQ、选购指南、对比模块。</x:v>
      </x:c>
      <x:c r="T549" s="38" t="n">
        <x:v>4</x:v>
      </x:c>
      <x:c r="U549" s="38" t="n">
        <x:v>12</x:v>
      </x:c>
      <x:c r="V549" s="38" t="n">
        <x:v>18</x:v>
      </x:c>
      <x:c r="W549" s="38" t="n">
        <x:v>8</x:v>
      </x:c>
      <x:c r="X549" s="38" t="n">
        <x:v>15</x:v>
      </x:c>
      <x:c r="Y549" s="38" t="n">
        <x:v>4</x:v>
      </x:c>
      <x:c r="Z549" s="38" t="n">
        <x:f>MAX(0,MIN(100,ROUND(((T549+U549+V549+W549+X549)-Y549)/85*100,0)))</x:f>
        <x:v>62</x:v>
      </x:c>
      <x:c r="AA549" s="9" t="str">
        <x:f>IF(L549="暂不做","P3 暂缓",IF(Z549&gt;=75,"P0 本周做",IF(Z549&gt;=60,"P1 近期做",IF(Z549&gt;=45,"P2 备选","P3 暂缓"))))</x:f>
        <x:v>P1 近期做</x:v>
      </x:c>
      <x:c r="AB549" s="9" t="str">
        <x:f>IF(Y549&gt;=15,"先做合规/相关性复核，不建议直接商业导流",IF(L549="主站","建/优化主站商业页",IF(L549="博客A-知识教程","写知识教程/FAQ文章",IF(L549="博客B-场景人群","写场景需求/选购指南文章",IF(L549="博客C-对比评测","写对比评测/榜单文章","暂不做或人工复核")))))</x:f>
        <x:v>建/优化主站商业页</x:v>
      </x:c>
      <x:c r="AC549" s="9" t="str">
        <x:v>ExDivo SPACE 45K Disposable Vape</x:v>
      </x:c>
      <x:c r="AD549" s="10" t="str">
        <x:v>45000 puffs</x:v>
      </x:c>
    </x:row>
    <x:row r="550">
      <x:c r="A550" s="34" t="n">
        <x:v>550</x:v>
      </x:c>
      <x:c r="B550" s="9" t="str">
        <x:v>https://exdivo.com/collections/visionaura-full-screen/products/exdivo-space-45k-disposable-vape_fbf48b6e?data_from=collection_detail&amp;spm=collection_detail.313081.collection_detail-11702364.10.</x:v>
      </x:c>
      <x:c r="C550" s="9" t="str">
        <x:v>disposable e cig</x:v>
      </x:c>
      <x:c r="D550" s="9" t="str">
        <x:v>recommended</x:v>
      </x:c>
      <x:c r="E550" s="36" t="n">
        <x:v>170</x:v>
      </x:c>
      <x:c r="F550" s="36" t="n">
        <x:v>36</x:v>
      </x:c>
      <x:c r="G550" s="9" t="str">
        <x:v>informational, commercial</x:v>
      </x:c>
      <x:c r="H550" s="9" t="str">
        <x:v>Disposable Vape</x:v>
      </x:c>
      <x:c r="I550" s="9" t="str">
        <x:v>品类承接词</x:v>
      </x:c>
      <x:c r="J550" s="9" t="str">
        <x:v>主站</x:v>
      </x:c>
      <x:c r="K550" s="9" t="str"/>
      <x:c r="L550" s="9" t="str">
        <x:f>IF(K550="",J550,K550)</x:f>
        <x:v>主站</x:v>
      </x:c>
      <x:c r="M550" s="9" t="str">
        <x:v>品类页/集合页 + FAQ内容块</x:v>
      </x:c>
      <x:c r="N550" s="9" t="str">
        <x:v>主站品类页：用产品集合 + 选购说明承接</x:v>
      </x:c>
      <x:c r="O550" s="9" t="str">
        <x:v>/collections/e-cigarettes</x:v>
      </x:c>
      <x:c r="P550" s="9" t="str">
        <x:v>不适用</x:v>
      </x:c>
      <x:c r="Q550" s="9" t="str">
        <x:v>主站页面自身承接</x:v>
      </x:c>
      <x:c r="R550" s="9" t="str">
        <x:v>核心品类词：主站优先，博客只做长尾解释，不直接抢同一词</x:v>
      </x:c>
      <x:c r="S550" s="9" t="str">
        <x:v>如果 Google 首页产品页和指南混合，主站页要加 FAQ、选购指南、对比模块。</x:v>
      </x:c>
      <x:c r="T550" s="38" t="n">
        <x:v>7</x:v>
      </x:c>
      <x:c r="U550" s="38" t="n">
        <x:v>9</x:v>
      </x:c>
      <x:c r="V550" s="38" t="n">
        <x:v>18</x:v>
      </x:c>
      <x:c r="W550" s="38" t="n">
        <x:v>8</x:v>
      </x:c>
      <x:c r="X550" s="38" t="n">
        <x:v>15</x:v>
      </x:c>
      <x:c r="Y550" s="38" t="n">
        <x:v>4</x:v>
      </x:c>
      <x:c r="Z550" s="38" t="n">
        <x:f>MAX(0,MIN(100,ROUND(((T550+U550+V550+W550+X550)-Y550)/85*100,0)))</x:f>
        <x:v>62</x:v>
      </x:c>
      <x:c r="AA550" s="9" t="str">
        <x:f>IF(L550="暂不做","P3 暂缓",IF(Z550&gt;=75,"P0 本周做",IF(Z550&gt;=60,"P1 近期做",IF(Z550&gt;=45,"P2 备选","P3 暂缓"))))</x:f>
        <x:v>P1 近期做</x:v>
      </x:c>
      <x:c r="AB550" s="9" t="str">
        <x:f>IF(Y550&gt;=15,"先做合规/相关性复核，不建议直接商业导流",IF(L550="主站","建/优化主站商业页",IF(L550="博客A-知识教程","写知识教程/FAQ文章",IF(L550="博客B-场景人群","写场景需求/选购指南文章",IF(L550="博客C-对比评测","写对比评测/榜单文章","暂不做或人工复核")))))</x:f>
        <x:v>建/优化主站商业页</x:v>
      </x:c>
      <x:c r="AC550" s="9" t="str">
        <x:v>ExDivo SPACE 45K Disposable Vape</x:v>
      </x:c>
      <x:c r="AD550" s="10" t="str">
        <x:v>45000 puffs</x:v>
      </x:c>
    </x:row>
    <x:row r="551">
      <x:c r="A551" s="34" t="n">
        <x:v>551</x:v>
      </x:c>
      <x:c r="B551" s="9" t="str">
        <x:v>https://exdivo.com/collections/visionaura-full-screen/products/exdivo-space-45k-disposable-vape_fbf48b6e?data_from=collection_detail&amp;spm=collection_detail.313081.collection_detail-11702364.10.</x:v>
      </x:c>
      <x:c r="C551" s="9" t="str">
        <x:v>disposable vape brand</x:v>
      </x:c>
      <x:c r="D551" s="9" t="str">
        <x:v>recommended</x:v>
      </x:c>
      <x:c r="E551" s="36" t="n">
        <x:v>50</x:v>
      </x:c>
      <x:c r="F551" s="36" t="n">
        <x:v>38</x:v>
      </x:c>
      <x:c r="G551" s="9" t="str">
        <x:v>commercial</x:v>
      </x:c>
      <x:c r="H551" s="9" t="str">
        <x:v>Disposable Vape</x:v>
      </x:c>
      <x:c r="I551" s="9" t="str">
        <x:v>商业调查词</x:v>
      </x:c>
      <x:c r="J551" s="9" t="str">
        <x:v>博客C-对比评测</x:v>
      </x:c>
      <x:c r="K551" s="9" t="str"/>
      <x:c r="L551" s="9" t="str">
        <x:f>IF(K551="",J551,K551)</x:f>
        <x:v>博客C-对比评测</x:v>
      </x:c>
      <x:c r="M551" s="9" t="str">
        <x:v>Best/Top/Review/VS/替代方案文章</x:v>
      </x:c>
      <x:c r="N551" s="9" t="str">
        <x:v>Best angle: disposable vape brand - comparison, pros/cons, and which option fits different buyers</x:v>
      </x:c>
      <x:c r="O551" s="9" t="str">
        <x:v>/collections/disposable-vapes</x:v>
      </x:c>
      <x:c r="P551" s="9" t="str">
        <x:v>是</x:v>
      </x:c>
      <x:c r="Q551" s="9" t="str">
        <x:v>自然句/品类词/品牌词</x:v>
      </x:c>
      <x:c r="R551" s="9" t="str">
        <x:v>中风险：榜单和评测必须真实、中立，避免夸大</x:v>
      </x:c>
      <x:c r="S551" s="9" t="str">
        <x:v>这类词不直接给主站，先用博客C教育和比较，再导流到最相关集合页。</x:v>
      </x:c>
      <x:c r="T551" s="38" t="n">
        <x:v>4</x:v>
      </x:c>
      <x:c r="U551" s="38" t="n">
        <x:v>9</x:v>
      </x:c>
      <x:c r="V551" s="38" t="n">
        <x:v>16</x:v>
      </x:c>
      <x:c r="W551" s="38" t="n">
        <x:v>15</x:v>
      </x:c>
      <x:c r="X551" s="38" t="n">
        <x:v>13</x:v>
      </x:c>
      <x:c r="Y551" s="38" t="n">
        <x:v>6</x:v>
      </x:c>
      <x:c r="Z551" s="38" t="n">
        <x:f>MAX(0,MIN(100,ROUND(((T551+U551+V551+W551+X551)-Y551)/85*100,0)))</x:f>
        <x:v>60</x:v>
      </x:c>
      <x:c r="AA551" s="9" t="str">
        <x:f>IF(L551="暂不做","P3 暂缓",IF(Z551&gt;=75,"P0 本周做",IF(Z551&gt;=60,"P1 近期做",IF(Z551&gt;=45,"P2 备选","P3 暂缓"))))</x:f>
        <x:v>P1 近期做</x:v>
      </x:c>
      <x:c r="AB551" s="9" t="str">
        <x:f>IF(Y551&gt;=15,"先做合规/相关性复核，不建议直接商业导流",IF(L551="主站","建/优化主站商业页",IF(L551="博客A-知识教程","写知识教程/FAQ文章",IF(L551="博客B-场景人群","写场景需求/选购指南文章",IF(L551="博客C-对比评测","写对比评测/榜单文章","暂不做或人工复核")))))</x:f>
        <x:v>写对比评测/榜单文章</x:v>
      </x:c>
      <x:c r="AC551" s="9" t="str">
        <x:v>ExDivo SPACE 45K Disposable Vape</x:v>
      </x:c>
      <x:c r="AD551" s="10" t="str">
        <x:v>45000 puffs</x:v>
      </x:c>
    </x:row>
    <x:row r="552">
      <x:c r="A552" s="34" t="n">
        <x:v>552</x:v>
      </x:c>
      <x:c r="B552" s="9" t="str">
        <x:v>https://exdivo.com/collections/visionaura-full-screen/products/exdivo-space-45k-disposable-vape_fbf48b6e?data_from=collection_detail&amp;spm=collection_detail.313081.collection_detail-11702364.10.</x:v>
      </x:c>
      <x:c r="C552" s="9" t="str">
        <x:v>disposal vape</x:v>
      </x:c>
      <x:c r="D552" s="9" t="str">
        <x:v>recommended</x:v>
      </x:c>
      <x:c r="E552" s="36" t="n">
        <x:v>70</x:v>
      </x:c>
      <x:c r="F552" s="36" t="n">
        <x:v>50</x:v>
      </x:c>
      <x:c r="G552" s="9" t="str">
        <x:v>informational</x:v>
      </x:c>
      <x:c r="H552" s="9" t="str">
        <x:v>General Vape</x:v>
      </x:c>
      <x:c r="I552" s="9" t="str">
        <x:v>品类承接词</x:v>
      </x:c>
      <x:c r="J552" s="9" t="str">
        <x:v>主站</x:v>
      </x:c>
      <x:c r="K552" s="9" t="str"/>
      <x:c r="L552" s="9" t="str">
        <x:f>IF(K552="",J552,K552)</x:f>
        <x:v>主站</x:v>
      </x:c>
      <x:c r="M552" s="9" t="str">
        <x:v>品类页/集合页 + FAQ内容块</x:v>
      </x:c>
      <x:c r="N552" s="9" t="str">
        <x:v>主站品类页：用产品集合 + 选购说明承接</x:v>
      </x:c>
      <x:c r="O552" s="9" t="str">
        <x:v>/collections/disposable-vapes</x:v>
      </x:c>
      <x:c r="P552" s="9" t="str">
        <x:v>不适用</x:v>
      </x:c>
      <x:c r="Q552" s="9" t="str">
        <x:v>主站页面自身承接</x:v>
      </x:c>
      <x:c r="R552" s="9" t="str">
        <x:v>核心品类词：主站优先，博客只做长尾解释，不直接抢同一词</x:v>
      </x:c>
      <x:c r="S552" s="9" t="str">
        <x:v>如果 Google 首页产品页和指南混合，主站页要加 FAQ、选购指南、对比模块。</x:v>
      </x:c>
      <x:c r="T552" s="38" t="n">
        <x:v>4</x:v>
      </x:c>
      <x:c r="U552" s="38" t="n">
        <x:v>6</x:v>
      </x:c>
      <x:c r="V552" s="38" t="n">
        <x:v>16</x:v>
      </x:c>
      <x:c r="W552" s="38" t="n">
        <x:v>8</x:v>
      </x:c>
      <x:c r="X552" s="38" t="n">
        <x:v>15</x:v>
      </x:c>
      <x:c r="Y552" s="38" t="n">
        <x:v>4</x:v>
      </x:c>
      <x:c r="Z552" s="38" t="n">
        <x:f>MAX(0,MIN(100,ROUND(((T552+U552+V552+W552+X552)-Y552)/85*100,0)))</x:f>
        <x:v>53</x:v>
      </x:c>
      <x:c r="AA552" s="9" t="str">
        <x:f>IF(L552="暂不做","P3 暂缓",IF(Z552&gt;=75,"P0 本周做",IF(Z552&gt;=60,"P1 近期做",IF(Z552&gt;=45,"P2 备选","P3 暂缓"))))</x:f>
        <x:v>P2 备选</x:v>
      </x:c>
      <x:c r="AB552" s="9" t="str">
        <x:f>IF(Y552&gt;=15,"先做合规/相关性复核，不建议直接商业导流",IF(L552="主站","建/优化主站商业页",IF(L552="博客A-知识教程","写知识教程/FAQ文章",IF(L552="博客B-场景人群","写场景需求/选购指南文章",IF(L552="博客C-对比评测","写对比评测/榜单文章","暂不做或人工复核")))))</x:f>
        <x:v>建/优化主站商业页</x:v>
      </x:c>
      <x:c r="AC552" s="9" t="str">
        <x:v>ExDivo SPACE 45K Disposable Vape</x:v>
      </x:c>
      <x:c r="AD552" s="10" t="str">
        <x:v>45000 puffs</x:v>
      </x:c>
    </x:row>
    <x:row r="553">
      <x:c r="A553" s="34" t="n">
        <x:v>553</x:v>
      </x:c>
      <x:c r="B553" s="9" t="str">
        <x:v>https://exdivo.com/collections/visionaura-full-screen/products/exdivo-space-45k-disposable-vape_fbf48b6e?data_from=collection_detail&amp;spm=collection_detail.313081.collection_detail-11702364.10.</x:v>
      </x:c>
      <x:c r="C553" s="9" t="str">
        <x:v>disposable vape pen</x:v>
      </x:c>
      <x:c r="D553" s="9" t="str">
        <x:v>recommended</x:v>
      </x:c>
      <x:c r="E553" s="36" t="n">
        <x:v>2900</x:v>
      </x:c>
      <x:c r="F553" s="36" t="n">
        <x:v>36</x:v>
      </x:c>
      <x:c r="G553" s="9" t="str">
        <x:v>informational</x:v>
      </x:c>
      <x:c r="H553" s="9" t="str">
        <x:v>Disposable Vape</x:v>
      </x:c>
      <x:c r="I553" s="9" t="str">
        <x:v>品类承接词</x:v>
      </x:c>
      <x:c r="J553" s="9" t="str">
        <x:v>主站</x:v>
      </x:c>
      <x:c r="K553" s="9" t="str"/>
      <x:c r="L553" s="9" t="str">
        <x:f>IF(K553="",J553,K553)</x:f>
        <x:v>主站</x:v>
      </x:c>
      <x:c r="M553" s="9" t="str">
        <x:v>品类页/集合页 + FAQ内容块</x:v>
      </x:c>
      <x:c r="N553" s="9" t="str">
        <x:v>主站品类页：用产品集合 + 选购说明承接</x:v>
      </x:c>
      <x:c r="O553" s="9" t="str">
        <x:v>/collections/disposable-vapes</x:v>
      </x:c>
      <x:c r="P553" s="9" t="str">
        <x:v>不适用</x:v>
      </x:c>
      <x:c r="Q553" s="9" t="str">
        <x:v>主站页面自身承接</x:v>
      </x:c>
      <x:c r="R553" s="9" t="str">
        <x:v>核心品类词：主站优先，博客只做长尾解释，不直接抢同一词</x:v>
      </x:c>
      <x:c r="S553" s="9" t="str">
        <x:v>如果 Google 首页产品页和指南混合，主站页要加 FAQ、选购指南、对比模块。</x:v>
      </x:c>
      <x:c r="T553" s="38" t="n">
        <x:v>13</x:v>
      </x:c>
      <x:c r="U553" s="38" t="n">
        <x:v>9</x:v>
      </x:c>
      <x:c r="V553" s="38" t="n">
        <x:v>16</x:v>
      </x:c>
      <x:c r="W553" s="38" t="n">
        <x:v>8</x:v>
      </x:c>
      <x:c r="X553" s="38" t="n">
        <x:v>15</x:v>
      </x:c>
      <x:c r="Y553" s="38" t="n">
        <x:v>4</x:v>
      </x:c>
      <x:c r="Z553" s="38" t="n">
        <x:f>MAX(0,MIN(100,ROUND(((T553+U553+V553+W553+X553)-Y553)/85*100,0)))</x:f>
        <x:v>67</x:v>
      </x:c>
      <x:c r="AA553" s="9" t="str">
        <x:f>IF(L553="暂不做","P3 暂缓",IF(Z553&gt;=75,"P0 本周做",IF(Z553&gt;=60,"P1 近期做",IF(Z553&gt;=45,"P2 备选","P3 暂缓"))))</x:f>
        <x:v>P1 近期做</x:v>
      </x:c>
      <x:c r="AB553" s="9" t="str">
        <x:f>IF(Y553&gt;=15,"先做合规/相关性复核，不建议直接商业导流",IF(L553="主站","建/优化主站商业页",IF(L553="博客A-知识教程","写知识教程/FAQ文章",IF(L553="博客B-场景人群","写场景需求/选购指南文章",IF(L553="博客C-对比评测","写对比评测/榜单文章","暂不做或人工复核")))))</x:f>
        <x:v>建/优化主站商业页</x:v>
      </x:c>
      <x:c r="AC553" s="9" t="str">
        <x:v>ExDivo SPACE 45K Disposable Vape</x:v>
      </x:c>
      <x:c r="AD553" s="10" t="str">
        <x:v>45000 puffs</x:v>
      </x:c>
    </x:row>
    <x:row r="554">
      <x:c r="A554" s="34" t="n">
        <x:v>554</x:v>
      </x:c>
      <x:c r="B554" s="9" t="str">
        <x:v>https://exdivo.com/collections/visionaura-full-screen/products/exdivo-space-45k-disposable-vape_fbf48b6e?data_from=collection_detail&amp;spm=collection_detail.313081.collection_detail-11702364.10.</x:v>
      </x:c>
      <x:c r="C554" s="9" t="str">
        <x:v>space disposable vape</x:v>
      </x:c>
      <x:c r="D554" s="9" t="str">
        <x:v>recommended</x:v>
      </x:c>
      <x:c r="E554" s="36" t="n">
        <x:v>0</x:v>
      </x:c>
      <x:c r="F554" s="36" t="n">
        <x:v>0</x:v>
      </x:c>
      <x:c r="G554" s="9" t="str">
        <x:v>48</x:v>
      </x:c>
      <x:c r="H554" s="9" t="str">
        <x:v>Disposable Vape</x:v>
      </x:c>
      <x:c r="I554" s="9" t="str">
        <x:v>品类承接词</x:v>
      </x:c>
      <x:c r="J554" s="9" t="str">
        <x:v>主站</x:v>
      </x:c>
      <x:c r="K554" s="9" t="str"/>
      <x:c r="L554" s="9" t="str">
        <x:f>IF(K554="",J554,K554)</x:f>
        <x:v>主站</x:v>
      </x:c>
      <x:c r="M554" s="9" t="str">
        <x:v>品类页/集合页 + FAQ内容块</x:v>
      </x:c>
      <x:c r="N554" s="9" t="str">
        <x:v>主站品类页：用产品集合 + 选购说明承接</x:v>
      </x:c>
      <x:c r="O554" s="9" t="str">
        <x:v>/collections/disposable-vapes</x:v>
      </x:c>
      <x:c r="P554" s="9" t="str">
        <x:v>不适用</x:v>
      </x:c>
      <x:c r="Q554" s="9" t="str">
        <x:v>主站页面自身承接</x:v>
      </x:c>
      <x:c r="R554" s="9" t="str">
        <x:v>核心品类词：主站优先，博客只做长尾解释，不直接抢同一词</x:v>
      </x:c>
      <x:c r="S554" s="9" t="str">
        <x:v>如果 Google 首页产品页和指南混合，主站页要加 FAQ、选购指南、对比模块。</x:v>
      </x:c>
      <x:c r="T554" s="38" t="n">
        <x:v>1</x:v>
      </x:c>
      <x:c r="U554" s="38" t="n">
        <x:v>15</x:v>
      </x:c>
      <x:c r="V554" s="38" t="n">
        <x:v>16</x:v>
      </x:c>
      <x:c r="W554" s="38" t="n">
        <x:v>8</x:v>
      </x:c>
      <x:c r="X554" s="38" t="n">
        <x:v>15</x:v>
      </x:c>
      <x:c r="Y554" s="38" t="n">
        <x:v>4</x:v>
      </x:c>
      <x:c r="Z554" s="38" t="n">
        <x:f>MAX(0,MIN(100,ROUND(((T554+U554+V554+W554+X554)-Y554)/85*100,0)))</x:f>
        <x:v>60</x:v>
      </x:c>
      <x:c r="AA554" s="9" t="str">
        <x:f>IF(L554="暂不做","P3 暂缓",IF(Z554&gt;=75,"P0 本周做",IF(Z554&gt;=60,"P1 近期做",IF(Z554&gt;=45,"P2 备选","P3 暂缓"))))</x:f>
        <x:v>P1 近期做</x:v>
      </x:c>
      <x:c r="AB554" s="9" t="str">
        <x:f>IF(Y554&gt;=15,"先做合规/相关性复核，不建议直接商业导流",IF(L554="主站","建/优化主站商业页",IF(L554="博客A-知识教程","写知识教程/FAQ文章",IF(L554="博客B-场景人群","写场景需求/选购指南文章",IF(L554="博客C-对比评测","写对比评测/榜单文章","暂不做或人工复核")))))</x:f>
        <x:v>建/优化主站商业页</x:v>
      </x:c>
      <x:c r="AC554" s="9" t="str">
        <x:v>ExDivo SPACE 45K Disposable Vape</x:v>
      </x:c>
      <x:c r="AD554" s="10" t="str">
        <x:v>45000 puffs</x:v>
      </x:c>
    </x:row>
    <x:row r="555">
      <x:c r="A555" s="34" t="n">
        <x:v>555</x:v>
      </x:c>
      <x:c r="B555" s="9" t="str">
        <x:v>https://exdivo.com/collections/visionaura-full-screen/products/exdivo-space-45k-disposable-vape_fbf48b6e?data_from=collection_detail&amp;spm=collection_detail.313081.collection_detail-11702364.10.</x:v>
      </x:c>
      <x:c r="C555" s="9" t="str">
        <x:v>extra long life disposable vape</x:v>
      </x:c>
      <x:c r="D555" s="9" t="str">
        <x:v>recommended</x:v>
      </x:c>
      <x:c r="E555" s="36" t="n">
        <x:v>0</x:v>
      </x:c>
      <x:c r="F555" s="36" t="n">
        <x:v>0</x:v>
      </x:c>
      <x:c r="G555" s="9" t="str">
        <x:v>48</x:v>
      </x:c>
      <x:c r="H555" s="9" t="str">
        <x:v>Disposable Vape</x:v>
      </x:c>
      <x:c r="I555" s="9" t="str">
        <x:v>知识/教程词</x:v>
      </x:c>
      <x:c r="J555" s="9" t="str">
        <x:v>博客A-知识教程</x:v>
      </x:c>
      <x:c r="K555" s="9" t="str"/>
      <x:c r="L555" s="9" t="str">
        <x:f>IF(K555="",J555,K555)</x:f>
        <x:v>博客A-知识教程</x:v>
      </x:c>
      <x:c r="M555" s="9" t="str">
        <x:v>百科/How-to/FAQ文章</x:v>
      </x:c>
      <x:c r="N555" s="9" t="str">
        <x:v>Guide angle: explain extra long life disposable vape, answer common questions, and avoid sales-first writing</x:v>
      </x:c>
      <x:c r="O555" s="9" t="str">
        <x:v>/collections/disposable-vapes</x:v>
      </x:c>
      <x:c r="P555" s="9" t="str">
        <x:v>谨慎</x:v>
      </x:c>
      <x:c r="Q555" s="9" t="str">
        <x:v>自然句/品牌词</x:v>
      </x:c>
      <x:c r="R555" s="9" t="str">
        <x:v>低中风险：先满足信息意图，导流要克制</x:v>
      </x:c>
      <x:c r="S555" s="9" t="str">
        <x:v>如果文章能自然回答下一步购买问题，再放 1 个主站内链；否则只做知识闭环。</x:v>
      </x:c>
      <x:c r="T555" s="38" t="n">
        <x:v>1</x:v>
      </x:c>
      <x:c r="U555" s="38" t="n">
        <x:v>15</x:v>
      </x:c>
      <x:c r="V555" s="38" t="n">
        <x:v>9</x:v>
      </x:c>
      <x:c r="W555" s="38" t="n">
        <x:v>14</x:v>
      </x:c>
      <x:c r="X555" s="38" t="n">
        <x:v>12</x:v>
      </x:c>
      <x:c r="Y555" s="38" t="n">
        <x:v>5</x:v>
      </x:c>
      <x:c r="Z555" s="38" t="n">
        <x:f>MAX(0,MIN(100,ROUND(((T555+U555+V555+W555+X555)-Y555)/85*100,0)))</x:f>
        <x:v>54</x:v>
      </x:c>
      <x:c r="AA555" s="9" t="str">
        <x:f>IF(L555="暂不做","P3 暂缓",IF(Z555&gt;=75,"P0 本周做",IF(Z555&gt;=60,"P1 近期做",IF(Z555&gt;=45,"P2 备选","P3 暂缓"))))</x:f>
        <x:v>P2 备选</x:v>
      </x:c>
      <x:c r="AB555" s="9" t="str">
        <x:f>IF(Y555&gt;=15,"先做合规/相关性复核，不建议直接商业导流",IF(L555="主站","建/优化主站商业页",IF(L555="博客A-知识教程","写知识教程/FAQ文章",IF(L555="博客B-场景人群","写场景需求/选购指南文章",IF(L555="博客C-对比评测","写对比评测/榜单文章","暂不做或人工复核")))))</x:f>
        <x:v>写知识教程/FAQ文章</x:v>
      </x:c>
      <x:c r="AC555" s="9" t="str">
        <x:v>ExDivo SPACE 45K Disposable Vape</x:v>
      </x:c>
      <x:c r="AD555" s="10" t="str">
        <x:v>45000 puffs</x:v>
      </x:c>
    </x:row>
    <x:row r="556">
      <x:c r="A556" s="34" t="n">
        <x:v>556</x:v>
      </x:c>
      <x:c r="B556" s="9" t="str">
        <x:v>https://exdivo.com/collections/visionaura-full-screen/products/exdivo-space-45k-disposable-vape_fbf48b6e?data_from=collection_detail&amp;spm=collection_detail.313081.collection_detail-11702364.10.</x:v>
      </x:c>
      <x:c r="C556" s="9" t="str">
        <x:v>space 45k disposable vape</x:v>
      </x:c>
      <x:c r="D556" s="9" t="str">
        <x:v>recommended</x:v>
      </x:c>
      <x:c r="E556" s="36" t="n">
        <x:v>0</x:v>
      </x:c>
      <x:c r="F556" s="36" t="n">
        <x:v>0</x:v>
      </x:c>
      <x:c r="G556" s="9" t="str">
        <x:v>48</x:v>
      </x:c>
      <x:c r="H556" s="9" t="str">
        <x:v>Disposable Vape</x:v>
      </x:c>
      <x:c r="I556" s="9" t="str">
        <x:v>内容词</x:v>
      </x:c>
      <x:c r="J556" s="9" t="str">
        <x:v>博客A-知识教程</x:v>
      </x:c>
      <x:c r="K556" s="9" t="str"/>
      <x:c r="L556" s="9" t="str">
        <x:f>IF(K556="",J556,K556)</x:f>
        <x:v>博客A-知识教程</x:v>
      </x:c>
      <x:c r="M556" s="9" t="str">
        <x:v>知识/教程文章</x:v>
      </x:c>
      <x:c r="N556" s="9" t="str">
        <x:v>Guide angle: explain space 45k disposable vape, answer common questions, and avoid sales-first writing</x:v>
      </x:c>
      <x:c r="O556" s="9" t="str">
        <x:v>/collections/disposable-vapes 或最接近的产品集合页</x:v>
      </x:c>
      <x:c r="P556" s="9" t="str">
        <x:v>谨慎</x:v>
      </x:c>
      <x:c r="Q556" s="9" t="str">
        <x:v>品牌词/自然句</x:v>
      </x:c>
      <x:c r="R556" s="9" t="str">
        <x:v>低风险：按常规内容质量和搜索意图校验</x:v>
      </x:c>
      <x:c r="S556" s="9" t="str">
        <x:v>先看 Google SERP：如果首页多数为产品集合页，改回主站；如果多数为教程/问答，保持博客。</x:v>
      </x:c>
      <x:c r="T556" s="38" t="n">
        <x:v>1</x:v>
      </x:c>
      <x:c r="U556" s="38" t="n">
        <x:v>15</x:v>
      </x:c>
      <x:c r="V556" s="38" t="n">
        <x:v>10</x:v>
      </x:c>
      <x:c r="W556" s="38" t="n">
        <x:v>12</x:v>
      </x:c>
      <x:c r="X556" s="38" t="n">
        <x:v>12</x:v>
      </x:c>
      <x:c r="Y556" s="38" t="n">
        <x:v>4</x:v>
      </x:c>
      <x:c r="Z556" s="38" t="n">
        <x:f>MAX(0,MIN(100,ROUND(((T556+U556+V556+W556+X556)-Y556)/85*100,0)))</x:f>
        <x:v>54</x:v>
      </x:c>
      <x:c r="AA556" s="9" t="str">
        <x:f>IF(L556="暂不做","P3 暂缓",IF(Z556&gt;=75,"P0 本周做",IF(Z556&gt;=60,"P1 近期做",IF(Z556&gt;=45,"P2 备选","P3 暂缓"))))</x:f>
        <x:v>P2 备选</x:v>
      </x:c>
      <x:c r="AB556" s="9" t="str">
        <x:f>IF(Y556&gt;=15,"先做合规/相关性复核，不建议直接商业导流",IF(L556="主站","建/优化主站商业页",IF(L556="博客A-知识教程","写知识教程/FAQ文章",IF(L556="博客B-场景人群","写场景需求/选购指南文章",IF(L556="博客C-对比评测","写对比评测/榜单文章","暂不做或人工复核")))))</x:f>
        <x:v>写知识教程/FAQ文章</x:v>
      </x:c>
      <x:c r="AC556" s="9" t="str">
        <x:v>ExDivo SPACE 45K Disposable Vape</x:v>
      </x:c>
      <x:c r="AD556" s="10" t="str">
        <x:v>45000 puffs</x:v>
      </x:c>
    </x:row>
    <x:row r="557">
      <x:c r="A557" s="34" t="n">
        <x:v>557</x:v>
      </x:c>
      <x:c r="B557" s="9" t="str">
        <x:v>https://exdivo.com/collections/visionaura-full-screen/products/exdivo-space-45k-disposable-vape_fbf48b6e?data_from=collection_detail&amp;spm=collection_detail.313081.collection_detail-11702364.10.</x:v>
      </x:c>
      <x:c r="C557" s="9" t="str">
        <x:v>long life disposable vape</x:v>
      </x:c>
      <x:c r="D557" s="9" t="str">
        <x:v>recommended</x:v>
      </x:c>
      <x:c r="E557" s="36" t="n">
        <x:v>0</x:v>
      </x:c>
      <x:c r="F557" s="36" t="n">
        <x:v>0</x:v>
      </x:c>
      <x:c r="G557" s="9" t="str">
        <x:v>48</x:v>
      </x:c>
      <x:c r="H557" s="9" t="str">
        <x:v>Disposable Vape</x:v>
      </x:c>
      <x:c r="I557" s="9" t="str">
        <x:v>知识/教程词</x:v>
      </x:c>
      <x:c r="J557" s="9" t="str">
        <x:v>博客A-知识教程</x:v>
      </x:c>
      <x:c r="K557" s="9" t="str"/>
      <x:c r="L557" s="9" t="str">
        <x:f>IF(K557="",J557,K557)</x:f>
        <x:v>博客A-知识教程</x:v>
      </x:c>
      <x:c r="M557" s="9" t="str">
        <x:v>百科/How-to/FAQ文章</x:v>
      </x:c>
      <x:c r="N557" s="9" t="str">
        <x:v>Guide angle: explain long life disposable vape, answer common questions, and avoid sales-first writing</x:v>
      </x:c>
      <x:c r="O557" s="9" t="str">
        <x:v>/collections/disposable-vapes</x:v>
      </x:c>
      <x:c r="P557" s="9" t="str">
        <x:v>谨慎</x:v>
      </x:c>
      <x:c r="Q557" s="9" t="str">
        <x:v>自然句/品牌词</x:v>
      </x:c>
      <x:c r="R557" s="9" t="str">
        <x:v>低中风险：先满足信息意图，导流要克制</x:v>
      </x:c>
      <x:c r="S557" s="9" t="str">
        <x:v>如果文章能自然回答下一步购买问题，再放 1 个主站内链；否则只做知识闭环。</x:v>
      </x:c>
      <x:c r="T557" s="38" t="n">
        <x:v>1</x:v>
      </x:c>
      <x:c r="U557" s="38" t="n">
        <x:v>15</x:v>
      </x:c>
      <x:c r="V557" s="38" t="n">
        <x:v>9</x:v>
      </x:c>
      <x:c r="W557" s="38" t="n">
        <x:v>14</x:v>
      </x:c>
      <x:c r="X557" s="38" t="n">
        <x:v>12</x:v>
      </x:c>
      <x:c r="Y557" s="38" t="n">
        <x:v>5</x:v>
      </x:c>
      <x:c r="Z557" s="38" t="n">
        <x:f>MAX(0,MIN(100,ROUND(((T557+U557+V557+W557+X557)-Y557)/85*100,0)))</x:f>
        <x:v>54</x:v>
      </x:c>
      <x:c r="AA557" s="9" t="str">
        <x:f>IF(L557="暂不做","P3 暂缓",IF(Z557&gt;=75,"P0 本周做",IF(Z557&gt;=60,"P1 近期做",IF(Z557&gt;=45,"P2 备选","P3 暂缓"))))</x:f>
        <x:v>P2 备选</x:v>
      </x:c>
      <x:c r="AB557" s="9" t="str">
        <x:f>IF(Y557&gt;=15,"先做合规/相关性复核，不建议直接商业导流",IF(L557="主站","建/优化主站商业页",IF(L557="博客A-知识教程","写知识教程/FAQ文章",IF(L557="博客B-场景人群","写场景需求/选购指南文章",IF(L557="博客C-对比评测","写对比评测/榜单文章","暂不做或人工复核")))))</x:f>
        <x:v>写知识教程/FAQ文章</x:v>
      </x:c>
      <x:c r="AC557" s="9" t="str">
        <x:v>ExDivo SPACE 45K Disposable Vape</x:v>
      </x:c>
      <x:c r="AD557" s="10" t="str">
        <x:v>45000 puffs</x:v>
      </x:c>
    </x:row>
    <x:row r="558">
      <x:c r="A558" s="34" t="n">
        <x:v>558</x:v>
      </x:c>
      <x:c r="B558" s="9" t="str">
        <x:v>https://exdivo.com/comments/exdivo-kuz-25k-replaceable-pod-vape_64dec8c7?writeComment=true</x:v>
      </x:c>
      <x:c r="C558" s="9" t="str">
        <x:v>kuz 25k vape review</x:v>
      </x:c>
      <x:c r="D558" s="9" t="str">
        <x:v>recommended</x:v>
      </x:c>
      <x:c r="E558" s="36" t="n">
        <x:v>0</x:v>
      </x:c>
      <x:c r="F558" s="36" t="n">
        <x:v>0</x:v>
      </x:c>
      <x:c r="G558" s="9" t="str">
        <x:v>48</x:v>
      </x:c>
      <x:c r="H558" s="9" t="str">
        <x:v>对比评测</x:v>
      </x:c>
      <x:c r="I558" s="9" t="str">
        <x:v>商业调查词</x:v>
      </x:c>
      <x:c r="J558" s="9" t="str">
        <x:v>博客C-对比评测</x:v>
      </x:c>
      <x:c r="K558" s="9" t="str"/>
      <x:c r="L558" s="9" t="str">
        <x:f>IF(K558="",J558,K558)</x:f>
        <x:v>博客C-对比评测</x:v>
      </x:c>
      <x:c r="M558" s="9" t="str">
        <x:v>Best/Top/Review/VS/替代方案文章</x:v>
      </x:c>
      <x:c r="N558" s="9" t="str">
        <x:v>Best angle: kuz 25k vape review - comparison, pros/cons, and which option fits different buyers</x:v>
      </x:c>
      <x:c r="O558" s="9" t="str">
        <x:v>/collections/disposable-vapes</x:v>
      </x:c>
      <x:c r="P558" s="9" t="str">
        <x:v>是</x:v>
      </x:c>
      <x:c r="Q558" s="9" t="str">
        <x:v>自然句/品类词/品牌词</x:v>
      </x:c>
      <x:c r="R558" s="9" t="str">
        <x:v>中风险：榜单和评测必须真实、中立，避免夸大</x:v>
      </x:c>
      <x:c r="S558" s="9" t="str">
        <x:v>这类词不直接给主站，先用博客C教育和比较，再导流到最相关集合页。</x:v>
      </x:c>
      <x:c r="T558" s="38" t="n">
        <x:v>1</x:v>
      </x:c>
      <x:c r="U558" s="38" t="n">
        <x:v>15</x:v>
      </x:c>
      <x:c r="V558" s="38" t="n">
        <x:v>16</x:v>
      </x:c>
      <x:c r="W558" s="38" t="n">
        <x:v>15</x:v>
      </x:c>
      <x:c r="X558" s="38" t="n">
        <x:v>13</x:v>
      </x:c>
      <x:c r="Y558" s="38" t="n">
        <x:v>6</x:v>
      </x:c>
      <x:c r="Z558" s="38" t="n">
        <x:f>MAX(0,MIN(100,ROUND(((T558+U558+V558+W558+X558)-Y558)/85*100,0)))</x:f>
        <x:v>64</x:v>
      </x:c>
      <x:c r="AA558" s="9" t="str">
        <x:f>IF(L558="暂不做","P3 暂缓",IF(Z558&gt;=75,"P0 本周做",IF(Z558&gt;=60,"P1 近期做",IF(Z558&gt;=45,"P2 备选","P3 暂缓"))))</x:f>
        <x:v>P1 近期做</x:v>
      </x:c>
      <x:c r="AB558" s="9" t="str">
        <x:f>IF(Y558&gt;=15,"先做合规/相关性复核，不建议直接商业导流",IF(L558="主站","建/优化主站商业页",IF(L558="博客A-知识教程","写知识教程/FAQ文章",IF(L558="博客B-场景人群","写场景需求/选购指南文章",IF(L558="博客C-对比评测","写对比评测/榜单文章","暂不做或人工复核")))))</x:f>
        <x:v>写对比评测/榜单文章</x:v>
      </x:c>
      <x:c r="AC558" s="9" t="str">
        <x:v>Reviews - MR.BLUE - ExDivo KUZ 25K Replaceable Pod Vape - ExDivo</x:v>
      </x:c>
      <x:c r="AD558" s="10" t="str">
        <x:v>48</x:v>
      </x:c>
    </x:row>
    <x:row r="559">
      <x:c r="A559" s="34" t="n">
        <x:v>559</x:v>
      </x:c>
      <x:c r="B559" s="9" t="str">
        <x:v>https://exdivo.com/collections/misty-rain/products/exdivo-kuz-25k-replaceable-pod-vape_b963acca?data_from=index_index&amp;spm=index_index..block_collection_slides-11702856.4.</x:v>
      </x:c>
      <x:c r="C559" s="9" t="str">
        <x:v>25k puffs vape</x:v>
      </x:c>
      <x:c r="D559" s="9" t="str">
        <x:v>recommended</x:v>
      </x:c>
      <x:c r="E559" s="36" t="n">
        <x:v>0</x:v>
      </x:c>
      <x:c r="F559" s="36" t="n">
        <x:v>0</x:v>
      </x:c>
      <x:c r="G559" s="9" t="str">
        <x:v>48</x:v>
      </x:c>
      <x:c r="H559" s="9" t="str">
        <x:v>General Vape</x:v>
      </x:c>
      <x:c r="I559" s="9" t="str">
        <x:v>品类承接词</x:v>
      </x:c>
      <x:c r="J559" s="9" t="str">
        <x:v>主站</x:v>
      </x:c>
      <x:c r="K559" s="9" t="str"/>
      <x:c r="L559" s="9" t="str">
        <x:f>IF(K559="",J559,K559)</x:f>
        <x:v>主站</x:v>
      </x:c>
      <x:c r="M559" s="9" t="str">
        <x:v>品类页/集合页 + FAQ内容块</x:v>
      </x:c>
      <x:c r="N559" s="9" t="str">
        <x:v>主站品类页：用产品集合 + 选购说明承接</x:v>
      </x:c>
      <x:c r="O559" s="9" t="str">
        <x:v>/collections/disposable-vapes</x:v>
      </x:c>
      <x:c r="P559" s="9" t="str">
        <x:v>不适用</x:v>
      </x:c>
      <x:c r="Q559" s="9" t="str">
        <x:v>主站页面自身承接</x:v>
      </x:c>
      <x:c r="R559" s="9" t="str">
        <x:v>核心品类词：主站优先，博客只做长尾解释，不直接抢同一词</x:v>
      </x:c>
      <x:c r="S559" s="9" t="str">
        <x:v>如果 Google 首页产品页和指南混合，主站页要加 FAQ、选购指南、对比模块。</x:v>
      </x:c>
      <x:c r="T559" s="38" t="n">
        <x:v>1</x:v>
      </x:c>
      <x:c r="U559" s="38" t="n">
        <x:v>15</x:v>
      </x:c>
      <x:c r="V559" s="38" t="n">
        <x:v>16</x:v>
      </x:c>
      <x:c r="W559" s="38" t="n">
        <x:v>8</x:v>
      </x:c>
      <x:c r="X559" s="38" t="n">
        <x:v>15</x:v>
      </x:c>
      <x:c r="Y559" s="38" t="n">
        <x:v>4</x:v>
      </x:c>
      <x:c r="Z559" s="38" t="n">
        <x:f>MAX(0,MIN(100,ROUND(((T559+U559+V559+W559+X559)-Y559)/85*100,0)))</x:f>
        <x:v>60</x:v>
      </x:c>
      <x:c r="AA559" s="9" t="str">
        <x:f>IF(L559="暂不做","P3 暂缓",IF(Z559&gt;=75,"P0 本周做",IF(Z559&gt;=60,"P1 近期做",IF(Z559&gt;=45,"P2 备选","P3 暂缓"))))</x:f>
        <x:v>P1 近期做</x:v>
      </x:c>
      <x:c r="AB559" s="9" t="str">
        <x:f>IF(Y559&gt;=15,"先做合规/相关性复核，不建议直接商业导流",IF(L559="主站","建/优化主站商业页",IF(L559="博客A-知识教程","写知识教程/FAQ文章",IF(L559="博客B-场景人群","写场景需求/选购指南文章",IF(L559="博客C-对比评测","写对比评测/榜单文章","暂不做或人工复核")))))</x:f>
        <x:v>建/优化主站商业页</x:v>
      </x:c>
      <x:c r="AC559" s="9" t="str">
        <x:v>ExDivo KUZ 25K Replaceable Pod Vape</x:v>
      </x:c>
      <x:c r="AD559" s="10" t="str">
        <x:v>25000 puffs</x:v>
      </x:c>
    </x:row>
    <x:row r="560">
      <x:c r="A560" s="34" t="n">
        <x:v>560</x:v>
      </x:c>
      <x:c r="B560" s="9" t="str">
        <x:v>https://exdivo.com/collections/misty-rain/products/exdivo-kuz-25k-replaceable-pod-vape_b963acca?data_from=index_index&amp;spm=index_index..block_collection_slides-11702856.4.</x:v>
      </x:c>
      <x:c r="C560" s="9" t="str">
        <x:v>25k pod vape flavor</x:v>
      </x:c>
      <x:c r="D560" s="9" t="str">
        <x:v>recommended</x:v>
      </x:c>
      <x:c r="E560" s="36" t="n">
        <x:v>0</x:v>
      </x:c>
      <x:c r="F560" s="36" t="n">
        <x:v>0</x:v>
      </x:c>
      <x:c r="G560" s="9" t="str">
        <x:v>48</x:v>
      </x:c>
      <x:c r="H560" s="9" t="str">
        <x:v>Pod Kit / Pod System</x:v>
      </x:c>
      <x:c r="I560" s="9" t="str">
        <x:v>场景/需求词</x:v>
      </x:c>
      <x:c r="J560" s="9" t="str">
        <x:v>博客B-场景人群</x:v>
      </x:c>
      <x:c r="K560" s="9" t="str"/>
      <x:c r="L560" s="9" t="str">
        <x:f>IF(K560="",J560,K560)</x:f>
        <x:v>博客B-场景人群</x:v>
      </x:c>
      <x:c r="M560" s="9" t="str">
        <x:v>场景解决方案/选购指南文章</x:v>
      </x:c>
      <x:c r="N560" s="9" t="str">
        <x:v>Scenario angle: how to choose 25k pod vape flavor based on use case, flavor, nicotine, and budget</x:v>
      </x:c>
      <x:c r="O560" s="9" t="str">
        <x:v>/collections/pod-kits</x:v>
      </x:c>
      <x:c r="P560" s="9" t="str">
        <x:v>是</x:v>
      </x:c>
      <x:c r="Q560" s="9" t="str">
        <x:v>自然句/品类词</x:v>
      </x:c>
      <x:c r="R560" s="9" t="str">
        <x:v>低中风险：适合软性导流，但不要夸大效果或触碰健康疗效</x:v>
      </x:c>
      <x:c r="S560" s="9" t="str">
        <x:v>围绕使用场景、口味、尼古丁需求、便携性等写，不和主站品类页抢词。</x:v>
      </x:c>
      <x:c r="T560" s="38" t="n">
        <x:v>1</x:v>
      </x:c>
      <x:c r="U560" s="38" t="n">
        <x:v>15</x:v>
      </x:c>
      <x:c r="V560" s="38" t="n">
        <x:v>13</x:v>
      </x:c>
      <x:c r="W560" s="38" t="n">
        <x:v>14</x:v>
      </x:c>
      <x:c r="X560" s="38" t="n">
        <x:v>13</x:v>
      </x:c>
      <x:c r="Y560" s="38" t="n">
        <x:v>5</x:v>
      </x:c>
      <x:c r="Z560" s="38" t="n">
        <x:f>MAX(0,MIN(100,ROUND(((T560+U560+V560+W560+X560)-Y560)/85*100,0)))</x:f>
        <x:v>60</x:v>
      </x:c>
      <x:c r="AA560" s="9" t="str">
        <x:f>IF(L560="暂不做","P3 暂缓",IF(Z560&gt;=75,"P0 本周做",IF(Z560&gt;=60,"P1 近期做",IF(Z560&gt;=45,"P2 备选","P3 暂缓"))))</x:f>
        <x:v>P1 近期做</x:v>
      </x:c>
      <x:c r="AB560" s="9" t="str">
        <x:f>IF(Y560&gt;=15,"先做合规/相关性复核，不建议直接商业导流",IF(L560="主站","建/优化主站商业页",IF(L560="博客A-知识教程","写知识教程/FAQ文章",IF(L560="博客B-场景人群","写场景需求/选购指南文章",IF(L560="博客C-对比评测","写对比评测/榜单文章","暂不做或人工复核")))))</x:f>
        <x:v>写场景需求/选购指南文章</x:v>
      </x:c>
      <x:c r="AC560" s="9" t="str">
        <x:v>ExDivo KUZ 25K Replaceable Pod Vape</x:v>
      </x:c>
      <x:c r="AD560" s="10" t="str">
        <x:v>25000 puffs</x:v>
      </x:c>
    </x:row>
    <x:row r="561">
      <x:c r="A561" s="34" t="n">
        <x:v>561</x:v>
      </x:c>
      <x:c r="B561" s="9" t="str">
        <x:v>https://exdivo.com/collections/misty-rain/products/exdivo-kuz-25k-replaceable-pod-vape_b963acca?data_from=index_index&amp;spm=index_index..block_collection_slides-11702856.4.</x:v>
      </x:c>
      <x:c r="C561" s="9" t="str">
        <x:v>kuz 25k replaceable pod vape</x:v>
      </x:c>
      <x:c r="D561" s="9" t="str">
        <x:v>recommended</x:v>
      </x:c>
      <x:c r="E561" s="36" t="n">
        <x:v>0</x:v>
      </x:c>
      <x:c r="F561" s="36" t="n">
        <x:v>0</x:v>
      </x:c>
      <x:c r="G561" s="9" t="str">
        <x:v>48</x:v>
      </x:c>
      <x:c r="H561" s="9" t="str">
        <x:v>Pod Kit / Pod System</x:v>
      </x:c>
      <x:c r="I561" s="9" t="str">
        <x:v>内容词</x:v>
      </x:c>
      <x:c r="J561" s="9" t="str">
        <x:v>博客A-知识教程</x:v>
      </x:c>
      <x:c r="K561" s="9" t="str"/>
      <x:c r="L561" s="9" t="str">
        <x:f>IF(K561="",J561,K561)</x:f>
        <x:v>博客A-知识教程</x:v>
      </x:c>
      <x:c r="M561" s="9" t="str">
        <x:v>知识/教程文章</x:v>
      </x:c>
      <x:c r="N561" s="9" t="str">
        <x:v>Guide angle: explain kuz 25k replaceable pod vape, answer common questions, and avoid sales-first writing</x:v>
      </x:c>
      <x:c r="O561" s="9" t="str">
        <x:v>/collections/disposable-vapes 或最接近的产品集合页</x:v>
      </x:c>
      <x:c r="P561" s="9" t="str">
        <x:v>谨慎</x:v>
      </x:c>
      <x:c r="Q561" s="9" t="str">
        <x:v>品牌词/自然句</x:v>
      </x:c>
      <x:c r="R561" s="9" t="str">
        <x:v>低风险：按常规内容质量和搜索意图校验</x:v>
      </x:c>
      <x:c r="S561" s="9" t="str">
        <x:v>先看 Google SERP：如果首页多数为产品集合页，改回主站；如果多数为教程/问答，保持博客。</x:v>
      </x:c>
      <x:c r="T561" s="38" t="n">
        <x:v>1</x:v>
      </x:c>
      <x:c r="U561" s="38" t="n">
        <x:v>15</x:v>
      </x:c>
      <x:c r="V561" s="38" t="n">
        <x:v>10</x:v>
      </x:c>
      <x:c r="W561" s="38" t="n">
        <x:v>12</x:v>
      </x:c>
      <x:c r="X561" s="38" t="n">
        <x:v>12</x:v>
      </x:c>
      <x:c r="Y561" s="38" t="n">
        <x:v>4</x:v>
      </x:c>
      <x:c r="Z561" s="38" t="n">
        <x:f>MAX(0,MIN(100,ROUND(((T561+U561+V561+W561+X561)-Y561)/85*100,0)))</x:f>
        <x:v>54</x:v>
      </x:c>
      <x:c r="AA561" s="9" t="str">
        <x:f>IF(L561="暂不做","P3 暂缓",IF(Z561&gt;=75,"P0 本周做",IF(Z561&gt;=60,"P1 近期做",IF(Z561&gt;=45,"P2 备选","P3 暂缓"))))</x:f>
        <x:v>P2 备选</x:v>
      </x:c>
      <x:c r="AB561" s="9" t="str">
        <x:f>IF(Y561&gt;=15,"先做合规/相关性复核，不建议直接商业导流",IF(L561="主站","建/优化主站商业页",IF(L561="博客A-知识教程","写知识教程/FAQ文章",IF(L561="博客B-场景人群","写场景需求/选购指南文章",IF(L561="博客C-对比评测","写对比评测/榜单文章","暂不做或人工复核")))))</x:f>
        <x:v>写知识教程/FAQ文章</x:v>
      </x:c>
      <x:c r="AC561" s="9" t="str">
        <x:v>ExDivo KUZ 25K Replaceable Pod Vape</x:v>
      </x:c>
      <x:c r="AD561" s="10" t="str">
        <x:v>25000 puffs</x:v>
      </x:c>
    </x:row>
    <x:row r="562">
      <x:c r="A562" s="34" t="n">
        <x:v>562</x:v>
      </x:c>
      <x:c r="B562" s="9" t="str">
        <x:v>https://exdivo.com/collections/misty-rain/products/exdivo-kuz-25k-replaceable-pod-vape_b963acca?data_from=index_index&amp;spm=index_index..block_collection_slides-11702856.4.</x:v>
      </x:c>
      <x:c r="C562" s="9" t="str">
        <x:v>kuz 25k pod vape</x:v>
      </x:c>
      <x:c r="D562" s="9" t="str">
        <x:v>recommended</x:v>
      </x:c>
      <x:c r="E562" s="36" t="n">
        <x:v>0</x:v>
      </x:c>
      <x:c r="F562" s="36" t="n">
        <x:v>0</x:v>
      </x:c>
      <x:c r="G562" s="9" t="str">
        <x:v>48</x:v>
      </x:c>
      <x:c r="H562" s="9" t="str">
        <x:v>Pod Kit / Pod System</x:v>
      </x:c>
      <x:c r="I562" s="9" t="str">
        <x:v>内容词</x:v>
      </x:c>
      <x:c r="J562" s="9" t="str">
        <x:v>博客A-知识教程</x:v>
      </x:c>
      <x:c r="K562" s="9" t="str"/>
      <x:c r="L562" s="9" t="str">
        <x:f>IF(K562="",J562,K562)</x:f>
        <x:v>博客A-知识教程</x:v>
      </x:c>
      <x:c r="M562" s="9" t="str">
        <x:v>知识/教程文章</x:v>
      </x:c>
      <x:c r="N562" s="9" t="str">
        <x:v>Guide angle: explain kuz 25k pod vape, answer common questions, and avoid sales-first writing</x:v>
      </x:c>
      <x:c r="O562" s="9" t="str">
        <x:v>/collections/disposable-vapes 或最接近的产品集合页</x:v>
      </x:c>
      <x:c r="P562" s="9" t="str">
        <x:v>谨慎</x:v>
      </x:c>
      <x:c r="Q562" s="9" t="str">
        <x:v>品牌词/自然句</x:v>
      </x:c>
      <x:c r="R562" s="9" t="str">
        <x:v>低风险：按常规内容质量和搜索意图校验</x:v>
      </x:c>
      <x:c r="S562" s="9" t="str">
        <x:v>先看 Google SERP：如果首页多数为产品集合页，改回主站；如果多数为教程/问答，保持博客。</x:v>
      </x:c>
      <x:c r="T562" s="38" t="n">
        <x:v>1</x:v>
      </x:c>
      <x:c r="U562" s="38" t="n">
        <x:v>15</x:v>
      </x:c>
      <x:c r="V562" s="38" t="n">
        <x:v>10</x:v>
      </x:c>
      <x:c r="W562" s="38" t="n">
        <x:v>12</x:v>
      </x:c>
      <x:c r="X562" s="38" t="n">
        <x:v>12</x:v>
      </x:c>
      <x:c r="Y562" s="38" t="n">
        <x:v>4</x:v>
      </x:c>
      <x:c r="Z562" s="38" t="n">
        <x:f>MAX(0,MIN(100,ROUND(((T562+U562+V562+W562+X562)-Y562)/85*100,0)))</x:f>
        <x:v>54</x:v>
      </x:c>
      <x:c r="AA562" s="9" t="str">
        <x:f>IF(L562="暂不做","P3 暂缓",IF(Z562&gt;=75,"P0 本周做",IF(Z562&gt;=60,"P1 近期做",IF(Z562&gt;=45,"P2 备选","P3 暂缓"))))</x:f>
        <x:v>P2 备选</x:v>
      </x:c>
      <x:c r="AB562" s="9" t="str">
        <x:f>IF(Y562&gt;=15,"先做合规/相关性复核，不建议直接商业导流",IF(L562="主站","建/优化主站商业页",IF(L562="博客A-知识教程","写知识教程/FAQ文章",IF(L562="博客B-场景人群","写场景需求/选购指南文章",IF(L562="博客C-对比评测","写对比评测/榜单文章","暂不做或人工复核")))))</x:f>
        <x:v>写知识教程/FAQ文章</x:v>
      </x:c>
      <x:c r="AC562" s="9" t="str">
        <x:v>ExDivo KUZ 25K Replaceable Pod Vape</x:v>
      </x:c>
      <x:c r="AD562" s="10" t="str">
        <x:v>25000 puffs</x:v>
      </x:c>
    </x:row>
    <x:row r="563">
      <x:c r="A563" s="34" t="n">
        <x:v>563</x:v>
      </x:c>
      <x:c r="B563" s="9" t="str">
        <x:v>https://exdivo.com/collections/misty-rain/products/exdivo-kuz-25k-replaceable-pod-vape_b963acca?data_from=index_index&amp;spm=index_index..block_collection_slides-11702856.4.</x:v>
      </x:c>
      <x:c r="C563" s="9" t="str">
        <x:v>kuz 25k vape kit</x:v>
      </x:c>
      <x:c r="D563" s="9" t="str">
        <x:v>recommended</x:v>
      </x:c>
      <x:c r="E563" s="36" t="n">
        <x:v>0</x:v>
      </x:c>
      <x:c r="F563" s="36" t="n">
        <x:v>0</x:v>
      </x:c>
      <x:c r="G563" s="9" t="str">
        <x:v>48</x:v>
      </x:c>
      <x:c r="H563" s="9" t="str">
        <x:v>General Vape</x:v>
      </x:c>
      <x:c r="I563" s="9" t="str">
        <x:v>内容词</x:v>
      </x:c>
      <x:c r="J563" s="9" t="str">
        <x:v>博客A-知识教程</x:v>
      </x:c>
      <x:c r="K563" s="9" t="str"/>
      <x:c r="L563" s="9" t="str">
        <x:f>IF(K563="",J563,K563)</x:f>
        <x:v>博客A-知识教程</x:v>
      </x:c>
      <x:c r="M563" s="9" t="str">
        <x:v>知识/教程文章</x:v>
      </x:c>
      <x:c r="N563" s="9" t="str">
        <x:v>Guide angle: explain kuz 25k vape kit, answer common questions, and avoid sales-first writing</x:v>
      </x:c>
      <x:c r="O563" s="9" t="str">
        <x:v>/collections/disposable-vapes 或最接近的产品集合页</x:v>
      </x:c>
      <x:c r="P563" s="9" t="str">
        <x:v>谨慎</x:v>
      </x:c>
      <x:c r="Q563" s="9" t="str">
        <x:v>品牌词/自然句</x:v>
      </x:c>
      <x:c r="R563" s="9" t="str">
        <x:v>低风险：按常规内容质量和搜索意图校验</x:v>
      </x:c>
      <x:c r="S563" s="9" t="str">
        <x:v>先看 Google SERP：如果首页多数为产品集合页，改回主站；如果多数为教程/问答，保持博客。</x:v>
      </x:c>
      <x:c r="T563" s="38" t="n">
        <x:v>1</x:v>
      </x:c>
      <x:c r="U563" s="38" t="n">
        <x:v>15</x:v>
      </x:c>
      <x:c r="V563" s="38" t="n">
        <x:v>10</x:v>
      </x:c>
      <x:c r="W563" s="38" t="n">
        <x:v>12</x:v>
      </x:c>
      <x:c r="X563" s="38" t="n">
        <x:v>12</x:v>
      </x:c>
      <x:c r="Y563" s="38" t="n">
        <x:v>4</x:v>
      </x:c>
      <x:c r="Z563" s="38" t="n">
        <x:f>MAX(0,MIN(100,ROUND(((T563+U563+V563+W563+X563)-Y563)/85*100,0)))</x:f>
        <x:v>54</x:v>
      </x:c>
      <x:c r="AA563" s="9" t="str">
        <x:f>IF(L563="暂不做","P3 暂缓",IF(Z563&gt;=75,"P0 本周做",IF(Z563&gt;=60,"P1 近期做",IF(Z563&gt;=45,"P2 备选","P3 暂缓"))))</x:f>
        <x:v>P2 备选</x:v>
      </x:c>
      <x:c r="AB563" s="9" t="str">
        <x:f>IF(Y563&gt;=15,"先做合规/相关性复核，不建议直接商业导流",IF(L563="主站","建/优化主站商业页",IF(L563="博客A-知识教程","写知识教程/FAQ文章",IF(L563="博客B-场景人群","写场景需求/选购指南文章",IF(L563="博客C-对比评测","写对比评测/榜单文章","暂不做或人工复核")))))</x:f>
        <x:v>写知识教程/FAQ文章</x:v>
      </x:c>
      <x:c r="AC563" s="9" t="str">
        <x:v>ExDivo KUZ 25K Replaceable Pod Vape</x:v>
      </x:c>
      <x:c r="AD563" s="10" t="str">
        <x:v>25000 puffs</x:v>
      </x:c>
    </x:row>
    <x:row r="564">
      <x:c r="A564" s="34" t="n">
        <x:v>564</x:v>
      </x:c>
      <x:c r="B564" s="9" t="str">
        <x:v>https://exdivo.com/collections/misty-rain/products/exdivo-kuz-25k-replaceable-pod-vape_b963acca?data_from=index_index&amp;spm=index_index..block_collection_slides-11702856.4.</x:v>
      </x:c>
      <x:c r="C564" s="9" t="str">
        <x:v>raz 25k vape</x:v>
      </x:c>
      <x:c r="D564" s="9" t="str">
        <x:v>recommended</x:v>
      </x:c>
      <x:c r="E564" s="36" t="n">
        <x:v>110</x:v>
      </x:c>
      <x:c r="F564" s="36" t="n">
        <x:v>7</x:v>
      </x:c>
      <x:c r="G564" s="9" t="str">
        <x:v>informational, commercial</x:v>
      </x:c>
      <x:c r="H564" s="9" t="str">
        <x:v>竞品/品牌词</x:v>
      </x:c>
      <x:c r="I564" s="9" t="str">
        <x:v>竞品品牌词</x:v>
      </x:c>
      <x:c r="J564" s="9" t="str">
        <x:v>暂不做</x:v>
      </x:c>
      <x:c r="K564" s="9" t="str"/>
      <x:c r="L564" s="9" t="str">
        <x:f>IF(K564="",J564,K564)</x:f>
        <x:v>暂不做</x:v>
      </x:c>
      <x:c r="M564" s="9" t="str">
        <x:v>人工确认后再决定</x:v>
      </x:c>
      <x:c r="N564" s="9" t="str">
        <x:v>人工确认是否可做客观对比</x:v>
      </x:c>
      <x:c r="O564" s="9" t="str">
        <x:v>无</x:v>
      </x:c>
      <x:c r="P564" s="9" t="str">
        <x:v>否</x:v>
      </x:c>
      <x:c r="Q564" s="9" t="str">
        <x:v>不导流</x:v>
      </x:c>
      <x:c r="R564" s="9" t="str">
        <x:v>中高风险：纯竞品品牌词容易产生商标/相关性问题</x:v>
      </x:c>
      <x:c r="S564" s="9" t="str">
        <x:v>只有带 alternative / vs / review / best 这类明确比较意图时，才考虑博客C。</x:v>
      </x:c>
      <x:c r="T564" s="38" t="n">
        <x:v>7</x:v>
      </x:c>
      <x:c r="U564" s="38" t="n">
        <x:v>15</x:v>
      </x:c>
      <x:c r="V564" s="38" t="n">
        <x:v>5</x:v>
      </x:c>
      <x:c r="W564" s="38" t="n">
        <x:v>7</x:v>
      </x:c>
      <x:c r="X564" s="38" t="n">
        <x:v>4</x:v>
      </x:c>
      <x:c r="Y564" s="38" t="n">
        <x:v>14</x:v>
      </x:c>
      <x:c r="Z564" s="38" t="n">
        <x:f>MAX(0,MIN(100,ROUND(((T564+U564+V564+W564+X564)-Y564)/85*100,0)))</x:f>
        <x:v>28</x:v>
      </x:c>
      <x:c r="AA564" s="9" t="str">
        <x:f>IF(L564="暂不做","P3 暂缓",IF(Z564&gt;=75,"P0 本周做",IF(Z564&gt;=60,"P1 近期做",IF(Z564&gt;=45,"P2 备选","P3 暂缓"))))</x:f>
        <x:v>P3 暂缓</x:v>
      </x:c>
      <x:c r="AB564" s="9" t="str">
        <x:f>IF(Y564&gt;=15,"先做合规/相关性复核，不建议直接商业导流",IF(L564="主站","建/优化主站商业页",IF(L564="博客A-知识教程","写知识教程/FAQ文章",IF(L564="博客B-场景人群","写场景需求/选购指南文章",IF(L564="博客C-对比评测","写对比评测/榜单文章","暂不做或人工复核")))))</x:f>
        <x:v>暂不做或人工复核</x:v>
      </x:c>
      <x:c r="AC564" s="9" t="str">
        <x:v>ExDivo KUZ 25K Replaceable Pod Vape</x:v>
      </x:c>
      <x:c r="AD564" s="10" t="str">
        <x:v>25000 puffs</x:v>
      </x:c>
    </x:row>
    <x:row r="565">
      <x:c r="A565" s="34" t="n">
        <x:v>565</x:v>
      </x:c>
      <x:c r="B565" s="9" t="str">
        <x:v>https://exdivo.com/collections/misty-rain/products/exdivo-kuz-25k-replaceable-pod-vape_b963acca?data_from=index_index&amp;spm=index_index..block_collection_slides-11702856.4.</x:v>
      </x:c>
      <x:c r="C565" s="9" t="str">
        <x:v>50k vape</x:v>
      </x:c>
      <x:c r="D565" s="9" t="str">
        <x:v>recommended</x:v>
      </x:c>
      <x:c r="E565" s="36" t="n">
        <x:v>70</x:v>
      </x:c>
      <x:c r="F565" s="36" t="n">
        <x:v>5</x:v>
      </x:c>
      <x:c r="G565" s="9" t="str">
        <x:v>commercial</x:v>
      </x:c>
      <x:c r="H565" s="9" t="str">
        <x:v>General Vape</x:v>
      </x:c>
      <x:c r="I565" s="9" t="str">
        <x:v>品类承接词</x:v>
      </x:c>
      <x:c r="J565" s="9" t="str">
        <x:v>主站</x:v>
      </x:c>
      <x:c r="K565" s="9" t="str"/>
      <x:c r="L565" s="9" t="str">
        <x:f>IF(K565="",J565,K565)</x:f>
        <x:v>主站</x:v>
      </x:c>
      <x:c r="M565" s="9" t="str">
        <x:v>品类页/集合页 + FAQ内容块</x:v>
      </x:c>
      <x:c r="N565" s="9" t="str">
        <x:v>主站品类页：用产品集合 + 选购说明承接</x:v>
      </x:c>
      <x:c r="O565" s="9" t="str">
        <x:v>/collections/disposable-vapes</x:v>
      </x:c>
      <x:c r="P565" s="9" t="str">
        <x:v>不适用</x:v>
      </x:c>
      <x:c r="Q565" s="9" t="str">
        <x:v>主站页面自身承接</x:v>
      </x:c>
      <x:c r="R565" s="9" t="str">
        <x:v>核心品类词：主站优先，博客只做长尾解释，不直接抢同一词</x:v>
      </x:c>
      <x:c r="S565" s="9" t="str">
        <x:v>如果 Google 首页产品页和指南混合，主站页要加 FAQ、选购指南、对比模块。</x:v>
      </x:c>
      <x:c r="T565" s="38" t="n">
        <x:v>4</x:v>
      </x:c>
      <x:c r="U565" s="38" t="n">
        <x:v>15</x:v>
      </x:c>
      <x:c r="V565" s="38" t="n">
        <x:v>18</x:v>
      </x:c>
      <x:c r="W565" s="38" t="n">
        <x:v>8</x:v>
      </x:c>
      <x:c r="X565" s="38" t="n">
        <x:v>15</x:v>
      </x:c>
      <x:c r="Y565" s="38" t="n">
        <x:v>4</x:v>
      </x:c>
      <x:c r="Z565" s="38" t="n">
        <x:f>MAX(0,MIN(100,ROUND(((T565+U565+V565+W565+X565)-Y565)/85*100,0)))</x:f>
        <x:v>66</x:v>
      </x:c>
      <x:c r="AA565" s="9" t="str">
        <x:f>IF(L565="暂不做","P3 暂缓",IF(Z565&gt;=75,"P0 本周做",IF(Z565&gt;=60,"P1 近期做",IF(Z565&gt;=45,"P2 备选","P3 暂缓"))))</x:f>
        <x:v>P1 近期做</x:v>
      </x:c>
      <x:c r="AB565" s="9" t="str">
        <x:f>IF(Y565&gt;=15,"先做合规/相关性复核，不建议直接商业导流",IF(L565="主站","建/优化主站商业页",IF(L565="博客A-知识教程","写知识教程/FAQ文章",IF(L565="博客B-场景人群","写场景需求/选购指南文章",IF(L565="博客C-对比评测","写对比评测/榜单文章","暂不做或人工复核")))))</x:f>
        <x:v>建/优化主站商业页</x:v>
      </x:c>
      <x:c r="AC565" s="9" t="str">
        <x:v>ExDivo KUZ 25K Replaceable Pod Vape</x:v>
      </x:c>
      <x:c r="AD565" s="10" t="str">
        <x:v>25000 puffs</x:v>
      </x:c>
    </x:row>
    <x:row r="566">
      <x:c r="A566" s="34" t="n">
        <x:v>566</x:v>
      </x:c>
      <x:c r="B566" s="9" t="str">
        <x:v>https://exdivo.com/collections/misty-rain/products/exdivo-kuz-25k-replaceable-pod-vape_b963acca?data_from=index_index&amp;spm=index_index..block_collection_slides-11702856.4.</x:v>
      </x:c>
      <x:c r="C566" s="9" t="str">
        <x:v>replaceable pod vape 25k</x:v>
      </x:c>
      <x:c r="D566" s="9" t="str">
        <x:v>recommended</x:v>
      </x:c>
      <x:c r="E566" s="36" t="n">
        <x:v>0</x:v>
      </x:c>
      <x:c r="F566" s="36" t="n">
        <x:v>0</x:v>
      </x:c>
      <x:c r="G566" s="9" t="str">
        <x:v>48</x:v>
      </x:c>
      <x:c r="H566" s="9" t="str">
        <x:v>Pod Kit / Pod System</x:v>
      </x:c>
      <x:c r="I566" s="9" t="str">
        <x:v>内容词</x:v>
      </x:c>
      <x:c r="J566" s="9" t="str">
        <x:v>博客A-知识教程</x:v>
      </x:c>
      <x:c r="K566" s="9" t="str"/>
      <x:c r="L566" s="9" t="str">
        <x:f>IF(K566="",J566,K566)</x:f>
        <x:v>博客A-知识教程</x:v>
      </x:c>
      <x:c r="M566" s="9" t="str">
        <x:v>知识/教程文章</x:v>
      </x:c>
      <x:c r="N566" s="9" t="str">
        <x:v>Guide angle: explain replaceable pod vape 25k, answer common questions, and avoid sales-first writing</x:v>
      </x:c>
      <x:c r="O566" s="9" t="str">
        <x:v>/collections/disposable-vapes 或最接近的产品集合页</x:v>
      </x:c>
      <x:c r="P566" s="9" t="str">
        <x:v>谨慎</x:v>
      </x:c>
      <x:c r="Q566" s="9" t="str">
        <x:v>品牌词/自然句</x:v>
      </x:c>
      <x:c r="R566" s="9" t="str">
        <x:v>低风险：按常规内容质量和搜索意图校验</x:v>
      </x:c>
      <x:c r="S566" s="9" t="str">
        <x:v>先看 Google SERP：如果首页多数为产品集合页，改回主站；如果多数为教程/问答，保持博客。</x:v>
      </x:c>
      <x:c r="T566" s="38" t="n">
        <x:v>1</x:v>
      </x:c>
      <x:c r="U566" s="38" t="n">
        <x:v>15</x:v>
      </x:c>
      <x:c r="V566" s="38" t="n">
        <x:v>10</x:v>
      </x:c>
      <x:c r="W566" s="38" t="n">
        <x:v>12</x:v>
      </x:c>
      <x:c r="X566" s="38" t="n">
        <x:v>12</x:v>
      </x:c>
      <x:c r="Y566" s="38" t="n">
        <x:v>4</x:v>
      </x:c>
      <x:c r="Z566" s="38" t="n">
        <x:f>MAX(0,MIN(100,ROUND(((T566+U566+V566+W566+X566)-Y566)/85*100,0)))</x:f>
        <x:v>54</x:v>
      </x:c>
      <x:c r="AA566" s="9" t="str">
        <x:f>IF(L566="暂不做","P3 暂缓",IF(Z566&gt;=75,"P0 本周做",IF(Z566&gt;=60,"P1 近期做",IF(Z566&gt;=45,"P2 备选","P3 暂缓"))))</x:f>
        <x:v>P2 备选</x:v>
      </x:c>
      <x:c r="AB566" s="9" t="str">
        <x:f>IF(Y566&gt;=15,"先做合规/相关性复核，不建议直接商业导流",IF(L566="主站","建/优化主站商业页",IF(L566="博客A-知识教程","写知识教程/FAQ文章",IF(L566="博客B-场景人群","写场景需求/选购指南文章",IF(L566="博客C-对比评测","写对比评测/榜单文章","暂不做或人工复核")))))</x:f>
        <x:v>写知识教程/FAQ文章</x:v>
      </x:c>
      <x:c r="AC566" s="9" t="str">
        <x:v>ExDivo KUZ 25K Replaceable Pod Vape</x:v>
      </x:c>
      <x:c r="AD566" s="10" t="str">
        <x:v>25000 puffs</x:v>
      </x:c>
    </x:row>
    <x:row r="567">
      <x:c r="A567" s="34" t="n">
        <x:v>567</x:v>
      </x:c>
      <x:c r="B567" s="9" t="str">
        <x:v>https://exdivo.com/collections/misty-rain/products/exdivo-kuz-25k-replaceable-pod-vape_b963acca?data_from=index_index&amp;spm=index_index..block_collection_slides-11702856.4.</x:v>
      </x:c>
      <x:c r="C567" s="9" t="str">
        <x:v>kuz 25k vape</x:v>
      </x:c>
      <x:c r="D567" s="9" t="str">
        <x:v>recommended</x:v>
      </x:c>
      <x:c r="E567" s="36" t="n">
        <x:v>0</x:v>
      </x:c>
      <x:c r="F567" s="36" t="n">
        <x:v>0</x:v>
      </x:c>
      <x:c r="G567" s="9" t="str">
        <x:v>48</x:v>
      </x:c>
      <x:c r="H567" s="9" t="str">
        <x:v>General Vape</x:v>
      </x:c>
      <x:c r="I567" s="9" t="str">
        <x:v>品类承接词</x:v>
      </x:c>
      <x:c r="J567" s="9" t="str">
        <x:v>主站</x:v>
      </x:c>
      <x:c r="K567" s="9" t="str"/>
      <x:c r="L567" s="9" t="str">
        <x:f>IF(K567="",J567,K567)</x:f>
        <x:v>主站</x:v>
      </x:c>
      <x:c r="M567" s="9" t="str">
        <x:v>品类页/集合页 + FAQ内容块</x:v>
      </x:c>
      <x:c r="N567" s="9" t="str">
        <x:v>主站品类页：用产品集合 + 选购说明承接</x:v>
      </x:c>
      <x:c r="O567" s="9" t="str">
        <x:v>/collections/disposable-vapes</x:v>
      </x:c>
      <x:c r="P567" s="9" t="str">
        <x:v>不适用</x:v>
      </x:c>
      <x:c r="Q567" s="9" t="str">
        <x:v>主站页面自身承接</x:v>
      </x:c>
      <x:c r="R567" s="9" t="str">
        <x:v>核心品类词：主站优先，博客只做长尾解释，不直接抢同一词</x:v>
      </x:c>
      <x:c r="S567" s="9" t="str">
        <x:v>如果 Google 首页产品页和指南混合，主站页要加 FAQ、选购指南、对比模块。</x:v>
      </x:c>
      <x:c r="T567" s="38" t="n">
        <x:v>1</x:v>
      </x:c>
      <x:c r="U567" s="38" t="n">
        <x:v>15</x:v>
      </x:c>
      <x:c r="V567" s="38" t="n">
        <x:v>16</x:v>
      </x:c>
      <x:c r="W567" s="38" t="n">
        <x:v>8</x:v>
      </x:c>
      <x:c r="X567" s="38" t="n">
        <x:v>15</x:v>
      </x:c>
      <x:c r="Y567" s="38" t="n">
        <x:v>4</x:v>
      </x:c>
      <x:c r="Z567" s="38" t="n">
        <x:f>MAX(0,MIN(100,ROUND(((T567+U567+V567+W567+X567)-Y567)/85*100,0)))</x:f>
        <x:v>60</x:v>
      </x:c>
      <x:c r="AA567" s="9" t="str">
        <x:f>IF(L567="暂不做","P3 暂缓",IF(Z567&gt;=75,"P0 本周做",IF(Z567&gt;=60,"P1 近期做",IF(Z567&gt;=45,"P2 备选","P3 暂缓"))))</x:f>
        <x:v>P1 近期做</x:v>
      </x:c>
      <x:c r="AB567" s="9" t="str">
        <x:f>IF(Y567&gt;=15,"先做合规/相关性复核，不建议直接商业导流",IF(L567="主站","建/优化主站商业页",IF(L567="博客A-知识教程","写知识教程/FAQ文章",IF(L567="博客B-场景人群","写场景需求/选购指南文章",IF(L567="博客C-对比评测","写对比评测/榜单文章","暂不做或人工复核")))))</x:f>
        <x:v>建/优化主站商业页</x:v>
      </x:c>
      <x:c r="AC567" s="9" t="str">
        <x:v>ExDivo KUZ 25K Replaceable Pod Vape</x:v>
      </x:c>
      <x:c r="AD567" s="10" t="str">
        <x:v>25000 puffs</x:v>
      </x:c>
    </x:row>
    <x:row r="568">
      <x:c r="A568" s="34" t="n">
        <x:v>568</x:v>
      </x:c>
      <x:c r="B568" s="9" t="str">
        <x:v>https://exdivo.com/blogs</x:v>
      </x:c>
      <x:c r="C568" s="9" t="str">
        <x:v>vaping news</x:v>
      </x:c>
      <x:c r="D568" s="9" t="str">
        <x:v>recommended</x:v>
      </x:c>
      <x:c r="E568" s="36" t="n">
        <x:v>1600</x:v>
      </x:c>
      <x:c r="F568" s="36" t="n">
        <x:v>48</x:v>
      </x:c>
      <x:c r="G568" s="9" t="str">
        <x:v>informational</x:v>
      </x:c>
      <x:c r="H568" s="9" t="str">
        <x:v>General Vape</x:v>
      </x:c>
      <x:c r="I568" s="9" t="str">
        <x:v>品类承接词</x:v>
      </x:c>
      <x:c r="J568" s="9" t="str">
        <x:v>主站</x:v>
      </x:c>
      <x:c r="K568" s="9" t="str"/>
      <x:c r="L568" s="9" t="str">
        <x:f>IF(K568="",J568,K568)</x:f>
        <x:v>主站</x:v>
      </x:c>
      <x:c r="M568" s="9" t="str">
        <x:v>品类页/集合页 + FAQ内容块</x:v>
      </x:c>
      <x:c r="N568" s="9" t="str">
        <x:v>主站品类页：用产品集合 + 选购说明承接</x:v>
      </x:c>
      <x:c r="O568" s="9" t="str">
        <x:v>/collections/disposable-vapes</x:v>
      </x:c>
      <x:c r="P568" s="9" t="str">
        <x:v>不适用</x:v>
      </x:c>
      <x:c r="Q568" s="9" t="str">
        <x:v>主站页面自身承接</x:v>
      </x:c>
      <x:c r="R568" s="9" t="str">
        <x:v>核心品类词：主站优先，博客只做长尾解释，不直接抢同一词</x:v>
      </x:c>
      <x:c r="S568" s="9" t="str">
        <x:v>如果 Google 首页产品页和指南混合，主站页要加 FAQ、选购指南、对比模块。</x:v>
      </x:c>
      <x:c r="T568" s="38" t="n">
        <x:v>13</x:v>
      </x:c>
      <x:c r="U568" s="38" t="n">
        <x:v>6</x:v>
      </x:c>
      <x:c r="V568" s="38" t="n">
        <x:v>16</x:v>
      </x:c>
      <x:c r="W568" s="38" t="n">
        <x:v>8</x:v>
      </x:c>
      <x:c r="X568" s="38" t="n">
        <x:v>15</x:v>
      </x:c>
      <x:c r="Y568" s="38" t="n">
        <x:v>4</x:v>
      </x:c>
      <x:c r="Z568" s="38" t="n">
        <x:f>MAX(0,MIN(100,ROUND(((T568+U568+V568+W568+X568)-Y568)/85*100,0)))</x:f>
        <x:v>64</x:v>
      </x:c>
      <x:c r="AA568" s="9" t="str">
        <x:f>IF(L568="暂不做","P3 暂缓",IF(Z568&gt;=75,"P0 本周做",IF(Z568&gt;=60,"P1 近期做",IF(Z568&gt;=45,"P2 备选","P3 暂缓"))))</x:f>
        <x:v>P1 近期做</x:v>
      </x:c>
      <x:c r="AB568" s="9" t="str">
        <x:f>IF(Y568&gt;=15,"先做合规/相关性复核，不建议直接商业导流",IF(L568="主站","建/优化主站商业页",IF(L568="博客A-知识教程","写知识教程/FAQ文章",IF(L568="博客B-场景人群","写场景需求/选购指南文章",IF(L568="博客C-对比评测","写对比评测/榜单文章","暂不做或人工复核")))))</x:f>
        <x:v>建/优化主站商业页</x:v>
      </x:c>
      <x:c r="AC568" s="9" t="str">
        <x:v>Blog - ExDivo</x:v>
      </x:c>
      <x:c r="AD568" s="10" t="str">
        <x:v>48</x:v>
      </x:c>
    </x:row>
    <x:row r="569">
      <x:c r="A569" s="34" t="n">
        <x:v>569</x:v>
      </x:c>
      <x:c r="B569" s="9" t="str">
        <x:v>https://exdivo.com/blogs</x:v>
      </x:c>
      <x:c r="C569" s="9" t="str">
        <x:v>vape industry news</x:v>
      </x:c>
      <x:c r="D569" s="9" t="str">
        <x:v>recommended</x:v>
      </x:c>
      <x:c r="E569" s="36" t="n">
        <x:v>320</x:v>
      </x:c>
      <x:c r="F569" s="36" t="n">
        <x:v>22</x:v>
      </x:c>
      <x:c r="G569" s="9" t="str">
        <x:v>informational</x:v>
      </x:c>
      <x:c r="H569" s="9" t="str">
        <x:v>General Vape</x:v>
      </x:c>
      <x:c r="I569" s="9" t="str">
        <x:v>品类承接词</x:v>
      </x:c>
      <x:c r="J569" s="9" t="str">
        <x:v>主站</x:v>
      </x:c>
      <x:c r="K569" s="9" t="str"/>
      <x:c r="L569" s="9" t="str">
        <x:f>IF(K569="",J569,K569)</x:f>
        <x:v>主站</x:v>
      </x:c>
      <x:c r="M569" s="9" t="str">
        <x:v>品类页/集合页 + FAQ内容块</x:v>
      </x:c>
      <x:c r="N569" s="9" t="str">
        <x:v>主站品类页：用产品集合 + 选购说明承接</x:v>
      </x:c>
      <x:c r="O569" s="9" t="str">
        <x:v>/collections/disposable-vapes</x:v>
      </x:c>
      <x:c r="P569" s="9" t="str">
        <x:v>不适用</x:v>
      </x:c>
      <x:c r="Q569" s="9" t="str">
        <x:v>主站页面自身承接</x:v>
      </x:c>
      <x:c r="R569" s="9" t="str">
        <x:v>核心品类词：主站优先，博客只做长尾解释，不直接抢同一词</x:v>
      </x:c>
      <x:c r="S569" s="9" t="str">
        <x:v>如果 Google 首页产品页和指南混合，主站页要加 FAQ、选购指南、对比模块。</x:v>
      </x:c>
      <x:c r="T569" s="38" t="n">
        <x:v>7</x:v>
      </x:c>
      <x:c r="U569" s="38" t="n">
        <x:v>12</x:v>
      </x:c>
      <x:c r="V569" s="38" t="n">
        <x:v>16</x:v>
      </x:c>
      <x:c r="W569" s="38" t="n">
        <x:v>8</x:v>
      </x:c>
      <x:c r="X569" s="38" t="n">
        <x:v>15</x:v>
      </x:c>
      <x:c r="Y569" s="38" t="n">
        <x:v>4</x:v>
      </x:c>
      <x:c r="Z569" s="38" t="n">
        <x:f>MAX(0,MIN(100,ROUND(((T569+U569+V569+W569+X569)-Y569)/85*100,0)))</x:f>
        <x:v>64</x:v>
      </x:c>
      <x:c r="AA569" s="9" t="str">
        <x:f>IF(L569="暂不做","P3 暂缓",IF(Z569&gt;=75,"P0 本周做",IF(Z569&gt;=60,"P1 近期做",IF(Z569&gt;=45,"P2 备选","P3 暂缓"))))</x:f>
        <x:v>P1 近期做</x:v>
      </x:c>
      <x:c r="AB569" s="9" t="str">
        <x:f>IF(Y569&gt;=15,"先做合规/相关性复核，不建议直接商业导流",IF(L569="主站","建/优化主站商业页",IF(L569="博客A-知识教程","写知识教程/FAQ文章",IF(L569="博客B-场景人群","写场景需求/选购指南文章",IF(L569="博客C-对比评测","写对比评测/榜单文章","暂不做或人工复核")))))</x:f>
        <x:v>建/优化主站商业页</x:v>
      </x:c>
      <x:c r="AC569" s="9" t="str">
        <x:v>Blog - ExDivo</x:v>
      </x:c>
      <x:c r="AD569" s="10" t="str">
        <x:v>48</x:v>
      </x:c>
    </x:row>
    <x:row r="570">
      <x:c r="A570" s="34" t="n">
        <x:v>570</x:v>
      </x:c>
      <x:c r="B570" s="9" t="str">
        <x:v>https://exdivo.com/blogs</x:v>
      </x:c>
      <x:c r="C570" s="9" t="str">
        <x:v>vape forum</x:v>
      </x:c>
      <x:c r="D570" s="9" t="str">
        <x:v>recommended</x:v>
      </x:c>
      <x:c r="E570" s="36" t="n">
        <x:v>260</x:v>
      </x:c>
      <x:c r="F570" s="36" t="n">
        <x:v>27</x:v>
      </x:c>
      <x:c r="G570" s="9" t="str">
        <x:v>informational</x:v>
      </x:c>
      <x:c r="H570" s="9" t="str">
        <x:v>General Vape</x:v>
      </x:c>
      <x:c r="I570" s="9" t="str">
        <x:v>品类承接词</x:v>
      </x:c>
      <x:c r="J570" s="9" t="str">
        <x:v>主站</x:v>
      </x:c>
      <x:c r="K570" s="9" t="str"/>
      <x:c r="L570" s="9" t="str">
        <x:f>IF(K570="",J570,K570)</x:f>
        <x:v>主站</x:v>
      </x:c>
      <x:c r="M570" s="9" t="str">
        <x:v>品类页/集合页 + FAQ内容块</x:v>
      </x:c>
      <x:c r="N570" s="9" t="str">
        <x:v>主站品类页：用产品集合 + 选购说明承接</x:v>
      </x:c>
      <x:c r="O570" s="9" t="str">
        <x:v>/collections/disposable-vapes</x:v>
      </x:c>
      <x:c r="P570" s="9" t="str">
        <x:v>不适用</x:v>
      </x:c>
      <x:c r="Q570" s="9" t="str">
        <x:v>主站页面自身承接</x:v>
      </x:c>
      <x:c r="R570" s="9" t="str">
        <x:v>核心品类词：主站优先，博客只做长尾解释，不直接抢同一词</x:v>
      </x:c>
      <x:c r="S570" s="9" t="str">
        <x:v>如果 Google 首页产品页和指南混合，主站页要加 FAQ、选购指南、对比模块。</x:v>
      </x:c>
      <x:c r="T570" s="38" t="n">
        <x:v>7</x:v>
      </x:c>
      <x:c r="U570" s="38" t="n">
        <x:v>12</x:v>
      </x:c>
      <x:c r="V570" s="38" t="n">
        <x:v>16</x:v>
      </x:c>
      <x:c r="W570" s="38" t="n">
        <x:v>8</x:v>
      </x:c>
      <x:c r="X570" s="38" t="n">
        <x:v>15</x:v>
      </x:c>
      <x:c r="Y570" s="38" t="n">
        <x:v>4</x:v>
      </x:c>
      <x:c r="Z570" s="38" t="n">
        <x:f>MAX(0,MIN(100,ROUND(((T570+U570+V570+W570+X570)-Y570)/85*100,0)))</x:f>
        <x:v>64</x:v>
      </x:c>
      <x:c r="AA570" s="9" t="str">
        <x:f>IF(L570="暂不做","P3 暂缓",IF(Z570&gt;=75,"P0 本周做",IF(Z570&gt;=60,"P1 近期做",IF(Z570&gt;=45,"P2 备选","P3 暂缓"))))</x:f>
        <x:v>P1 近期做</x:v>
      </x:c>
      <x:c r="AB570" s="9" t="str">
        <x:f>IF(Y570&gt;=15,"先做合规/相关性复核，不建议直接商业导流",IF(L570="主站","建/优化主站商业页",IF(L570="博客A-知识教程","写知识教程/FAQ文章",IF(L570="博客B-场景人群","写场景需求/选购指南文章",IF(L570="博客C-对比评测","写对比评测/榜单文章","暂不做或人工复核")))))</x:f>
        <x:v>建/优化主站商业页</x:v>
      </x:c>
      <x:c r="AC570" s="9" t="str">
        <x:v>Blog - ExDivo</x:v>
      </x:c>
      <x:c r="AD570" s="10" t="str">
        <x:v>48</x:v>
      </x:c>
    </x:row>
    <x:row r="571">
      <x:c r="A571" s="34" t="n">
        <x:v>571</x:v>
      </x:c>
      <x:c r="B571" s="9" t="str">
        <x:v>https://exdivo.com/blogs</x:v>
      </x:c>
      <x:c r="C571" s="9" t="str">
        <x:v>vape recommendation</x:v>
      </x:c>
      <x:c r="D571" s="9" t="str">
        <x:v>recommended</x:v>
      </x:c>
      <x:c r="E571" s="36" t="n">
        <x:v>40</x:v>
      </x:c>
      <x:c r="F571" s="36" t="n">
        <x:v>22</x:v>
      </x:c>
      <x:c r="G571" s="9" t="str">
        <x:v>informational, commercial</x:v>
      </x:c>
      <x:c r="H571" s="9" t="str">
        <x:v>General Vape</x:v>
      </x:c>
      <x:c r="I571" s="9" t="str">
        <x:v>品类承接词</x:v>
      </x:c>
      <x:c r="J571" s="9" t="str">
        <x:v>主站</x:v>
      </x:c>
      <x:c r="K571" s="9" t="str"/>
      <x:c r="L571" s="9" t="str">
        <x:f>IF(K571="",J571,K571)</x:f>
        <x:v>主站</x:v>
      </x:c>
      <x:c r="M571" s="9" t="str">
        <x:v>品类页/集合页 + FAQ内容块</x:v>
      </x:c>
      <x:c r="N571" s="9" t="str">
        <x:v>主站品类页：用产品集合 + 选购说明承接</x:v>
      </x:c>
      <x:c r="O571" s="9" t="str">
        <x:v>/collections/disposable-vapes</x:v>
      </x:c>
      <x:c r="P571" s="9" t="str">
        <x:v>不适用</x:v>
      </x:c>
      <x:c r="Q571" s="9" t="str">
        <x:v>主站页面自身承接</x:v>
      </x:c>
      <x:c r="R571" s="9" t="str">
        <x:v>核心品类词：主站优先，博客只做长尾解释，不直接抢同一词</x:v>
      </x:c>
      <x:c r="S571" s="9" t="str">
        <x:v>如果 Google 首页产品页和指南混合，主站页要加 FAQ、选购指南、对比模块。</x:v>
      </x:c>
      <x:c r="T571" s="38" t="n">
        <x:v>4</x:v>
      </x:c>
      <x:c r="U571" s="38" t="n">
        <x:v>12</x:v>
      </x:c>
      <x:c r="V571" s="38" t="n">
        <x:v>18</x:v>
      </x:c>
      <x:c r="W571" s="38" t="n">
        <x:v>8</x:v>
      </x:c>
      <x:c r="X571" s="38" t="n">
        <x:v>15</x:v>
      </x:c>
      <x:c r="Y571" s="38" t="n">
        <x:v>4</x:v>
      </x:c>
      <x:c r="Z571" s="38" t="n">
        <x:f>MAX(0,MIN(100,ROUND(((T571+U571+V571+W571+X571)-Y571)/85*100,0)))</x:f>
        <x:v>62</x:v>
      </x:c>
      <x:c r="AA571" s="9" t="str">
        <x:f>IF(L571="暂不做","P3 暂缓",IF(Z571&gt;=75,"P0 本周做",IF(Z571&gt;=60,"P1 近期做",IF(Z571&gt;=45,"P2 备选","P3 暂缓"))))</x:f>
        <x:v>P1 近期做</x:v>
      </x:c>
      <x:c r="AB571" s="9" t="str">
        <x:f>IF(Y571&gt;=15,"先做合规/相关性复核，不建议直接商业导流",IF(L571="主站","建/优化主站商业页",IF(L571="博客A-知识教程","写知识教程/FAQ文章",IF(L571="博客B-场景人群","写场景需求/选购指南文章",IF(L571="博客C-对比评测","写对比评测/榜单文章","暂不做或人工复核")))))</x:f>
        <x:v>建/优化主站商业页</x:v>
      </x:c>
      <x:c r="AC571" s="9" t="str">
        <x:v>Blog - ExDivo</x:v>
      </x:c>
      <x:c r="AD571" s="10" t="str">
        <x:v>48</x:v>
      </x:c>
    </x:row>
    <x:row r="572">
      <x:c r="A572" s="34" t="n">
        <x:v>572</x:v>
      </x:c>
      <x:c r="B572" s="9" t="str">
        <x:v>https://exdivo.com/blogs</x:v>
      </x:c>
      <x:c r="C572" s="9" t="str">
        <x:v>vape forums</x:v>
      </x:c>
      <x:c r="D572" s="9" t="str">
        <x:v>recommended</x:v>
      </x:c>
      <x:c r="E572" s="36" t="n">
        <x:v>70</x:v>
      </x:c>
      <x:c r="F572" s="36" t="n">
        <x:v>19</x:v>
      </x:c>
      <x:c r="G572" s="9" t="str">
        <x:v>informational</x:v>
      </x:c>
      <x:c r="H572" s="9" t="str">
        <x:v>General Vape</x:v>
      </x:c>
      <x:c r="I572" s="9" t="str">
        <x:v>品类承接词</x:v>
      </x:c>
      <x:c r="J572" s="9" t="str">
        <x:v>主站</x:v>
      </x:c>
      <x:c r="K572" s="9" t="str"/>
      <x:c r="L572" s="9" t="str">
        <x:f>IF(K572="",J572,K572)</x:f>
        <x:v>主站</x:v>
      </x:c>
      <x:c r="M572" s="9" t="str">
        <x:v>品类页/集合页 + FAQ内容块</x:v>
      </x:c>
      <x:c r="N572" s="9" t="str">
        <x:v>主站品类页：用产品集合 + 选购说明承接</x:v>
      </x:c>
      <x:c r="O572" s="9" t="str">
        <x:v>/collections/disposable-vapes</x:v>
      </x:c>
      <x:c r="P572" s="9" t="str">
        <x:v>不适用</x:v>
      </x:c>
      <x:c r="Q572" s="9" t="str">
        <x:v>主站页面自身承接</x:v>
      </x:c>
      <x:c r="R572" s="9" t="str">
        <x:v>核心品类词：主站优先，博客只做长尾解释，不直接抢同一词</x:v>
      </x:c>
      <x:c r="S572" s="9" t="str">
        <x:v>如果 Google 首页产品页和指南混合，主站页要加 FAQ、选购指南、对比模块。</x:v>
      </x:c>
      <x:c r="T572" s="38" t="n">
        <x:v>4</x:v>
      </x:c>
      <x:c r="U572" s="38" t="n">
        <x:v>12</x:v>
      </x:c>
      <x:c r="V572" s="38" t="n">
        <x:v>16</x:v>
      </x:c>
      <x:c r="W572" s="38" t="n">
        <x:v>8</x:v>
      </x:c>
      <x:c r="X572" s="38" t="n">
        <x:v>15</x:v>
      </x:c>
      <x:c r="Y572" s="38" t="n">
        <x:v>4</x:v>
      </x:c>
      <x:c r="Z572" s="38" t="n">
        <x:f>MAX(0,MIN(100,ROUND(((T572+U572+V572+W572+X572)-Y572)/85*100,0)))</x:f>
        <x:v>60</x:v>
      </x:c>
      <x:c r="AA572" s="9" t="str">
        <x:f>IF(L572="暂不做","P3 暂缓",IF(Z572&gt;=75,"P0 本周做",IF(Z572&gt;=60,"P1 近期做",IF(Z572&gt;=45,"P2 备选","P3 暂缓"))))</x:f>
        <x:v>P1 近期做</x:v>
      </x:c>
      <x:c r="AB572" s="9" t="str">
        <x:f>IF(Y572&gt;=15,"先做合规/相关性复核，不建议直接商业导流",IF(L572="主站","建/优化主站商业页",IF(L572="博客A-知识教程","写知识教程/FAQ文章",IF(L572="博客B-场景人群","写场景需求/选购指南文章",IF(L572="博客C-对比评测","写对比评测/榜单文章","暂不做或人工复核")))))</x:f>
        <x:v>建/优化主站商业页</x:v>
      </x:c>
      <x:c r="AC572" s="9" t="str">
        <x:v>Blog - ExDivo</x:v>
      </x:c>
      <x:c r="AD572" s="10" t="str">
        <x:v>48</x:v>
      </x:c>
    </x:row>
    <x:row r="573">
      <x:c r="A573" s="34" t="n">
        <x:v>573</x:v>
      </x:c>
      <x:c r="B573" s="9" t="str">
        <x:v>https://exdivo.com/blogs</x:v>
      </x:c>
      <x:c r="C573" s="9" t="str">
        <x:v>vaping tips</x:v>
      </x:c>
      <x:c r="D573" s="9" t="str">
        <x:v>recommended</x:v>
      </x:c>
      <x:c r="E573" s="36" t="n">
        <x:v>90</x:v>
      </x:c>
      <x:c r="F573" s="36" t="n">
        <x:v>30</x:v>
      </x:c>
      <x:c r="G573" s="9" t="str">
        <x:v>informational</x:v>
      </x:c>
      <x:c r="H573" s="9" t="str">
        <x:v>General Vape</x:v>
      </x:c>
      <x:c r="I573" s="9" t="str">
        <x:v>品类承接词</x:v>
      </x:c>
      <x:c r="J573" s="9" t="str">
        <x:v>主站</x:v>
      </x:c>
      <x:c r="K573" s="9" t="str"/>
      <x:c r="L573" s="9" t="str">
        <x:f>IF(K573="",J573,K573)</x:f>
        <x:v>主站</x:v>
      </x:c>
      <x:c r="M573" s="9" t="str">
        <x:v>品类页/集合页 + FAQ内容块</x:v>
      </x:c>
      <x:c r="N573" s="9" t="str">
        <x:v>主站品类页：用产品集合 + 选购说明承接</x:v>
      </x:c>
      <x:c r="O573" s="9" t="str">
        <x:v>/collections/disposable-vapes</x:v>
      </x:c>
      <x:c r="P573" s="9" t="str">
        <x:v>不适用</x:v>
      </x:c>
      <x:c r="Q573" s="9" t="str">
        <x:v>主站页面自身承接</x:v>
      </x:c>
      <x:c r="R573" s="9" t="str">
        <x:v>核心品类词：主站优先，博客只做长尾解释，不直接抢同一词</x:v>
      </x:c>
      <x:c r="S573" s="9" t="str">
        <x:v>如果 Google 首页产品页和指南混合，主站页要加 FAQ、选购指南、对比模块。</x:v>
      </x:c>
      <x:c r="T573" s="38" t="n">
        <x:v>4</x:v>
      </x:c>
      <x:c r="U573" s="38" t="n">
        <x:v>12</x:v>
      </x:c>
      <x:c r="V573" s="38" t="n">
        <x:v>16</x:v>
      </x:c>
      <x:c r="W573" s="38" t="n">
        <x:v>8</x:v>
      </x:c>
      <x:c r="X573" s="38" t="n">
        <x:v>15</x:v>
      </x:c>
      <x:c r="Y573" s="38" t="n">
        <x:v>4</x:v>
      </x:c>
      <x:c r="Z573" s="38" t="n">
        <x:f>MAX(0,MIN(100,ROUND(((T573+U573+V573+W573+X573)-Y573)/85*100,0)))</x:f>
        <x:v>60</x:v>
      </x:c>
      <x:c r="AA573" s="9" t="str">
        <x:f>IF(L573="暂不做","P3 暂缓",IF(Z573&gt;=75,"P0 本周做",IF(Z573&gt;=60,"P1 近期做",IF(Z573&gt;=45,"P2 备选","P3 暂缓"))))</x:f>
        <x:v>P1 近期做</x:v>
      </x:c>
      <x:c r="AB573" s="9" t="str">
        <x:f>IF(Y573&gt;=15,"先做合规/相关性复核，不建议直接商业导流",IF(L573="主站","建/优化主站商业页",IF(L573="博客A-知识教程","写知识教程/FAQ文章",IF(L573="博客B-场景人群","写场景需求/选购指南文章",IF(L573="博客C-对比评测","写对比评测/榜单文章","暂不做或人工复核")))))</x:f>
        <x:v>建/优化主站商业页</x:v>
      </x:c>
      <x:c r="AC573" s="9" t="str">
        <x:v>Blog - ExDivo</x:v>
      </x:c>
      <x:c r="AD573" s="10" t="str">
        <x:v>48</x:v>
      </x:c>
    </x:row>
    <x:row r="574">
      <x:c r="A574" s="34" t="n">
        <x:v>574</x:v>
      </x:c>
      <x:c r="B574" s="9" t="str">
        <x:v>https://exdivo.com/blogs</x:v>
      </x:c>
      <x:c r="C574" s="9" t="str">
        <x:v>vape facts</x:v>
      </x:c>
      <x:c r="D574" s="9" t="str">
        <x:v>recommended</x:v>
      </x:c>
      <x:c r="E574" s="36" t="n">
        <x:v>480</x:v>
      </x:c>
      <x:c r="F574" s="36" t="n">
        <x:v>76</x:v>
      </x:c>
      <x:c r="G574" s="9" t="str">
        <x:v>informational</x:v>
      </x:c>
      <x:c r="H574" s="9" t="str">
        <x:v>General Vape</x:v>
      </x:c>
      <x:c r="I574" s="9" t="str">
        <x:v>品类承接词</x:v>
      </x:c>
      <x:c r="J574" s="9" t="str">
        <x:v>主站</x:v>
      </x:c>
      <x:c r="K574" s="9" t="str"/>
      <x:c r="L574" s="9" t="str">
        <x:f>IF(K574="",J574,K574)</x:f>
        <x:v>主站</x:v>
      </x:c>
      <x:c r="M574" s="9" t="str">
        <x:v>品类页/集合页 + FAQ内容块</x:v>
      </x:c>
      <x:c r="N574" s="9" t="str">
        <x:v>主站品类页：用产品集合 + 选购说明承接</x:v>
      </x:c>
      <x:c r="O574" s="9" t="str">
        <x:v>/collections/disposable-vapes</x:v>
      </x:c>
      <x:c r="P574" s="9" t="str">
        <x:v>不适用</x:v>
      </x:c>
      <x:c r="Q574" s="9" t="str">
        <x:v>主站页面自身承接</x:v>
      </x:c>
      <x:c r="R574" s="9" t="str">
        <x:v>核心品类词：主站优先，博客只做长尾解释，不直接抢同一词</x:v>
      </x:c>
      <x:c r="S574" s="9" t="str">
        <x:v>如果 Google 首页产品页和指南混合，主站页要加 FAQ、选购指南、对比模块。</x:v>
      </x:c>
      <x:c r="T574" s="38" t="n">
        <x:v>7</x:v>
      </x:c>
      <x:c r="U574" s="38" t="n">
        <x:v>1</x:v>
      </x:c>
      <x:c r="V574" s="38" t="n">
        <x:v>16</x:v>
      </x:c>
      <x:c r="W574" s="38" t="n">
        <x:v>8</x:v>
      </x:c>
      <x:c r="X574" s="38" t="n">
        <x:v>15</x:v>
      </x:c>
      <x:c r="Y574" s="38" t="n">
        <x:v>4</x:v>
      </x:c>
      <x:c r="Z574" s="38" t="n">
        <x:f>MAX(0,MIN(100,ROUND(((T574+U574+V574+W574+X574)-Y574)/85*100,0)))</x:f>
        <x:v>51</x:v>
      </x:c>
      <x:c r="AA574" s="9" t="str">
        <x:f>IF(L574="暂不做","P3 暂缓",IF(Z574&gt;=75,"P0 本周做",IF(Z574&gt;=60,"P1 近期做",IF(Z574&gt;=45,"P2 备选","P3 暂缓"))))</x:f>
        <x:v>P2 备选</x:v>
      </x:c>
      <x:c r="AB574" s="9" t="str">
        <x:f>IF(Y574&gt;=15,"先做合规/相关性复核，不建议直接商业导流",IF(L574="主站","建/优化主站商业页",IF(L574="博客A-知识教程","写知识教程/FAQ文章",IF(L574="博客B-场景人群","写场景需求/选购指南文章",IF(L574="博客C-对比评测","写对比评测/榜单文章","暂不做或人工复核")))))</x:f>
        <x:v>建/优化主站商业页</x:v>
      </x:c>
      <x:c r="AC574" s="9" t="str">
        <x:v>Blog - ExDivo</x:v>
      </x:c>
      <x:c r="AD574" s="10" t="str">
        <x:v>48</x:v>
      </x:c>
    </x:row>
    <x:row r="575">
      <x:c r="A575" s="34" t="n">
        <x:v>575</x:v>
      </x:c>
      <x:c r="B575" s="9" t="str">
        <x:v>https://exdivo.com/blogs</x:v>
      </x:c>
      <x:c r="C575" s="9" t="str">
        <x:v>vape tricks</x:v>
      </x:c>
      <x:c r="D575" s="9" t="str">
        <x:v>recommended</x:v>
      </x:c>
      <x:c r="E575" s="36" t="n">
        <x:v>4400</x:v>
      </x:c>
      <x:c r="F575" s="36" t="n">
        <x:v>14</x:v>
      </x:c>
      <x:c r="G575" s="9" t="str">
        <x:v>informational</x:v>
      </x:c>
      <x:c r="H575" s="9" t="str">
        <x:v>General Vape</x:v>
      </x:c>
      <x:c r="I575" s="9" t="str">
        <x:v>品类承接词</x:v>
      </x:c>
      <x:c r="J575" s="9" t="str">
        <x:v>主站</x:v>
      </x:c>
      <x:c r="K575" s="9" t="str"/>
      <x:c r="L575" s="9" t="str">
        <x:f>IF(K575="",J575,K575)</x:f>
        <x:v>主站</x:v>
      </x:c>
      <x:c r="M575" s="9" t="str">
        <x:v>品类页/集合页 + FAQ内容块</x:v>
      </x:c>
      <x:c r="N575" s="9" t="str">
        <x:v>主站品类页：用产品集合 + 选购说明承接</x:v>
      </x:c>
      <x:c r="O575" s="9" t="str">
        <x:v>/collections/disposable-vapes</x:v>
      </x:c>
      <x:c r="P575" s="9" t="str">
        <x:v>不适用</x:v>
      </x:c>
      <x:c r="Q575" s="9" t="str">
        <x:v>主站页面自身承接</x:v>
      </x:c>
      <x:c r="R575" s="9" t="str">
        <x:v>核心品类词：主站优先，博客只做长尾解释，不直接抢同一词</x:v>
      </x:c>
      <x:c r="S575" s="9" t="str">
        <x:v>如果 Google 首页产品页和指南混合，主站页要加 FAQ、选购指南、对比模块。</x:v>
      </x:c>
      <x:c r="T575" s="38" t="n">
        <x:v>13</x:v>
      </x:c>
      <x:c r="U575" s="38" t="n">
        <x:v>15</x:v>
      </x:c>
      <x:c r="V575" s="38" t="n">
        <x:v>16</x:v>
      </x:c>
      <x:c r="W575" s="38" t="n">
        <x:v>8</x:v>
      </x:c>
      <x:c r="X575" s="38" t="n">
        <x:v>15</x:v>
      </x:c>
      <x:c r="Y575" s="38" t="n">
        <x:v>4</x:v>
      </x:c>
      <x:c r="Z575" s="38" t="n">
        <x:f>MAX(0,MIN(100,ROUND(((T575+U575+V575+W575+X575)-Y575)/85*100,0)))</x:f>
        <x:v>74</x:v>
      </x:c>
      <x:c r="AA575" s="9" t="str">
        <x:f>IF(L575="暂不做","P3 暂缓",IF(Z575&gt;=75,"P0 本周做",IF(Z575&gt;=60,"P1 近期做",IF(Z575&gt;=45,"P2 备选","P3 暂缓"))))</x:f>
        <x:v>P1 近期做</x:v>
      </x:c>
      <x:c r="AB575" s="9" t="str">
        <x:f>IF(Y575&gt;=15,"先做合规/相关性复核，不建议直接商业导流",IF(L575="主站","建/优化主站商业页",IF(L575="博客A-知识教程","写知识教程/FAQ文章",IF(L575="博客B-场景人群","写场景需求/选购指南文章",IF(L575="博客C-对比评测","写对比评测/榜单文章","暂不做或人工复核")))))</x:f>
        <x:v>建/优化主站商业页</x:v>
      </x:c>
      <x:c r="AC575" s="9" t="str">
        <x:v>Blog - ExDivo</x:v>
      </x:c>
      <x:c r="AD575" s="10" t="str">
        <x:v>48</x:v>
      </x:c>
    </x:row>
    <x:row r="576">
      <x:c r="A576" s="34" t="n">
        <x:v>576</x:v>
      </x:c>
      <x:c r="B576" s="9" t="str">
        <x:v>https://exdivo.com/blogs</x:v>
      </x:c>
      <x:c r="C576" s="9" t="str">
        <x:v>vape information</x:v>
      </x:c>
      <x:c r="D576" s="9" t="str">
        <x:v>recommended</x:v>
      </x:c>
      <x:c r="E576" s="36" t="n">
        <x:v>110</x:v>
      </x:c>
      <x:c r="F576" s="36" t="n">
        <x:v>84</x:v>
      </x:c>
      <x:c r="G576" s="9" t="str">
        <x:v>informational</x:v>
      </x:c>
      <x:c r="H576" s="9" t="str">
        <x:v>General Vape</x:v>
      </x:c>
      <x:c r="I576" s="9" t="str">
        <x:v>品类承接词</x:v>
      </x:c>
      <x:c r="J576" s="9" t="str">
        <x:v>主站</x:v>
      </x:c>
      <x:c r="K576" s="9" t="str"/>
      <x:c r="L576" s="9" t="str">
        <x:f>IF(K576="",J576,K576)</x:f>
        <x:v>主站</x:v>
      </x:c>
      <x:c r="M576" s="9" t="str">
        <x:v>品类页/集合页 + FAQ内容块</x:v>
      </x:c>
      <x:c r="N576" s="9" t="str">
        <x:v>主站品类页：用产品集合 + 选购说明承接</x:v>
      </x:c>
      <x:c r="O576" s="9" t="str">
        <x:v>/collections/disposable-vapes</x:v>
      </x:c>
      <x:c r="P576" s="9" t="str">
        <x:v>不适用</x:v>
      </x:c>
      <x:c r="Q576" s="9" t="str">
        <x:v>主站页面自身承接</x:v>
      </x:c>
      <x:c r="R576" s="9" t="str">
        <x:v>核心品类词：主站优先，博客只做长尾解释，不直接抢同一词</x:v>
      </x:c>
      <x:c r="S576" s="9" t="str">
        <x:v>如果 Google 首页产品页和指南混合，主站页要加 FAQ、选购指南、对比模块。</x:v>
      </x:c>
      <x:c r="T576" s="38" t="n">
        <x:v>7</x:v>
      </x:c>
      <x:c r="U576" s="38" t="n">
        <x:v>1</x:v>
      </x:c>
      <x:c r="V576" s="38" t="n">
        <x:v>16</x:v>
      </x:c>
      <x:c r="W576" s="38" t="n">
        <x:v>8</x:v>
      </x:c>
      <x:c r="X576" s="38" t="n">
        <x:v>15</x:v>
      </x:c>
      <x:c r="Y576" s="38" t="n">
        <x:v>4</x:v>
      </x:c>
      <x:c r="Z576" s="38" t="n">
        <x:f>MAX(0,MIN(100,ROUND(((T576+U576+V576+W576+X576)-Y576)/85*100,0)))</x:f>
        <x:v>51</x:v>
      </x:c>
      <x:c r="AA576" s="9" t="str">
        <x:f>IF(L576="暂不做","P3 暂缓",IF(Z576&gt;=75,"P0 本周做",IF(Z576&gt;=60,"P1 近期做",IF(Z576&gt;=45,"P2 备选","P3 暂缓"))))</x:f>
        <x:v>P2 备选</x:v>
      </x:c>
      <x:c r="AB576" s="9" t="str">
        <x:f>IF(Y576&gt;=15,"先做合规/相关性复核，不建议直接商业导流",IF(L576="主站","建/优化主站商业页",IF(L576="博客A-知识教程","写知识教程/FAQ文章",IF(L576="博客B-场景人群","写场景需求/选购指南文章",IF(L576="博客C-对比评测","写对比评测/榜单文章","暂不做或人工复核")))))</x:f>
        <x:v>建/优化主站商业页</x:v>
      </x:c>
      <x:c r="AC576" s="9" t="str">
        <x:v>Blog - ExDivo</x:v>
      </x:c>
      <x:c r="AD576" s="10" t="str">
        <x:v>48</x:v>
      </x:c>
    </x:row>
    <x:row r="577">
      <x:c r="A577" s="34" t="n">
        <x:v>577</x:v>
      </x:c>
      <x:c r="B577" s="9" t="str">
        <x:v>https://exdivo.com/blogs</x:v>
      </x:c>
      <x:c r="C577" s="9" t="str">
        <x:v>information about vaping</x:v>
      </x:c>
      <x:c r="D577" s="9" t="str">
        <x:v>recommended</x:v>
      </x:c>
      <x:c r="E577" s="36" t="n">
        <x:v>70</x:v>
      </x:c>
      <x:c r="F577" s="36" t="n">
        <x:v>80</x:v>
      </x:c>
      <x:c r="G577" s="9" t="str">
        <x:v>informational</x:v>
      </x:c>
      <x:c r="H577" s="9" t="str">
        <x:v>General Vape</x:v>
      </x:c>
      <x:c r="I577" s="9" t="str">
        <x:v>品类承接词</x:v>
      </x:c>
      <x:c r="J577" s="9" t="str">
        <x:v>主站</x:v>
      </x:c>
      <x:c r="K577" s="9" t="str"/>
      <x:c r="L577" s="9" t="str">
        <x:f>IF(K577="",J577,K577)</x:f>
        <x:v>主站</x:v>
      </x:c>
      <x:c r="M577" s="9" t="str">
        <x:v>品类页/集合页 + FAQ内容块</x:v>
      </x:c>
      <x:c r="N577" s="9" t="str">
        <x:v>主站品类页：用产品集合 + 选购说明承接</x:v>
      </x:c>
      <x:c r="O577" s="9" t="str">
        <x:v>/collections/disposable-vapes</x:v>
      </x:c>
      <x:c r="P577" s="9" t="str">
        <x:v>不适用</x:v>
      </x:c>
      <x:c r="Q577" s="9" t="str">
        <x:v>主站页面自身承接</x:v>
      </x:c>
      <x:c r="R577" s="9" t="str">
        <x:v>核心品类词：主站优先，博客只做长尾解释，不直接抢同一词</x:v>
      </x:c>
      <x:c r="S577" s="9" t="str">
        <x:v>如果 Google 首页产品页和指南混合，主站页要加 FAQ、选购指南、对比模块。</x:v>
      </x:c>
      <x:c r="T577" s="38" t="n">
        <x:v>4</x:v>
      </x:c>
      <x:c r="U577" s="38" t="n">
        <x:v>1</x:v>
      </x:c>
      <x:c r="V577" s="38" t="n">
        <x:v>16</x:v>
      </x:c>
      <x:c r="W577" s="38" t="n">
        <x:v>8</x:v>
      </x:c>
      <x:c r="X577" s="38" t="n">
        <x:v>15</x:v>
      </x:c>
      <x:c r="Y577" s="38" t="n">
        <x:v>4</x:v>
      </x:c>
      <x:c r="Z577" s="38" t="n">
        <x:f>MAX(0,MIN(100,ROUND(((T577+U577+V577+W577+X577)-Y577)/85*100,0)))</x:f>
        <x:v>47</x:v>
      </x:c>
      <x:c r="AA577" s="9" t="str">
        <x:f>IF(L577="暂不做","P3 暂缓",IF(Z577&gt;=75,"P0 本周做",IF(Z577&gt;=60,"P1 近期做",IF(Z577&gt;=45,"P2 备选","P3 暂缓"))))</x:f>
        <x:v>P2 备选</x:v>
      </x:c>
      <x:c r="AB577" s="9" t="str">
        <x:f>IF(Y577&gt;=15,"先做合规/相关性复核，不建议直接商业导流",IF(L577="主站","建/优化主站商业页",IF(L577="博客A-知识教程","写知识教程/FAQ文章",IF(L577="博客B-场景人群","写场景需求/选购指南文章",IF(L577="博客C-对比评测","写对比评测/榜单文章","暂不做或人工复核")))))</x:f>
        <x:v>建/优化主站商业页</x:v>
      </x:c>
      <x:c r="AC577" s="9" t="str">
        <x:v>Blog - ExDivo</x:v>
      </x:c>
      <x:c r="AD577" s="10" t="str">
        <x:v>48</x:v>
      </x:c>
    </x:row>
    <x:row r="578">
      <x:c r="A578" s="34" t="n">
        <x:v>578</x:v>
      </x:c>
      <x:c r="B578" s="9" t="str">
        <x:v>https://exdivo.com/blogs</x:v>
      </x:c>
      <x:c r="C578" s="9" t="str">
        <x:v>vape blog</x:v>
      </x:c>
      <x:c r="D578" s="9" t="str">
        <x:v>recommended</x:v>
      </x:c>
      <x:c r="E578" s="36" t="n">
        <x:v>0</x:v>
      </x:c>
      <x:c r="F578" s="36" t="n">
        <x:v>0</x:v>
      </x:c>
      <x:c r="G578" s="9" t="str">
        <x:v>48</x:v>
      </x:c>
      <x:c r="H578" s="9" t="str">
        <x:v>General Vape</x:v>
      </x:c>
      <x:c r="I578" s="9" t="str">
        <x:v>品类承接词</x:v>
      </x:c>
      <x:c r="J578" s="9" t="str">
        <x:v>主站</x:v>
      </x:c>
      <x:c r="K578" s="9" t="str"/>
      <x:c r="L578" s="9" t="str">
        <x:f>IF(K578="",J578,K578)</x:f>
        <x:v>主站</x:v>
      </x:c>
      <x:c r="M578" s="9" t="str">
        <x:v>品类页/集合页 + FAQ内容块</x:v>
      </x:c>
      <x:c r="N578" s="9" t="str">
        <x:v>主站品类页：用产品集合 + 选购说明承接</x:v>
      </x:c>
      <x:c r="O578" s="9" t="str">
        <x:v>/collections/disposable-vapes</x:v>
      </x:c>
      <x:c r="P578" s="9" t="str">
        <x:v>不适用</x:v>
      </x:c>
      <x:c r="Q578" s="9" t="str">
        <x:v>主站页面自身承接</x:v>
      </x:c>
      <x:c r="R578" s="9" t="str">
        <x:v>核心品类词：主站优先，博客只做长尾解释，不直接抢同一词</x:v>
      </x:c>
      <x:c r="S578" s="9" t="str">
        <x:v>如果 Google 首页产品页和指南混合，主站页要加 FAQ、选购指南、对比模块。</x:v>
      </x:c>
      <x:c r="T578" s="38" t="n">
        <x:v>1</x:v>
      </x:c>
      <x:c r="U578" s="38" t="n">
        <x:v>15</x:v>
      </x:c>
      <x:c r="V578" s="38" t="n">
        <x:v>16</x:v>
      </x:c>
      <x:c r="W578" s="38" t="n">
        <x:v>8</x:v>
      </x:c>
      <x:c r="X578" s="38" t="n">
        <x:v>15</x:v>
      </x:c>
      <x:c r="Y578" s="38" t="n">
        <x:v>4</x:v>
      </x:c>
      <x:c r="Z578" s="38" t="n">
        <x:f>MAX(0,MIN(100,ROUND(((T578+U578+V578+W578+X578)-Y578)/85*100,0)))</x:f>
        <x:v>60</x:v>
      </x:c>
      <x:c r="AA578" s="9" t="str">
        <x:f>IF(L578="暂不做","P3 暂缓",IF(Z578&gt;=75,"P0 本周做",IF(Z578&gt;=60,"P1 近期做",IF(Z578&gt;=45,"P2 备选","P3 暂缓"))))</x:f>
        <x:v>P1 近期做</x:v>
      </x:c>
      <x:c r="AB578" s="9" t="str">
        <x:f>IF(Y578&gt;=15,"先做合规/相关性复核，不建议直接商业导流",IF(L578="主站","建/优化主站商业页",IF(L578="博客A-知识教程","写知识教程/FAQ文章",IF(L578="博客B-场景人群","写场景需求/选购指南文章",IF(L578="博客C-对比评测","写对比评测/榜单文章","暂不做或人工复核")))))</x:f>
        <x:v>建/优化主站商业页</x:v>
      </x:c>
      <x:c r="AC578" s="9" t="str">
        <x:v>Blog - ExDivo</x:v>
      </x:c>
      <x:c r="AD578" s="10" t="str">
        <x:v>48</x:v>
      </x:c>
    </x:row>
    <x:row r="579">
      <x:c r="A579" s="34" t="n">
        <x:v>579</x:v>
      </x:c>
      <x:c r="B579" s="9" t="str">
        <x:v>https://exdivo.com/blogs</x:v>
      </x:c>
      <x:c r="C579" s="9" t="str">
        <x:v>vape news</x:v>
      </x:c>
      <x:c r="D579" s="9" t="str">
        <x:v>recommended</x:v>
      </x:c>
      <x:c r="E579" s="36" t="n">
        <x:v>0</x:v>
      </x:c>
      <x:c r="F579" s="36" t="n">
        <x:v>0</x:v>
      </x:c>
      <x:c r="G579" s="9" t="str">
        <x:v>48</x:v>
      </x:c>
      <x:c r="H579" s="9" t="str">
        <x:v>General Vape</x:v>
      </x:c>
      <x:c r="I579" s="9" t="str">
        <x:v>品类承接词</x:v>
      </x:c>
      <x:c r="J579" s="9" t="str">
        <x:v>主站</x:v>
      </x:c>
      <x:c r="K579" s="9" t="str"/>
      <x:c r="L579" s="9" t="str">
        <x:f>IF(K579="",J579,K579)</x:f>
        <x:v>主站</x:v>
      </x:c>
      <x:c r="M579" s="9" t="str">
        <x:v>品类页/集合页 + FAQ内容块</x:v>
      </x:c>
      <x:c r="N579" s="9" t="str">
        <x:v>主站品类页：用产品集合 + 选购说明承接</x:v>
      </x:c>
      <x:c r="O579" s="9" t="str">
        <x:v>/collections/disposable-vapes</x:v>
      </x:c>
      <x:c r="P579" s="9" t="str">
        <x:v>不适用</x:v>
      </x:c>
      <x:c r="Q579" s="9" t="str">
        <x:v>主站页面自身承接</x:v>
      </x:c>
      <x:c r="R579" s="9" t="str">
        <x:v>核心品类词：主站优先，博客只做长尾解释，不直接抢同一词</x:v>
      </x:c>
      <x:c r="S579" s="9" t="str">
        <x:v>如果 Google 首页产品页和指南混合，主站页要加 FAQ、选购指南、对比模块。</x:v>
      </x:c>
      <x:c r="T579" s="38" t="n">
        <x:v>1</x:v>
      </x:c>
      <x:c r="U579" s="38" t="n">
        <x:v>15</x:v>
      </x:c>
      <x:c r="V579" s="38" t="n">
        <x:v>16</x:v>
      </x:c>
      <x:c r="W579" s="38" t="n">
        <x:v>8</x:v>
      </x:c>
      <x:c r="X579" s="38" t="n">
        <x:v>15</x:v>
      </x:c>
      <x:c r="Y579" s="38" t="n">
        <x:v>4</x:v>
      </x:c>
      <x:c r="Z579" s="38" t="n">
        <x:f>MAX(0,MIN(100,ROUND(((T579+U579+V579+W579+X579)-Y579)/85*100,0)))</x:f>
        <x:v>60</x:v>
      </x:c>
      <x:c r="AA579" s="9" t="str">
        <x:f>IF(L579="暂不做","P3 暂缓",IF(Z579&gt;=75,"P0 本周做",IF(Z579&gt;=60,"P1 近期做",IF(Z579&gt;=45,"P2 备选","P3 暂缓"))))</x:f>
        <x:v>P1 近期做</x:v>
      </x:c>
      <x:c r="AB579" s="9" t="str">
        <x:f>IF(Y579&gt;=15,"先做合规/相关性复核，不建议直接商业导流",IF(L579="主站","建/优化主站商业页",IF(L579="博客A-知识教程","写知识教程/FAQ文章",IF(L579="博客B-场景人群","写场景需求/选购指南文章",IF(L579="博客C-对比评测","写对比评测/榜单文章","暂不做或人工复核")))))</x:f>
        <x:v>建/优化主站商业页</x:v>
      </x:c>
      <x:c r="AC579" s="9" t="str">
        <x:v>Blog - ExDivo</x:v>
      </x:c>
      <x:c r="AD579" s="10" t="str">
        <x:v>48</x:v>
      </x:c>
    </x:row>
    <x:row r="580">
      <x:c r="A580" s="34" t="n">
        <x:v>580</x:v>
      </x:c>
      <x:c r="B580" s="9" t="str">
        <x:v>https://exdivo.com/comments/exdivo-flora-40k-disposable-vape_933ac4e7?writeComment=true</x:v>
      </x:c>
      <x:c r="C580" s="9" t="str">
        <x:v>disposable vape strawberry colada</x:v>
      </x:c>
      <x:c r="D580" s="9" t="str">
        <x:v>recommended</x:v>
      </x:c>
      <x:c r="E580" s="36" t="n">
        <x:v>0</x:v>
      </x:c>
      <x:c r="F580" s="36" t="n">
        <x:v>0</x:v>
      </x:c>
      <x:c r="G580" s="9" t="str">
        <x:v>48</x:v>
      </x:c>
      <x:c r="H580" s="9" t="str">
        <x:v>Disposable Vape</x:v>
      </x:c>
      <x:c r="I580" s="9" t="str">
        <x:v>内容词</x:v>
      </x:c>
      <x:c r="J580" s="9" t="str">
        <x:v>博客A-知识教程</x:v>
      </x:c>
      <x:c r="K580" s="9" t="str"/>
      <x:c r="L580" s="9" t="str">
        <x:f>IF(K580="",J580,K580)</x:f>
        <x:v>博客A-知识教程</x:v>
      </x:c>
      <x:c r="M580" s="9" t="str">
        <x:v>知识/教程文章</x:v>
      </x:c>
      <x:c r="N580" s="9" t="str">
        <x:v>Guide angle: explain disposable vape strawberry colada, answer common questions, and avoid sales-first writing</x:v>
      </x:c>
      <x:c r="O580" s="9" t="str">
        <x:v>/collections/disposable-vapes 或最接近的产品集合页</x:v>
      </x:c>
      <x:c r="P580" s="9" t="str">
        <x:v>谨慎</x:v>
      </x:c>
      <x:c r="Q580" s="9" t="str">
        <x:v>品牌词/自然句</x:v>
      </x:c>
      <x:c r="R580" s="9" t="str">
        <x:v>低风险：按常规内容质量和搜索意图校验</x:v>
      </x:c>
      <x:c r="S580" s="9" t="str">
        <x:v>先看 Google SERP：如果首页多数为产品集合页，改回主站；如果多数为教程/问答，保持博客。</x:v>
      </x:c>
      <x:c r="T580" s="38" t="n">
        <x:v>1</x:v>
      </x:c>
      <x:c r="U580" s="38" t="n">
        <x:v>15</x:v>
      </x:c>
      <x:c r="V580" s="38" t="n">
        <x:v>10</x:v>
      </x:c>
      <x:c r="W580" s="38" t="n">
        <x:v>12</x:v>
      </x:c>
      <x:c r="X580" s="38" t="n">
        <x:v>12</x:v>
      </x:c>
      <x:c r="Y580" s="38" t="n">
        <x:v>4</x:v>
      </x:c>
      <x:c r="Z580" s="38" t="n">
        <x:f>MAX(0,MIN(100,ROUND(((T580+U580+V580+W580+X580)-Y580)/85*100,0)))</x:f>
        <x:v>54</x:v>
      </x:c>
      <x:c r="AA580" s="9" t="str">
        <x:f>IF(L580="暂不做","P3 暂缓",IF(Z580&gt;=75,"P0 本周做",IF(Z580&gt;=60,"P1 近期做",IF(Z580&gt;=45,"P2 备选","P3 暂缓"))))</x:f>
        <x:v>P2 备选</x:v>
      </x:c>
      <x:c r="AB580" s="9" t="str">
        <x:f>IF(Y580&gt;=15,"先做合规/相关性复核，不建议直接商业导流",IF(L580="主站","建/优化主站商业页",IF(L580="博客A-知识教程","写知识教程/FAQ文章",IF(L580="博客B-场景人群","写场景需求/选购指南文章",IF(L580="博客C-对比评测","写对比评测/榜单文章","暂不做或人工复核")))))</x:f>
        <x:v>写知识教程/FAQ文章</x:v>
      </x:c>
      <x:c r="AC580" s="9" t="str">
        <x:v>Reviews - STRAWBERRY COLADA - ExDivo FLORA 40K Disposable Vape - ExDivo</x:v>
      </x:c>
      <x:c r="AD580" s="10" t="str">
        <x:v>48</x:v>
      </x:c>
    </x:row>
    <x:row r="581">
      <x:c r="A581" s="34" t="n">
        <x:v>581</x:v>
      </x:c>
      <x:c r="B581" s="9" t="str">
        <x:v>https://exdivo.com/comments/exdivo-flora-40k-disposable-vape_933ac4e7?writeComment=true</x:v>
      </x:c>
      <x:c r="C581" s="9" t="str">
        <x:v>flora 40k disposable vape strawberry colada</x:v>
      </x:c>
      <x:c r="D581" s="9" t="str">
        <x:v>recommended</x:v>
      </x:c>
      <x:c r="E581" s="36" t="n">
        <x:v>0</x:v>
      </x:c>
      <x:c r="F581" s="36" t="n">
        <x:v>0</x:v>
      </x:c>
      <x:c r="G581" s="9" t="str">
        <x:v>48</x:v>
      </x:c>
      <x:c r="H581" s="9" t="str">
        <x:v>Disposable Vape</x:v>
      </x:c>
      <x:c r="I581" s="9" t="str">
        <x:v>内容词</x:v>
      </x:c>
      <x:c r="J581" s="9" t="str">
        <x:v>博客A-知识教程</x:v>
      </x:c>
      <x:c r="K581" s="9" t="str"/>
      <x:c r="L581" s="9" t="str">
        <x:f>IF(K581="",J581,K581)</x:f>
        <x:v>博客A-知识教程</x:v>
      </x:c>
      <x:c r="M581" s="9" t="str">
        <x:v>知识/教程文章</x:v>
      </x:c>
      <x:c r="N581" s="9" t="str">
        <x:v>Guide angle: explain flora 40k disposable vape strawberry colada, answer common questions, and avoid sales-first writing</x:v>
      </x:c>
      <x:c r="O581" s="9" t="str">
        <x:v>/collections/disposable-vapes 或最接近的产品集合页</x:v>
      </x:c>
      <x:c r="P581" s="9" t="str">
        <x:v>谨慎</x:v>
      </x:c>
      <x:c r="Q581" s="9" t="str">
        <x:v>品牌词/自然句</x:v>
      </x:c>
      <x:c r="R581" s="9" t="str">
        <x:v>低风险：按常规内容质量和搜索意图校验</x:v>
      </x:c>
      <x:c r="S581" s="9" t="str">
        <x:v>先看 Google SERP：如果首页多数为产品集合页，改回主站；如果多数为教程/问答，保持博客。</x:v>
      </x:c>
      <x:c r="T581" s="38" t="n">
        <x:v>1</x:v>
      </x:c>
      <x:c r="U581" s="38" t="n">
        <x:v>15</x:v>
      </x:c>
      <x:c r="V581" s="38" t="n">
        <x:v>10</x:v>
      </x:c>
      <x:c r="W581" s="38" t="n">
        <x:v>12</x:v>
      </x:c>
      <x:c r="X581" s="38" t="n">
        <x:v>12</x:v>
      </x:c>
      <x:c r="Y581" s="38" t="n">
        <x:v>4</x:v>
      </x:c>
      <x:c r="Z581" s="38" t="n">
        <x:f>MAX(0,MIN(100,ROUND(((T581+U581+V581+W581+X581)-Y581)/85*100,0)))</x:f>
        <x:v>54</x:v>
      </x:c>
      <x:c r="AA581" s="9" t="str">
        <x:f>IF(L581="暂不做","P3 暂缓",IF(Z581&gt;=75,"P0 本周做",IF(Z581&gt;=60,"P1 近期做",IF(Z581&gt;=45,"P2 备选","P3 暂缓"))))</x:f>
        <x:v>P2 备选</x:v>
      </x:c>
      <x:c r="AB581" s="9" t="str">
        <x:f>IF(Y581&gt;=15,"先做合规/相关性复核，不建议直接商业导流",IF(L581="主站","建/优化主站商业页",IF(L581="博客A-知识教程","写知识教程/FAQ文章",IF(L581="博客B-场景人群","写场景需求/选购指南文章",IF(L581="博客C-对比评测","写对比评测/榜单文章","暂不做或人工复核")))))</x:f>
        <x:v>写知识教程/FAQ文章</x:v>
      </x:c>
      <x:c r="AC581" s="9" t="str">
        <x:v>Reviews - STRAWBERRY COLADA - ExDivo FLORA 40K Disposable Vape - ExDivo</x:v>
      </x:c>
      <x:c r="AD581" s="10" t="str">
        <x:v>48</x:v>
      </x:c>
    </x:row>
    <x:row r="582">
      <x:c r="A582" s="34" t="n">
        <x:v>582</x:v>
      </x:c>
      <x:c r="B582" s="9" t="str">
        <x:v>https://exdivo.com/collections/brightmirror/products/exdivo-bright-mirror-35k-replaceable-vape-kit_25244789?data_from=index_index&amp;spm=index_index..block_collection_slides-11702967.2.</x:v>
      </x:c>
      <x:c r="C582" s="9" t="str">
        <x:v>bright mirror vape kit</x:v>
      </x:c>
      <x:c r="D582" s="9" t="str">
        <x:v>recommended</x:v>
      </x:c>
      <x:c r="E582" s="36" t="n">
        <x:v>0</x:v>
      </x:c>
      <x:c r="F582" s="36" t="n">
        <x:v>0</x:v>
      </x:c>
      <x:c r="G582" s="9" t="str">
        <x:v>48</x:v>
      </x:c>
      <x:c r="H582" s="9" t="str">
        <x:v>General Vape</x:v>
      </x:c>
      <x:c r="I582" s="9" t="str">
        <x:v>内容词</x:v>
      </x:c>
      <x:c r="J582" s="9" t="str">
        <x:v>博客A-知识教程</x:v>
      </x:c>
      <x:c r="K582" s="9" t="str"/>
      <x:c r="L582" s="9" t="str">
        <x:f>IF(K582="",J582,K582)</x:f>
        <x:v>博客A-知识教程</x:v>
      </x:c>
      <x:c r="M582" s="9" t="str">
        <x:v>知识/教程文章</x:v>
      </x:c>
      <x:c r="N582" s="9" t="str">
        <x:v>Guide angle: explain bright mirror vape kit, answer common questions, and avoid sales-first writing</x:v>
      </x:c>
      <x:c r="O582" s="9" t="str">
        <x:v>/collections/disposable-vapes 或最接近的产品集合页</x:v>
      </x:c>
      <x:c r="P582" s="9" t="str">
        <x:v>谨慎</x:v>
      </x:c>
      <x:c r="Q582" s="9" t="str">
        <x:v>品牌词/自然句</x:v>
      </x:c>
      <x:c r="R582" s="9" t="str">
        <x:v>低风险：按常规内容质量和搜索意图校验</x:v>
      </x:c>
      <x:c r="S582" s="9" t="str">
        <x:v>先看 Google SERP：如果首页多数为产品集合页，改回主站；如果多数为教程/问答，保持博客。</x:v>
      </x:c>
      <x:c r="T582" s="38" t="n">
        <x:v>1</x:v>
      </x:c>
      <x:c r="U582" s="38" t="n">
        <x:v>15</x:v>
      </x:c>
      <x:c r="V582" s="38" t="n">
        <x:v>10</x:v>
      </x:c>
      <x:c r="W582" s="38" t="n">
        <x:v>12</x:v>
      </x:c>
      <x:c r="X582" s="38" t="n">
        <x:v>12</x:v>
      </x:c>
      <x:c r="Y582" s="38" t="n">
        <x:v>4</x:v>
      </x:c>
      <x:c r="Z582" s="38" t="n">
        <x:f>MAX(0,MIN(100,ROUND(((T582+U582+V582+W582+X582)-Y582)/85*100,0)))</x:f>
        <x:v>54</x:v>
      </x:c>
      <x:c r="AA582" s="9" t="str">
        <x:f>IF(L582="暂不做","P3 暂缓",IF(Z582&gt;=75,"P0 本周做",IF(Z582&gt;=60,"P1 近期做",IF(Z582&gt;=45,"P2 备选","P3 暂缓"))))</x:f>
        <x:v>P2 备选</x:v>
      </x:c>
      <x:c r="AB582" s="9" t="str">
        <x:f>IF(Y582&gt;=15,"先做合规/相关性复核，不建议直接商业导流",IF(L582="主站","建/优化主站商业页",IF(L582="博客A-知识教程","写知识教程/FAQ文章",IF(L582="博客B-场景人群","写场景需求/选购指南文章",IF(L582="博客C-对比评测","写对比评测/榜单文章","暂不做或人工复核")))))</x:f>
        <x:v>写知识教程/FAQ文章</x:v>
      </x:c>
      <x:c r="AC582" s="9" t="str">
        <x:v>ExDivo BRIGHT MIRROR 35K Replaceable VAPE kit</x:v>
      </x:c>
      <x:c r="AD582" s="10" t="str">
        <x:v>40000 puffs</x:v>
      </x:c>
    </x:row>
    <x:row r="583">
      <x:c r="A583" s="34" t="n">
        <x:v>583</x:v>
      </x:c>
      <x:c r="B583" s="9" t="str">
        <x:v>https://exdivo.com/collections/brightmirror/products/exdivo-bright-mirror-35k-replaceable-vape-kit_25244789?data_from=index_index&amp;spm=index_index..block_collection_slides-11702967.2.</x:v>
      </x:c>
      <x:c r="C583" s="9" t="str">
        <x:v>bright mirror 35k vape kit</x:v>
      </x:c>
      <x:c r="D583" s="9" t="str">
        <x:v>recommended</x:v>
      </x:c>
      <x:c r="E583" s="36" t="n">
        <x:v>0</x:v>
      </x:c>
      <x:c r="F583" s="36" t="n">
        <x:v>0</x:v>
      </x:c>
      <x:c r="G583" s="9" t="str">
        <x:v>48</x:v>
      </x:c>
      <x:c r="H583" s="9" t="str">
        <x:v>General Vape</x:v>
      </x:c>
      <x:c r="I583" s="9" t="str">
        <x:v>内容词</x:v>
      </x:c>
      <x:c r="J583" s="9" t="str">
        <x:v>博客A-知识教程</x:v>
      </x:c>
      <x:c r="K583" s="9" t="str"/>
      <x:c r="L583" s="9" t="str">
        <x:f>IF(K583="",J583,K583)</x:f>
        <x:v>博客A-知识教程</x:v>
      </x:c>
      <x:c r="M583" s="9" t="str">
        <x:v>知识/教程文章</x:v>
      </x:c>
      <x:c r="N583" s="9" t="str">
        <x:v>Guide angle: explain bright mirror 35k vape kit, answer common questions, and avoid sales-first writing</x:v>
      </x:c>
      <x:c r="O583" s="9" t="str">
        <x:v>/collections/disposable-vapes 或最接近的产品集合页</x:v>
      </x:c>
      <x:c r="P583" s="9" t="str">
        <x:v>谨慎</x:v>
      </x:c>
      <x:c r="Q583" s="9" t="str">
        <x:v>品牌词/自然句</x:v>
      </x:c>
      <x:c r="R583" s="9" t="str">
        <x:v>低风险：按常规内容质量和搜索意图校验</x:v>
      </x:c>
      <x:c r="S583" s="9" t="str">
        <x:v>先看 Google SERP：如果首页多数为产品集合页，改回主站；如果多数为教程/问答，保持博客。</x:v>
      </x:c>
      <x:c r="T583" s="38" t="n">
        <x:v>1</x:v>
      </x:c>
      <x:c r="U583" s="38" t="n">
        <x:v>15</x:v>
      </x:c>
      <x:c r="V583" s="38" t="n">
        <x:v>10</x:v>
      </x:c>
      <x:c r="W583" s="38" t="n">
        <x:v>12</x:v>
      </x:c>
      <x:c r="X583" s="38" t="n">
        <x:v>12</x:v>
      </x:c>
      <x:c r="Y583" s="38" t="n">
        <x:v>4</x:v>
      </x:c>
      <x:c r="Z583" s="38" t="n">
        <x:f>MAX(0,MIN(100,ROUND(((T583+U583+V583+W583+X583)-Y583)/85*100,0)))</x:f>
        <x:v>54</x:v>
      </x:c>
      <x:c r="AA583" s="9" t="str">
        <x:f>IF(L583="暂不做","P3 暂缓",IF(Z583&gt;=75,"P0 本周做",IF(Z583&gt;=60,"P1 近期做",IF(Z583&gt;=45,"P2 备选","P3 暂缓"))))</x:f>
        <x:v>P2 备选</x:v>
      </x:c>
      <x:c r="AB583" s="9" t="str">
        <x:f>IF(Y583&gt;=15,"先做合规/相关性复核，不建议直接商业导流",IF(L583="主站","建/优化主站商业页",IF(L583="博客A-知识教程","写知识教程/FAQ文章",IF(L583="博客B-场景人群","写场景需求/选购指南文章",IF(L583="博客C-对比评测","写对比评测/榜单文章","暂不做或人工复核")))))</x:f>
        <x:v>写知识教程/FAQ文章</x:v>
      </x:c>
      <x:c r="AC583" s="9" t="str">
        <x:v>ExDivo BRIGHT MIRROR 35K Replaceable VAPE kit</x:v>
      </x:c>
      <x:c r="AD583" s="10" t="str">
        <x:v>40000 puffs</x:v>
      </x:c>
    </x:row>
    <x:row r="584">
      <x:c r="A584" s="34" t="n">
        <x:v>584</x:v>
      </x:c>
      <x:c r="B584" s="9" t="str">
        <x:v>https://exdivo.com/collections/brightmirror/products/exdivo-bright-mirror-35k-replaceable-vape-kit_25244789?data_from=index_index&amp;spm=index_index..block_collection_slides-11702967.2.</x:v>
      </x:c>
      <x:c r="C584" s="9" t="str">
        <x:v>bright mirror vape</x:v>
      </x:c>
      <x:c r="D584" s="9" t="str">
        <x:v>recommended</x:v>
      </x:c>
      <x:c r="E584" s="36" t="n">
        <x:v>0</x:v>
      </x:c>
      <x:c r="F584" s="36" t="n">
        <x:v>0</x:v>
      </x:c>
      <x:c r="G584" s="9" t="str">
        <x:v>48</x:v>
      </x:c>
      <x:c r="H584" s="9" t="str">
        <x:v>General Vape</x:v>
      </x:c>
      <x:c r="I584" s="9" t="str">
        <x:v>品类承接词</x:v>
      </x:c>
      <x:c r="J584" s="9" t="str">
        <x:v>主站</x:v>
      </x:c>
      <x:c r="K584" s="9" t="str"/>
      <x:c r="L584" s="9" t="str">
        <x:f>IF(K584="",J584,K584)</x:f>
        <x:v>主站</x:v>
      </x:c>
      <x:c r="M584" s="9" t="str">
        <x:v>品类页/集合页 + FAQ内容块</x:v>
      </x:c>
      <x:c r="N584" s="9" t="str">
        <x:v>主站品类页：用产品集合 + 选购说明承接</x:v>
      </x:c>
      <x:c r="O584" s="9" t="str">
        <x:v>/collections/disposable-vapes</x:v>
      </x:c>
      <x:c r="P584" s="9" t="str">
        <x:v>不适用</x:v>
      </x:c>
      <x:c r="Q584" s="9" t="str">
        <x:v>主站页面自身承接</x:v>
      </x:c>
      <x:c r="R584" s="9" t="str">
        <x:v>核心品类词：主站优先，博客只做长尾解释，不直接抢同一词</x:v>
      </x:c>
      <x:c r="S584" s="9" t="str">
        <x:v>如果 Google 首页产品页和指南混合，主站页要加 FAQ、选购指南、对比模块。</x:v>
      </x:c>
      <x:c r="T584" s="38" t="n">
        <x:v>1</x:v>
      </x:c>
      <x:c r="U584" s="38" t="n">
        <x:v>15</x:v>
      </x:c>
      <x:c r="V584" s="38" t="n">
        <x:v>16</x:v>
      </x:c>
      <x:c r="W584" s="38" t="n">
        <x:v>8</x:v>
      </x:c>
      <x:c r="X584" s="38" t="n">
        <x:v>15</x:v>
      </x:c>
      <x:c r="Y584" s="38" t="n">
        <x:v>4</x:v>
      </x:c>
      <x:c r="Z584" s="38" t="n">
        <x:f>MAX(0,MIN(100,ROUND(((T584+U584+V584+W584+X584)-Y584)/85*100,0)))</x:f>
        <x:v>60</x:v>
      </x:c>
      <x:c r="AA584" s="9" t="str">
        <x:f>IF(L584="暂不做","P3 暂缓",IF(Z584&gt;=75,"P0 本周做",IF(Z584&gt;=60,"P1 近期做",IF(Z584&gt;=45,"P2 备选","P3 暂缓"))))</x:f>
        <x:v>P1 近期做</x:v>
      </x:c>
      <x:c r="AB584" s="9" t="str">
        <x:f>IF(Y584&gt;=15,"先做合规/相关性复核，不建议直接商业导流",IF(L584="主站","建/优化主站商业页",IF(L584="博客A-知识教程","写知识教程/FAQ文章",IF(L584="博客B-场景人群","写场景需求/选购指南文章",IF(L584="博客C-对比评测","写对比评测/榜单文章","暂不做或人工复核")))))</x:f>
        <x:v>建/优化主站商业页</x:v>
      </x:c>
      <x:c r="AC584" s="9" t="str">
        <x:v>ExDivo BRIGHT MIRROR 35K Replaceable VAPE kit</x:v>
      </x:c>
      <x:c r="AD584" s="10" t="str">
        <x:v>40000 puffs</x:v>
      </x:c>
    </x:row>
    <x:row r="585">
      <x:c r="A585" s="34" t="n">
        <x:v>585</x:v>
      </x:c>
      <x:c r="B585" s="9" t="str">
        <x:v>https://exdivo.com/collections/brightmirror/products/exdivo-bright-mirror-35k-replaceable-vape-kit_25244789?data_from=index_index&amp;spm=index_index..block_collection_slides-11702967.2.</x:v>
      </x:c>
      <x:c r="C585" s="9" t="str">
        <x:v>bright mirror 35k puffs</x:v>
      </x:c>
      <x:c r="D585" s="9" t="str">
        <x:v>recommended</x:v>
      </x:c>
      <x:c r="E585" s="36" t="n">
        <x:v>0</x:v>
      </x:c>
      <x:c r="F585" s="36" t="n">
        <x:v>0</x:v>
      </x:c>
      <x:c r="G585" s="9" t="str">
        <x:v>48</x:v>
      </x:c>
      <x:c r="H585" s="9" t="str">
        <x:v>General Vape</x:v>
      </x:c>
      <x:c r="I585" s="9" t="str">
        <x:v>弱相关词</x:v>
      </x:c>
      <x:c r="J585" s="9" t="str">
        <x:v>暂不做</x:v>
      </x:c>
      <x:c r="K585" s="9" t="str"/>
      <x:c r="L585" s="9" t="str">
        <x:f>IF(K585="",J585,K585)</x:f>
        <x:v>暂不做</x:v>
      </x:c>
      <x:c r="M585" s="9" t="str">
        <x:v>不建议建页</x:v>
      </x:c>
      <x:c r="N585" s="9" t="str">
        <x:v>不进入内容生产</x:v>
      </x:c>
      <x:c r="O585" s="9" t="str">
        <x:v>无</x:v>
      </x:c>
      <x:c r="P585" s="9" t="str">
        <x:v>否</x:v>
      </x:c>
      <x:c r="Q585" s="9" t="str">
        <x:v>不导流</x:v>
      </x:c>
      <x:c r="R585" s="9" t="str">
        <x:v>相关性弱：可能带来无效流量或偏离产品定位</x:v>
      </x:c>
      <x:c r="S585" s="9" t="str">
        <x:v>除非人工确认与核心产品强相关，否则不要进入内容排期。</x:v>
      </x:c>
      <x:c r="T585" s="38" t="n">
        <x:v>1</x:v>
      </x:c>
      <x:c r="U585" s="38" t="n">
        <x:v>15</x:v>
      </x:c>
      <x:c r="V585" s="38" t="n">
        <x:v>2</x:v>
      </x:c>
      <x:c r="W585" s="38" t="n">
        <x:v>3</x:v>
      </x:c>
      <x:c r="X585" s="38" t="n">
        <x:v>2</x:v>
      </x:c>
      <x:c r="Y585" s="38" t="n">
        <x:v>16</x:v>
      </x:c>
      <x:c r="Z585" s="38" t="n">
        <x:f>MAX(0,MIN(100,ROUND(((T585+U585+V585+W585+X585)-Y585)/85*100,0)))</x:f>
        <x:v>8</x:v>
      </x:c>
      <x:c r="AA585" s="9" t="str">
        <x:f>IF(L585="暂不做","P3 暂缓",IF(Z585&gt;=75,"P0 本周做",IF(Z585&gt;=60,"P1 近期做",IF(Z585&gt;=45,"P2 备选","P3 暂缓"))))</x:f>
        <x:v>P3 暂缓</x:v>
      </x:c>
      <x:c r="AB585" s="9" t="str">
        <x:f>IF(Y585&gt;=15,"先做合规/相关性复核，不建议直接商业导流",IF(L585="主站","建/优化主站商业页",IF(L585="博客A-知识教程","写知识教程/FAQ文章",IF(L585="博客B-场景人群","写场景需求/选购指南文章",IF(L585="博客C-对比评测","写对比评测/榜单文章","暂不做或人工复核")))))</x:f>
        <x:v>先做合规/相关性复核，不建议直接商业导流</x:v>
      </x:c>
      <x:c r="AC585" s="9" t="str">
        <x:v>ExDivo BRIGHT MIRROR 35K Replaceable VAPE kit</x:v>
      </x:c>
      <x:c r="AD585" s="10" t="str">
        <x:v>40000 puffs</x:v>
      </x:c>
    </x:row>
    <x:row r="586">
      <x:c r="A586" s="34" t="n">
        <x:v>586</x:v>
      </x:c>
      <x:c r="B586" s="9" t="str">
        <x:v>https://exdivo.com/comments/exdivo-bright-mirror-35k-replaceable-vape-kit_9fb2cea3?writeComment=true</x:v>
      </x:c>
      <x:c r="C586" s="9" t="str">
        <x:v>replaceable vape kit white gummy</x:v>
      </x:c>
      <x:c r="D586" s="9" t="str">
        <x:v>recommended</x:v>
      </x:c>
      <x:c r="E586" s="36" t="n">
        <x:v>0</x:v>
      </x:c>
      <x:c r="F586" s="36" t="n">
        <x:v>0</x:v>
      </x:c>
      <x:c r="G586" s="9" t="str">
        <x:v>48</x:v>
      </x:c>
      <x:c r="H586" s="9" t="str">
        <x:v>General Vape</x:v>
      </x:c>
      <x:c r="I586" s="9" t="str">
        <x:v>内容词</x:v>
      </x:c>
      <x:c r="J586" s="9" t="str">
        <x:v>博客A-知识教程</x:v>
      </x:c>
      <x:c r="K586" s="9" t="str"/>
      <x:c r="L586" s="9" t="str">
        <x:f>IF(K586="",J586,K586)</x:f>
        <x:v>博客A-知识教程</x:v>
      </x:c>
      <x:c r="M586" s="9" t="str">
        <x:v>知识/教程文章</x:v>
      </x:c>
      <x:c r="N586" s="9" t="str">
        <x:v>Guide angle: explain replaceable vape kit white gummy, answer common questions, and avoid sales-first writing</x:v>
      </x:c>
      <x:c r="O586" s="9" t="str">
        <x:v>/collections/disposable-vapes 或最接近的产品集合页</x:v>
      </x:c>
      <x:c r="P586" s="9" t="str">
        <x:v>谨慎</x:v>
      </x:c>
      <x:c r="Q586" s="9" t="str">
        <x:v>品牌词/自然句</x:v>
      </x:c>
      <x:c r="R586" s="9" t="str">
        <x:v>低风险：按常规内容质量和搜索意图校验</x:v>
      </x:c>
      <x:c r="S586" s="9" t="str">
        <x:v>先看 Google SERP：如果首页多数为产品集合页，改回主站；如果多数为教程/问答，保持博客。</x:v>
      </x:c>
      <x:c r="T586" s="38" t="n">
        <x:v>1</x:v>
      </x:c>
      <x:c r="U586" s="38" t="n">
        <x:v>15</x:v>
      </x:c>
      <x:c r="V586" s="38" t="n">
        <x:v>10</x:v>
      </x:c>
      <x:c r="W586" s="38" t="n">
        <x:v>12</x:v>
      </x:c>
      <x:c r="X586" s="38" t="n">
        <x:v>12</x:v>
      </x:c>
      <x:c r="Y586" s="38" t="n">
        <x:v>4</x:v>
      </x:c>
      <x:c r="Z586" s="38" t="n">
        <x:f>MAX(0,MIN(100,ROUND(((T586+U586+V586+W586+X586)-Y586)/85*100,0)))</x:f>
        <x:v>54</x:v>
      </x:c>
      <x:c r="AA586" s="9" t="str">
        <x:f>IF(L586="暂不做","P3 暂缓",IF(Z586&gt;=75,"P0 本周做",IF(Z586&gt;=60,"P1 近期做",IF(Z586&gt;=45,"P2 备选","P3 暂缓"))))</x:f>
        <x:v>P2 备选</x:v>
      </x:c>
      <x:c r="AB586" s="9" t="str">
        <x:f>IF(Y586&gt;=15,"先做合规/相关性复核，不建议直接商业导流",IF(L586="主站","建/优化主站商业页",IF(L586="博客A-知识教程","写知识教程/FAQ文章",IF(L586="博客B-场景人群","写场景需求/选购指南文章",IF(L586="博客C-对比评测","写对比评测/榜单文章","暂不做或人工复核")))))</x:f>
        <x:v>写知识教程/FAQ文章</x:v>
      </x:c>
      <x:c r="AC586" s="9" t="str">
        <x:v>Reviews - WHITE GUMMY - ExDivo BRIGHT MIRROR 35K Replaceable VAPE kit - ExDivo</x:v>
      </x:c>
      <x:c r="AD586" s="10" t="str">
        <x:v>48</x:v>
      </x:c>
    </x:row>
    <x:row r="587">
      <x:c r="A587" s="34" t="n">
        <x:v>587</x:v>
      </x:c>
      <x:c r="B587" s="9" t="str">
        <x:v>https://exdivo.com/comments/exdivo-bright-mirror-35k-replaceable-vape-kit_9fb2cea3?writeComment=true</x:v>
      </x:c>
      <x:c r="C587" s="9" t="str">
        <x:v>bright mirror white gummy</x:v>
      </x:c>
      <x:c r="D587" s="9" t="str">
        <x:v>recommended</x:v>
      </x:c>
      <x:c r="E587" s="36" t="n">
        <x:v>0</x:v>
      </x:c>
      <x:c r="F587" s="36" t="n">
        <x:v>0</x:v>
      </x:c>
      <x:c r="G587" s="9" t="str">
        <x:v>48</x:v>
      </x:c>
      <x:c r="H587" s="9" t="str">
        <x:v>General Vape</x:v>
      </x:c>
      <x:c r="I587" s="9" t="str">
        <x:v>弱相关词</x:v>
      </x:c>
      <x:c r="J587" s="9" t="str">
        <x:v>暂不做</x:v>
      </x:c>
      <x:c r="K587" s="9" t="str"/>
      <x:c r="L587" s="9" t="str">
        <x:f>IF(K587="",J587,K587)</x:f>
        <x:v>暂不做</x:v>
      </x:c>
      <x:c r="M587" s="9" t="str">
        <x:v>不建议建页</x:v>
      </x:c>
      <x:c r="N587" s="9" t="str">
        <x:v>不进入内容生产</x:v>
      </x:c>
      <x:c r="O587" s="9" t="str">
        <x:v>无</x:v>
      </x:c>
      <x:c r="P587" s="9" t="str">
        <x:v>否</x:v>
      </x:c>
      <x:c r="Q587" s="9" t="str">
        <x:v>不导流</x:v>
      </x:c>
      <x:c r="R587" s="9" t="str">
        <x:v>相关性弱：可能带来无效流量或偏离产品定位</x:v>
      </x:c>
      <x:c r="S587" s="9" t="str">
        <x:v>除非人工确认与核心产品强相关，否则不要进入内容排期。</x:v>
      </x:c>
      <x:c r="T587" s="38" t="n">
        <x:v>1</x:v>
      </x:c>
      <x:c r="U587" s="38" t="n">
        <x:v>15</x:v>
      </x:c>
      <x:c r="V587" s="38" t="n">
        <x:v>2</x:v>
      </x:c>
      <x:c r="W587" s="38" t="n">
        <x:v>3</x:v>
      </x:c>
      <x:c r="X587" s="38" t="n">
        <x:v>2</x:v>
      </x:c>
      <x:c r="Y587" s="38" t="n">
        <x:v>16</x:v>
      </x:c>
      <x:c r="Z587" s="38" t="n">
        <x:f>MAX(0,MIN(100,ROUND(((T587+U587+V587+W587+X587)-Y587)/85*100,0)))</x:f>
        <x:v>8</x:v>
      </x:c>
      <x:c r="AA587" s="9" t="str">
        <x:f>IF(L587="暂不做","P3 暂缓",IF(Z587&gt;=75,"P0 本周做",IF(Z587&gt;=60,"P1 近期做",IF(Z587&gt;=45,"P2 备选","P3 暂缓"))))</x:f>
        <x:v>P3 暂缓</x:v>
      </x:c>
      <x:c r="AB587" s="9" t="str">
        <x:f>IF(Y587&gt;=15,"先做合规/相关性复核，不建议直接商业导流",IF(L587="主站","建/优化主站商业页",IF(L587="博客A-知识教程","写知识教程/FAQ文章",IF(L587="博客B-场景人群","写场景需求/选购指南文章",IF(L587="博客C-对比评测","写对比评测/榜单文章","暂不做或人工复核")))))</x:f>
        <x:v>先做合规/相关性复核，不建议直接商业导流</x:v>
      </x:c>
      <x:c r="AC587" s="9" t="str">
        <x:v>Reviews - WHITE GUMMY - ExDivo BRIGHT MIRROR 35K Replaceable VAPE kit - ExDivo</x:v>
      </x:c>
      <x:c r="AD587" s="10" t="str">
        <x:v>48</x:v>
      </x:c>
    </x:row>
    <x:row r="588">
      <x:c r="A588" s="34" t="n">
        <x:v>588</x:v>
      </x:c>
      <x:c r="B588" s="9" t="str">
        <x:v>https://exdivo.com/blogs/top-exdivo-vape-flavors-you-must-try-in-2026?data_from=index_index</x:v>
      </x:c>
      <x:c r="C588" s="9" t="str">
        <x:v>best vape</x:v>
      </x:c>
      <x:c r="D588" s="9" t="str">
        <x:v>recommended</x:v>
      </x:c>
      <x:c r="E588" s="36" t="n">
        <x:v>8100</x:v>
      </x:c>
      <x:c r="F588" s="36" t="n">
        <x:v>30</x:v>
      </x:c>
      <x:c r="G588" s="9" t="str">
        <x:v>commercial</x:v>
      </x:c>
      <x:c r="H588" s="9" t="str">
        <x:v>对比评测</x:v>
      </x:c>
      <x:c r="I588" s="9" t="str">
        <x:v>商业调查词</x:v>
      </x:c>
      <x:c r="J588" s="9" t="str">
        <x:v>博客C-对比评测</x:v>
      </x:c>
      <x:c r="K588" s="9" t="str"/>
      <x:c r="L588" s="9" t="str">
        <x:f>IF(K588="",J588,K588)</x:f>
        <x:v>博客C-对比评测</x:v>
      </x:c>
      <x:c r="M588" s="9" t="str">
        <x:v>Best/Top/Review/VS/替代方案文章</x:v>
      </x:c>
      <x:c r="N588" s="9" t="str">
        <x:v>Best angle: best vape - comparison, pros/cons, and which option fits different buyers</x:v>
      </x:c>
      <x:c r="O588" s="9" t="str">
        <x:v>/collections/disposable-vapes</x:v>
      </x:c>
      <x:c r="P588" s="9" t="str">
        <x:v>是</x:v>
      </x:c>
      <x:c r="Q588" s="9" t="str">
        <x:v>自然句/品类词/品牌词</x:v>
      </x:c>
      <x:c r="R588" s="9" t="str">
        <x:v>中风险：榜单和评测必须真实、中立，避免夸大</x:v>
      </x:c>
      <x:c r="S588" s="9" t="str">
        <x:v>这类词不直接给主站，先用博客C教育和比较，再导流到最相关集合页。</x:v>
      </x:c>
      <x:c r="T588" s="38" t="n">
        <x:v>16</x:v>
      </x:c>
      <x:c r="U588" s="38" t="n">
        <x:v>12</x:v>
      </x:c>
      <x:c r="V588" s="38" t="n">
        <x:v>16</x:v>
      </x:c>
      <x:c r="W588" s="38" t="n">
        <x:v>15</x:v>
      </x:c>
      <x:c r="X588" s="38" t="n">
        <x:v>13</x:v>
      </x:c>
      <x:c r="Y588" s="38" t="n">
        <x:v>6</x:v>
      </x:c>
      <x:c r="Z588" s="38" t="n">
        <x:f>MAX(0,MIN(100,ROUND(((T588+U588+V588+W588+X588)-Y588)/85*100,0)))</x:f>
        <x:v>78</x:v>
      </x:c>
      <x:c r="AA588" s="9" t="str">
        <x:f>IF(L588="暂不做","P3 暂缓",IF(Z588&gt;=75,"P0 本周做",IF(Z588&gt;=60,"P1 近期做",IF(Z588&gt;=45,"P2 备选","P3 暂缓"))))</x:f>
        <x:v>P0 本周做</x:v>
      </x:c>
      <x:c r="AB588" s="9" t="str">
        <x:f>IF(Y588&gt;=15,"先做合规/相关性复核，不建议直接商业导流",IF(L588="主站","建/优化主站商业页",IF(L588="博客A-知识教程","写知识教程/FAQ文章",IF(L588="博客B-场景人群","写场景需求/选购指南文章",IF(L588="博客C-对比评测","写对比评测/榜单文章","暂不做或人工复核")))))</x:f>
        <x:v>写对比评测/榜单文章</x:v>
      </x:c>
      <x:c r="AC588" s="9" t="str">
        <x:v>Top EXDIVO Vape Flavors You Must Try in 2026 - ExDivo</x:v>
      </x:c>
      <x:c r="AD588" s="10" t="str">
        <x:v>top exdivo vape flavors you must try in 2026</x:v>
      </x:c>
    </x:row>
    <x:row r="589">
      <x:c r="A589" s="34" t="n">
        <x:v>589</x:v>
      </x:c>
      <x:c r="B589" s="9" t="str">
        <x:v>https://exdivo.com/blogs/top-exdivo-vape-flavors-you-must-try-in-2026?data_from=index_index</x:v>
      </x:c>
      <x:c r="C589" s="9" t="str">
        <x:v>best vape flavors</x:v>
      </x:c>
      <x:c r="D589" s="9" t="str">
        <x:v>recommended</x:v>
      </x:c>
      <x:c r="E589" s="36" t="n">
        <x:v>2900</x:v>
      </x:c>
      <x:c r="F589" s="36" t="n">
        <x:v>21</x:v>
      </x:c>
      <x:c r="G589" s="9" t="str">
        <x:v>commercial</x:v>
      </x:c>
      <x:c r="H589" s="9" t="str">
        <x:v>Flavor / 口味</x:v>
      </x:c>
      <x:c r="I589" s="9" t="str">
        <x:v>商业调查词</x:v>
      </x:c>
      <x:c r="J589" s="9" t="str">
        <x:v>博客C-对比评测</x:v>
      </x:c>
      <x:c r="K589" s="9" t="str"/>
      <x:c r="L589" s="9" t="str">
        <x:f>IF(K589="",J589,K589)</x:f>
        <x:v>博客C-对比评测</x:v>
      </x:c>
      <x:c r="M589" s="9" t="str">
        <x:v>Best/Top/Review/VS/替代方案文章</x:v>
      </x:c>
      <x:c r="N589" s="9" t="str">
        <x:v>Best angle: best vape flavors - comparison, pros/cons, and which option fits different buyers</x:v>
      </x:c>
      <x:c r="O589" s="9" t="str">
        <x:v>/collections/flavored-disposable-vapes</x:v>
      </x:c>
      <x:c r="P589" s="9" t="str">
        <x:v>是</x:v>
      </x:c>
      <x:c r="Q589" s="9" t="str">
        <x:v>自然句/品类词/品牌词</x:v>
      </x:c>
      <x:c r="R589" s="9" t="str">
        <x:v>中风险：榜单和评测必须真实、中立，避免夸大</x:v>
      </x:c>
      <x:c r="S589" s="9" t="str">
        <x:v>这类词不直接给主站，先用博客C教育和比较，再导流到最相关集合页。</x:v>
      </x:c>
      <x:c r="T589" s="38" t="n">
        <x:v>13</x:v>
      </x:c>
      <x:c r="U589" s="38" t="n">
        <x:v>12</x:v>
      </x:c>
      <x:c r="V589" s="38" t="n">
        <x:v>16</x:v>
      </x:c>
      <x:c r="W589" s="38" t="n">
        <x:v>15</x:v>
      </x:c>
      <x:c r="X589" s="38" t="n">
        <x:v>13</x:v>
      </x:c>
      <x:c r="Y589" s="38" t="n">
        <x:v>6</x:v>
      </x:c>
      <x:c r="Z589" s="38" t="n">
        <x:f>MAX(0,MIN(100,ROUND(((T589+U589+V589+W589+X589)-Y589)/85*100,0)))</x:f>
        <x:v>74</x:v>
      </x:c>
      <x:c r="AA589" s="9" t="str">
        <x:f>IF(L589="暂不做","P3 暂缓",IF(Z589&gt;=75,"P0 本周做",IF(Z589&gt;=60,"P1 近期做",IF(Z589&gt;=45,"P2 备选","P3 暂缓"))))</x:f>
        <x:v>P1 近期做</x:v>
      </x:c>
      <x:c r="AB589" s="9" t="str">
        <x:f>IF(Y589&gt;=15,"先做合规/相关性复核，不建议直接商业导流",IF(L589="主站","建/优化主站商业页",IF(L589="博客A-知识教程","写知识教程/FAQ文章",IF(L589="博客B-场景人群","写场景需求/选购指南文章",IF(L589="博客C-对比评测","写对比评测/榜单文章","暂不做或人工复核")))))</x:f>
        <x:v>写对比评测/榜单文章</x:v>
      </x:c>
      <x:c r="AC589" s="9" t="str">
        <x:v>Top EXDIVO Vape Flavors You Must Try in 2026 - ExDivo</x:v>
      </x:c>
      <x:c r="AD589" s="10" t="str">
        <x:v>top exdivo vape flavors you must try in 2026</x:v>
      </x:c>
    </x:row>
    <x:row r="590">
      <x:c r="A590" s="34" t="n">
        <x:v>590</x:v>
      </x:c>
      <x:c r="B590" s="9" t="str">
        <x:v>https://exdivo.com/blogs/top-exdivo-vape-flavors-you-must-try-in-2026?data_from=index_index</x:v>
      </x:c>
      <x:c r="C590" s="9" t="str">
        <x:v>best vape juice flavors</x:v>
      </x:c>
      <x:c r="D590" s="9" t="str">
        <x:v>recommended</x:v>
      </x:c>
      <x:c r="E590" s="36" t="n">
        <x:v>390</x:v>
      </x:c>
      <x:c r="F590" s="36" t="n">
        <x:v>23</x:v>
      </x:c>
      <x:c r="G590" s="9" t="str">
        <x:v>commercial</x:v>
      </x:c>
      <x:c r="H590" s="9" t="str">
        <x:v>Flavor / 口味</x:v>
      </x:c>
      <x:c r="I590" s="9" t="str">
        <x:v>商业调查词</x:v>
      </x:c>
      <x:c r="J590" s="9" t="str">
        <x:v>博客C-对比评测</x:v>
      </x:c>
      <x:c r="K590" s="9" t="str"/>
      <x:c r="L590" s="9" t="str">
        <x:f>IF(K590="",J590,K590)</x:f>
        <x:v>博客C-对比评测</x:v>
      </x:c>
      <x:c r="M590" s="9" t="str">
        <x:v>Best/Top/Review/VS/替代方案文章</x:v>
      </x:c>
      <x:c r="N590" s="9" t="str">
        <x:v>Best angle: best vape juice flavors - comparison, pros/cons, and which option fits different buyers</x:v>
      </x:c>
      <x:c r="O590" s="9" t="str">
        <x:v>/collections/flavored-disposable-vapes</x:v>
      </x:c>
      <x:c r="P590" s="9" t="str">
        <x:v>是</x:v>
      </x:c>
      <x:c r="Q590" s="9" t="str">
        <x:v>自然句/品类词/品牌词</x:v>
      </x:c>
      <x:c r="R590" s="9" t="str">
        <x:v>中风险：榜单和评测必须真实、中立，避免夸大</x:v>
      </x:c>
      <x:c r="S590" s="9" t="str">
        <x:v>这类词不直接给主站，先用博客C教育和比较，再导流到最相关集合页。</x:v>
      </x:c>
      <x:c r="T590" s="38" t="n">
        <x:v>7</x:v>
      </x:c>
      <x:c r="U590" s="38" t="n">
        <x:v>12</x:v>
      </x:c>
      <x:c r="V590" s="38" t="n">
        <x:v>16</x:v>
      </x:c>
      <x:c r="W590" s="38" t="n">
        <x:v>15</x:v>
      </x:c>
      <x:c r="X590" s="38" t="n">
        <x:v>13</x:v>
      </x:c>
      <x:c r="Y590" s="38" t="n">
        <x:v>6</x:v>
      </x:c>
      <x:c r="Z590" s="38" t="n">
        <x:f>MAX(0,MIN(100,ROUND(((T590+U590+V590+W590+X590)-Y590)/85*100,0)))</x:f>
        <x:v>67</x:v>
      </x:c>
      <x:c r="AA590" s="9" t="str">
        <x:f>IF(L590="暂不做","P3 暂缓",IF(Z590&gt;=75,"P0 本周做",IF(Z590&gt;=60,"P1 近期做",IF(Z590&gt;=45,"P2 备选","P3 暂缓"))))</x:f>
        <x:v>P1 近期做</x:v>
      </x:c>
      <x:c r="AB590" s="9" t="str">
        <x:f>IF(Y590&gt;=15,"先做合规/相关性复核，不建议直接商业导流",IF(L590="主站","建/优化主站商业页",IF(L590="博客A-知识教程","写知识教程/FAQ文章",IF(L590="博客B-场景人群","写场景需求/选购指南文章",IF(L590="博客C-对比评测","写对比评测/榜单文章","暂不做或人工复核")))))</x:f>
        <x:v>写对比评测/榜单文章</x:v>
      </x:c>
      <x:c r="AC590" s="9" t="str">
        <x:v>Top EXDIVO Vape Flavors You Must Try in 2026 - ExDivo</x:v>
      </x:c>
      <x:c r="AD590" s="10" t="str">
        <x:v>top exdivo vape flavors you must try in 2026</x:v>
      </x:c>
    </x:row>
    <x:row r="591">
      <x:c r="A591" s="34" t="n">
        <x:v>591</x:v>
      </x:c>
      <x:c r="B591" s="9" t="str">
        <x:v>https://exdivo.com/blogs/top-exdivo-vape-flavors-you-must-try-in-2026?data_from=index_index</x:v>
      </x:c>
      <x:c r="C591" s="9" t="str">
        <x:v>best vape juice brands</x:v>
      </x:c>
      <x:c r="D591" s="9" t="str">
        <x:v>recommended</x:v>
      </x:c>
      <x:c r="E591" s="36" t="n">
        <x:v>880</x:v>
      </x:c>
      <x:c r="F591" s="36" t="n">
        <x:v>9</x:v>
      </x:c>
      <x:c r="G591" s="9" t="str">
        <x:v>commercial</x:v>
      </x:c>
      <x:c r="H591" s="9" t="str">
        <x:v>对比评测</x:v>
      </x:c>
      <x:c r="I591" s="9" t="str">
        <x:v>商业调查词</x:v>
      </x:c>
      <x:c r="J591" s="9" t="str">
        <x:v>博客C-对比评测</x:v>
      </x:c>
      <x:c r="K591" s="9" t="str"/>
      <x:c r="L591" s="9" t="str">
        <x:f>IF(K591="",J591,K591)</x:f>
        <x:v>博客C-对比评测</x:v>
      </x:c>
      <x:c r="M591" s="9" t="str">
        <x:v>Best/Top/Review/VS/替代方案文章</x:v>
      </x:c>
      <x:c r="N591" s="9" t="str">
        <x:v>Best angle: best vape juice brands - comparison, pros/cons, and which option fits different buyers</x:v>
      </x:c>
      <x:c r="O591" s="9" t="str">
        <x:v>/collections/disposable-vapes</x:v>
      </x:c>
      <x:c r="P591" s="9" t="str">
        <x:v>是</x:v>
      </x:c>
      <x:c r="Q591" s="9" t="str">
        <x:v>自然句/品类词/品牌词</x:v>
      </x:c>
      <x:c r="R591" s="9" t="str">
        <x:v>中风险：榜单和评测必须真实、中立，避免夸大</x:v>
      </x:c>
      <x:c r="S591" s="9" t="str">
        <x:v>这类词不直接给主站，先用博客C教育和比较，再导流到最相关集合页。</x:v>
      </x:c>
      <x:c r="T591" s="38" t="n">
        <x:v>10</x:v>
      </x:c>
      <x:c r="U591" s="38" t="n">
        <x:v>15</x:v>
      </x:c>
      <x:c r="V591" s="38" t="n">
        <x:v>16</x:v>
      </x:c>
      <x:c r="W591" s="38" t="n">
        <x:v>15</x:v>
      </x:c>
      <x:c r="X591" s="38" t="n">
        <x:v>13</x:v>
      </x:c>
      <x:c r="Y591" s="38" t="n">
        <x:v>6</x:v>
      </x:c>
      <x:c r="Z591" s="38" t="n">
        <x:f>MAX(0,MIN(100,ROUND(((T591+U591+V591+W591+X591)-Y591)/85*100,0)))</x:f>
        <x:v>74</x:v>
      </x:c>
      <x:c r="AA591" s="9" t="str">
        <x:f>IF(L591="暂不做","P3 暂缓",IF(Z591&gt;=75,"P0 本周做",IF(Z591&gt;=60,"P1 近期做",IF(Z591&gt;=45,"P2 备选","P3 暂缓"))))</x:f>
        <x:v>P1 近期做</x:v>
      </x:c>
      <x:c r="AB591" s="9" t="str">
        <x:f>IF(Y591&gt;=15,"先做合规/相关性复核，不建议直接商业导流",IF(L591="主站","建/优化主站商业页",IF(L591="博客A-知识教程","写知识教程/FAQ文章",IF(L591="博客B-场景人群","写场景需求/选购指南文章",IF(L591="博客C-对比评测","写对比评测/榜单文章","暂不做或人工复核")))))</x:f>
        <x:v>写对比评测/榜单文章</x:v>
      </x:c>
      <x:c r="AC591" s="9" t="str">
        <x:v>Top EXDIVO Vape Flavors You Must Try in 2026 - ExDivo</x:v>
      </x:c>
      <x:c r="AD591" s="10" t="str">
        <x:v>top exdivo vape flavors you must try in 2026</x:v>
      </x:c>
    </x:row>
    <x:row r="592">
      <x:c r="A592" s="34" t="n">
        <x:v>592</x:v>
      </x:c>
      <x:c r="B592" s="9" t="str">
        <x:v>https://exdivo.com/blogs/top-exdivo-vape-flavors-you-must-try-in-2026?data_from=index_index</x:v>
      </x:c>
      <x:c r="C592" s="9" t="str">
        <x:v>best tasting vapes</x:v>
      </x:c>
      <x:c r="D592" s="9" t="str">
        <x:v>recommended</x:v>
      </x:c>
      <x:c r="E592" s="36" t="n">
        <x:v>170</x:v>
      </x:c>
      <x:c r="F592" s="36" t="n">
        <x:v>20</x:v>
      </x:c>
      <x:c r="G592" s="9" t="str">
        <x:v>commercial</x:v>
      </x:c>
      <x:c r="H592" s="9" t="str">
        <x:v>对比评测</x:v>
      </x:c>
      <x:c r="I592" s="9" t="str">
        <x:v>商业调查词</x:v>
      </x:c>
      <x:c r="J592" s="9" t="str">
        <x:v>博客C-对比评测</x:v>
      </x:c>
      <x:c r="K592" s="9" t="str"/>
      <x:c r="L592" s="9" t="str">
        <x:f>IF(K592="",J592,K592)</x:f>
        <x:v>博客C-对比评测</x:v>
      </x:c>
      <x:c r="M592" s="9" t="str">
        <x:v>Best/Top/Review/VS/替代方案文章</x:v>
      </x:c>
      <x:c r="N592" s="9" t="str">
        <x:v>Best angle: best tasting vapes - comparison, pros/cons, and which option fits different buyers</x:v>
      </x:c>
      <x:c r="O592" s="9" t="str">
        <x:v>/collections/disposable-vapes</x:v>
      </x:c>
      <x:c r="P592" s="9" t="str">
        <x:v>是</x:v>
      </x:c>
      <x:c r="Q592" s="9" t="str">
        <x:v>自然句/品类词/品牌词</x:v>
      </x:c>
      <x:c r="R592" s="9" t="str">
        <x:v>中风险：榜单和评测必须真实、中立，避免夸大</x:v>
      </x:c>
      <x:c r="S592" s="9" t="str">
        <x:v>这类词不直接给主站，先用博客C教育和比较，再导流到最相关集合页。</x:v>
      </x:c>
      <x:c r="T592" s="38" t="n">
        <x:v>7</x:v>
      </x:c>
      <x:c r="U592" s="38" t="n">
        <x:v>12</x:v>
      </x:c>
      <x:c r="V592" s="38" t="n">
        <x:v>16</x:v>
      </x:c>
      <x:c r="W592" s="38" t="n">
        <x:v>15</x:v>
      </x:c>
      <x:c r="X592" s="38" t="n">
        <x:v>13</x:v>
      </x:c>
      <x:c r="Y592" s="38" t="n">
        <x:v>6</x:v>
      </x:c>
      <x:c r="Z592" s="38" t="n">
        <x:f>MAX(0,MIN(100,ROUND(((T592+U592+V592+W592+X592)-Y592)/85*100,0)))</x:f>
        <x:v>67</x:v>
      </x:c>
      <x:c r="AA592" s="9" t="str">
        <x:f>IF(L592="暂不做","P3 暂缓",IF(Z592&gt;=75,"P0 本周做",IF(Z592&gt;=60,"P1 近期做",IF(Z592&gt;=45,"P2 备选","P3 暂缓"))))</x:f>
        <x:v>P1 近期做</x:v>
      </x:c>
      <x:c r="AB592" s="9" t="str">
        <x:f>IF(Y592&gt;=15,"先做合规/相关性复核，不建议直接商业导流",IF(L592="主站","建/优化主站商业页",IF(L592="博客A-知识教程","写知识教程/FAQ文章",IF(L592="博客B-场景人群","写场景需求/选购指南文章",IF(L592="博客C-对比评测","写对比评测/榜单文章","暂不做或人工复核")))))</x:f>
        <x:v>写对比评测/榜单文章</x:v>
      </x:c>
      <x:c r="AC592" s="9" t="str">
        <x:v>Top EXDIVO Vape Flavors You Must Try in 2026 - ExDivo</x:v>
      </x:c>
      <x:c r="AD592" s="10" t="str">
        <x:v>top exdivo vape flavors you must try in 2026</x:v>
      </x:c>
    </x:row>
    <x:row r="593">
      <x:c r="A593" s="34" t="n">
        <x:v>593</x:v>
      </x:c>
      <x:c r="B593" s="9" t="str">
        <x:v>https://exdivo.com/blogs/top-exdivo-vape-flavors-you-must-try-in-2026?data_from=index_index</x:v>
      </x:c>
      <x:c r="C593" s="9" t="str">
        <x:v>what is the best vape</x:v>
      </x:c>
      <x:c r="D593" s="9" t="str">
        <x:v>recommended</x:v>
      </x:c>
      <x:c r="E593" s="36" t="n">
        <x:v>390</x:v>
      </x:c>
      <x:c r="F593" s="36" t="n">
        <x:v>15</x:v>
      </x:c>
      <x:c r="G593" s="9" t="str">
        <x:v>commercial</x:v>
      </x:c>
      <x:c r="H593" s="9" t="str">
        <x:v>对比评测</x:v>
      </x:c>
      <x:c r="I593" s="9" t="str">
        <x:v>商业调查词</x:v>
      </x:c>
      <x:c r="J593" s="9" t="str">
        <x:v>博客C-对比评测</x:v>
      </x:c>
      <x:c r="K593" s="9" t="str"/>
      <x:c r="L593" s="9" t="str">
        <x:f>IF(K593="",J593,K593)</x:f>
        <x:v>博客C-对比评测</x:v>
      </x:c>
      <x:c r="M593" s="9" t="str">
        <x:v>Best/Top/Review/VS/替代方案文章</x:v>
      </x:c>
      <x:c r="N593" s="9" t="str">
        <x:v>Best angle: what is the best vape - comparison, pros/cons, and which option fits different buyers</x:v>
      </x:c>
      <x:c r="O593" s="9" t="str">
        <x:v>/collections/disposable-vapes</x:v>
      </x:c>
      <x:c r="P593" s="9" t="str">
        <x:v>是</x:v>
      </x:c>
      <x:c r="Q593" s="9" t="str">
        <x:v>自然句/品类词/品牌词</x:v>
      </x:c>
      <x:c r="R593" s="9" t="str">
        <x:v>中风险：榜单和评测必须真实、中立，避免夸大</x:v>
      </x:c>
      <x:c r="S593" s="9" t="str">
        <x:v>这类词不直接给主站，先用博客C教育和比较，再导流到最相关集合页。</x:v>
      </x:c>
      <x:c r="T593" s="38" t="n">
        <x:v>7</x:v>
      </x:c>
      <x:c r="U593" s="38" t="n">
        <x:v>15</x:v>
      </x:c>
      <x:c r="V593" s="38" t="n">
        <x:v>16</x:v>
      </x:c>
      <x:c r="W593" s="38" t="n">
        <x:v>15</x:v>
      </x:c>
      <x:c r="X593" s="38" t="n">
        <x:v>13</x:v>
      </x:c>
      <x:c r="Y593" s="38" t="n">
        <x:v>6</x:v>
      </x:c>
      <x:c r="Z593" s="38" t="n">
        <x:f>MAX(0,MIN(100,ROUND(((T593+U593+V593+W593+X593)-Y593)/85*100,0)))</x:f>
        <x:v>71</x:v>
      </x:c>
      <x:c r="AA593" s="9" t="str">
        <x:f>IF(L593="暂不做","P3 暂缓",IF(Z593&gt;=75,"P0 本周做",IF(Z593&gt;=60,"P1 近期做",IF(Z593&gt;=45,"P2 备选","P3 暂缓"))))</x:f>
        <x:v>P1 近期做</x:v>
      </x:c>
      <x:c r="AB593" s="9" t="str">
        <x:f>IF(Y593&gt;=15,"先做合规/相关性复核，不建议直接商业导流",IF(L593="主站","建/优化主站商业页",IF(L593="博客A-知识教程","写知识教程/FAQ文章",IF(L593="博客B-场景人群","写场景需求/选购指南文章",IF(L593="博客C-对比评测","写对比评测/榜单文章","暂不做或人工复核")))))</x:f>
        <x:v>写对比评测/榜单文章</x:v>
      </x:c>
      <x:c r="AC593" s="9" t="str">
        <x:v>Top EXDIVO Vape Flavors You Must Try in 2026 - ExDivo</x:v>
      </x:c>
      <x:c r="AD593" s="10" t="str">
        <x:v>top exdivo vape flavors you must try in 2026</x:v>
      </x:c>
    </x:row>
    <x:row r="594">
      <x:c r="A594" s="34" t="n">
        <x:v>594</x:v>
      </x:c>
      <x:c r="B594" s="9" t="str">
        <x:v>https://exdivo.com/blogs/top-exdivo-vape-flavors-you-must-try-in-2026?data_from=index_index</x:v>
      </x:c>
      <x:c r="C594" s="9" t="str">
        <x:v>best tasting vape juice</x:v>
      </x:c>
      <x:c r="D594" s="9" t="str">
        <x:v>recommended</x:v>
      </x:c>
      <x:c r="E594" s="36" t="n">
        <x:v>140</x:v>
      </x:c>
      <x:c r="F594" s="36" t="n">
        <x:v>17</x:v>
      </x:c>
      <x:c r="G594" s="9" t="str">
        <x:v>commercial</x:v>
      </x:c>
      <x:c r="H594" s="9" t="str">
        <x:v>对比评测</x:v>
      </x:c>
      <x:c r="I594" s="9" t="str">
        <x:v>商业调查词</x:v>
      </x:c>
      <x:c r="J594" s="9" t="str">
        <x:v>博客C-对比评测</x:v>
      </x:c>
      <x:c r="K594" s="9" t="str"/>
      <x:c r="L594" s="9" t="str">
        <x:f>IF(K594="",J594,K594)</x:f>
        <x:v>博客C-对比评测</x:v>
      </x:c>
      <x:c r="M594" s="9" t="str">
        <x:v>Best/Top/Review/VS/替代方案文章</x:v>
      </x:c>
      <x:c r="N594" s="9" t="str">
        <x:v>Best angle: best tasting vape juice - comparison, pros/cons, and which option fits different buyers</x:v>
      </x:c>
      <x:c r="O594" s="9" t="str">
        <x:v>/collections/disposable-vapes</x:v>
      </x:c>
      <x:c r="P594" s="9" t="str">
        <x:v>是</x:v>
      </x:c>
      <x:c r="Q594" s="9" t="str">
        <x:v>自然句/品类词/品牌词</x:v>
      </x:c>
      <x:c r="R594" s="9" t="str">
        <x:v>中风险：榜单和评测必须真实、中立，避免夸大</x:v>
      </x:c>
      <x:c r="S594" s="9" t="str">
        <x:v>这类词不直接给主站，先用博客C教育和比较，再导流到最相关集合页。</x:v>
      </x:c>
      <x:c r="T594" s="38" t="n">
        <x:v>7</x:v>
      </x:c>
      <x:c r="U594" s="38" t="n">
        <x:v>12</x:v>
      </x:c>
      <x:c r="V594" s="38" t="n">
        <x:v>16</x:v>
      </x:c>
      <x:c r="W594" s="38" t="n">
        <x:v>15</x:v>
      </x:c>
      <x:c r="X594" s="38" t="n">
        <x:v>13</x:v>
      </x:c>
      <x:c r="Y594" s="38" t="n">
        <x:v>6</x:v>
      </x:c>
      <x:c r="Z594" s="38" t="n">
        <x:f>MAX(0,MIN(100,ROUND(((T594+U594+V594+W594+X594)-Y594)/85*100,0)))</x:f>
        <x:v>67</x:v>
      </x:c>
      <x:c r="AA594" s="9" t="str">
        <x:f>IF(L594="暂不做","P3 暂缓",IF(Z594&gt;=75,"P0 本周做",IF(Z594&gt;=60,"P1 近期做",IF(Z594&gt;=45,"P2 备选","P3 暂缓"))))</x:f>
        <x:v>P1 近期做</x:v>
      </x:c>
      <x:c r="AB594" s="9" t="str">
        <x:f>IF(Y594&gt;=15,"先做合规/相关性复核，不建议直接商业导流",IF(L594="主站","建/优化主站商业页",IF(L594="博客A-知识教程","写知识教程/FAQ文章",IF(L594="博客B-场景人群","写场景需求/选购指南文章",IF(L594="博客C-对比评测","写对比评测/榜单文章","暂不做或人工复核")))))</x:f>
        <x:v>写对比评测/榜单文章</x:v>
      </x:c>
      <x:c r="AC594" s="9" t="str">
        <x:v>Top EXDIVO Vape Flavors You Must Try in 2026 - ExDivo</x:v>
      </x:c>
      <x:c r="AD594" s="10" t="str">
        <x:v>top exdivo vape flavors you must try in 2026</x:v>
      </x:c>
    </x:row>
    <x:row r="595">
      <x:c r="A595" s="34" t="n">
        <x:v>595</x:v>
      </x:c>
      <x:c r="B595" s="9" t="str">
        <x:v>https://exdivo.com/blogs/top-exdivo-vape-flavors-you-must-try-in-2026?data_from=index_index</x:v>
      </x:c>
      <x:c r="C595" s="9" t="str">
        <x:v>best vape for flavour</x:v>
      </x:c>
      <x:c r="D595" s="9" t="str">
        <x:v>recommended</x:v>
      </x:c>
      <x:c r="E595" s="36" t="n">
        <x:v>110</x:v>
      </x:c>
      <x:c r="F595" s="36" t="n">
        <x:v>13</x:v>
      </x:c>
      <x:c r="G595" s="9" t="str">
        <x:v>commercial</x:v>
      </x:c>
      <x:c r="H595" s="9" t="str">
        <x:v>对比评测</x:v>
      </x:c>
      <x:c r="I595" s="9" t="str">
        <x:v>商业调查词</x:v>
      </x:c>
      <x:c r="J595" s="9" t="str">
        <x:v>博客C-对比评测</x:v>
      </x:c>
      <x:c r="K595" s="9" t="str"/>
      <x:c r="L595" s="9" t="str">
        <x:f>IF(K595="",J595,K595)</x:f>
        <x:v>博客C-对比评测</x:v>
      </x:c>
      <x:c r="M595" s="9" t="str">
        <x:v>Best/Top/Review/VS/替代方案文章</x:v>
      </x:c>
      <x:c r="N595" s="9" t="str">
        <x:v>Best angle: best vape for flavour - comparison, pros/cons, and which option fits different buyers</x:v>
      </x:c>
      <x:c r="O595" s="9" t="str">
        <x:v>/collections/disposable-vapes</x:v>
      </x:c>
      <x:c r="P595" s="9" t="str">
        <x:v>是</x:v>
      </x:c>
      <x:c r="Q595" s="9" t="str">
        <x:v>自然句/品类词/品牌词</x:v>
      </x:c>
      <x:c r="R595" s="9" t="str">
        <x:v>中风险：榜单和评测必须真实、中立，避免夸大</x:v>
      </x:c>
      <x:c r="S595" s="9" t="str">
        <x:v>这类词不直接给主站，先用博客C教育和比较，再导流到最相关集合页。</x:v>
      </x:c>
      <x:c r="T595" s="38" t="n">
        <x:v>7</x:v>
      </x:c>
      <x:c r="U595" s="38" t="n">
        <x:v>15</x:v>
      </x:c>
      <x:c r="V595" s="38" t="n">
        <x:v>16</x:v>
      </x:c>
      <x:c r="W595" s="38" t="n">
        <x:v>15</x:v>
      </x:c>
      <x:c r="X595" s="38" t="n">
        <x:v>13</x:v>
      </x:c>
      <x:c r="Y595" s="38" t="n">
        <x:v>6</x:v>
      </x:c>
      <x:c r="Z595" s="38" t="n">
        <x:f>MAX(0,MIN(100,ROUND(((T595+U595+V595+W595+X595)-Y595)/85*100,0)))</x:f>
        <x:v>71</x:v>
      </x:c>
      <x:c r="AA595" s="9" t="str">
        <x:f>IF(L595="暂不做","P3 暂缓",IF(Z595&gt;=75,"P0 本周做",IF(Z595&gt;=60,"P1 近期做",IF(Z595&gt;=45,"P2 备选","P3 暂缓"))))</x:f>
        <x:v>P1 近期做</x:v>
      </x:c>
      <x:c r="AB595" s="9" t="str">
        <x:f>IF(Y595&gt;=15,"先做合规/相关性复核，不建议直接商业导流",IF(L595="主站","建/优化主站商业页",IF(L595="博客A-知识教程","写知识教程/FAQ文章",IF(L595="博客B-场景人群","写场景需求/选购指南文章",IF(L595="博客C-对比评测","写对比评测/榜单文章","暂不做或人工复核")))))</x:f>
        <x:v>写对比评测/榜单文章</x:v>
      </x:c>
      <x:c r="AC595" s="9" t="str">
        <x:v>Top EXDIVO Vape Flavors You Must Try in 2026 - ExDivo</x:v>
      </x:c>
      <x:c r="AD595" s="10" t="str">
        <x:v>top exdivo vape flavors you must try in 2026</x:v>
      </x:c>
    </x:row>
    <x:row r="596">
      <x:c r="A596" s="34" t="n">
        <x:v>596</x:v>
      </x:c>
      <x:c r="B596" s="9" t="str">
        <x:v>https://exdivo.com/blogs/top-exdivo-vape-flavors-you-must-try-in-2026?data_from=index_index</x:v>
      </x:c>
      <x:c r="C596" s="9" t="str">
        <x:v>best flavored vapes</x:v>
      </x:c>
      <x:c r="D596" s="9" t="str">
        <x:v>recommended</x:v>
      </x:c>
      <x:c r="E596" s="36" t="n">
        <x:v>170</x:v>
      </x:c>
      <x:c r="F596" s="36" t="n">
        <x:v>26</x:v>
      </x:c>
      <x:c r="G596" s="9" t="str">
        <x:v>commercial</x:v>
      </x:c>
      <x:c r="H596" s="9" t="str">
        <x:v>Flavor / 口味</x:v>
      </x:c>
      <x:c r="I596" s="9" t="str">
        <x:v>商业调查词</x:v>
      </x:c>
      <x:c r="J596" s="9" t="str">
        <x:v>博客C-对比评测</x:v>
      </x:c>
      <x:c r="K596" s="9" t="str"/>
      <x:c r="L596" s="9" t="str">
        <x:f>IF(K596="",J596,K596)</x:f>
        <x:v>博客C-对比评测</x:v>
      </x:c>
      <x:c r="M596" s="9" t="str">
        <x:v>Best/Top/Review/VS/替代方案文章</x:v>
      </x:c>
      <x:c r="N596" s="9" t="str">
        <x:v>Best angle: best flavored vapes - comparison, pros/cons, and which option fits different buyers</x:v>
      </x:c>
      <x:c r="O596" s="9" t="str">
        <x:v>/collections/flavored-disposable-vapes</x:v>
      </x:c>
      <x:c r="P596" s="9" t="str">
        <x:v>是</x:v>
      </x:c>
      <x:c r="Q596" s="9" t="str">
        <x:v>自然句/品类词/品牌词</x:v>
      </x:c>
      <x:c r="R596" s="9" t="str">
        <x:v>中风险：榜单和评测必须真实、中立，避免夸大</x:v>
      </x:c>
      <x:c r="S596" s="9" t="str">
        <x:v>这类词不直接给主站，先用博客C教育和比较，再导流到最相关集合页。</x:v>
      </x:c>
      <x:c r="T596" s="38" t="n">
        <x:v>7</x:v>
      </x:c>
      <x:c r="U596" s="38" t="n">
        <x:v>12</x:v>
      </x:c>
      <x:c r="V596" s="38" t="n">
        <x:v>16</x:v>
      </x:c>
      <x:c r="W596" s="38" t="n">
        <x:v>15</x:v>
      </x:c>
      <x:c r="X596" s="38" t="n">
        <x:v>13</x:v>
      </x:c>
      <x:c r="Y596" s="38" t="n">
        <x:v>6</x:v>
      </x:c>
      <x:c r="Z596" s="38" t="n">
        <x:f>MAX(0,MIN(100,ROUND(((T596+U596+V596+W596+X596)-Y596)/85*100,0)))</x:f>
        <x:v>67</x:v>
      </x:c>
      <x:c r="AA596" s="9" t="str">
        <x:f>IF(L596="暂不做","P3 暂缓",IF(Z596&gt;=75,"P0 本周做",IF(Z596&gt;=60,"P1 近期做",IF(Z596&gt;=45,"P2 备选","P3 暂缓"))))</x:f>
        <x:v>P1 近期做</x:v>
      </x:c>
      <x:c r="AB596" s="9" t="str">
        <x:f>IF(Y596&gt;=15,"先做合规/相关性复核，不建议直接商业导流",IF(L596="主站","建/优化主站商业页",IF(L596="博客A-知识教程","写知识教程/FAQ文章",IF(L596="博客B-场景人群","写场景需求/选购指南文章",IF(L596="博客C-对比评测","写对比评测/榜单文章","暂不做或人工复核")))))</x:f>
        <x:v>写对比评测/榜单文章</x:v>
      </x:c>
      <x:c r="AC596" s="9" t="str">
        <x:v>Top EXDIVO Vape Flavors You Must Try in 2026 - ExDivo</x:v>
      </x:c>
      <x:c r="AD596" s="10" t="str">
        <x:v>top exdivo vape flavors you must try in 2026</x:v>
      </x:c>
    </x:row>
    <x:row r="597">
      <x:c r="A597" s="34" t="n">
        <x:v>597</x:v>
      </x:c>
      <x:c r="B597" s="9" t="str">
        <x:v>https://exdivo.com/blogs/top-exdivo-vape-flavors-you-must-try-in-2026?data_from=index_index</x:v>
      </x:c>
      <x:c r="C597" s="9" t="str">
        <x:v>good vape flavors</x:v>
      </x:c>
      <x:c r="D597" s="9" t="str">
        <x:v>recommended</x:v>
      </x:c>
      <x:c r="E597" s="36" t="n">
        <x:v>720</x:v>
      </x:c>
      <x:c r="F597" s="36" t="n">
        <x:v>19</x:v>
      </x:c>
      <x:c r="G597" s="9" t="str">
        <x:v>informational</x:v>
      </x:c>
      <x:c r="H597" s="9" t="str">
        <x:v>Flavor / 口味</x:v>
      </x:c>
      <x:c r="I597" s="9" t="str">
        <x:v>场景/需求词</x:v>
      </x:c>
      <x:c r="J597" s="9" t="str">
        <x:v>博客B-场景人群</x:v>
      </x:c>
      <x:c r="K597" s="9" t="str"/>
      <x:c r="L597" s="9" t="str">
        <x:f>IF(K597="",J597,K597)</x:f>
        <x:v>博客B-场景人群</x:v>
      </x:c>
      <x:c r="M597" s="9" t="str">
        <x:v>场景解决方案/选购指南文章</x:v>
      </x:c>
      <x:c r="N597" s="9" t="str">
        <x:v>Scenario angle: how to choose good vape flavors based on use case, flavor, nicotine, and budget</x:v>
      </x:c>
      <x:c r="O597" s="9" t="str">
        <x:v>/collections/flavored-disposable-vapes</x:v>
      </x:c>
      <x:c r="P597" s="9" t="str">
        <x:v>是</x:v>
      </x:c>
      <x:c r="Q597" s="9" t="str">
        <x:v>自然句/品类词</x:v>
      </x:c>
      <x:c r="R597" s="9" t="str">
        <x:v>低中风险：适合软性导流，但不要夸大效果或触碰健康疗效</x:v>
      </x:c>
      <x:c r="S597" s="9" t="str">
        <x:v>围绕使用场景、口味、尼古丁需求、便携性等写，不和主站品类页抢词。</x:v>
      </x:c>
      <x:c r="T597" s="38" t="n">
        <x:v>10</x:v>
      </x:c>
      <x:c r="U597" s="38" t="n">
        <x:v>12</x:v>
      </x:c>
      <x:c r="V597" s="38" t="n">
        <x:v>13</x:v>
      </x:c>
      <x:c r="W597" s="38" t="n">
        <x:v>14</x:v>
      </x:c>
      <x:c r="X597" s="38" t="n">
        <x:v>13</x:v>
      </x:c>
      <x:c r="Y597" s="38" t="n">
        <x:v>5</x:v>
      </x:c>
      <x:c r="Z597" s="38" t="n">
        <x:f>MAX(0,MIN(100,ROUND(((T597+U597+V597+W597+X597)-Y597)/85*100,0)))</x:f>
        <x:v>67</x:v>
      </x:c>
      <x:c r="AA597" s="9" t="str">
        <x:f>IF(L597="暂不做","P3 暂缓",IF(Z597&gt;=75,"P0 本周做",IF(Z597&gt;=60,"P1 近期做",IF(Z597&gt;=45,"P2 备选","P3 暂缓"))))</x:f>
        <x:v>P1 近期做</x:v>
      </x:c>
      <x:c r="AB597" s="9" t="str">
        <x:f>IF(Y597&gt;=15,"先做合规/相关性复核，不建议直接商业导流",IF(L597="主站","建/优化主站商业页",IF(L597="博客A-知识教程","写知识教程/FAQ文章",IF(L597="博客B-场景人群","写场景需求/选购指南文章",IF(L597="博客C-对比评测","写对比评测/榜单文章","暂不做或人工复核")))))</x:f>
        <x:v>写场景需求/选购指南文章</x:v>
      </x:c>
      <x:c r="AC597" s="9" t="str">
        <x:v>Top EXDIVO Vape Flavors You Must Try in 2026 - ExDivo</x:v>
      </x:c>
      <x:c r="AD597" s="10" t="str">
        <x:v>top exdivo vape flavors you must try in 2026</x:v>
      </x:c>
    </x:row>
    <x:row r="598">
      <x:c r="A598" s="34" t="n">
        <x:v>598</x:v>
      </x:c>
      <x:c r="B598" s="9" t="str">
        <x:v>https://exdivo.com/blogs/top-exdivo-vape-flavors-you-must-try-in-2026?data_from=index_index</x:v>
      </x:c>
      <x:c r="C598" s="9" t="str">
        <x:v>best vape for flavor</x:v>
      </x:c>
      <x:c r="D598" s="9" t="str">
        <x:v>recommended</x:v>
      </x:c>
      <x:c r="E598" s="36" t="n">
        <x:v>50</x:v>
      </x:c>
      <x:c r="F598" s="36" t="n">
        <x:v>0</x:v>
      </x:c>
      <x:c r="G598" s="9" t="str">
        <x:v>commercial</x:v>
      </x:c>
      <x:c r="H598" s="9" t="str">
        <x:v>Flavor / 口味</x:v>
      </x:c>
      <x:c r="I598" s="9" t="str">
        <x:v>商业调查词</x:v>
      </x:c>
      <x:c r="J598" s="9" t="str">
        <x:v>博客C-对比评测</x:v>
      </x:c>
      <x:c r="K598" s="9" t="str"/>
      <x:c r="L598" s="9" t="str">
        <x:f>IF(K598="",J598,K598)</x:f>
        <x:v>博客C-对比评测</x:v>
      </x:c>
      <x:c r="M598" s="9" t="str">
        <x:v>Best/Top/Review/VS/替代方案文章</x:v>
      </x:c>
      <x:c r="N598" s="9" t="str">
        <x:v>Best angle: best vape for flavor - comparison, pros/cons, and which option fits different buyers</x:v>
      </x:c>
      <x:c r="O598" s="9" t="str">
        <x:v>/collections/flavored-disposable-vapes</x:v>
      </x:c>
      <x:c r="P598" s="9" t="str">
        <x:v>是</x:v>
      </x:c>
      <x:c r="Q598" s="9" t="str">
        <x:v>自然句/品类词/品牌词</x:v>
      </x:c>
      <x:c r="R598" s="9" t="str">
        <x:v>中风险：榜单和评测必须真实、中立，避免夸大</x:v>
      </x:c>
      <x:c r="S598" s="9" t="str">
        <x:v>这类词不直接给主站，先用博客C教育和比较，再导流到最相关集合页。</x:v>
      </x:c>
      <x:c r="T598" s="38" t="n">
        <x:v>4</x:v>
      </x:c>
      <x:c r="U598" s="38" t="n">
        <x:v>15</x:v>
      </x:c>
      <x:c r="V598" s="38" t="n">
        <x:v>16</x:v>
      </x:c>
      <x:c r="W598" s="38" t="n">
        <x:v>15</x:v>
      </x:c>
      <x:c r="X598" s="38" t="n">
        <x:v>13</x:v>
      </x:c>
      <x:c r="Y598" s="38" t="n">
        <x:v>6</x:v>
      </x:c>
      <x:c r="Z598" s="38" t="n">
        <x:f>MAX(0,MIN(100,ROUND(((T598+U598+V598+W598+X598)-Y598)/85*100,0)))</x:f>
        <x:v>67</x:v>
      </x:c>
      <x:c r="AA598" s="9" t="str">
        <x:f>IF(L598="暂不做","P3 暂缓",IF(Z598&gt;=75,"P0 本周做",IF(Z598&gt;=60,"P1 近期做",IF(Z598&gt;=45,"P2 备选","P3 暂缓"))))</x:f>
        <x:v>P1 近期做</x:v>
      </x:c>
      <x:c r="AB598" s="9" t="str">
        <x:f>IF(Y598&gt;=15,"先做合规/相关性复核，不建议直接商业导流",IF(L598="主站","建/优化主站商业页",IF(L598="博客A-知识教程","写知识教程/FAQ文章",IF(L598="博客B-场景人群","写场景需求/选购指南文章",IF(L598="博客C-对比评测","写对比评测/榜单文章","暂不做或人工复核")))))</x:f>
        <x:v>写对比评测/榜单文章</x:v>
      </x:c>
      <x:c r="AC598" s="9" t="str">
        <x:v>Top EXDIVO Vape Flavors You Must Try in 2026 - ExDivo</x:v>
      </x:c>
      <x:c r="AD598" s="10" t="str">
        <x:v>top exdivo vape flavors you must try in 2026</x:v>
      </x:c>
    </x:row>
    <x:row r="599">
      <x:c r="A599" s="34" t="n">
        <x:v>599</x:v>
      </x:c>
      <x:c r="B599" s="9" t="str">
        <x:v>https://exdivo.com/blogs/top-exdivo-vape-flavors-you-must-try-in-2026?data_from=index_index</x:v>
      </x:c>
      <x:c r="C599" s="9" t="str">
        <x:v>most flavorful vape juice</x:v>
      </x:c>
      <x:c r="D599" s="9" t="str">
        <x:v>recommended</x:v>
      </x:c>
      <x:c r="E599" s="36" t="n">
        <x:v>70</x:v>
      </x:c>
      <x:c r="F599" s="36" t="n">
        <x:v>17</x:v>
      </x:c>
      <x:c r="G599" s="9" t="str">
        <x:v>informational</x:v>
      </x:c>
      <x:c r="H599" s="9" t="str">
        <x:v>Flavor / 口味</x:v>
      </x:c>
      <x:c r="I599" s="9" t="str">
        <x:v>场景/需求词</x:v>
      </x:c>
      <x:c r="J599" s="9" t="str">
        <x:v>博客B-场景人群</x:v>
      </x:c>
      <x:c r="K599" s="9" t="str"/>
      <x:c r="L599" s="9" t="str">
        <x:f>IF(K599="",J599,K599)</x:f>
        <x:v>博客B-场景人群</x:v>
      </x:c>
      <x:c r="M599" s="9" t="str">
        <x:v>场景解决方案/选购指南文章</x:v>
      </x:c>
      <x:c r="N599" s="9" t="str">
        <x:v>Scenario angle: how to choose most flavorful vape juice based on use case, flavor, nicotine, and budget</x:v>
      </x:c>
      <x:c r="O599" s="9" t="str">
        <x:v>/collections/flavored-disposable-vapes</x:v>
      </x:c>
      <x:c r="P599" s="9" t="str">
        <x:v>是</x:v>
      </x:c>
      <x:c r="Q599" s="9" t="str">
        <x:v>自然句/品类词</x:v>
      </x:c>
      <x:c r="R599" s="9" t="str">
        <x:v>低中风险：适合软性导流，但不要夸大效果或触碰健康疗效</x:v>
      </x:c>
      <x:c r="S599" s="9" t="str">
        <x:v>围绕使用场景、口味、尼古丁需求、便携性等写，不和主站品类页抢词。</x:v>
      </x:c>
      <x:c r="T599" s="38" t="n">
        <x:v>4</x:v>
      </x:c>
      <x:c r="U599" s="38" t="n">
        <x:v>12</x:v>
      </x:c>
      <x:c r="V599" s="38" t="n">
        <x:v>13</x:v>
      </x:c>
      <x:c r="W599" s="38" t="n">
        <x:v>14</x:v>
      </x:c>
      <x:c r="X599" s="38" t="n">
        <x:v>13</x:v>
      </x:c>
      <x:c r="Y599" s="38" t="n">
        <x:v>5</x:v>
      </x:c>
      <x:c r="Z599" s="38" t="n">
        <x:f>MAX(0,MIN(100,ROUND(((T599+U599+V599+W599+X599)-Y599)/85*100,0)))</x:f>
        <x:v>60</x:v>
      </x:c>
      <x:c r="AA599" s="9" t="str">
        <x:f>IF(L599="暂不做","P3 暂缓",IF(Z599&gt;=75,"P0 本周做",IF(Z599&gt;=60,"P1 近期做",IF(Z599&gt;=45,"P2 备选","P3 暂缓"))))</x:f>
        <x:v>P1 近期做</x:v>
      </x:c>
      <x:c r="AB599" s="9" t="str">
        <x:f>IF(Y599&gt;=15,"先做合规/相关性复核，不建议直接商业导流",IF(L599="主站","建/优化主站商业页",IF(L599="博客A-知识教程","写知识教程/FAQ文章",IF(L599="博客B-场景人群","写场景需求/选购指南文章",IF(L599="博客C-对比评测","写对比评测/榜单文章","暂不做或人工复核")))))</x:f>
        <x:v>写场景需求/选购指南文章</x:v>
      </x:c>
      <x:c r="AC599" s="9" t="str">
        <x:v>Top EXDIVO Vape Flavors You Must Try in 2026 - ExDivo</x:v>
      </x:c>
      <x:c r="AD599" s="10" t="str">
        <x:v>top exdivo vape flavors you must try in 2026</x:v>
      </x:c>
    </x:row>
    <x:row r="600">
      <x:c r="A600" s="34" t="n">
        <x:v>600</x:v>
      </x:c>
      <x:c r="B600" s="9" t="str">
        <x:v>https://exdivo.com/blogs/top-exdivo-vape-flavors-you-must-try-in-2026?data_from=index_index</x:v>
      </x:c>
      <x:c r="C600" s="9" t="str">
        <x:v>what is the best vape juice</x:v>
      </x:c>
      <x:c r="D600" s="9" t="str">
        <x:v>recommended</x:v>
      </x:c>
      <x:c r="E600" s="36" t="n">
        <x:v>50</x:v>
      </x:c>
      <x:c r="F600" s="36" t="n">
        <x:v>18</x:v>
      </x:c>
      <x:c r="G600" s="9" t="str">
        <x:v>commercial</x:v>
      </x:c>
      <x:c r="H600" s="9" t="str">
        <x:v>对比评测</x:v>
      </x:c>
      <x:c r="I600" s="9" t="str">
        <x:v>商业调查词</x:v>
      </x:c>
      <x:c r="J600" s="9" t="str">
        <x:v>博客C-对比评测</x:v>
      </x:c>
      <x:c r="K600" s="9" t="str"/>
      <x:c r="L600" s="9" t="str">
        <x:f>IF(K600="",J600,K600)</x:f>
        <x:v>博客C-对比评测</x:v>
      </x:c>
      <x:c r="M600" s="9" t="str">
        <x:v>Best/Top/Review/VS/替代方案文章</x:v>
      </x:c>
      <x:c r="N600" s="9" t="str">
        <x:v>Best angle: what is the best vape juice - comparison, pros/cons, and which option fits different buyers</x:v>
      </x:c>
      <x:c r="O600" s="9" t="str">
        <x:v>/collections/disposable-vapes</x:v>
      </x:c>
      <x:c r="P600" s="9" t="str">
        <x:v>是</x:v>
      </x:c>
      <x:c r="Q600" s="9" t="str">
        <x:v>自然句/品类词/品牌词</x:v>
      </x:c>
      <x:c r="R600" s="9" t="str">
        <x:v>中风险：榜单和评测必须真实、中立，避免夸大</x:v>
      </x:c>
      <x:c r="S600" s="9" t="str">
        <x:v>这类词不直接给主站，先用博客C教育和比较，再导流到最相关集合页。</x:v>
      </x:c>
      <x:c r="T600" s="38" t="n">
        <x:v>4</x:v>
      </x:c>
      <x:c r="U600" s="38" t="n">
        <x:v>12</x:v>
      </x:c>
      <x:c r="V600" s="38" t="n">
        <x:v>16</x:v>
      </x:c>
      <x:c r="W600" s="38" t="n">
        <x:v>15</x:v>
      </x:c>
      <x:c r="X600" s="38" t="n">
        <x:v>13</x:v>
      </x:c>
      <x:c r="Y600" s="38" t="n">
        <x:v>6</x:v>
      </x:c>
      <x:c r="Z600" s="38" t="n">
        <x:f>MAX(0,MIN(100,ROUND(((T600+U600+V600+W600+X600)-Y600)/85*100,0)))</x:f>
        <x:v>64</x:v>
      </x:c>
      <x:c r="AA600" s="9" t="str">
        <x:f>IF(L600="暂不做","P3 暂缓",IF(Z600&gt;=75,"P0 本周做",IF(Z600&gt;=60,"P1 近期做",IF(Z600&gt;=45,"P2 备选","P3 暂缓"))))</x:f>
        <x:v>P1 近期做</x:v>
      </x:c>
      <x:c r="AB600" s="9" t="str">
        <x:f>IF(Y600&gt;=15,"先做合规/相关性复核，不建议直接商业导流",IF(L600="主站","建/优化主站商业页",IF(L600="博客A-知识教程","写知识教程/FAQ文章",IF(L600="博客B-场景人群","写场景需求/选购指南文章",IF(L600="博客C-对比评测","写对比评测/榜单文章","暂不做或人工复核")))))</x:f>
        <x:v>写对比评测/榜单文章</x:v>
      </x:c>
      <x:c r="AC600" s="9" t="str">
        <x:v>Top EXDIVO Vape Flavors You Must Try in 2026 - ExDivo</x:v>
      </x:c>
      <x:c r="AD600" s="10" t="str">
        <x:v>top exdivo vape flavors you must try in 2026</x:v>
      </x:c>
    </x:row>
    <x:row r="601">
      <x:c r="A601" s="34" t="n">
        <x:v>601</x:v>
      </x:c>
      <x:c r="B601" s="9" t="str">
        <x:v>https://exdivo.com/blogs/top-exdivo-vape-flavors-you-must-try-in-2026?data_from=index_index</x:v>
      </x:c>
      <x:c r="C601" s="9" t="str">
        <x:v>best flavored vape</x:v>
      </x:c>
      <x:c r="D601" s="9" t="str">
        <x:v>recommended</x:v>
      </x:c>
      <x:c r="E601" s="36" t="n">
        <x:v>40</x:v>
      </x:c>
      <x:c r="F601" s="36" t="n">
        <x:v>13</x:v>
      </x:c>
      <x:c r="G601" s="9" t="str">
        <x:v>commercial</x:v>
      </x:c>
      <x:c r="H601" s="9" t="str">
        <x:v>Flavor / 口味</x:v>
      </x:c>
      <x:c r="I601" s="9" t="str">
        <x:v>商业调查词</x:v>
      </x:c>
      <x:c r="J601" s="9" t="str">
        <x:v>博客C-对比评测</x:v>
      </x:c>
      <x:c r="K601" s="9" t="str"/>
      <x:c r="L601" s="9" t="str">
        <x:f>IF(K601="",J601,K601)</x:f>
        <x:v>博客C-对比评测</x:v>
      </x:c>
      <x:c r="M601" s="9" t="str">
        <x:v>Best/Top/Review/VS/替代方案文章</x:v>
      </x:c>
      <x:c r="N601" s="9" t="str">
        <x:v>Best angle: best flavored vape - comparison, pros/cons, and which option fits different buyers</x:v>
      </x:c>
      <x:c r="O601" s="9" t="str">
        <x:v>/collections/flavored-disposable-vapes</x:v>
      </x:c>
      <x:c r="P601" s="9" t="str">
        <x:v>是</x:v>
      </x:c>
      <x:c r="Q601" s="9" t="str">
        <x:v>自然句/品类词/品牌词</x:v>
      </x:c>
      <x:c r="R601" s="9" t="str">
        <x:v>中风险：榜单和评测必须真实、中立，避免夸大</x:v>
      </x:c>
      <x:c r="S601" s="9" t="str">
        <x:v>这类词不直接给主站，先用博客C教育和比较，再导流到最相关集合页。</x:v>
      </x:c>
      <x:c r="T601" s="38" t="n">
        <x:v>4</x:v>
      </x:c>
      <x:c r="U601" s="38" t="n">
        <x:v>15</x:v>
      </x:c>
      <x:c r="V601" s="38" t="n">
        <x:v>16</x:v>
      </x:c>
      <x:c r="W601" s="38" t="n">
        <x:v>15</x:v>
      </x:c>
      <x:c r="X601" s="38" t="n">
        <x:v>13</x:v>
      </x:c>
      <x:c r="Y601" s="38" t="n">
        <x:v>6</x:v>
      </x:c>
      <x:c r="Z601" s="38" t="n">
        <x:f>MAX(0,MIN(100,ROUND(((T601+U601+V601+W601+X601)-Y601)/85*100,0)))</x:f>
        <x:v>67</x:v>
      </x:c>
      <x:c r="AA601" s="9" t="str">
        <x:f>IF(L601="暂不做","P3 暂缓",IF(Z601&gt;=75,"P0 本周做",IF(Z601&gt;=60,"P1 近期做",IF(Z601&gt;=45,"P2 备选","P3 暂缓"))))</x:f>
        <x:v>P1 近期做</x:v>
      </x:c>
      <x:c r="AB601" s="9" t="str">
        <x:f>IF(Y601&gt;=15,"先做合规/相关性复核，不建议直接商业导流",IF(L601="主站","建/优化主站商业页",IF(L601="博客A-知识教程","写知识教程/FAQ文章",IF(L601="博客B-场景人群","写场景需求/选购指南文章",IF(L601="博客C-对比评测","写对比评测/榜单文章","暂不做或人工复核")))))</x:f>
        <x:v>写对比评测/榜单文章</x:v>
      </x:c>
      <x:c r="AC601" s="9" t="str">
        <x:v>Top EXDIVO Vape Flavors You Must Try in 2026 - ExDivo</x:v>
      </x:c>
      <x:c r="AD601" s="10" t="str">
        <x:v>top exdivo vape flavors you must try in 2026</x:v>
      </x:c>
    </x:row>
    <x:row r="602">
      <x:c r="A602" s="34" t="n">
        <x:v>602</x:v>
      </x:c>
      <x:c r="B602" s="9" t="str">
        <x:v>https://exdivo.com/blogs/top-exdivo-vape-flavors-you-must-try-in-2026?data_from=index_index</x:v>
      </x:c>
      <x:c r="C602" s="9" t="str">
        <x:v>good vape juice flavors</x:v>
      </x:c>
      <x:c r="D602" s="9" t="str">
        <x:v>recommended</x:v>
      </x:c>
      <x:c r="E602" s="36" t="n">
        <x:v>50</x:v>
      </x:c>
      <x:c r="F602" s="36" t="n">
        <x:v>20</x:v>
      </x:c>
      <x:c r="G602" s="9" t="str">
        <x:v>informational</x:v>
      </x:c>
      <x:c r="H602" s="9" t="str">
        <x:v>Flavor / 口味</x:v>
      </x:c>
      <x:c r="I602" s="9" t="str">
        <x:v>场景/需求词</x:v>
      </x:c>
      <x:c r="J602" s="9" t="str">
        <x:v>博客B-场景人群</x:v>
      </x:c>
      <x:c r="K602" s="9" t="str"/>
      <x:c r="L602" s="9" t="str">
        <x:f>IF(K602="",J602,K602)</x:f>
        <x:v>博客B-场景人群</x:v>
      </x:c>
      <x:c r="M602" s="9" t="str">
        <x:v>场景解决方案/选购指南文章</x:v>
      </x:c>
      <x:c r="N602" s="9" t="str">
        <x:v>Scenario angle: how to choose good vape juice flavors based on use case, flavor, nicotine, and budget</x:v>
      </x:c>
      <x:c r="O602" s="9" t="str">
        <x:v>/collections/flavored-disposable-vapes</x:v>
      </x:c>
      <x:c r="P602" s="9" t="str">
        <x:v>是</x:v>
      </x:c>
      <x:c r="Q602" s="9" t="str">
        <x:v>自然句/品类词</x:v>
      </x:c>
      <x:c r="R602" s="9" t="str">
        <x:v>低中风险：适合软性导流，但不要夸大效果或触碰健康疗效</x:v>
      </x:c>
      <x:c r="S602" s="9" t="str">
        <x:v>围绕使用场景、口味、尼古丁需求、便携性等写，不和主站品类页抢词。</x:v>
      </x:c>
      <x:c r="T602" s="38" t="n">
        <x:v>4</x:v>
      </x:c>
      <x:c r="U602" s="38" t="n">
        <x:v>12</x:v>
      </x:c>
      <x:c r="V602" s="38" t="n">
        <x:v>13</x:v>
      </x:c>
      <x:c r="W602" s="38" t="n">
        <x:v>14</x:v>
      </x:c>
      <x:c r="X602" s="38" t="n">
        <x:v>13</x:v>
      </x:c>
      <x:c r="Y602" s="38" t="n">
        <x:v>5</x:v>
      </x:c>
      <x:c r="Z602" s="38" t="n">
        <x:f>MAX(0,MIN(100,ROUND(((T602+U602+V602+W602+X602)-Y602)/85*100,0)))</x:f>
        <x:v>60</x:v>
      </x:c>
      <x:c r="AA602" s="9" t="str">
        <x:f>IF(L602="暂不做","P3 暂缓",IF(Z602&gt;=75,"P0 本周做",IF(Z602&gt;=60,"P1 近期做",IF(Z602&gt;=45,"P2 备选","P3 暂缓"))))</x:f>
        <x:v>P1 近期做</x:v>
      </x:c>
      <x:c r="AB602" s="9" t="str">
        <x:f>IF(Y602&gt;=15,"先做合规/相关性复核，不建议直接商业导流",IF(L602="主站","建/优化主站商业页",IF(L602="博客A-知识教程","写知识教程/FAQ文章",IF(L602="博客B-场景人群","写场景需求/选购指南文章",IF(L602="博客C-对比评测","写对比评测/榜单文章","暂不做或人工复核")))))</x:f>
        <x:v>写场景需求/选购指南文章</x:v>
      </x:c>
      <x:c r="AC602" s="9" t="str">
        <x:v>Top EXDIVO Vape Flavors You Must Try in 2026 - ExDivo</x:v>
      </x:c>
      <x:c r="AD602" s="10" t="str">
        <x:v>top exdivo vape flavors you must try in 2026</x:v>
      </x:c>
    </x:row>
    <x:row r="603">
      <x:c r="A603" s="34" t="n">
        <x:v>603</x:v>
      </x:c>
      <x:c r="B603" s="9" t="str">
        <x:v>https://exdivo.com/blogs/top-exdivo-vape-flavors-you-must-try-in-2026?data_from=index_index</x:v>
      </x:c>
      <x:c r="C603" s="9" t="str">
        <x:v>best vape liquids</x:v>
      </x:c>
      <x:c r="D603" s="9" t="str">
        <x:v>recommended</x:v>
      </x:c>
      <x:c r="E603" s="36" t="n">
        <x:v>40</x:v>
      </x:c>
      <x:c r="F603" s="36" t="n">
        <x:v>18</x:v>
      </x:c>
      <x:c r="G603" s="9" t="str">
        <x:v>commercial</x:v>
      </x:c>
      <x:c r="H603" s="9" t="str">
        <x:v>对比评测</x:v>
      </x:c>
      <x:c r="I603" s="9" t="str">
        <x:v>商业调查词</x:v>
      </x:c>
      <x:c r="J603" s="9" t="str">
        <x:v>博客C-对比评测</x:v>
      </x:c>
      <x:c r="K603" s="9" t="str"/>
      <x:c r="L603" s="9" t="str">
        <x:f>IF(K603="",J603,K603)</x:f>
        <x:v>博客C-对比评测</x:v>
      </x:c>
      <x:c r="M603" s="9" t="str">
        <x:v>Best/Top/Review/VS/替代方案文章</x:v>
      </x:c>
      <x:c r="N603" s="9" t="str">
        <x:v>Best angle: best vape liquids - comparison, pros/cons, and which option fits different buyers</x:v>
      </x:c>
      <x:c r="O603" s="9" t="str">
        <x:v>/collections/disposable-vapes</x:v>
      </x:c>
      <x:c r="P603" s="9" t="str">
        <x:v>是</x:v>
      </x:c>
      <x:c r="Q603" s="9" t="str">
        <x:v>自然句/品类词/品牌词</x:v>
      </x:c>
      <x:c r="R603" s="9" t="str">
        <x:v>中风险：榜单和评测必须真实、中立，避免夸大</x:v>
      </x:c>
      <x:c r="S603" s="9" t="str">
        <x:v>这类词不直接给主站，先用博客C教育和比较，再导流到最相关集合页。</x:v>
      </x:c>
      <x:c r="T603" s="38" t="n">
        <x:v>4</x:v>
      </x:c>
      <x:c r="U603" s="38" t="n">
        <x:v>12</x:v>
      </x:c>
      <x:c r="V603" s="38" t="n">
        <x:v>16</x:v>
      </x:c>
      <x:c r="W603" s="38" t="n">
        <x:v>15</x:v>
      </x:c>
      <x:c r="X603" s="38" t="n">
        <x:v>13</x:v>
      </x:c>
      <x:c r="Y603" s="38" t="n">
        <x:v>6</x:v>
      </x:c>
      <x:c r="Z603" s="38" t="n">
        <x:f>MAX(0,MIN(100,ROUND(((T603+U603+V603+W603+X603)-Y603)/85*100,0)))</x:f>
        <x:v>64</x:v>
      </x:c>
      <x:c r="AA603" s="9" t="str">
        <x:f>IF(L603="暂不做","P3 暂缓",IF(Z603&gt;=75,"P0 本周做",IF(Z603&gt;=60,"P1 近期做",IF(Z603&gt;=45,"P2 备选","P3 暂缓"))))</x:f>
        <x:v>P1 近期做</x:v>
      </x:c>
      <x:c r="AB603" s="9" t="str">
        <x:f>IF(Y603&gt;=15,"先做合规/相关性复核，不建议直接商业导流",IF(L603="主站","建/优化主站商业页",IF(L603="博客A-知识教程","写知识教程/FAQ文章",IF(L603="博客B-场景人群","写场景需求/选购指南文章",IF(L603="博客C-对比评测","写对比评测/榜单文章","暂不做或人工复核")))))</x:f>
        <x:v>写对比评测/榜单文章</x:v>
      </x:c>
      <x:c r="AC603" s="9" t="str">
        <x:v>Top EXDIVO Vape Flavors You Must Try in 2026 - ExDivo</x:v>
      </x:c>
      <x:c r="AD603" s="10" t="str">
        <x:v>top exdivo vape flavors you must try in 2026</x:v>
      </x:c>
    </x:row>
    <x:row r="604">
      <x:c r="A604" s="34" t="n">
        <x:v>604</x:v>
      </x:c>
      <x:c r="B604" s="9" t="str">
        <x:v>https://exdivo.com/blogs/top-exdivo-vape-flavors-you-must-try-in-2026?data_from=index_index</x:v>
      </x:c>
      <x:c r="C604" s="9" t="str">
        <x:v>best vape liquid</x:v>
      </x:c>
      <x:c r="D604" s="9" t="str">
        <x:v>recommended</x:v>
      </x:c>
      <x:c r="E604" s="36" t="n">
        <x:v>140</x:v>
      </x:c>
      <x:c r="F604" s="36" t="n">
        <x:v>20</x:v>
      </x:c>
      <x:c r="G604" s="9" t="str">
        <x:v>commercial</x:v>
      </x:c>
      <x:c r="H604" s="9" t="str">
        <x:v>对比评测</x:v>
      </x:c>
      <x:c r="I604" s="9" t="str">
        <x:v>商业调查词</x:v>
      </x:c>
      <x:c r="J604" s="9" t="str">
        <x:v>博客C-对比评测</x:v>
      </x:c>
      <x:c r="K604" s="9" t="str"/>
      <x:c r="L604" s="9" t="str">
        <x:f>IF(K604="",J604,K604)</x:f>
        <x:v>博客C-对比评测</x:v>
      </x:c>
      <x:c r="M604" s="9" t="str">
        <x:v>Best/Top/Review/VS/替代方案文章</x:v>
      </x:c>
      <x:c r="N604" s="9" t="str">
        <x:v>Best angle: best vape liquid - comparison, pros/cons, and which option fits different buyers</x:v>
      </x:c>
      <x:c r="O604" s="9" t="str">
        <x:v>/collections/disposable-vapes</x:v>
      </x:c>
      <x:c r="P604" s="9" t="str">
        <x:v>是</x:v>
      </x:c>
      <x:c r="Q604" s="9" t="str">
        <x:v>自然句/品类词/品牌词</x:v>
      </x:c>
      <x:c r="R604" s="9" t="str">
        <x:v>中风险：榜单和评测必须真实、中立，避免夸大</x:v>
      </x:c>
      <x:c r="S604" s="9" t="str">
        <x:v>这类词不直接给主站，先用博客C教育和比较，再导流到最相关集合页。</x:v>
      </x:c>
      <x:c r="T604" s="38" t="n">
        <x:v>7</x:v>
      </x:c>
      <x:c r="U604" s="38" t="n">
        <x:v>12</x:v>
      </x:c>
      <x:c r="V604" s="38" t="n">
        <x:v>16</x:v>
      </x:c>
      <x:c r="W604" s="38" t="n">
        <x:v>15</x:v>
      </x:c>
      <x:c r="X604" s="38" t="n">
        <x:v>13</x:v>
      </x:c>
      <x:c r="Y604" s="38" t="n">
        <x:v>6</x:v>
      </x:c>
      <x:c r="Z604" s="38" t="n">
        <x:f>MAX(0,MIN(100,ROUND(((T604+U604+V604+W604+X604)-Y604)/85*100,0)))</x:f>
        <x:v>67</x:v>
      </x:c>
      <x:c r="AA604" s="9" t="str">
        <x:f>IF(L604="暂不做","P3 暂缓",IF(Z604&gt;=75,"P0 本周做",IF(Z604&gt;=60,"P1 近期做",IF(Z604&gt;=45,"P2 备选","P3 暂缓"))))</x:f>
        <x:v>P1 近期做</x:v>
      </x:c>
      <x:c r="AB604" s="9" t="str">
        <x:f>IF(Y604&gt;=15,"先做合规/相关性复核，不建议直接商业导流",IF(L604="主站","建/优化主站商业页",IF(L604="博客A-知识教程","写知识教程/FAQ文章",IF(L604="博客B-场景人群","写场景需求/选购指南文章",IF(L604="博客C-对比评测","写对比评测/榜单文章","暂不做或人工复核")))))</x:f>
        <x:v>写对比评测/榜单文章</x:v>
      </x:c>
      <x:c r="AC604" s="9" t="str">
        <x:v>Top EXDIVO Vape Flavors You Must Try in 2026 - ExDivo</x:v>
      </x:c>
      <x:c r="AD604" s="10" t="str">
        <x:v>top exdivo vape flavors you must try in 2026</x:v>
      </x:c>
    </x:row>
    <x:row r="605">
      <x:c r="A605" s="34" t="n">
        <x:v>605</x:v>
      </x:c>
      <x:c r="B605" s="9" t="str">
        <x:v>https://exdivo.com/blogs/top-exdivo-vape-flavors-you-must-try-in-2026?data_from=index_index</x:v>
      </x:c>
      <x:c r="C605" s="9" t="str">
        <x:v>best vape liquid for flavour</x:v>
      </x:c>
      <x:c r="D605" s="9" t="str">
        <x:v>recommended</x:v>
      </x:c>
      <x:c r="E605" s="36" t="n">
        <x:v>90</x:v>
      </x:c>
      <x:c r="F605" s="36" t="n">
        <x:v>23</x:v>
      </x:c>
      <x:c r="G605" s="9" t="str">
        <x:v>commercial</x:v>
      </x:c>
      <x:c r="H605" s="9" t="str">
        <x:v>对比评测</x:v>
      </x:c>
      <x:c r="I605" s="9" t="str">
        <x:v>商业调查词</x:v>
      </x:c>
      <x:c r="J605" s="9" t="str">
        <x:v>博客C-对比评测</x:v>
      </x:c>
      <x:c r="K605" s="9" t="str"/>
      <x:c r="L605" s="9" t="str">
        <x:f>IF(K605="",J605,K605)</x:f>
        <x:v>博客C-对比评测</x:v>
      </x:c>
      <x:c r="M605" s="9" t="str">
        <x:v>Best/Top/Review/VS/替代方案文章</x:v>
      </x:c>
      <x:c r="N605" s="9" t="str">
        <x:v>Best angle: best vape liquid for flavour - comparison, pros/cons, and which option fits different buyers</x:v>
      </x:c>
      <x:c r="O605" s="9" t="str">
        <x:v>/collections/disposable-vapes</x:v>
      </x:c>
      <x:c r="P605" s="9" t="str">
        <x:v>是</x:v>
      </x:c>
      <x:c r="Q605" s="9" t="str">
        <x:v>自然句/品类词/品牌词</x:v>
      </x:c>
      <x:c r="R605" s="9" t="str">
        <x:v>中风险：榜单和评测必须真实、中立，避免夸大</x:v>
      </x:c>
      <x:c r="S605" s="9" t="str">
        <x:v>这类词不直接给主站，先用博客C教育和比较，再导流到最相关集合页。</x:v>
      </x:c>
      <x:c r="T605" s="38" t="n">
        <x:v>4</x:v>
      </x:c>
      <x:c r="U605" s="38" t="n">
        <x:v>12</x:v>
      </x:c>
      <x:c r="V605" s="38" t="n">
        <x:v>16</x:v>
      </x:c>
      <x:c r="W605" s="38" t="n">
        <x:v>15</x:v>
      </x:c>
      <x:c r="X605" s="38" t="n">
        <x:v>13</x:v>
      </x:c>
      <x:c r="Y605" s="38" t="n">
        <x:v>6</x:v>
      </x:c>
      <x:c r="Z605" s="38" t="n">
        <x:f>MAX(0,MIN(100,ROUND(((T605+U605+V605+W605+X605)-Y605)/85*100,0)))</x:f>
        <x:v>64</x:v>
      </x:c>
      <x:c r="AA605" s="9" t="str">
        <x:f>IF(L605="暂不做","P3 暂缓",IF(Z605&gt;=75,"P0 本周做",IF(Z605&gt;=60,"P1 近期做",IF(Z605&gt;=45,"P2 备选","P3 暂缓"))))</x:f>
        <x:v>P1 近期做</x:v>
      </x:c>
      <x:c r="AB605" s="9" t="str">
        <x:f>IF(Y605&gt;=15,"先做合规/相关性复核，不建议直接商业导流",IF(L605="主站","建/优化主站商业页",IF(L605="博客A-知识教程","写知识教程/FAQ文章",IF(L605="博客B-场景人群","写场景需求/选购指南文章",IF(L605="博客C-对比评测","写对比评测/榜单文章","暂不做或人工复核")))))</x:f>
        <x:v>写对比评测/榜单文章</x:v>
      </x:c>
      <x:c r="AC605" s="9" t="str">
        <x:v>Top EXDIVO Vape Flavors You Must Try in 2026 - ExDivo</x:v>
      </x:c>
      <x:c r="AD605" s="10" t="str">
        <x:v>top exdivo vape flavors you must try in 2026</x:v>
      </x:c>
    </x:row>
    <x:row r="606">
      <x:c r="A606" s="34" t="n">
        <x:v>606</x:v>
      </x:c>
      <x:c r="B606" s="9" t="str">
        <x:v>https://exdivo.com/blogs/top-exdivo-vape-flavors-you-must-try-in-2026?data_from=index_index</x:v>
      </x:c>
      <x:c r="C606" s="9" t="str">
        <x:v>top vape flavors</x:v>
      </x:c>
      <x:c r="D606" s="9" t="str">
        <x:v>recommended</x:v>
      </x:c>
      <x:c r="E606" s="36" t="n">
        <x:v>90</x:v>
      </x:c>
      <x:c r="F606" s="36" t="n">
        <x:v>23</x:v>
      </x:c>
      <x:c r="G606" s="9" t="str">
        <x:v>informational, commercial</x:v>
      </x:c>
      <x:c r="H606" s="9" t="str">
        <x:v>Flavor / 口味</x:v>
      </x:c>
      <x:c r="I606" s="9" t="str">
        <x:v>商业调查词</x:v>
      </x:c>
      <x:c r="J606" s="9" t="str">
        <x:v>博客C-对比评测</x:v>
      </x:c>
      <x:c r="K606" s="9" t="str"/>
      <x:c r="L606" s="9" t="str">
        <x:f>IF(K606="",J606,K606)</x:f>
        <x:v>博客C-对比评测</x:v>
      </x:c>
      <x:c r="M606" s="9" t="str">
        <x:v>Best/Top/Review/VS/替代方案文章</x:v>
      </x:c>
      <x:c r="N606" s="9" t="str">
        <x:v>Best angle: top vape flavors - comparison, pros/cons, and which option fits different buyers</x:v>
      </x:c>
      <x:c r="O606" s="9" t="str">
        <x:v>/collections/flavored-disposable-vapes</x:v>
      </x:c>
      <x:c r="P606" s="9" t="str">
        <x:v>是</x:v>
      </x:c>
      <x:c r="Q606" s="9" t="str">
        <x:v>自然句/品类词/品牌词</x:v>
      </x:c>
      <x:c r="R606" s="9" t="str">
        <x:v>中风险：榜单和评测必须真实、中立，避免夸大</x:v>
      </x:c>
      <x:c r="S606" s="9" t="str">
        <x:v>这类词不直接给主站，先用博客C教育和比较，再导流到最相关集合页。</x:v>
      </x:c>
      <x:c r="T606" s="38" t="n">
        <x:v>4</x:v>
      </x:c>
      <x:c r="U606" s="38" t="n">
        <x:v>12</x:v>
      </x:c>
      <x:c r="V606" s="38" t="n">
        <x:v>16</x:v>
      </x:c>
      <x:c r="W606" s="38" t="n">
        <x:v>15</x:v>
      </x:c>
      <x:c r="X606" s="38" t="n">
        <x:v>13</x:v>
      </x:c>
      <x:c r="Y606" s="38" t="n">
        <x:v>6</x:v>
      </x:c>
      <x:c r="Z606" s="38" t="n">
        <x:f>MAX(0,MIN(100,ROUND(((T606+U606+V606+W606+X606)-Y606)/85*100,0)))</x:f>
        <x:v>64</x:v>
      </x:c>
      <x:c r="AA606" s="9" t="str">
        <x:f>IF(L606="暂不做","P3 暂缓",IF(Z606&gt;=75,"P0 本周做",IF(Z606&gt;=60,"P1 近期做",IF(Z606&gt;=45,"P2 备选","P3 暂缓"))))</x:f>
        <x:v>P1 近期做</x:v>
      </x:c>
      <x:c r="AB606" s="9" t="str">
        <x:f>IF(Y606&gt;=15,"先做合规/相关性复核，不建议直接商业导流",IF(L606="主站","建/优化主站商业页",IF(L606="博客A-知识教程","写知识教程/FAQ文章",IF(L606="博客B-场景人群","写场景需求/选购指南文章",IF(L606="博客C-对比评测","写对比评测/榜单文章","暂不做或人工复核")))))</x:f>
        <x:v>写对比评测/榜单文章</x:v>
      </x:c>
      <x:c r="AC606" s="9" t="str">
        <x:v>Top EXDIVO Vape Flavors You Must Try in 2026 - ExDivo</x:v>
      </x:c>
      <x:c r="AD606" s="10" t="str">
        <x:v>top exdivo vape flavors you must try in 2026</x:v>
      </x:c>
    </x:row>
    <x:row r="607">
      <x:c r="A607" s="34" t="n">
        <x:v>607</x:v>
      </x:c>
      <x:c r="B607" s="9" t="str">
        <x:v>https://exdivo.com/blogs/top-exdivo-vape-flavors-you-must-try-in-2026?data_from=index_index</x:v>
      </x:c>
      <x:c r="C607" s="9" t="str">
        <x:v>best vape juice</x:v>
      </x:c>
      <x:c r="D607" s="9" t="str">
        <x:v>recommended</x:v>
      </x:c>
      <x:c r="E607" s="36" t="n">
        <x:v>1600</x:v>
      </x:c>
      <x:c r="F607" s="36" t="n">
        <x:v>25</x:v>
      </x:c>
      <x:c r="G607" s="9" t="str">
        <x:v>commercial</x:v>
      </x:c>
      <x:c r="H607" s="9" t="str">
        <x:v>对比评测</x:v>
      </x:c>
      <x:c r="I607" s="9" t="str">
        <x:v>商业调查词</x:v>
      </x:c>
      <x:c r="J607" s="9" t="str">
        <x:v>博客C-对比评测</x:v>
      </x:c>
      <x:c r="K607" s="9" t="str"/>
      <x:c r="L607" s="9" t="str">
        <x:f>IF(K607="",J607,K607)</x:f>
        <x:v>博客C-对比评测</x:v>
      </x:c>
      <x:c r="M607" s="9" t="str">
        <x:v>Best/Top/Review/VS/替代方案文章</x:v>
      </x:c>
      <x:c r="N607" s="9" t="str">
        <x:v>Best angle: best vape juice - comparison, pros/cons, and which option fits different buyers</x:v>
      </x:c>
      <x:c r="O607" s="9" t="str">
        <x:v>/collections/disposable-vapes</x:v>
      </x:c>
      <x:c r="P607" s="9" t="str">
        <x:v>是</x:v>
      </x:c>
      <x:c r="Q607" s="9" t="str">
        <x:v>自然句/品类词/品牌词</x:v>
      </x:c>
      <x:c r="R607" s="9" t="str">
        <x:v>中风险：榜单和评测必须真实、中立，避免夸大</x:v>
      </x:c>
      <x:c r="S607" s="9" t="str">
        <x:v>这类词不直接给主站，先用博客C教育和比较，再导流到最相关集合页。</x:v>
      </x:c>
      <x:c r="T607" s="38" t="n">
        <x:v>13</x:v>
      </x:c>
      <x:c r="U607" s="38" t="n">
        <x:v>12</x:v>
      </x:c>
      <x:c r="V607" s="38" t="n">
        <x:v>16</x:v>
      </x:c>
      <x:c r="W607" s="38" t="n">
        <x:v>15</x:v>
      </x:c>
      <x:c r="X607" s="38" t="n">
        <x:v>13</x:v>
      </x:c>
      <x:c r="Y607" s="38" t="n">
        <x:v>6</x:v>
      </x:c>
      <x:c r="Z607" s="38" t="n">
        <x:f>MAX(0,MIN(100,ROUND(((T607+U607+V607+W607+X607)-Y607)/85*100,0)))</x:f>
        <x:v>74</x:v>
      </x:c>
      <x:c r="AA607" s="9" t="str">
        <x:f>IF(L607="暂不做","P3 暂缓",IF(Z607&gt;=75,"P0 本周做",IF(Z607&gt;=60,"P1 近期做",IF(Z607&gt;=45,"P2 备选","P3 暂缓"))))</x:f>
        <x:v>P1 近期做</x:v>
      </x:c>
      <x:c r="AB607" s="9" t="str">
        <x:f>IF(Y607&gt;=15,"先做合规/相关性复核，不建议直接商业导流",IF(L607="主站","建/优化主站商业页",IF(L607="博客A-知识教程","写知识教程/FAQ文章",IF(L607="博客B-场景人群","写场景需求/选购指南文章",IF(L607="博客C-对比评测","写对比评测/榜单文章","暂不做或人工复核")))))</x:f>
        <x:v>写对比评测/榜单文章</x:v>
      </x:c>
      <x:c r="AC607" s="9" t="str">
        <x:v>Top EXDIVO Vape Flavors You Must Try in 2026 - ExDivo</x:v>
      </x:c>
      <x:c r="AD607" s="10" t="str">
        <x:v>top exdivo vape flavors you must try in 2026</x:v>
      </x:c>
    </x:row>
    <x:row r="608">
      <x:c r="A608" s="34" t="n">
        <x:v>608</x:v>
      </x:c>
      <x:c r="B608" s="9" t="str">
        <x:v>https://exdivo.com/blogs/top-exdivo-vape-flavors-you-must-try-in-2026?data_from=index_index</x:v>
      </x:c>
      <x:c r="C608" s="9" t="str">
        <x:v>best vapes 2024</x:v>
      </x:c>
      <x:c r="D608" s="9" t="str">
        <x:v>recommended</x:v>
      </x:c>
      <x:c r="E608" s="36" t="n">
        <x:v>1600</x:v>
      </x:c>
      <x:c r="F608" s="36" t="n">
        <x:v>25</x:v>
      </x:c>
      <x:c r="G608" s="9" t="str">
        <x:v>commercial</x:v>
      </x:c>
      <x:c r="H608" s="9" t="str">
        <x:v>对比评测</x:v>
      </x:c>
      <x:c r="I608" s="9" t="str">
        <x:v>商业调查词</x:v>
      </x:c>
      <x:c r="J608" s="9" t="str">
        <x:v>博客C-对比评测</x:v>
      </x:c>
      <x:c r="K608" s="9" t="str"/>
      <x:c r="L608" s="9" t="str">
        <x:f>IF(K608="",J608,K608)</x:f>
        <x:v>博客C-对比评测</x:v>
      </x:c>
      <x:c r="M608" s="9" t="str">
        <x:v>Best/Top/Review/VS/替代方案文章</x:v>
      </x:c>
      <x:c r="N608" s="9" t="str">
        <x:v>Best angle: best vapes 2024 - comparison, pros/cons, and which option fits different buyers</x:v>
      </x:c>
      <x:c r="O608" s="9" t="str">
        <x:v>/collections/disposable-vapes</x:v>
      </x:c>
      <x:c r="P608" s="9" t="str">
        <x:v>是</x:v>
      </x:c>
      <x:c r="Q608" s="9" t="str">
        <x:v>自然句/品类词/品牌词</x:v>
      </x:c>
      <x:c r="R608" s="9" t="str">
        <x:v>中风险：榜单和评测必须真实、中立，避免夸大</x:v>
      </x:c>
      <x:c r="S608" s="9" t="str">
        <x:v>这类词不直接给主站，先用博客C教育和比较，再导流到最相关集合页。</x:v>
      </x:c>
      <x:c r="T608" s="38" t="n">
        <x:v>13</x:v>
      </x:c>
      <x:c r="U608" s="38" t="n">
        <x:v>12</x:v>
      </x:c>
      <x:c r="V608" s="38" t="n">
        <x:v>16</x:v>
      </x:c>
      <x:c r="W608" s="38" t="n">
        <x:v>15</x:v>
      </x:c>
      <x:c r="X608" s="38" t="n">
        <x:v>13</x:v>
      </x:c>
      <x:c r="Y608" s="38" t="n">
        <x:v>6</x:v>
      </x:c>
      <x:c r="Z608" s="38" t="n">
        <x:f>MAX(0,MIN(100,ROUND(((T608+U608+V608+W608+X608)-Y608)/85*100,0)))</x:f>
        <x:v>74</x:v>
      </x:c>
      <x:c r="AA608" s="9" t="str">
        <x:f>IF(L608="暂不做","P3 暂缓",IF(Z608&gt;=75,"P0 本周做",IF(Z608&gt;=60,"P1 近期做",IF(Z608&gt;=45,"P2 备选","P3 暂缓"))))</x:f>
        <x:v>P1 近期做</x:v>
      </x:c>
      <x:c r="AB608" s="9" t="str">
        <x:f>IF(Y608&gt;=15,"先做合规/相关性复核，不建议直接商业导流",IF(L608="主站","建/优化主站商业页",IF(L608="博客A-知识教程","写知识教程/FAQ文章",IF(L608="博客B-场景人群","写场景需求/选购指南文章",IF(L608="博客C-对比评测","写对比评测/榜单文章","暂不做或人工复核")))))</x:f>
        <x:v>写对比评测/榜单文章</x:v>
      </x:c>
      <x:c r="AC608" s="9" t="str">
        <x:v>Top EXDIVO Vape Flavors You Must Try in 2026 - ExDivo</x:v>
      </x:c>
      <x:c r="AD608" s="10" t="str">
        <x:v>top exdivo vape flavors you must try in 2026</x:v>
      </x:c>
    </x:row>
    <x:row r="609">
      <x:c r="A609" s="34" t="n">
        <x:v>609</x:v>
      </x:c>
      <x:c r="B609" s="9" t="str">
        <x:v>https://exdivo.com/blogs/top-exdivo-vape-flavors-you-must-try-in-2026?data_from=index_index</x:v>
      </x:c>
      <x:c r="C609" s="9" t="str">
        <x:v>best vape flavors 2026</x:v>
      </x:c>
      <x:c r="D609" s="9" t="str">
        <x:v>recommended</x:v>
      </x:c>
      <x:c r="E609" s="36" t="n">
        <x:v>0</x:v>
      </x:c>
      <x:c r="F609" s="36" t="n">
        <x:v>0</x:v>
      </x:c>
      <x:c r="G609" s="9" t="str">
        <x:v>48</x:v>
      </x:c>
      <x:c r="H609" s="9" t="str">
        <x:v>Flavor / 口味</x:v>
      </x:c>
      <x:c r="I609" s="9" t="str">
        <x:v>商业调查词</x:v>
      </x:c>
      <x:c r="J609" s="9" t="str">
        <x:v>博客C-对比评测</x:v>
      </x:c>
      <x:c r="K609" s="9" t="str"/>
      <x:c r="L609" s="9" t="str">
        <x:f>IF(K609="",J609,K609)</x:f>
        <x:v>博客C-对比评测</x:v>
      </x:c>
      <x:c r="M609" s="9" t="str">
        <x:v>Best/Top/Review/VS/替代方案文章</x:v>
      </x:c>
      <x:c r="N609" s="9" t="str">
        <x:v>Best angle: best vape flavors 2026 - comparison, pros/cons, and which option fits different buyers</x:v>
      </x:c>
      <x:c r="O609" s="9" t="str">
        <x:v>/collections/flavored-disposable-vapes</x:v>
      </x:c>
      <x:c r="P609" s="9" t="str">
        <x:v>是</x:v>
      </x:c>
      <x:c r="Q609" s="9" t="str">
        <x:v>自然句/品类词/品牌词</x:v>
      </x:c>
      <x:c r="R609" s="9" t="str">
        <x:v>中风险：榜单和评测必须真实、中立，避免夸大</x:v>
      </x:c>
      <x:c r="S609" s="9" t="str">
        <x:v>这类词不直接给主站，先用博客C教育和比较，再导流到最相关集合页。</x:v>
      </x:c>
      <x:c r="T609" s="38" t="n">
        <x:v>1</x:v>
      </x:c>
      <x:c r="U609" s="38" t="n">
        <x:v>15</x:v>
      </x:c>
      <x:c r="V609" s="38" t="n">
        <x:v>16</x:v>
      </x:c>
      <x:c r="W609" s="38" t="n">
        <x:v>15</x:v>
      </x:c>
      <x:c r="X609" s="38" t="n">
        <x:v>13</x:v>
      </x:c>
      <x:c r="Y609" s="38" t="n">
        <x:v>6</x:v>
      </x:c>
      <x:c r="Z609" s="38" t="n">
        <x:f>MAX(0,MIN(100,ROUND(((T609+U609+V609+W609+X609)-Y609)/85*100,0)))</x:f>
        <x:v>64</x:v>
      </x:c>
      <x:c r="AA609" s="9" t="str">
        <x:f>IF(L609="暂不做","P3 暂缓",IF(Z609&gt;=75,"P0 本周做",IF(Z609&gt;=60,"P1 近期做",IF(Z609&gt;=45,"P2 备选","P3 暂缓"))))</x:f>
        <x:v>P1 近期做</x:v>
      </x:c>
      <x:c r="AB609" s="9" t="str">
        <x:f>IF(Y609&gt;=15,"先做合规/相关性复核，不建议直接商业导流",IF(L609="主站","建/优化主站商业页",IF(L609="博客A-知识教程","写知识教程/FAQ文章",IF(L609="博客B-场景人群","写场景需求/选购指南文章",IF(L609="博客C-对比评测","写对比评测/榜单文章","暂不做或人工复核")))))</x:f>
        <x:v>写对比评测/榜单文章</x:v>
      </x:c>
      <x:c r="AC609" s="9" t="str">
        <x:v>Top EXDIVO Vape Flavors You Must Try in 2026 - ExDivo</x:v>
      </x:c>
      <x:c r="AD609" s="10" t="str">
        <x:v>top exdivo vape flavors you must try in 2026</x:v>
      </x:c>
    </x:row>
    <x:row r="610">
      <x:c r="A610" s="34" t="n">
        <x:v>610</x:v>
      </x:c>
      <x:c r="B610" s="9" t="str">
        <x:v>https://exdivo.com/blogs/top-exdivo-vape-flavors-you-must-try-in-2026?data_from=index_index</x:v>
      </x:c>
      <x:c r="C610" s="9" t="str">
        <x:v>top vape flavors to try</x:v>
      </x:c>
      <x:c r="D610" s="9" t="str">
        <x:v>recommended</x:v>
      </x:c>
      <x:c r="E610" s="36" t="n">
        <x:v>0</x:v>
      </x:c>
      <x:c r="F610" s="36" t="n">
        <x:v>0</x:v>
      </x:c>
      <x:c r="G610" s="9" t="str">
        <x:v>48</x:v>
      </x:c>
      <x:c r="H610" s="9" t="str">
        <x:v>Flavor / 口味</x:v>
      </x:c>
      <x:c r="I610" s="9" t="str">
        <x:v>商业调查词</x:v>
      </x:c>
      <x:c r="J610" s="9" t="str">
        <x:v>博客C-对比评测</x:v>
      </x:c>
      <x:c r="K610" s="9" t="str"/>
      <x:c r="L610" s="9" t="str">
        <x:f>IF(K610="",J610,K610)</x:f>
        <x:v>博客C-对比评测</x:v>
      </x:c>
      <x:c r="M610" s="9" t="str">
        <x:v>Best/Top/Review/VS/替代方案文章</x:v>
      </x:c>
      <x:c r="N610" s="9" t="str">
        <x:v>Best angle: top vape flavors to try - comparison, pros/cons, and which option fits different buyers</x:v>
      </x:c>
      <x:c r="O610" s="9" t="str">
        <x:v>/collections/flavored-disposable-vapes</x:v>
      </x:c>
      <x:c r="P610" s="9" t="str">
        <x:v>是</x:v>
      </x:c>
      <x:c r="Q610" s="9" t="str">
        <x:v>自然句/品类词/品牌词</x:v>
      </x:c>
      <x:c r="R610" s="9" t="str">
        <x:v>中风险：榜单和评测必须真实、中立，避免夸大</x:v>
      </x:c>
      <x:c r="S610" s="9" t="str">
        <x:v>这类词不直接给主站，先用博客C教育和比较，再导流到最相关集合页。</x:v>
      </x:c>
      <x:c r="T610" s="38" t="n">
        <x:v>1</x:v>
      </x:c>
      <x:c r="U610" s="38" t="n">
        <x:v>15</x:v>
      </x:c>
      <x:c r="V610" s="38" t="n">
        <x:v>16</x:v>
      </x:c>
      <x:c r="W610" s="38" t="n">
        <x:v>15</x:v>
      </x:c>
      <x:c r="X610" s="38" t="n">
        <x:v>13</x:v>
      </x:c>
      <x:c r="Y610" s="38" t="n">
        <x:v>6</x:v>
      </x:c>
      <x:c r="Z610" s="38" t="n">
        <x:f>MAX(0,MIN(100,ROUND(((T610+U610+V610+W610+X610)-Y610)/85*100,0)))</x:f>
        <x:v>64</x:v>
      </x:c>
      <x:c r="AA610" s="9" t="str">
        <x:f>IF(L610="暂不做","P3 暂缓",IF(Z610&gt;=75,"P0 本周做",IF(Z610&gt;=60,"P1 近期做",IF(Z610&gt;=45,"P2 备选","P3 暂缓"))))</x:f>
        <x:v>P1 近期做</x:v>
      </x:c>
      <x:c r="AB610" s="9" t="str">
        <x:f>IF(Y610&gt;=15,"先做合规/相关性复核，不建议直接商业导流",IF(L610="主站","建/优化主站商业页",IF(L610="博客A-知识教程","写知识教程/FAQ文章",IF(L610="博客B-场景人群","写场景需求/选购指南文章",IF(L610="博客C-对比评测","写对比评测/榜单文章","暂不做或人工复核")))))</x:f>
        <x:v>写对比评测/榜单文章</x:v>
      </x:c>
      <x:c r="AC610" s="9" t="str">
        <x:v>Top EXDIVO Vape Flavors You Must Try in 2026 - ExDivo</x:v>
      </x:c>
      <x:c r="AD610" s="10" t="str">
        <x:v>top exdivo vape flavors you must try in 2026</x:v>
      </x:c>
    </x:row>
    <x:row r="611">
      <x:c r="A611" s="34" t="n">
        <x:v>611</x:v>
      </x:c>
      <x:c r="B611" s="9" t="str">
        <x:v>https://exdivo.com/blogs/top-exdivo-vape-flavors-you-must-try-in-2026?data_from=index_index</x:v>
      </x:c>
      <x:c r="C611" s="9" t="str">
        <x:v>must try vape flavors</x:v>
      </x:c>
      <x:c r="D611" s="9" t="str">
        <x:v>recommended</x:v>
      </x:c>
      <x:c r="E611" s="36" t="n">
        <x:v>0</x:v>
      </x:c>
      <x:c r="F611" s="36" t="n">
        <x:v>0</x:v>
      </x:c>
      <x:c r="G611" s="9" t="str">
        <x:v>48</x:v>
      </x:c>
      <x:c r="H611" s="9" t="str">
        <x:v>Flavor / 口味</x:v>
      </x:c>
      <x:c r="I611" s="9" t="str">
        <x:v>场景/需求词</x:v>
      </x:c>
      <x:c r="J611" s="9" t="str">
        <x:v>博客B-场景人群</x:v>
      </x:c>
      <x:c r="K611" s="9" t="str"/>
      <x:c r="L611" s="9" t="str">
        <x:f>IF(K611="",J611,K611)</x:f>
        <x:v>博客B-场景人群</x:v>
      </x:c>
      <x:c r="M611" s="9" t="str">
        <x:v>场景解决方案/选购指南文章</x:v>
      </x:c>
      <x:c r="N611" s="9" t="str">
        <x:v>Scenario angle: how to choose must try vape flavors based on use case, flavor, nicotine, and budget</x:v>
      </x:c>
      <x:c r="O611" s="9" t="str">
        <x:v>/collections/flavored-disposable-vapes</x:v>
      </x:c>
      <x:c r="P611" s="9" t="str">
        <x:v>是</x:v>
      </x:c>
      <x:c r="Q611" s="9" t="str">
        <x:v>自然句/品类词</x:v>
      </x:c>
      <x:c r="R611" s="9" t="str">
        <x:v>低中风险：适合软性导流，但不要夸大效果或触碰健康疗效</x:v>
      </x:c>
      <x:c r="S611" s="9" t="str">
        <x:v>围绕使用场景、口味、尼古丁需求、便携性等写，不和主站品类页抢词。</x:v>
      </x:c>
      <x:c r="T611" s="38" t="n">
        <x:v>1</x:v>
      </x:c>
      <x:c r="U611" s="38" t="n">
        <x:v>15</x:v>
      </x:c>
      <x:c r="V611" s="38" t="n">
        <x:v>13</x:v>
      </x:c>
      <x:c r="W611" s="38" t="n">
        <x:v>14</x:v>
      </x:c>
      <x:c r="X611" s="38" t="n">
        <x:v>13</x:v>
      </x:c>
      <x:c r="Y611" s="38" t="n">
        <x:v>5</x:v>
      </x:c>
      <x:c r="Z611" s="38" t="n">
        <x:f>MAX(0,MIN(100,ROUND(((T611+U611+V611+W611+X611)-Y611)/85*100,0)))</x:f>
        <x:v>60</x:v>
      </x:c>
      <x:c r="AA611" s="9" t="str">
        <x:f>IF(L611="暂不做","P3 暂缓",IF(Z611&gt;=75,"P0 本周做",IF(Z611&gt;=60,"P1 近期做",IF(Z611&gt;=45,"P2 备选","P3 暂缓"))))</x:f>
        <x:v>P1 近期做</x:v>
      </x:c>
      <x:c r="AB611" s="9" t="str">
        <x:f>IF(Y611&gt;=15,"先做合规/相关性复核，不建议直接商业导流",IF(L611="主站","建/优化主站商业页",IF(L611="博客A-知识教程","写知识教程/FAQ文章",IF(L611="博客B-场景人群","写场景需求/选购指南文章",IF(L611="博客C-对比评测","写对比评测/榜单文章","暂不做或人工复核")))))</x:f>
        <x:v>写场景需求/选购指南文章</x:v>
      </x:c>
      <x:c r="AC611" s="9" t="str">
        <x:v>Top EXDIVO Vape Flavors You Must Try in 2026 - ExDivo</x:v>
      </x:c>
      <x:c r="AD611" s="10" t="str">
        <x:v>top exdivo vape flavors you must try in 2026</x:v>
      </x:c>
    </x:row>
    <x:row r="612">
      <x:c r="A612" s="34" t="n">
        <x:v>612</x:v>
      </x:c>
      <x:c r="B612" s="9" t="str">
        <x:v>https://exdivo.com/blogs/top-exdivo-vape-flavors-you-must-try-in-2026?data_from=index_index</x:v>
      </x:c>
      <x:c r="C612" s="9" t="str">
        <x:v>exotic vape flavors</x:v>
      </x:c>
      <x:c r="D612" s="9" t="str">
        <x:v>recommended</x:v>
      </x:c>
      <x:c r="E612" s="36" t="n">
        <x:v>0</x:v>
      </x:c>
      <x:c r="F612" s="36" t="n">
        <x:v>0</x:v>
      </x:c>
      <x:c r="G612" s="9" t="str">
        <x:v>48</x:v>
      </x:c>
      <x:c r="H612" s="9" t="str">
        <x:v>Flavor / 口味</x:v>
      </x:c>
      <x:c r="I612" s="9" t="str">
        <x:v>场景/需求词</x:v>
      </x:c>
      <x:c r="J612" s="9" t="str">
        <x:v>博客B-场景人群</x:v>
      </x:c>
      <x:c r="K612" s="9" t="str"/>
      <x:c r="L612" s="9" t="str">
        <x:f>IF(K612="",J612,K612)</x:f>
        <x:v>博客B-场景人群</x:v>
      </x:c>
      <x:c r="M612" s="9" t="str">
        <x:v>场景解决方案/选购指南文章</x:v>
      </x:c>
      <x:c r="N612" s="9" t="str">
        <x:v>Scenario angle: how to choose exotic vape flavors based on use case, flavor, nicotine, and budget</x:v>
      </x:c>
      <x:c r="O612" s="9" t="str">
        <x:v>/collections/flavored-disposable-vapes</x:v>
      </x:c>
      <x:c r="P612" s="9" t="str">
        <x:v>是</x:v>
      </x:c>
      <x:c r="Q612" s="9" t="str">
        <x:v>自然句/品类词</x:v>
      </x:c>
      <x:c r="R612" s="9" t="str">
        <x:v>低中风险：适合软性导流，但不要夸大效果或触碰健康疗效</x:v>
      </x:c>
      <x:c r="S612" s="9" t="str">
        <x:v>围绕使用场景、口味、尼古丁需求、便携性等写，不和主站品类页抢词。</x:v>
      </x:c>
      <x:c r="T612" s="38" t="n">
        <x:v>1</x:v>
      </x:c>
      <x:c r="U612" s="38" t="n">
        <x:v>15</x:v>
      </x:c>
      <x:c r="V612" s="38" t="n">
        <x:v>13</x:v>
      </x:c>
      <x:c r="W612" s="38" t="n">
        <x:v>14</x:v>
      </x:c>
      <x:c r="X612" s="38" t="n">
        <x:v>13</x:v>
      </x:c>
      <x:c r="Y612" s="38" t="n">
        <x:v>5</x:v>
      </x:c>
      <x:c r="Z612" s="38" t="n">
        <x:f>MAX(0,MIN(100,ROUND(((T612+U612+V612+W612+X612)-Y612)/85*100,0)))</x:f>
        <x:v>60</x:v>
      </x:c>
      <x:c r="AA612" s="9" t="str">
        <x:f>IF(L612="暂不做","P3 暂缓",IF(Z612&gt;=75,"P0 本周做",IF(Z612&gt;=60,"P1 近期做",IF(Z612&gt;=45,"P2 备选","P3 暂缓"))))</x:f>
        <x:v>P1 近期做</x:v>
      </x:c>
      <x:c r="AB612" s="9" t="str">
        <x:f>IF(Y612&gt;=15,"先做合规/相关性复核，不建议直接商业导流",IF(L612="主站","建/优化主站商业页",IF(L612="博客A-知识教程","写知识教程/FAQ文章",IF(L612="博客B-场景人群","写场景需求/选购指南文章",IF(L612="博客C-对比评测","写对比评测/榜单文章","暂不做或人工复核")))))</x:f>
        <x:v>写场景需求/选购指南文章</x:v>
      </x:c>
      <x:c r="AC612" s="9" t="str">
        <x:v>Top EXDIVO Vape Flavors You Must Try in 2026 - ExDivo</x:v>
      </x:c>
      <x:c r="AD612" s="10" t="str">
        <x:v>top exdivo vape flavors you must try in 2026</x:v>
      </x:c>
    </x:row>
    <x:row r="613">
      <x:c r="A613" s="34" t="n">
        <x:v>613</x:v>
      </x:c>
      <x:c r="B613" s="9" t="str">
        <x:v>https://exdivo.com/comments/exdivo-bright-mirror-35k-replaceable-vape-kit_17dd6a51?writeComment=true</x:v>
      </x:c>
      <x:c r="C613" s="9" t="str">
        <x:v>replaceable vape kit mango</x:v>
      </x:c>
      <x:c r="D613" s="9" t="str">
        <x:v>recommended</x:v>
      </x:c>
      <x:c r="E613" s="36" t="n">
        <x:v>0</x:v>
      </x:c>
      <x:c r="F613" s="36" t="n">
        <x:v>0</x:v>
      </x:c>
      <x:c r="G613" s="9" t="str">
        <x:v>48</x:v>
      </x:c>
      <x:c r="H613" s="9" t="str">
        <x:v>General Vape</x:v>
      </x:c>
      <x:c r="I613" s="9" t="str">
        <x:v>内容词</x:v>
      </x:c>
      <x:c r="J613" s="9" t="str">
        <x:v>博客A-知识教程</x:v>
      </x:c>
      <x:c r="K613" s="9" t="str"/>
      <x:c r="L613" s="9" t="str">
        <x:f>IF(K613="",J613,K613)</x:f>
        <x:v>博客A-知识教程</x:v>
      </x:c>
      <x:c r="M613" s="9" t="str">
        <x:v>知识/教程文章</x:v>
      </x:c>
      <x:c r="N613" s="9" t="str">
        <x:v>Guide angle: explain replaceable vape kit mango, answer common questions, and avoid sales-first writing</x:v>
      </x:c>
      <x:c r="O613" s="9" t="str">
        <x:v>/collections/disposable-vapes 或最接近的产品集合页</x:v>
      </x:c>
      <x:c r="P613" s="9" t="str">
        <x:v>谨慎</x:v>
      </x:c>
      <x:c r="Q613" s="9" t="str">
        <x:v>品牌词/自然句</x:v>
      </x:c>
      <x:c r="R613" s="9" t="str">
        <x:v>低风险：按常规内容质量和搜索意图校验</x:v>
      </x:c>
      <x:c r="S613" s="9" t="str">
        <x:v>先看 Google SERP：如果首页多数为产品集合页，改回主站；如果多数为教程/问答，保持博客。</x:v>
      </x:c>
      <x:c r="T613" s="38" t="n">
        <x:v>1</x:v>
      </x:c>
      <x:c r="U613" s="38" t="n">
        <x:v>15</x:v>
      </x:c>
      <x:c r="V613" s="38" t="n">
        <x:v>10</x:v>
      </x:c>
      <x:c r="W613" s="38" t="n">
        <x:v>12</x:v>
      </x:c>
      <x:c r="X613" s="38" t="n">
        <x:v>12</x:v>
      </x:c>
      <x:c r="Y613" s="38" t="n">
        <x:v>4</x:v>
      </x:c>
      <x:c r="Z613" s="38" t="n">
        <x:f>MAX(0,MIN(100,ROUND(((T613+U613+V613+W613+X613)-Y613)/85*100,0)))</x:f>
        <x:v>54</x:v>
      </x:c>
      <x:c r="AA613" s="9" t="str">
        <x:f>IF(L613="暂不做","P3 暂缓",IF(Z613&gt;=75,"P0 本周做",IF(Z613&gt;=60,"P1 近期做",IF(Z613&gt;=45,"P2 备选","P3 暂缓"))))</x:f>
        <x:v>P2 备选</x:v>
      </x:c>
      <x:c r="AB613" s="9" t="str">
        <x:f>IF(Y613&gt;=15,"先做合规/相关性复核，不建议直接商业导流",IF(L613="主站","建/优化主站商业页",IF(L613="博客A-知识教程","写知识教程/FAQ文章",IF(L613="博客B-场景人群","写场景需求/选购指南文章",IF(L613="博客C-对比评测","写对比评测/榜单文章","暂不做或人工复核")))))</x:f>
        <x:v>写知识教程/FAQ文章</x:v>
      </x:c>
      <x:c r="AC613" s="9" t="str">
        <x:v>Reviews - MEXICAN MANGO - ExDivo BRIGHT MIRROR 35K Replaceable VAPE kit - ExDivo</x:v>
      </x:c>
      <x:c r="AD613" s="10" t="str">
        <x:v>48</x:v>
      </x:c>
    </x:row>
    <x:row r="614">
      <x:c r="A614" s="34" t="n">
        <x:v>614</x:v>
      </x:c>
      <x:c r="B614" s="9" t="str">
        <x:v>https://exdivo.com/comments/exdivo-bright-mirror-35k-replaceable-vape-kit_17dd6a51?writeComment=true</x:v>
      </x:c>
      <x:c r="C614" s="9" t="str">
        <x:v>bright mirror mexican mango</x:v>
      </x:c>
      <x:c r="D614" s="9" t="str">
        <x:v>recommended</x:v>
      </x:c>
      <x:c r="E614" s="36" t="n">
        <x:v>0</x:v>
      </x:c>
      <x:c r="F614" s="36" t="n">
        <x:v>0</x:v>
      </x:c>
      <x:c r="G614" s="9" t="str">
        <x:v>48</x:v>
      </x:c>
      <x:c r="H614" s="9" t="str">
        <x:v>知识教程</x:v>
      </x:c>
      <x:c r="I614" s="9" t="str">
        <x:v>知识/教程词</x:v>
      </x:c>
      <x:c r="J614" s="9" t="str">
        <x:v>博客A-知识教程</x:v>
      </x:c>
      <x:c r="K614" s="9" t="str"/>
      <x:c r="L614" s="9" t="str">
        <x:f>IF(K614="",J614,K614)</x:f>
        <x:v>博客A-知识教程</x:v>
      </x:c>
      <x:c r="M614" s="9" t="str">
        <x:v>百科/How-to/FAQ文章</x:v>
      </x:c>
      <x:c r="N614" s="9" t="str">
        <x:v>Guide angle: explain bright mirror mexican mango, answer common questions, and avoid sales-first writing</x:v>
      </x:c>
      <x:c r="O614" s="9" t="str">
        <x:v>/collections/disposable-vapes</x:v>
      </x:c>
      <x:c r="P614" s="9" t="str">
        <x:v>谨慎</x:v>
      </x:c>
      <x:c r="Q614" s="9" t="str">
        <x:v>自然句/品牌词</x:v>
      </x:c>
      <x:c r="R614" s="9" t="str">
        <x:v>低中风险：先满足信息意图，导流要克制</x:v>
      </x:c>
      <x:c r="S614" s="9" t="str">
        <x:v>如果文章能自然回答下一步购买问题，再放 1 个主站内链；否则只做知识闭环。</x:v>
      </x:c>
      <x:c r="T614" s="38" t="n">
        <x:v>1</x:v>
      </x:c>
      <x:c r="U614" s="38" t="n">
        <x:v>15</x:v>
      </x:c>
      <x:c r="V614" s="38" t="n">
        <x:v>9</x:v>
      </x:c>
      <x:c r="W614" s="38" t="n">
        <x:v>14</x:v>
      </x:c>
      <x:c r="X614" s="38" t="n">
        <x:v>12</x:v>
      </x:c>
      <x:c r="Y614" s="38" t="n">
        <x:v>5</x:v>
      </x:c>
      <x:c r="Z614" s="38" t="n">
        <x:f>MAX(0,MIN(100,ROUND(((T614+U614+V614+W614+X614)-Y614)/85*100,0)))</x:f>
        <x:v>54</x:v>
      </x:c>
      <x:c r="AA614" s="9" t="str">
        <x:f>IF(L614="暂不做","P3 暂缓",IF(Z614&gt;=75,"P0 本周做",IF(Z614&gt;=60,"P1 近期做",IF(Z614&gt;=45,"P2 备选","P3 暂缓"))))</x:f>
        <x:v>P2 备选</x:v>
      </x:c>
      <x:c r="AB614" s="9" t="str">
        <x:f>IF(Y614&gt;=15,"先做合规/相关性复核，不建议直接商业导流",IF(L614="主站","建/优化主站商业页",IF(L614="博客A-知识教程","写知识教程/FAQ文章",IF(L614="博客B-场景人群","写场景需求/选购指南文章",IF(L614="博客C-对比评测","写对比评测/榜单文章","暂不做或人工复核")))))</x:f>
        <x:v>写知识教程/FAQ文章</x:v>
      </x:c>
      <x:c r="AC614" s="9" t="str">
        <x:v>Reviews - MEXICAN MANGO - ExDivo BRIGHT MIRROR 35K Replaceable VAPE kit - ExDivo</x:v>
      </x:c>
      <x:c r="AD614" s="10" t="str">
        <x:v>48</x:v>
      </x:c>
    </x:row>
    <x:row r="615">
      <x:c r="A615" s="34" t="n">
        <x:v>615</x:v>
      </x:c>
      <x:c r="B615" s="9" t="str">
        <x:v>https://exdivo.com/collections/interstellar/products/exdivo-interstellar-35k-disposable-vape_a50f7cf9?data_from=index_index&amp;spm=index_index..block_collection_slides-11702936.9.</x:v>
      </x:c>
      <x:c r="C615" s="9" t="str">
        <x:v>exdivo disposable vape models</x:v>
      </x:c>
      <x:c r="D615" s="9" t="str">
        <x:v>recommended</x:v>
      </x:c>
      <x:c r="E615" s="36" t="n">
        <x:v>0</x:v>
      </x:c>
      <x:c r="F615" s="36" t="n">
        <x:v>0</x:v>
      </x:c>
      <x:c r="G615" s="9" t="str">
        <x:v>48</x:v>
      </x:c>
      <x:c r="H615" s="9" t="str">
        <x:v>Disposable Vape</x:v>
      </x:c>
      <x:c r="I615" s="9" t="str">
        <x:v>内容词</x:v>
      </x:c>
      <x:c r="J615" s="9" t="str">
        <x:v>博客A-知识教程</x:v>
      </x:c>
      <x:c r="K615" s="9" t="str"/>
      <x:c r="L615" s="9" t="str">
        <x:f>IF(K615="",J615,K615)</x:f>
        <x:v>博客A-知识教程</x:v>
      </x:c>
      <x:c r="M615" s="9" t="str">
        <x:v>知识/教程文章</x:v>
      </x:c>
      <x:c r="N615" s="9" t="str">
        <x:v>Guide angle: explain exdivo disposable vape models, answer common questions, and avoid sales-first writing</x:v>
      </x:c>
      <x:c r="O615" s="9" t="str">
        <x:v>/collections/disposable-vapes 或最接近的产品集合页</x:v>
      </x:c>
      <x:c r="P615" s="9" t="str">
        <x:v>谨慎</x:v>
      </x:c>
      <x:c r="Q615" s="9" t="str">
        <x:v>品牌词/自然句</x:v>
      </x:c>
      <x:c r="R615" s="9" t="str">
        <x:v>低风险：按常规内容质量和搜索意图校验</x:v>
      </x:c>
      <x:c r="S615" s="9" t="str">
        <x:v>先看 Google SERP：如果首页多数为产品集合页，改回主站；如果多数为教程/问答，保持博客。</x:v>
      </x:c>
      <x:c r="T615" s="38" t="n">
        <x:v>1</x:v>
      </x:c>
      <x:c r="U615" s="38" t="n">
        <x:v>15</x:v>
      </x:c>
      <x:c r="V615" s="38" t="n">
        <x:v>10</x:v>
      </x:c>
      <x:c r="W615" s="38" t="n">
        <x:v>12</x:v>
      </x:c>
      <x:c r="X615" s="38" t="n">
        <x:v>12</x:v>
      </x:c>
      <x:c r="Y615" s="38" t="n">
        <x:v>4</x:v>
      </x:c>
      <x:c r="Z615" s="38" t="n">
        <x:f>MAX(0,MIN(100,ROUND(((T615+U615+V615+W615+X615)-Y615)/85*100,0)))</x:f>
        <x:v>54</x:v>
      </x:c>
      <x:c r="AA615" s="9" t="str">
        <x:f>IF(L615="暂不做","P3 暂缓",IF(Z615&gt;=75,"P0 本周做",IF(Z615&gt;=60,"P1 近期做",IF(Z615&gt;=45,"P2 备选","P3 暂缓"))))</x:f>
        <x:v>P2 备选</x:v>
      </x:c>
      <x:c r="AB615" s="9" t="str">
        <x:f>IF(Y615&gt;=15,"先做合规/相关性复核，不建议直接商业导流",IF(L615="主站","建/优化主站商业页",IF(L615="博客A-知识教程","写知识教程/FAQ文章",IF(L615="博客B-场景人群","写场景需求/选购指南文章",IF(L615="博客C-对比评测","写对比评测/榜单文章","暂不做或人工复核")))))</x:f>
        <x:v>写知识教程/FAQ文章</x:v>
      </x:c>
      <x:c r="AC615" s="9" t="str">
        <x:v>ExDivo INTERSTELLAR 35K Disposable Vape</x:v>
      </x:c>
      <x:c r="AD615" s="10" t="str">
        <x:v>35000 puffs</x:v>
      </x:c>
    </x:row>
    <x:row r="616">
      <x:c r="A616" s="34" t="n">
        <x:v>616</x:v>
      </x:c>
      <x:c r="B616" s="9" t="str">
        <x:v>https://exdivo.com/collections/interstellar/products/exdivo-interstellar-35k-disposable-vape_a50f7cf9?data_from=index_index&amp;spm=index_index..block_collection_slides-11702936.9.</x:v>
      </x:c>
      <x:c r="C616" s="9" t="str">
        <x:v>exdivo electronic cigarettes</x:v>
      </x:c>
      <x:c r="D616" s="9" t="str">
        <x:v>recommended</x:v>
      </x:c>
      <x:c r="E616" s="36" t="n">
        <x:v>0</x:v>
      </x:c>
      <x:c r="F616" s="36" t="n">
        <x:v>0</x:v>
      </x:c>
      <x:c r="G616" s="9" t="str">
        <x:v>48</x:v>
      </x:c>
      <x:c r="H616" s="9" t="str">
        <x:v>E-Cigarette</x:v>
      </x:c>
      <x:c r="I616" s="9" t="str">
        <x:v>品类承接词</x:v>
      </x:c>
      <x:c r="J616" s="9" t="str">
        <x:v>主站</x:v>
      </x:c>
      <x:c r="K616" s="9" t="str"/>
      <x:c r="L616" s="9" t="str">
        <x:f>IF(K616="",J616,K616)</x:f>
        <x:v>主站</x:v>
      </x:c>
      <x:c r="M616" s="9" t="str">
        <x:v>品类页/集合页 + FAQ内容块</x:v>
      </x:c>
      <x:c r="N616" s="9" t="str">
        <x:v>主站品类页：用产品集合 + 选购说明承接</x:v>
      </x:c>
      <x:c r="O616" s="9" t="str">
        <x:v>/collections/e-cigarettes</x:v>
      </x:c>
      <x:c r="P616" s="9" t="str">
        <x:v>不适用</x:v>
      </x:c>
      <x:c r="Q616" s="9" t="str">
        <x:v>主站页面自身承接</x:v>
      </x:c>
      <x:c r="R616" s="9" t="str">
        <x:v>核心品类词：主站优先，博客只做长尾解释，不直接抢同一词</x:v>
      </x:c>
      <x:c r="S616" s="9" t="str">
        <x:v>如果 Google 首页产品页和指南混合，主站页要加 FAQ、选购指南、对比模块。</x:v>
      </x:c>
      <x:c r="T616" s="38" t="n">
        <x:v>1</x:v>
      </x:c>
      <x:c r="U616" s="38" t="n">
        <x:v>15</x:v>
      </x:c>
      <x:c r="V616" s="38" t="n">
        <x:v>16</x:v>
      </x:c>
      <x:c r="W616" s="38" t="n">
        <x:v>8</x:v>
      </x:c>
      <x:c r="X616" s="38" t="n">
        <x:v>15</x:v>
      </x:c>
      <x:c r="Y616" s="38" t="n">
        <x:v>4</x:v>
      </x:c>
      <x:c r="Z616" s="38" t="n">
        <x:f>MAX(0,MIN(100,ROUND(((T616+U616+V616+W616+X616)-Y616)/85*100,0)))</x:f>
        <x:v>60</x:v>
      </x:c>
      <x:c r="AA616" s="9" t="str">
        <x:f>IF(L616="暂不做","P3 暂缓",IF(Z616&gt;=75,"P0 本周做",IF(Z616&gt;=60,"P1 近期做",IF(Z616&gt;=45,"P2 备选","P3 暂缓"))))</x:f>
        <x:v>P1 近期做</x:v>
      </x:c>
      <x:c r="AB616" s="9" t="str">
        <x:f>IF(Y616&gt;=15,"先做合规/相关性复核，不建议直接商业导流",IF(L616="主站","建/优化主站商业页",IF(L616="博客A-知识教程","写知识教程/FAQ文章",IF(L616="博客B-场景人群","写场景需求/选购指南文章",IF(L616="博客C-对比评测","写对比评测/榜单文章","暂不做或人工复核")))))</x:f>
        <x:v>建/优化主站商业页</x:v>
      </x:c>
      <x:c r="AC616" s="9" t="str">
        <x:v>ExDivo INTERSTELLAR 35K Disposable Vape</x:v>
      </x:c>
      <x:c r="AD616" s="10" t="str">
        <x:v>35000 puffs</x:v>
      </x:c>
    </x:row>
    <x:row r="617">
      <x:c r="A617" s="34" t="n">
        <x:v>617</x:v>
      </x:c>
      <x:c r="B617" s="9" t="str">
        <x:v>https://exdivo.com/comments/exdivo-interstellar-35k-disposable-vape_c59c5d3c?writeComment=true</x:v>
      </x:c>
      <x:c r="C617" s="9" t="str">
        <x:v>fcuking fab vape flavor</x:v>
      </x:c>
      <x:c r="D617" s="9" t="str">
        <x:v>recommended</x:v>
      </x:c>
      <x:c r="E617" s="36" t="n">
        <x:v>90</x:v>
      </x:c>
      <x:c r="F617" s="36" t="n">
        <x:v>1</x:v>
      </x:c>
      <x:c r="G617" s="9" t="str">
        <x:v>commercial</x:v>
      </x:c>
      <x:c r="H617" s="9" t="str">
        <x:v>Flavor / 口味</x:v>
      </x:c>
      <x:c r="I617" s="9" t="str">
        <x:v>品类承接词</x:v>
      </x:c>
      <x:c r="J617" s="9" t="str">
        <x:v>主站</x:v>
      </x:c>
      <x:c r="K617" s="9" t="str"/>
      <x:c r="L617" s="9" t="str">
        <x:f>IF(K617="",J617,K617)</x:f>
        <x:v>主站</x:v>
      </x:c>
      <x:c r="M617" s="9" t="str">
        <x:v>品类页/集合页 + FAQ内容块</x:v>
      </x:c>
      <x:c r="N617" s="9" t="str">
        <x:v>主站品类页：用产品集合 + 选购说明承接</x:v>
      </x:c>
      <x:c r="O617" s="9" t="str">
        <x:v>/collections/flavored-disposable-vapes</x:v>
      </x:c>
      <x:c r="P617" s="9" t="str">
        <x:v>不适用</x:v>
      </x:c>
      <x:c r="Q617" s="9" t="str">
        <x:v>主站页面自身承接</x:v>
      </x:c>
      <x:c r="R617" s="9" t="str">
        <x:v>核心品类词：主站优先，博客只做长尾解释，不直接抢同一词</x:v>
      </x:c>
      <x:c r="S617" s="9" t="str">
        <x:v>如果 Google 首页产品页和指南混合，主站页要加 FAQ、选购指南、对比模块。</x:v>
      </x:c>
      <x:c r="T617" s="38" t="n">
        <x:v>4</x:v>
      </x:c>
      <x:c r="U617" s="38" t="n">
        <x:v>15</x:v>
      </x:c>
      <x:c r="V617" s="38" t="n">
        <x:v>18</x:v>
      </x:c>
      <x:c r="W617" s="38" t="n">
        <x:v>8</x:v>
      </x:c>
      <x:c r="X617" s="38" t="n">
        <x:v>15</x:v>
      </x:c>
      <x:c r="Y617" s="38" t="n">
        <x:v>4</x:v>
      </x:c>
      <x:c r="Z617" s="38" t="n">
        <x:f>MAX(0,MIN(100,ROUND(((T617+U617+V617+W617+X617)-Y617)/85*100,0)))</x:f>
        <x:v>66</x:v>
      </x:c>
      <x:c r="AA617" s="9" t="str">
        <x:f>IF(L617="暂不做","P3 暂缓",IF(Z617&gt;=75,"P0 本周做",IF(Z617&gt;=60,"P1 近期做",IF(Z617&gt;=45,"P2 备选","P3 暂缓"))))</x:f>
        <x:v>P1 近期做</x:v>
      </x:c>
      <x:c r="AB617" s="9" t="str">
        <x:f>IF(Y617&gt;=15,"先做合规/相关性复核，不建议直接商业导流",IF(L617="主站","建/优化主站商业页",IF(L617="博客A-知识教程","写知识教程/FAQ文章",IF(L617="博客B-场景人群","写场景需求/选购指南文章",IF(L617="博客C-对比评测","写对比评测/榜单文章","暂不做或人工复核")))))</x:f>
        <x:v>建/优化主站商业页</x:v>
      </x:c>
      <x:c r="AC617" s="9" t="str">
        <x:v>Reviews - Fcuking Fab - ExDivo INTERSTELLAR 35K Disposable Vape - ExDivo</x:v>
      </x:c>
      <x:c r="AD617" s="10" t="str">
        <x:v>48</x:v>
      </x:c>
    </x:row>
    <x:row r="618">
      <x:c r="A618" s="34" t="n">
        <x:v>618</x:v>
      </x:c>
      <x:c r="B618" s="9" t="str">
        <x:v>https://exdivo.com/comments/exdivo-interstellar-35k-disposable-vape_c59c5d3c?writeComment=true</x:v>
      </x:c>
      <x:c r="C618" s="9" t="str">
        <x:v>fcking fab vape</x:v>
      </x:c>
      <x:c r="D618" s="9" t="str">
        <x:v>recommended</x:v>
      </x:c>
      <x:c r="E618" s="36" t="n">
        <x:v>70</x:v>
      </x:c>
      <x:c r="F618" s="36" t="n">
        <x:v>0</x:v>
      </x:c>
      <x:c r="G618" s="9" t="str">
        <x:v>commercial</x:v>
      </x:c>
      <x:c r="H618" s="9" t="str">
        <x:v>General Vape</x:v>
      </x:c>
      <x:c r="I618" s="9" t="str">
        <x:v>品类承接词</x:v>
      </x:c>
      <x:c r="J618" s="9" t="str">
        <x:v>主站</x:v>
      </x:c>
      <x:c r="K618" s="9" t="str"/>
      <x:c r="L618" s="9" t="str">
        <x:f>IF(K618="",J618,K618)</x:f>
        <x:v>主站</x:v>
      </x:c>
      <x:c r="M618" s="9" t="str">
        <x:v>品类页/集合页 + FAQ内容块</x:v>
      </x:c>
      <x:c r="N618" s="9" t="str">
        <x:v>主站品类页：用产品集合 + 选购说明承接</x:v>
      </x:c>
      <x:c r="O618" s="9" t="str">
        <x:v>/collections/disposable-vapes</x:v>
      </x:c>
      <x:c r="P618" s="9" t="str">
        <x:v>不适用</x:v>
      </x:c>
      <x:c r="Q618" s="9" t="str">
        <x:v>主站页面自身承接</x:v>
      </x:c>
      <x:c r="R618" s="9" t="str">
        <x:v>核心品类词：主站优先，博客只做长尾解释，不直接抢同一词</x:v>
      </x:c>
      <x:c r="S618" s="9" t="str">
        <x:v>如果 Google 首页产品页和指南混合，主站页要加 FAQ、选购指南、对比模块。</x:v>
      </x:c>
      <x:c r="T618" s="38" t="n">
        <x:v>4</x:v>
      </x:c>
      <x:c r="U618" s="38" t="n">
        <x:v>15</x:v>
      </x:c>
      <x:c r="V618" s="38" t="n">
        <x:v>18</x:v>
      </x:c>
      <x:c r="W618" s="38" t="n">
        <x:v>8</x:v>
      </x:c>
      <x:c r="X618" s="38" t="n">
        <x:v>15</x:v>
      </x:c>
      <x:c r="Y618" s="38" t="n">
        <x:v>4</x:v>
      </x:c>
      <x:c r="Z618" s="38" t="n">
        <x:f>MAX(0,MIN(100,ROUND(((T618+U618+V618+W618+X618)-Y618)/85*100,0)))</x:f>
        <x:v>66</x:v>
      </x:c>
      <x:c r="AA618" s="9" t="str">
        <x:f>IF(L618="暂不做","P3 暂缓",IF(Z618&gt;=75,"P0 本周做",IF(Z618&gt;=60,"P1 近期做",IF(Z618&gt;=45,"P2 备选","P3 暂缓"))))</x:f>
        <x:v>P1 近期做</x:v>
      </x:c>
      <x:c r="AB618" s="9" t="str">
        <x:f>IF(Y618&gt;=15,"先做合规/相关性复核，不建议直接商业导流",IF(L618="主站","建/优化主站商业页",IF(L618="博客A-知识教程","写知识教程/FAQ文章",IF(L618="博客B-场景人群","写场景需求/选购指南文章",IF(L618="博客C-对比评测","写对比评测/榜单文章","暂不做或人工复核")))))</x:f>
        <x:v>建/优化主站商业页</x:v>
      </x:c>
      <x:c r="AC618" s="9" t="str">
        <x:v>Reviews - Fcuking Fab - ExDivo INTERSTELLAR 35K Disposable Vape - ExDivo</x:v>
      </x:c>
      <x:c r="AD618" s="10" t="str">
        <x:v>48</x:v>
      </x:c>
    </x:row>
    <x:row r="619">
      <x:c r="A619" s="34" t="n">
        <x:v>619</x:v>
      </x:c>
      <x:c r="B619" s="9" t="str">
        <x:v>https://exdivo.com/comments/exdivo-interstellar-35k-disposable-vape_c59c5d3c?writeComment=true</x:v>
      </x:c>
      <x:c r="C619" s="9" t="str">
        <x:v>disposable vape fcuking fab</x:v>
      </x:c>
      <x:c r="D619" s="9" t="str">
        <x:v>recommended</x:v>
      </x:c>
      <x:c r="E619" s="36" t="n">
        <x:v>0</x:v>
      </x:c>
      <x:c r="F619" s="36" t="n">
        <x:v>0</x:v>
      </x:c>
      <x:c r="G619" s="9" t="str">
        <x:v>48</x:v>
      </x:c>
      <x:c r="H619" s="9" t="str">
        <x:v>Disposable Vape</x:v>
      </x:c>
      <x:c r="I619" s="9" t="str">
        <x:v>内容词</x:v>
      </x:c>
      <x:c r="J619" s="9" t="str">
        <x:v>博客A-知识教程</x:v>
      </x:c>
      <x:c r="K619" s="9" t="str"/>
      <x:c r="L619" s="9" t="str">
        <x:f>IF(K619="",J619,K619)</x:f>
        <x:v>博客A-知识教程</x:v>
      </x:c>
      <x:c r="M619" s="9" t="str">
        <x:v>知识/教程文章</x:v>
      </x:c>
      <x:c r="N619" s="9" t="str">
        <x:v>Guide angle: explain disposable vape fcuking fab, answer common questions, and avoid sales-first writing</x:v>
      </x:c>
      <x:c r="O619" s="9" t="str">
        <x:v>/collections/disposable-vapes 或最接近的产品集合页</x:v>
      </x:c>
      <x:c r="P619" s="9" t="str">
        <x:v>谨慎</x:v>
      </x:c>
      <x:c r="Q619" s="9" t="str">
        <x:v>品牌词/自然句</x:v>
      </x:c>
      <x:c r="R619" s="9" t="str">
        <x:v>低风险：按常规内容质量和搜索意图校验</x:v>
      </x:c>
      <x:c r="S619" s="9" t="str">
        <x:v>先看 Google SERP：如果首页多数为产品集合页，改回主站；如果多数为教程/问答，保持博客。</x:v>
      </x:c>
      <x:c r="T619" s="38" t="n">
        <x:v>1</x:v>
      </x:c>
      <x:c r="U619" s="38" t="n">
        <x:v>15</x:v>
      </x:c>
      <x:c r="V619" s="38" t="n">
        <x:v>10</x:v>
      </x:c>
      <x:c r="W619" s="38" t="n">
        <x:v>12</x:v>
      </x:c>
      <x:c r="X619" s="38" t="n">
        <x:v>12</x:v>
      </x:c>
      <x:c r="Y619" s="38" t="n">
        <x:v>4</x:v>
      </x:c>
      <x:c r="Z619" s="38" t="n">
        <x:f>MAX(0,MIN(100,ROUND(((T619+U619+V619+W619+X619)-Y619)/85*100,0)))</x:f>
        <x:v>54</x:v>
      </x:c>
      <x:c r="AA619" s="9" t="str">
        <x:f>IF(L619="暂不做","P3 暂缓",IF(Z619&gt;=75,"P0 本周做",IF(Z619&gt;=60,"P1 近期做",IF(Z619&gt;=45,"P2 备选","P3 暂缓"))))</x:f>
        <x:v>P2 备选</x:v>
      </x:c>
      <x:c r="AB619" s="9" t="str">
        <x:f>IF(Y619&gt;=15,"先做合规/相关性复核，不建议直接商业导流",IF(L619="主站","建/优化主站商业页",IF(L619="博客A-知识教程","写知识教程/FAQ文章",IF(L619="博客B-场景人群","写场景需求/选购指南文章",IF(L619="博客C-对比评测","写对比评测/榜单文章","暂不做或人工复核")))))</x:f>
        <x:v>写知识教程/FAQ文章</x:v>
      </x:c>
      <x:c r="AC619" s="9" t="str">
        <x:v>Reviews - Fcuking Fab - ExDivo INTERSTELLAR 35K Disposable Vape - ExDivo</x:v>
      </x:c>
      <x:c r="AD619" s="10" t="str">
        <x:v>48</x:v>
      </x:c>
    </x:row>
    <x:row r="620">
      <x:c r="A620" s="34" t="n">
        <x:v>620</x:v>
      </x:c>
      <x:c r="B620" s="9" t="str">
        <x:v>https://exdivo.com/comments/exdivo-interstellar-35k-disposable-vape_c59c5d3c?writeComment=true</x:v>
      </x:c>
      <x:c r="C620" s="9" t="str">
        <x:v>fcuking fab vape review</x:v>
      </x:c>
      <x:c r="D620" s="9" t="str">
        <x:v>recommended</x:v>
      </x:c>
      <x:c r="E620" s="36" t="n">
        <x:v>0</x:v>
      </x:c>
      <x:c r="F620" s="36" t="n">
        <x:v>0</x:v>
      </x:c>
      <x:c r="G620" s="9" t="str">
        <x:v>48</x:v>
      </x:c>
      <x:c r="H620" s="9" t="str">
        <x:v>对比评测</x:v>
      </x:c>
      <x:c r="I620" s="9" t="str">
        <x:v>商业调查词</x:v>
      </x:c>
      <x:c r="J620" s="9" t="str">
        <x:v>博客C-对比评测</x:v>
      </x:c>
      <x:c r="K620" s="9" t="str"/>
      <x:c r="L620" s="9" t="str">
        <x:f>IF(K620="",J620,K620)</x:f>
        <x:v>博客C-对比评测</x:v>
      </x:c>
      <x:c r="M620" s="9" t="str">
        <x:v>Best/Top/Review/VS/替代方案文章</x:v>
      </x:c>
      <x:c r="N620" s="9" t="str">
        <x:v>Best angle: fcuking fab vape review - comparison, pros/cons, and which option fits different buyers</x:v>
      </x:c>
      <x:c r="O620" s="9" t="str">
        <x:v>/collections/disposable-vapes</x:v>
      </x:c>
      <x:c r="P620" s="9" t="str">
        <x:v>是</x:v>
      </x:c>
      <x:c r="Q620" s="9" t="str">
        <x:v>自然句/品类词/品牌词</x:v>
      </x:c>
      <x:c r="R620" s="9" t="str">
        <x:v>中风险：榜单和评测必须真实、中立，避免夸大</x:v>
      </x:c>
      <x:c r="S620" s="9" t="str">
        <x:v>这类词不直接给主站，先用博客C教育和比较，再导流到最相关集合页。</x:v>
      </x:c>
      <x:c r="T620" s="38" t="n">
        <x:v>1</x:v>
      </x:c>
      <x:c r="U620" s="38" t="n">
        <x:v>15</x:v>
      </x:c>
      <x:c r="V620" s="38" t="n">
        <x:v>16</x:v>
      </x:c>
      <x:c r="W620" s="38" t="n">
        <x:v>15</x:v>
      </x:c>
      <x:c r="X620" s="38" t="n">
        <x:v>13</x:v>
      </x:c>
      <x:c r="Y620" s="38" t="n">
        <x:v>6</x:v>
      </x:c>
      <x:c r="Z620" s="38" t="n">
        <x:f>MAX(0,MIN(100,ROUND(((T620+U620+V620+W620+X620)-Y620)/85*100,0)))</x:f>
        <x:v>64</x:v>
      </x:c>
      <x:c r="AA620" s="9" t="str">
        <x:f>IF(L620="暂不做","P3 暂缓",IF(Z620&gt;=75,"P0 本周做",IF(Z620&gt;=60,"P1 近期做",IF(Z620&gt;=45,"P2 备选","P3 暂缓"))))</x:f>
        <x:v>P1 近期做</x:v>
      </x:c>
      <x:c r="AB620" s="9" t="str">
        <x:f>IF(Y620&gt;=15,"先做合规/相关性复核，不建议直接商业导流",IF(L620="主站","建/优化主站商业页",IF(L620="博客A-知识教程","写知识教程/FAQ文章",IF(L620="博客B-场景人群","写场景需求/选购指南文章",IF(L620="博客C-对比评测","写对比评测/榜单文章","暂不做或人工复核")))))</x:f>
        <x:v>写对比评测/榜单文章</x:v>
      </x:c>
      <x:c r="AC620" s="9" t="str">
        <x:v>Reviews - Fcuking Fab - ExDivo INTERSTELLAR 35K Disposable Vape - ExDivo</x:v>
      </x:c>
      <x:c r="AD620" s="10" t="str">
        <x:v>48</x:v>
      </x:c>
    </x:row>
    <x:row r="621">
      <x:c r="A621" s="34" t="n">
        <x:v>621</x:v>
      </x:c>
      <x:c r="B621" s="9" t="str">
        <x:v>https://exdivo.com/comments/exdivo-interstellar-35k-disposable-vape_c59c5d3c?writeComment=true</x:v>
      </x:c>
      <x:c r="C621" s="9" t="str">
        <x:v>fcuking fab disposable vape review</x:v>
      </x:c>
      <x:c r="D621" s="9" t="str">
        <x:v>recommended</x:v>
      </x:c>
      <x:c r="E621" s="36" t="n">
        <x:v>0</x:v>
      </x:c>
      <x:c r="F621" s="36" t="n">
        <x:v>0</x:v>
      </x:c>
      <x:c r="G621" s="9" t="str">
        <x:v>48</x:v>
      </x:c>
      <x:c r="H621" s="9" t="str">
        <x:v>Disposable Vape</x:v>
      </x:c>
      <x:c r="I621" s="9" t="str">
        <x:v>商业调查词</x:v>
      </x:c>
      <x:c r="J621" s="9" t="str">
        <x:v>博客C-对比评测</x:v>
      </x:c>
      <x:c r="K621" s="9" t="str"/>
      <x:c r="L621" s="9" t="str">
        <x:f>IF(K621="",J621,K621)</x:f>
        <x:v>博客C-对比评测</x:v>
      </x:c>
      <x:c r="M621" s="9" t="str">
        <x:v>Best/Top/Review/VS/替代方案文章</x:v>
      </x:c>
      <x:c r="N621" s="9" t="str">
        <x:v>Best angle: fcuking fab disposable vape review - comparison, pros/cons, and which option fits different buyers</x:v>
      </x:c>
      <x:c r="O621" s="9" t="str">
        <x:v>/collections/disposable-vapes</x:v>
      </x:c>
      <x:c r="P621" s="9" t="str">
        <x:v>是</x:v>
      </x:c>
      <x:c r="Q621" s="9" t="str">
        <x:v>自然句/品类词/品牌词</x:v>
      </x:c>
      <x:c r="R621" s="9" t="str">
        <x:v>中风险：榜单和评测必须真实、中立，避免夸大</x:v>
      </x:c>
      <x:c r="S621" s="9" t="str">
        <x:v>这类词不直接给主站，先用博客C教育和比较，再导流到最相关集合页。</x:v>
      </x:c>
      <x:c r="T621" s="38" t="n">
        <x:v>1</x:v>
      </x:c>
      <x:c r="U621" s="38" t="n">
        <x:v>15</x:v>
      </x:c>
      <x:c r="V621" s="38" t="n">
        <x:v>16</x:v>
      </x:c>
      <x:c r="W621" s="38" t="n">
        <x:v>15</x:v>
      </x:c>
      <x:c r="X621" s="38" t="n">
        <x:v>13</x:v>
      </x:c>
      <x:c r="Y621" s="38" t="n">
        <x:v>6</x:v>
      </x:c>
      <x:c r="Z621" s="38" t="n">
        <x:f>MAX(0,MIN(100,ROUND(((T621+U621+V621+W621+X621)-Y621)/85*100,0)))</x:f>
        <x:v>64</x:v>
      </x:c>
      <x:c r="AA621" s="9" t="str">
        <x:f>IF(L621="暂不做","P3 暂缓",IF(Z621&gt;=75,"P0 本周做",IF(Z621&gt;=60,"P1 近期做",IF(Z621&gt;=45,"P2 备选","P3 暂缓"))))</x:f>
        <x:v>P1 近期做</x:v>
      </x:c>
      <x:c r="AB621" s="9" t="str">
        <x:f>IF(Y621&gt;=15,"先做合规/相关性复核，不建议直接商业导流",IF(L621="主站","建/优化主站商业页",IF(L621="博客A-知识教程","写知识教程/FAQ文章",IF(L621="博客B-场景人群","写场景需求/选购指南文章",IF(L621="博客C-对比评测","写对比评测/榜单文章","暂不做或人工复核")))))</x:f>
        <x:v>写对比评测/榜单文章</x:v>
      </x:c>
      <x:c r="AC621" s="9" t="str">
        <x:v>Reviews - Fcuking Fab - ExDivo INTERSTELLAR 35K Disposable Vape - ExDivo</x:v>
      </x:c>
      <x:c r="AD621" s="10" t="str">
        <x:v>48</x:v>
      </x:c>
    </x:row>
    <x:row r="622">
      <x:c r="A622" s="34" t="n">
        <x:v>622</x:v>
      </x:c>
      <x:c r="B622" s="9" t="str">
        <x:v>https://exdivo.com/collections/meifu/products/exdivo-flora-40k-disposable-vape_0a54c488?data_from=collection_detail&amp;spm=collection_detail.313027.collection_detail-11702364.6.</x:v>
      </x:c>
      <x:c r="C622" s="9" t="str">
        <x:v>exdivo flora 40k disposable vape</x:v>
      </x:c>
      <x:c r="D622" s="9" t="str">
        <x:v>recommended</x:v>
      </x:c>
      <x:c r="E622" s="36" t="n">
        <x:v>0</x:v>
      </x:c>
      <x:c r="F622" s="36" t="n">
        <x:v>0</x:v>
      </x:c>
      <x:c r="G622" s="9" t="str">
        <x:v>48</x:v>
      </x:c>
      <x:c r="H622" s="9" t="str">
        <x:v>Disposable Vape</x:v>
      </x:c>
      <x:c r="I622" s="9" t="str">
        <x:v>内容词</x:v>
      </x:c>
      <x:c r="J622" s="9" t="str">
        <x:v>博客A-知识教程</x:v>
      </x:c>
      <x:c r="K622" s="9" t="str"/>
      <x:c r="L622" s="9" t="str">
        <x:f>IF(K622="",J622,K622)</x:f>
        <x:v>博客A-知识教程</x:v>
      </x:c>
      <x:c r="M622" s="9" t="str">
        <x:v>知识/教程文章</x:v>
      </x:c>
      <x:c r="N622" s="9" t="str">
        <x:v>Guide angle: explain exdivo flora 40k disposable vape, answer common questions, and avoid sales-first writing</x:v>
      </x:c>
      <x:c r="O622" s="9" t="str">
        <x:v>/collections/disposable-vapes 或最接近的产品集合页</x:v>
      </x:c>
      <x:c r="P622" s="9" t="str">
        <x:v>谨慎</x:v>
      </x:c>
      <x:c r="Q622" s="9" t="str">
        <x:v>品牌词/自然句</x:v>
      </x:c>
      <x:c r="R622" s="9" t="str">
        <x:v>低风险：按常规内容质量和搜索意图校验</x:v>
      </x:c>
      <x:c r="S622" s="9" t="str">
        <x:v>先看 Google SERP：如果首页多数为产品集合页，改回主站；如果多数为教程/问答，保持博客。</x:v>
      </x:c>
      <x:c r="T622" s="38" t="n">
        <x:v>1</x:v>
      </x:c>
      <x:c r="U622" s="38" t="n">
        <x:v>15</x:v>
      </x:c>
      <x:c r="V622" s="38" t="n">
        <x:v>10</x:v>
      </x:c>
      <x:c r="W622" s="38" t="n">
        <x:v>12</x:v>
      </x:c>
      <x:c r="X622" s="38" t="n">
        <x:v>12</x:v>
      </x:c>
      <x:c r="Y622" s="38" t="n">
        <x:v>4</x:v>
      </x:c>
      <x:c r="Z622" s="38" t="n">
        <x:f>MAX(0,MIN(100,ROUND(((T622+U622+V622+W622+X622)-Y622)/85*100,0)))</x:f>
        <x:v>54</x:v>
      </x:c>
      <x:c r="AA622" s="9" t="str">
        <x:f>IF(L622="暂不做","P3 暂缓",IF(Z622&gt;=75,"P0 本周做",IF(Z622&gt;=60,"P1 近期做",IF(Z622&gt;=45,"P2 备选","P3 暂缓"))))</x:f>
        <x:v>P2 备选</x:v>
      </x:c>
      <x:c r="AB622" s="9" t="str">
        <x:f>IF(Y622&gt;=15,"先做合规/相关性复核，不建议直接商业导流",IF(L622="主站","建/优化主站商业页",IF(L622="博客A-知识教程","写知识教程/FAQ文章",IF(L622="博客B-场景人群","写场景需求/选购指南文章",IF(L622="博客C-对比评测","写对比评测/榜单文章","暂不做或人工复核")))))</x:f>
        <x:v>写知识教程/FAQ文章</x:v>
      </x:c>
      <x:c r="AC622" s="9" t="str">
        <x:v>ExDivo FLORA 40K Disposable Vape</x:v>
      </x:c>
      <x:c r="AD622" s="10" t="str">
        <x:v>40000 puffs</x:v>
      </x:c>
    </x:row>
    <x:row r="623">
      <x:c r="A623" s="34" t="n">
        <x:v>623</x:v>
      </x:c>
      <x:c r="B623" s="9" t="str">
        <x:v>https://exdivo.com/collections/meifu/products/exdivo-flora-40k-disposable-vape_0a54c488?data_from=collection_detail&amp;spm=collection_detail.313027.collection_detail-11702364.6.</x:v>
      </x:c>
      <x:c r="C623" s="9" t="str">
        <x:v>exdivo flora 40k flavors</x:v>
      </x:c>
      <x:c r="D623" s="9" t="str">
        <x:v>recommended</x:v>
      </x:c>
      <x:c r="E623" s="36" t="n">
        <x:v>0</x:v>
      </x:c>
      <x:c r="F623" s="36" t="n">
        <x:v>0</x:v>
      </x:c>
      <x:c r="G623" s="9" t="str">
        <x:v>48</x:v>
      </x:c>
      <x:c r="H623" s="9" t="str">
        <x:v>Flavor / 口味</x:v>
      </x:c>
      <x:c r="I623" s="9" t="str">
        <x:v>场景/需求词</x:v>
      </x:c>
      <x:c r="J623" s="9" t="str">
        <x:v>博客B-场景人群</x:v>
      </x:c>
      <x:c r="K623" s="9" t="str"/>
      <x:c r="L623" s="9" t="str">
        <x:f>IF(K623="",J623,K623)</x:f>
        <x:v>博客B-场景人群</x:v>
      </x:c>
      <x:c r="M623" s="9" t="str">
        <x:v>场景解决方案/选购指南文章</x:v>
      </x:c>
      <x:c r="N623" s="9" t="str">
        <x:v>Scenario angle: how to choose exdivo flora 40k flavors based on use case, flavor, nicotine, and budget</x:v>
      </x:c>
      <x:c r="O623" s="9" t="str">
        <x:v>/collections/flavored-disposable-vapes</x:v>
      </x:c>
      <x:c r="P623" s="9" t="str">
        <x:v>是</x:v>
      </x:c>
      <x:c r="Q623" s="9" t="str">
        <x:v>自然句/品类词</x:v>
      </x:c>
      <x:c r="R623" s="9" t="str">
        <x:v>低中风险：适合软性导流，但不要夸大效果或触碰健康疗效</x:v>
      </x:c>
      <x:c r="S623" s="9" t="str">
        <x:v>围绕使用场景、口味、尼古丁需求、便携性等写，不和主站品类页抢词。</x:v>
      </x:c>
      <x:c r="T623" s="38" t="n">
        <x:v>1</x:v>
      </x:c>
      <x:c r="U623" s="38" t="n">
        <x:v>15</x:v>
      </x:c>
      <x:c r="V623" s="38" t="n">
        <x:v>13</x:v>
      </x:c>
      <x:c r="W623" s="38" t="n">
        <x:v>14</x:v>
      </x:c>
      <x:c r="X623" s="38" t="n">
        <x:v>13</x:v>
      </x:c>
      <x:c r="Y623" s="38" t="n">
        <x:v>5</x:v>
      </x:c>
      <x:c r="Z623" s="38" t="n">
        <x:f>MAX(0,MIN(100,ROUND(((T623+U623+V623+W623+X623)-Y623)/85*100,0)))</x:f>
        <x:v>60</x:v>
      </x:c>
      <x:c r="AA623" s="9" t="str">
        <x:f>IF(L623="暂不做","P3 暂缓",IF(Z623&gt;=75,"P0 本周做",IF(Z623&gt;=60,"P1 近期做",IF(Z623&gt;=45,"P2 备选","P3 暂缓"))))</x:f>
        <x:v>P1 近期做</x:v>
      </x:c>
      <x:c r="AB623" s="9" t="str">
        <x:f>IF(Y623&gt;=15,"先做合规/相关性复核，不建议直接商业导流",IF(L623="主站","建/优化主站商业页",IF(L623="博客A-知识教程","写知识教程/FAQ文章",IF(L623="博客B-场景人群","写场景需求/选购指南文章",IF(L623="博客C-对比评测","写对比评测/榜单文章","暂不做或人工复核")))))</x:f>
        <x:v>写场景需求/选购指南文章</x:v>
      </x:c>
      <x:c r="AC623" s="9" t="str">
        <x:v>ExDivo FLORA 40K Disposable Vape</x:v>
      </x:c>
      <x:c r="AD623" s="10" t="str">
        <x:v>40000 puffs</x:v>
      </x:c>
    </x:row>
    <x:row r="624">
      <x:c r="A624" s="34" t="n">
        <x:v>624</x:v>
      </x:c>
      <x:c r="B624" s="9" t="str">
        <x:v>https://exdivo.com/comments/exdivo-kuz-25k-replaceable-pod-vape_b963acca</x:v>
      </x:c>
      <x:c r="C624" s="9" t="str">
        <x:v>fruit vape pod review</x:v>
      </x:c>
      <x:c r="D624" s="9" t="str">
        <x:v>recommended</x:v>
      </x:c>
      <x:c r="E624" s="36" t="n">
        <x:v>0</x:v>
      </x:c>
      <x:c r="F624" s="36" t="n">
        <x:v>0</x:v>
      </x:c>
      <x:c r="G624" s="9" t="str">
        <x:v>48</x:v>
      </x:c>
      <x:c r="H624" s="9" t="str">
        <x:v>Pod Kit / Pod System</x:v>
      </x:c>
      <x:c r="I624" s="9" t="str">
        <x:v>商业调查词</x:v>
      </x:c>
      <x:c r="J624" s="9" t="str">
        <x:v>博客C-对比评测</x:v>
      </x:c>
      <x:c r="K624" s="9" t="str"/>
      <x:c r="L624" s="9" t="str">
        <x:f>IF(K624="",J624,K624)</x:f>
        <x:v>博客C-对比评测</x:v>
      </x:c>
      <x:c r="M624" s="9" t="str">
        <x:v>Best/Top/Review/VS/替代方案文章</x:v>
      </x:c>
      <x:c r="N624" s="9" t="str">
        <x:v>Best angle: fruit vape pod review - comparison, pros/cons, and which option fits different buyers</x:v>
      </x:c>
      <x:c r="O624" s="9" t="str">
        <x:v>/collections/pod-kits</x:v>
      </x:c>
      <x:c r="P624" s="9" t="str">
        <x:v>是</x:v>
      </x:c>
      <x:c r="Q624" s="9" t="str">
        <x:v>自然句/品类词/品牌词</x:v>
      </x:c>
      <x:c r="R624" s="9" t="str">
        <x:v>中风险：榜单和评测必须真实、中立，避免夸大</x:v>
      </x:c>
      <x:c r="S624" s="9" t="str">
        <x:v>这类词不直接给主站，先用博客C教育和比较，再导流到最相关集合页。</x:v>
      </x:c>
      <x:c r="T624" s="38" t="n">
        <x:v>1</x:v>
      </x:c>
      <x:c r="U624" s="38" t="n">
        <x:v>15</x:v>
      </x:c>
      <x:c r="V624" s="38" t="n">
        <x:v>16</x:v>
      </x:c>
      <x:c r="W624" s="38" t="n">
        <x:v>15</x:v>
      </x:c>
      <x:c r="X624" s="38" t="n">
        <x:v>13</x:v>
      </x:c>
      <x:c r="Y624" s="38" t="n">
        <x:v>6</x:v>
      </x:c>
      <x:c r="Z624" s="38" t="n">
        <x:f>MAX(0,MIN(100,ROUND(((T624+U624+V624+W624+X624)-Y624)/85*100,0)))</x:f>
        <x:v>64</x:v>
      </x:c>
      <x:c r="AA624" s="9" t="str">
        <x:f>IF(L624="暂不做","P3 暂缓",IF(Z624&gt;=75,"P0 本周做",IF(Z624&gt;=60,"P1 近期做",IF(Z624&gt;=45,"P2 备选","P3 暂缓"))))</x:f>
        <x:v>P1 近期做</x:v>
      </x:c>
      <x:c r="AB624" s="9" t="str">
        <x:f>IF(Y624&gt;=15,"先做合规/相关性复核，不建议直接商业导流",IF(L624="主站","建/优化主站商业页",IF(L624="博客A-知识教程","写知识教程/FAQ文章",IF(L624="博客B-场景人群","写场景需求/选购指南文章",IF(L624="博客C-对比评测","写对比评测/榜单文章","暂不做或人工复核")))))</x:f>
        <x:v>写对比评测/榜单文章</x:v>
      </x:c>
      <x:c r="AC624" s="9" t="str">
        <x:v>Reviews - STRAWBERRY WATERMELON - ExDivo KUZ 25K Replaceable Pod Vape - ExDivo</x:v>
      </x:c>
      <x:c r="AD624" s="10" t="str">
        <x:v>48</x:v>
      </x:c>
    </x:row>
    <x:row r="625">
      <x:c r="A625" s="34" t="n">
        <x:v>625</x:v>
      </x:c>
      <x:c r="B625" s="9" t="str">
        <x:v>https://exdivo.com/collections/misty-rain</x:v>
      </x:c>
      <x:c r="C625" s="9" t="str">
        <x:v>exdivo kuz vape kit</x:v>
      </x:c>
      <x:c r="D625" s="9" t="str">
        <x:v>recommended</x:v>
      </x:c>
      <x:c r="E625" s="36" t="n">
        <x:v>0</x:v>
      </x:c>
      <x:c r="F625" s="36" t="n">
        <x:v>0</x:v>
      </x:c>
      <x:c r="G625" s="9" t="str">
        <x:v>48</x:v>
      </x:c>
      <x:c r="H625" s="9" t="str">
        <x:v>General Vape</x:v>
      </x:c>
      <x:c r="I625" s="9" t="str">
        <x:v>内容词</x:v>
      </x:c>
      <x:c r="J625" s="9" t="str">
        <x:v>博客A-知识教程</x:v>
      </x:c>
      <x:c r="K625" s="9" t="str"/>
      <x:c r="L625" s="9" t="str">
        <x:f>IF(K625="",J625,K625)</x:f>
        <x:v>博客A-知识教程</x:v>
      </x:c>
      <x:c r="M625" s="9" t="str">
        <x:v>知识/教程文章</x:v>
      </x:c>
      <x:c r="N625" s="9" t="str">
        <x:v>Guide angle: explain exdivo kuz vape kit, answer common questions, and avoid sales-first writing</x:v>
      </x:c>
      <x:c r="O625" s="9" t="str">
        <x:v>/collections/disposable-vapes 或最接近的产品集合页</x:v>
      </x:c>
      <x:c r="P625" s="9" t="str">
        <x:v>谨慎</x:v>
      </x:c>
      <x:c r="Q625" s="9" t="str">
        <x:v>品牌词/自然句</x:v>
      </x:c>
      <x:c r="R625" s="9" t="str">
        <x:v>低风险：按常规内容质量和搜索意图校验</x:v>
      </x:c>
      <x:c r="S625" s="9" t="str">
        <x:v>先看 Google SERP：如果首页多数为产品集合页，改回主站；如果多数为教程/问答，保持博客。</x:v>
      </x:c>
      <x:c r="T625" s="38" t="n">
        <x:v>1</x:v>
      </x:c>
      <x:c r="U625" s="38" t="n">
        <x:v>15</x:v>
      </x:c>
      <x:c r="V625" s="38" t="n">
        <x:v>10</x:v>
      </x:c>
      <x:c r="W625" s="38" t="n">
        <x:v>12</x:v>
      </x:c>
      <x:c r="X625" s="38" t="n">
        <x:v>12</x:v>
      </x:c>
      <x:c r="Y625" s="38" t="n">
        <x:v>4</x:v>
      </x:c>
      <x:c r="Z625" s="38" t="n">
        <x:f>MAX(0,MIN(100,ROUND(((T625+U625+V625+W625+X625)-Y625)/85*100,0)))</x:f>
        <x:v>54</x:v>
      </x:c>
      <x:c r="AA625" s="9" t="str">
        <x:f>IF(L625="暂不做","P3 暂缓",IF(Z625&gt;=75,"P0 本周做",IF(Z625&gt;=60,"P1 近期做",IF(Z625&gt;=45,"P2 备选","P3 暂缓"))))</x:f>
        <x:v>P2 备选</x:v>
      </x:c>
      <x:c r="AB625" s="9" t="str">
        <x:f>IF(Y625&gt;=15,"先做合规/相关性复核，不建议直接商业导流",IF(L625="主站","建/优化主站商业页",IF(L625="博客A-知识教程","写知识教程/FAQ文章",IF(L625="博客B-场景人群","写场景需求/选购指南文章",IF(L625="博客C-对比评测","写对比评测/榜单文章","暂不做或人工复核")))))</x:f>
        <x:v>写知识教程/FAQ文章</x:v>
      </x:c>
      <x:c r="AC625" s="9" t="str">
        <x:v>KUZ - ExDivo</x:v>
      </x:c>
      <x:c r="AD625" s="10" t="str">
        <x:v>kuz</x:v>
      </x:c>
    </x:row>
    <x:row r="626">
      <x:c r="A626" s="34" t="n">
        <x:v>626</x:v>
      </x:c>
      <x:c r="B626" s="9" t="str">
        <x:v>https://exdivo.com/collections/misty-rain</x:v>
      </x:c>
      <x:c r="C626" s="9" t="str">
        <x:v>exdivo kuz series</x:v>
      </x:c>
      <x:c r="D626" s="9" t="str">
        <x:v>recommended</x:v>
      </x:c>
      <x:c r="E626" s="36" t="n">
        <x:v>0</x:v>
      </x:c>
      <x:c r="F626" s="36" t="n">
        <x:v>0</x:v>
      </x:c>
      <x:c r="G626" s="9" t="str">
        <x:v>48</x:v>
      </x:c>
      <x:c r="H626" s="9" t="str">
        <x:v>General Vape</x:v>
      </x:c>
      <x:c r="I626" s="9" t="str">
        <x:v>弱相关词</x:v>
      </x:c>
      <x:c r="J626" s="9" t="str">
        <x:v>暂不做</x:v>
      </x:c>
      <x:c r="K626" s="9" t="str"/>
      <x:c r="L626" s="9" t="str">
        <x:f>IF(K626="",J626,K626)</x:f>
        <x:v>暂不做</x:v>
      </x:c>
      <x:c r="M626" s="9" t="str">
        <x:v>不建议建页</x:v>
      </x:c>
      <x:c r="N626" s="9" t="str">
        <x:v>不进入内容生产</x:v>
      </x:c>
      <x:c r="O626" s="9" t="str">
        <x:v>无</x:v>
      </x:c>
      <x:c r="P626" s="9" t="str">
        <x:v>否</x:v>
      </x:c>
      <x:c r="Q626" s="9" t="str">
        <x:v>不导流</x:v>
      </x:c>
      <x:c r="R626" s="9" t="str">
        <x:v>相关性弱：可能带来无效流量或偏离产品定位</x:v>
      </x:c>
      <x:c r="S626" s="9" t="str">
        <x:v>除非人工确认与核心产品强相关，否则不要进入内容排期。</x:v>
      </x:c>
      <x:c r="T626" s="38" t="n">
        <x:v>1</x:v>
      </x:c>
      <x:c r="U626" s="38" t="n">
        <x:v>15</x:v>
      </x:c>
      <x:c r="V626" s="38" t="n">
        <x:v>2</x:v>
      </x:c>
      <x:c r="W626" s="38" t="n">
        <x:v>3</x:v>
      </x:c>
      <x:c r="X626" s="38" t="n">
        <x:v>2</x:v>
      </x:c>
      <x:c r="Y626" s="38" t="n">
        <x:v>16</x:v>
      </x:c>
      <x:c r="Z626" s="38" t="n">
        <x:f>MAX(0,MIN(100,ROUND(((T626+U626+V626+W626+X626)-Y626)/85*100,0)))</x:f>
        <x:v>8</x:v>
      </x:c>
      <x:c r="AA626" s="9" t="str">
        <x:f>IF(L626="暂不做","P3 暂缓",IF(Z626&gt;=75,"P0 本周做",IF(Z626&gt;=60,"P1 近期做",IF(Z626&gt;=45,"P2 备选","P3 暂缓"))))</x:f>
        <x:v>P3 暂缓</x:v>
      </x:c>
      <x:c r="AB626" s="9" t="str">
        <x:f>IF(Y626&gt;=15,"先做合规/相关性复核，不建议直接商业导流",IF(L626="主站","建/优化主站商业页",IF(L626="博客A-知识教程","写知识教程/FAQ文章",IF(L626="博客B-场景人群","写场景需求/选购指南文章",IF(L626="博客C-对比评测","写对比评测/榜单文章","暂不做或人工复核")))))</x:f>
        <x:v>先做合规/相关性复核，不建议直接商业导流</x:v>
      </x:c>
      <x:c r="AC626" s="9" t="str">
        <x:v>KUZ - ExDivo</x:v>
      </x:c>
      <x:c r="AD626" s="10" t="str">
        <x:v>kuz</x:v>
      </x:c>
    </x:row>
    <x:row r="627">
      <x:c r="A627" s="34" t="n">
        <x:v>627</x:v>
      </x:c>
      <x:c r="B627" s="9" t="str">
        <x:v>https://exdivo.com/collections/misty-rain</x:v>
      </x:c>
      <x:c r="C627" s="9" t="str">
        <x:v>exdivo vape technology</x:v>
      </x:c>
      <x:c r="D627" s="9" t="str">
        <x:v>recommended</x:v>
      </x:c>
      <x:c r="E627" s="36" t="n">
        <x:v>0</x:v>
      </x:c>
      <x:c r="F627" s="36" t="n">
        <x:v>0</x:v>
      </x:c>
      <x:c r="G627" s="9" t="str">
        <x:v>48</x:v>
      </x:c>
      <x:c r="H627" s="9" t="str">
        <x:v>General Vape</x:v>
      </x:c>
      <x:c r="I627" s="9" t="str">
        <x:v>品类承接词</x:v>
      </x:c>
      <x:c r="J627" s="9" t="str">
        <x:v>主站</x:v>
      </x:c>
      <x:c r="K627" s="9" t="str"/>
      <x:c r="L627" s="9" t="str">
        <x:f>IF(K627="",J627,K627)</x:f>
        <x:v>主站</x:v>
      </x:c>
      <x:c r="M627" s="9" t="str">
        <x:v>品类页/集合页 + FAQ内容块</x:v>
      </x:c>
      <x:c r="N627" s="9" t="str">
        <x:v>主站品类页：用产品集合 + 选购说明承接</x:v>
      </x:c>
      <x:c r="O627" s="9" t="str">
        <x:v>/collections/disposable-vapes</x:v>
      </x:c>
      <x:c r="P627" s="9" t="str">
        <x:v>不适用</x:v>
      </x:c>
      <x:c r="Q627" s="9" t="str">
        <x:v>主站页面自身承接</x:v>
      </x:c>
      <x:c r="R627" s="9" t="str">
        <x:v>核心品类词：主站优先，博客只做长尾解释，不直接抢同一词</x:v>
      </x:c>
      <x:c r="S627" s="9" t="str">
        <x:v>如果 Google 首页产品页和指南混合，主站页要加 FAQ、选购指南、对比模块。</x:v>
      </x:c>
      <x:c r="T627" s="38" t="n">
        <x:v>1</x:v>
      </x:c>
      <x:c r="U627" s="38" t="n">
        <x:v>15</x:v>
      </x:c>
      <x:c r="V627" s="38" t="n">
        <x:v>16</x:v>
      </x:c>
      <x:c r="W627" s="38" t="n">
        <x:v>8</x:v>
      </x:c>
      <x:c r="X627" s="38" t="n">
        <x:v>15</x:v>
      </x:c>
      <x:c r="Y627" s="38" t="n">
        <x:v>4</x:v>
      </x:c>
      <x:c r="Z627" s="38" t="n">
        <x:f>MAX(0,MIN(100,ROUND(((T627+U627+V627+W627+X627)-Y627)/85*100,0)))</x:f>
        <x:v>60</x:v>
      </x:c>
      <x:c r="AA627" s="9" t="str">
        <x:f>IF(L627="暂不做","P3 暂缓",IF(Z627&gt;=75,"P0 本周做",IF(Z627&gt;=60,"P1 近期做",IF(Z627&gt;=45,"P2 备选","P3 暂缓"))))</x:f>
        <x:v>P1 近期做</x:v>
      </x:c>
      <x:c r="AB627" s="9" t="str">
        <x:f>IF(Y627&gt;=15,"先做合规/相关性复核，不建议直接商业导流",IF(L627="主站","建/优化主站商业页",IF(L627="博客A-知识教程","写知识教程/FAQ文章",IF(L627="博客B-场景人群","写场景需求/选购指南文章",IF(L627="博客C-对比评测","写对比评测/榜单文章","暂不做或人工复核")))))</x:f>
        <x:v>建/优化主站商业页</x:v>
      </x:c>
      <x:c r="AC627" s="9" t="str">
        <x:v>KUZ - ExDivo</x:v>
      </x:c>
      <x:c r="AD627" s="10" t="str">
        <x:v>kuz</x:v>
      </x:c>
    </x:row>
    <x:row r="628">
      <x:c r="A628" s="34" t="n">
        <x:v>628</x:v>
      </x:c>
      <x:c r="B628" s="9" t="str">
        <x:v>https://exdivo.com/collections/misty-rain</x:v>
      </x:c>
      <x:c r="C628" s="9" t="str">
        <x:v>exdivo kuz vape</x:v>
      </x:c>
      <x:c r="D628" s="9" t="str">
        <x:v>recommended</x:v>
      </x:c>
      <x:c r="E628" s="36" t="n">
        <x:v>0</x:v>
      </x:c>
      <x:c r="F628" s="36" t="n">
        <x:v>0</x:v>
      </x:c>
      <x:c r="G628" s="9" t="str">
        <x:v>48</x:v>
      </x:c>
      <x:c r="H628" s="9" t="str">
        <x:v>General Vape</x:v>
      </x:c>
      <x:c r="I628" s="9" t="str">
        <x:v>品类承接词</x:v>
      </x:c>
      <x:c r="J628" s="9" t="str">
        <x:v>主站</x:v>
      </x:c>
      <x:c r="K628" s="9" t="str"/>
      <x:c r="L628" s="9" t="str">
        <x:f>IF(K628="",J628,K628)</x:f>
        <x:v>主站</x:v>
      </x:c>
      <x:c r="M628" s="9" t="str">
        <x:v>品类页/集合页 + FAQ内容块</x:v>
      </x:c>
      <x:c r="N628" s="9" t="str">
        <x:v>主站品类页：用产品集合 + 选购说明承接</x:v>
      </x:c>
      <x:c r="O628" s="9" t="str">
        <x:v>/collections/disposable-vapes</x:v>
      </x:c>
      <x:c r="P628" s="9" t="str">
        <x:v>不适用</x:v>
      </x:c>
      <x:c r="Q628" s="9" t="str">
        <x:v>主站页面自身承接</x:v>
      </x:c>
      <x:c r="R628" s="9" t="str">
        <x:v>核心品类词：主站优先，博客只做长尾解释，不直接抢同一词</x:v>
      </x:c>
      <x:c r="S628" s="9" t="str">
        <x:v>如果 Google 首页产品页和指南混合，主站页要加 FAQ、选购指南、对比模块。</x:v>
      </x:c>
      <x:c r="T628" s="38" t="n">
        <x:v>1</x:v>
      </x:c>
      <x:c r="U628" s="38" t="n">
        <x:v>15</x:v>
      </x:c>
      <x:c r="V628" s="38" t="n">
        <x:v>16</x:v>
      </x:c>
      <x:c r="W628" s="38" t="n">
        <x:v>8</x:v>
      </x:c>
      <x:c r="X628" s="38" t="n">
        <x:v>15</x:v>
      </x:c>
      <x:c r="Y628" s="38" t="n">
        <x:v>4</x:v>
      </x:c>
      <x:c r="Z628" s="38" t="n">
        <x:f>MAX(0,MIN(100,ROUND(((T628+U628+V628+W628+X628)-Y628)/85*100,0)))</x:f>
        <x:v>60</x:v>
      </x:c>
      <x:c r="AA628" s="9" t="str">
        <x:f>IF(L628="暂不做","P3 暂缓",IF(Z628&gt;=75,"P0 本周做",IF(Z628&gt;=60,"P1 近期做",IF(Z628&gt;=45,"P2 备选","P3 暂缓"))))</x:f>
        <x:v>P1 近期做</x:v>
      </x:c>
      <x:c r="AB628" s="9" t="str">
        <x:f>IF(Y628&gt;=15,"先做合规/相关性复核，不建议直接商业导流",IF(L628="主站","建/优化主站商业页",IF(L628="博客A-知识教程","写知识教程/FAQ文章",IF(L628="博客B-场景人群","写场景需求/选购指南文章",IF(L628="博客C-对比评测","写对比评测/榜单文章","暂不做或人工复核")))))</x:f>
        <x:v>建/优化主站商业页</x:v>
      </x:c>
      <x:c r="AC628" s="9" t="str">
        <x:v>KUZ - ExDivo</x:v>
      </x:c>
      <x:c r="AD628" s="10" t="str">
        <x:v>kuz</x:v>
      </x:c>
    </x:row>
    <x:row r="629">
      <x:c r="A629" s="34" t="n">
        <x:v>629</x:v>
      </x:c>
      <x:c r="B629" s="9" t="str">
        <x:v>https://exdivo.com/collections/misty-rain</x:v>
      </x:c>
      <x:c r="C629" s="9" t="str">
        <x:v>exdivo kuz vape reviews</x:v>
      </x:c>
      <x:c r="D629" s="9" t="str">
        <x:v>recommended</x:v>
      </x:c>
      <x:c r="E629" s="36" t="n">
        <x:v>0</x:v>
      </x:c>
      <x:c r="F629" s="36" t="n">
        <x:v>0</x:v>
      </x:c>
      <x:c r="G629" s="9" t="str">
        <x:v>48</x:v>
      </x:c>
      <x:c r="H629" s="9" t="str">
        <x:v>对比评测</x:v>
      </x:c>
      <x:c r="I629" s="9" t="str">
        <x:v>商业调查词</x:v>
      </x:c>
      <x:c r="J629" s="9" t="str">
        <x:v>博客C-对比评测</x:v>
      </x:c>
      <x:c r="K629" s="9" t="str"/>
      <x:c r="L629" s="9" t="str">
        <x:f>IF(K629="",J629,K629)</x:f>
        <x:v>博客C-对比评测</x:v>
      </x:c>
      <x:c r="M629" s="9" t="str">
        <x:v>Best/Top/Review/VS/替代方案文章</x:v>
      </x:c>
      <x:c r="N629" s="9" t="str">
        <x:v>Best angle: exdivo kuz vape reviews - comparison, pros/cons, and which option fits different buyers</x:v>
      </x:c>
      <x:c r="O629" s="9" t="str">
        <x:v>/collections/disposable-vapes</x:v>
      </x:c>
      <x:c r="P629" s="9" t="str">
        <x:v>是</x:v>
      </x:c>
      <x:c r="Q629" s="9" t="str">
        <x:v>自然句/品类词/品牌词</x:v>
      </x:c>
      <x:c r="R629" s="9" t="str">
        <x:v>中风险：榜单和评测必须真实、中立，避免夸大</x:v>
      </x:c>
      <x:c r="S629" s="9" t="str">
        <x:v>这类词不直接给主站，先用博客C教育和比较，再导流到最相关集合页。</x:v>
      </x:c>
      <x:c r="T629" s="38" t="n">
        <x:v>1</x:v>
      </x:c>
      <x:c r="U629" s="38" t="n">
        <x:v>15</x:v>
      </x:c>
      <x:c r="V629" s="38" t="n">
        <x:v>16</x:v>
      </x:c>
      <x:c r="W629" s="38" t="n">
        <x:v>15</x:v>
      </x:c>
      <x:c r="X629" s="38" t="n">
        <x:v>13</x:v>
      </x:c>
      <x:c r="Y629" s="38" t="n">
        <x:v>6</x:v>
      </x:c>
      <x:c r="Z629" s="38" t="n">
        <x:f>MAX(0,MIN(100,ROUND(((T629+U629+V629+W629+X629)-Y629)/85*100,0)))</x:f>
        <x:v>64</x:v>
      </x:c>
      <x:c r="AA629" s="9" t="str">
        <x:f>IF(L629="暂不做","P3 暂缓",IF(Z629&gt;=75,"P0 本周做",IF(Z629&gt;=60,"P1 近期做",IF(Z629&gt;=45,"P2 备选","P3 暂缓"))))</x:f>
        <x:v>P1 近期做</x:v>
      </x:c>
      <x:c r="AB629" s="9" t="str">
        <x:f>IF(Y629&gt;=15,"先做合规/相关性复核，不建议直接商业导流",IF(L629="主站","建/优化主站商业页",IF(L629="博客A-知识教程","写知识教程/FAQ文章",IF(L629="博客B-场景人群","写场景需求/选购指南文章",IF(L629="博客C-对比评测","写对比评测/榜单文章","暂不做或人工复核")))))</x:f>
        <x:v>写对比评测/榜单文章</x:v>
      </x:c>
      <x:c r="AC629" s="9" t="str">
        <x:v>KUZ - ExDivo</x:v>
      </x:c>
      <x:c r="AD629" s="10" t="str">
        <x:v>kuz</x:v>
      </x:c>
    </x:row>
    <x:row r="630">
      <x:c r="A630" s="34" t="n">
        <x:v>630</x:v>
      </x:c>
      <x:c r="B630" s="9" t="str">
        <x:v>https://exdivo.com/collections/misty-rain</x:v>
      </x:c>
      <x:c r="C630" s="9" t="str">
        <x:v>exdivo kuz collection</x:v>
      </x:c>
      <x:c r="D630" s="9" t="str">
        <x:v>recommended</x:v>
      </x:c>
      <x:c r="E630" s="36" t="n">
        <x:v>0</x:v>
      </x:c>
      <x:c r="F630" s="36" t="n">
        <x:v>0</x:v>
      </x:c>
      <x:c r="G630" s="9" t="str">
        <x:v>48</x:v>
      </x:c>
      <x:c r="H630" s="9" t="str">
        <x:v>General Vape</x:v>
      </x:c>
      <x:c r="I630" s="9" t="str">
        <x:v>弱相关词</x:v>
      </x:c>
      <x:c r="J630" s="9" t="str">
        <x:v>暂不做</x:v>
      </x:c>
      <x:c r="K630" s="9" t="str"/>
      <x:c r="L630" s="9" t="str">
        <x:f>IF(K630="",J630,K630)</x:f>
        <x:v>暂不做</x:v>
      </x:c>
      <x:c r="M630" s="9" t="str">
        <x:v>不建议建页</x:v>
      </x:c>
      <x:c r="N630" s="9" t="str">
        <x:v>不进入内容生产</x:v>
      </x:c>
      <x:c r="O630" s="9" t="str">
        <x:v>无</x:v>
      </x:c>
      <x:c r="P630" s="9" t="str">
        <x:v>否</x:v>
      </x:c>
      <x:c r="Q630" s="9" t="str">
        <x:v>不导流</x:v>
      </x:c>
      <x:c r="R630" s="9" t="str">
        <x:v>相关性弱：可能带来无效流量或偏离产品定位</x:v>
      </x:c>
      <x:c r="S630" s="9" t="str">
        <x:v>除非人工确认与核心产品强相关，否则不要进入内容排期。</x:v>
      </x:c>
      <x:c r="T630" s="38" t="n">
        <x:v>1</x:v>
      </x:c>
      <x:c r="U630" s="38" t="n">
        <x:v>15</x:v>
      </x:c>
      <x:c r="V630" s="38" t="n">
        <x:v>2</x:v>
      </x:c>
      <x:c r="W630" s="38" t="n">
        <x:v>3</x:v>
      </x:c>
      <x:c r="X630" s="38" t="n">
        <x:v>2</x:v>
      </x:c>
      <x:c r="Y630" s="38" t="n">
        <x:v>16</x:v>
      </x:c>
      <x:c r="Z630" s="38" t="n">
        <x:f>MAX(0,MIN(100,ROUND(((T630+U630+V630+W630+X630)-Y630)/85*100,0)))</x:f>
        <x:v>8</x:v>
      </x:c>
      <x:c r="AA630" s="9" t="str">
        <x:f>IF(L630="暂不做","P3 暂缓",IF(Z630&gt;=75,"P0 本周做",IF(Z630&gt;=60,"P1 近期做",IF(Z630&gt;=45,"P2 备选","P3 暂缓"))))</x:f>
        <x:v>P3 暂缓</x:v>
      </x:c>
      <x:c r="AB630" s="9" t="str">
        <x:f>IF(Y630&gt;=15,"先做合规/相关性复核，不建议直接商业导流",IF(L630="主站","建/优化主站商业页",IF(L630="博客A-知识教程","写知识教程/FAQ文章",IF(L630="博客B-场景人群","写场景需求/选购指南文章",IF(L630="博客C-对比评测","写对比评测/榜单文章","暂不做或人工复核")))))</x:f>
        <x:v>先做合规/相关性复核，不建议直接商业导流</x:v>
      </x:c>
      <x:c r="AC630" s="9" t="str">
        <x:v>KUZ - ExDivo</x:v>
      </x:c>
      <x:c r="AD630" s="10" t="str">
        <x:v>kuz</x:v>
      </x:c>
    </x:row>
    <x:row r="631">
      <x:c r="A631" s="34" t="n">
        <x:v>631</x:v>
      </x:c>
      <x:c r="B631" s="9" t="str">
        <x:v>https://exdivo.com/comments/exdivo-flora-40k-disposable-vape_d40647e8?writeComment=true</x:v>
      </x:c>
      <x:c r="C631" s="9" t="str">
        <x:v>fruit menthol vape review</x:v>
      </x:c>
      <x:c r="D631" s="9" t="str">
        <x:v>recommended</x:v>
      </x:c>
      <x:c r="E631" s="36" t="n">
        <x:v>0</x:v>
      </x:c>
      <x:c r="F631" s="36" t="n">
        <x:v>0</x:v>
      </x:c>
      <x:c r="G631" s="9" t="str">
        <x:v>48</x:v>
      </x:c>
      <x:c r="H631" s="9" t="str">
        <x:v>对比评测</x:v>
      </x:c>
      <x:c r="I631" s="9" t="str">
        <x:v>商业调查词</x:v>
      </x:c>
      <x:c r="J631" s="9" t="str">
        <x:v>博客C-对比评测</x:v>
      </x:c>
      <x:c r="K631" s="9" t="str"/>
      <x:c r="L631" s="9" t="str">
        <x:f>IF(K631="",J631,K631)</x:f>
        <x:v>博客C-对比评测</x:v>
      </x:c>
      <x:c r="M631" s="9" t="str">
        <x:v>Best/Top/Review/VS/替代方案文章</x:v>
      </x:c>
      <x:c r="N631" s="9" t="str">
        <x:v>Best angle: fruit menthol vape review - comparison, pros/cons, and which option fits different buyers</x:v>
      </x:c>
      <x:c r="O631" s="9" t="str">
        <x:v>/collections/disposable-vapes</x:v>
      </x:c>
      <x:c r="P631" s="9" t="str">
        <x:v>是</x:v>
      </x:c>
      <x:c r="Q631" s="9" t="str">
        <x:v>自然句/品类词/品牌词</x:v>
      </x:c>
      <x:c r="R631" s="9" t="str">
        <x:v>中风险：榜单和评测必须真实、中立，避免夸大</x:v>
      </x:c>
      <x:c r="S631" s="9" t="str">
        <x:v>这类词不直接给主站，先用博客C教育和比较，再导流到最相关集合页。</x:v>
      </x:c>
      <x:c r="T631" s="38" t="n">
        <x:v>1</x:v>
      </x:c>
      <x:c r="U631" s="38" t="n">
        <x:v>15</x:v>
      </x:c>
      <x:c r="V631" s="38" t="n">
        <x:v>16</x:v>
      </x:c>
      <x:c r="W631" s="38" t="n">
        <x:v>15</x:v>
      </x:c>
      <x:c r="X631" s="38" t="n">
        <x:v>13</x:v>
      </x:c>
      <x:c r="Y631" s="38" t="n">
        <x:v>6</x:v>
      </x:c>
      <x:c r="Z631" s="38" t="n">
        <x:f>MAX(0,MIN(100,ROUND(((T631+U631+V631+W631+X631)-Y631)/85*100,0)))</x:f>
        <x:v>64</x:v>
      </x:c>
      <x:c r="AA631" s="9" t="str">
        <x:f>IF(L631="暂不做","P3 暂缓",IF(Z631&gt;=75,"P0 本周做",IF(Z631&gt;=60,"P1 近期做",IF(Z631&gt;=45,"P2 备选","P3 暂缓"))))</x:f>
        <x:v>P1 近期做</x:v>
      </x:c>
      <x:c r="AB631" s="9" t="str">
        <x:f>IF(Y631&gt;=15,"先做合规/相关性复核，不建议直接商业导流",IF(L631="主站","建/优化主站商业页",IF(L631="博客A-知识教程","写知识教程/FAQ文章",IF(L631="博客B-场景人群","写场景需求/选购指南文章",IF(L631="博客C-对比评测","写对比评测/榜单文章","暂不做或人工复核")))))</x:f>
        <x:v>写对比评测/榜单文章</x:v>
      </x:c>
      <x:c r="AC631" s="9" t="str">
        <x:v>Reviews - WATERMELON ICE - ExDivo FLORA 40K Disposable Vape - ExDivo</x:v>
      </x:c>
      <x:c r="AD631" s="10" t="str">
        <x:v>48</x:v>
      </x:c>
    </x:row>
    <x:row r="632">
      <x:c r="A632" s="34" t="n">
        <x:v>632</x:v>
      </x:c>
      <x:c r="B632" s="9" t="str">
        <x:v>https://exdivo.com/comments/exdivo-flora-40k-disposable-vape_d40647e8?writeComment=true</x:v>
      </x:c>
      <x:c r="C632" s="9" t="str">
        <x:v>menthol vape flavor review</x:v>
      </x:c>
      <x:c r="D632" s="9" t="str">
        <x:v>recommended</x:v>
      </x:c>
      <x:c r="E632" s="36" t="n">
        <x:v>0</x:v>
      </x:c>
      <x:c r="F632" s="36" t="n">
        <x:v>0</x:v>
      </x:c>
      <x:c r="G632" s="9" t="str">
        <x:v>48</x:v>
      </x:c>
      <x:c r="H632" s="9" t="str">
        <x:v>Flavor / 口味</x:v>
      </x:c>
      <x:c r="I632" s="9" t="str">
        <x:v>商业调查词</x:v>
      </x:c>
      <x:c r="J632" s="9" t="str">
        <x:v>博客C-对比评测</x:v>
      </x:c>
      <x:c r="K632" s="9" t="str"/>
      <x:c r="L632" s="9" t="str">
        <x:f>IF(K632="",J632,K632)</x:f>
        <x:v>博客C-对比评测</x:v>
      </x:c>
      <x:c r="M632" s="9" t="str">
        <x:v>Best/Top/Review/VS/替代方案文章</x:v>
      </x:c>
      <x:c r="N632" s="9" t="str">
        <x:v>Best angle: menthol vape flavor review - comparison, pros/cons, and which option fits different buyers</x:v>
      </x:c>
      <x:c r="O632" s="9" t="str">
        <x:v>/collections/flavored-disposable-vapes</x:v>
      </x:c>
      <x:c r="P632" s="9" t="str">
        <x:v>是</x:v>
      </x:c>
      <x:c r="Q632" s="9" t="str">
        <x:v>自然句/品类词/品牌词</x:v>
      </x:c>
      <x:c r="R632" s="9" t="str">
        <x:v>中风险：榜单和评测必须真实、中立，避免夸大</x:v>
      </x:c>
      <x:c r="S632" s="9" t="str">
        <x:v>这类词不直接给主站，先用博客C教育和比较，再导流到最相关集合页。</x:v>
      </x:c>
      <x:c r="T632" s="38" t="n">
        <x:v>1</x:v>
      </x:c>
      <x:c r="U632" s="38" t="n">
        <x:v>15</x:v>
      </x:c>
      <x:c r="V632" s="38" t="n">
        <x:v>16</x:v>
      </x:c>
      <x:c r="W632" s="38" t="n">
        <x:v>15</x:v>
      </x:c>
      <x:c r="X632" s="38" t="n">
        <x:v>13</x:v>
      </x:c>
      <x:c r="Y632" s="38" t="n">
        <x:v>6</x:v>
      </x:c>
      <x:c r="Z632" s="38" t="n">
        <x:f>MAX(0,MIN(100,ROUND(((T632+U632+V632+W632+X632)-Y632)/85*100,0)))</x:f>
        <x:v>64</x:v>
      </x:c>
      <x:c r="AA632" s="9" t="str">
        <x:f>IF(L632="暂不做","P3 暂缓",IF(Z632&gt;=75,"P0 本周做",IF(Z632&gt;=60,"P1 近期做",IF(Z632&gt;=45,"P2 备选","P3 暂缓"))))</x:f>
        <x:v>P1 近期做</x:v>
      </x:c>
      <x:c r="AB632" s="9" t="str">
        <x:f>IF(Y632&gt;=15,"先做合规/相关性复核，不建议直接商业导流",IF(L632="主站","建/优化主站商业页",IF(L632="博客A-知识教程","写知识教程/FAQ文章",IF(L632="博客B-场景人群","写场景需求/选购指南文章",IF(L632="博客C-对比评测","写对比评测/榜单文章","暂不做或人工复核")))))</x:f>
        <x:v>写对比评测/榜单文章</x:v>
      </x:c>
      <x:c r="AC632" s="9" t="str">
        <x:v>Reviews - WATERMELON ICE - ExDivo FLORA 40K Disposable Vape - ExDivo</x:v>
      </x:c>
      <x:c r="AD632" s="10" t="str">
        <x:v>48</x:v>
      </x:c>
    </x:row>
    <x:row r="633">
      <x:c r="A633" s="34" t="n">
        <x:v>633</x:v>
      </x:c>
      <x:c r="B633" s="9" t="str">
        <x:v>https://exdivo.com/collections/meifu/products/luxury-women-s-vape-18ml-dual-mesh-40000-puffs_151a2c79?data_from=collection_detail&amp;spm=collection_detail.313027.collection_detail-11702364.5.</x:v>
      </x:c>
      <x:c r="C633" s="9" t="str">
        <x:v>exdivo flora 40k white gummy ice</x:v>
      </x:c>
      <x:c r="D633" s="9" t="str">
        <x:v>recommended</x:v>
      </x:c>
      <x:c r="E633" s="36" t="n">
        <x:v>0</x:v>
      </x:c>
      <x:c r="F633" s="36" t="n">
        <x:v>0</x:v>
      </x:c>
      <x:c r="G633" s="9" t="str">
        <x:v>48</x:v>
      </x:c>
      <x:c r="H633" s="9" t="str">
        <x:v>General Vape</x:v>
      </x:c>
      <x:c r="I633" s="9" t="str">
        <x:v>弱相关词</x:v>
      </x:c>
      <x:c r="J633" s="9" t="str">
        <x:v>暂不做</x:v>
      </x:c>
      <x:c r="K633" s="9" t="str"/>
      <x:c r="L633" s="9" t="str">
        <x:f>IF(K633="",J633,K633)</x:f>
        <x:v>暂不做</x:v>
      </x:c>
      <x:c r="M633" s="9" t="str">
        <x:v>不建议建页</x:v>
      </x:c>
      <x:c r="N633" s="9" t="str">
        <x:v>不进入内容生产</x:v>
      </x:c>
      <x:c r="O633" s="9" t="str">
        <x:v>无</x:v>
      </x:c>
      <x:c r="P633" s="9" t="str">
        <x:v>否</x:v>
      </x:c>
      <x:c r="Q633" s="9" t="str">
        <x:v>不导流</x:v>
      </x:c>
      <x:c r="R633" s="9" t="str">
        <x:v>相关性弱：可能带来无效流量或偏离产品定位</x:v>
      </x:c>
      <x:c r="S633" s="9" t="str">
        <x:v>除非人工确认与核心产品强相关，否则不要进入内容排期。</x:v>
      </x:c>
      <x:c r="T633" s="38" t="n">
        <x:v>1</x:v>
      </x:c>
      <x:c r="U633" s="38" t="n">
        <x:v>15</x:v>
      </x:c>
      <x:c r="V633" s="38" t="n">
        <x:v>2</x:v>
      </x:c>
      <x:c r="W633" s="38" t="n">
        <x:v>3</x:v>
      </x:c>
      <x:c r="X633" s="38" t="n">
        <x:v>2</x:v>
      </x:c>
      <x:c r="Y633" s="38" t="n">
        <x:v>16</x:v>
      </x:c>
      <x:c r="Z633" s="38" t="n">
        <x:f>MAX(0,MIN(100,ROUND(((T633+U633+V633+W633+X633)-Y633)/85*100,0)))</x:f>
        <x:v>8</x:v>
      </x:c>
      <x:c r="AA633" s="9" t="str">
        <x:f>IF(L633="暂不做","P3 暂缓",IF(Z633&gt;=75,"P0 本周做",IF(Z633&gt;=60,"P1 近期做",IF(Z633&gt;=45,"P2 备选","P3 暂缓"))))</x:f>
        <x:v>P3 暂缓</x:v>
      </x:c>
      <x:c r="AB633" s="9" t="str">
        <x:f>IF(Y633&gt;=15,"先做合规/相关性复核，不建议直接商业导流",IF(L633="主站","建/优化主站商业页",IF(L633="博客A-知识教程","写知识教程/FAQ文章",IF(L633="博客B-场景人群","写场景需求/选购指南文章",IF(L633="博客C-对比评测","写对比评测/榜单文章","暂不做或人工复核")))))</x:f>
        <x:v>先做合规/相关性复核，不建议直接商业导流</x:v>
      </x:c>
      <x:c r="AC633" s="9" t="str">
        <x:v>WHITE GUMMY ICE - ExDivo FLORA 40K Disposable Vape - ExDivo</x:v>
      </x:c>
      <x:c r="AD633" s="10" t="str">
        <x:v>white gummy ice - exdivo flora 40k disposable vape</x:v>
      </x:c>
    </x:row>
    <x:row r="634">
      <x:c r="A634" s="34" t="n">
        <x:v>634</x:v>
      </x:c>
      <x:c r="B634" s="9" t="str">
        <x:v>https://exdivo.com/collections/meifu/products/luxury-women-s-vape-18ml-dual-mesh-40000-puffs_151a2c79?data_from=collection_detail&amp;spm=collection_detail.313027.collection_detail-11702364.5.</x:v>
      </x:c>
      <x:c r="C634" s="9" t="str">
        <x:v>exdivo flora 40k white gummy ice review</x:v>
      </x:c>
      <x:c r="D634" s="9" t="str">
        <x:v>recommended</x:v>
      </x:c>
      <x:c r="E634" s="36" t="n">
        <x:v>0</x:v>
      </x:c>
      <x:c r="F634" s="36" t="n">
        <x:v>0</x:v>
      </x:c>
      <x:c r="G634" s="9" t="str">
        <x:v>48</x:v>
      </x:c>
      <x:c r="H634" s="9" t="str">
        <x:v>对比评测</x:v>
      </x:c>
      <x:c r="I634" s="9" t="str">
        <x:v>商业调查词</x:v>
      </x:c>
      <x:c r="J634" s="9" t="str">
        <x:v>博客C-对比评测</x:v>
      </x:c>
      <x:c r="K634" s="9" t="str"/>
      <x:c r="L634" s="9" t="str">
        <x:f>IF(K634="",J634,K634)</x:f>
        <x:v>博客C-对比评测</x:v>
      </x:c>
      <x:c r="M634" s="9" t="str">
        <x:v>Best/Top/Review/VS/替代方案文章</x:v>
      </x:c>
      <x:c r="N634" s="9" t="str">
        <x:v>Best angle: exdivo flora 40k white gummy ice review - comparison, pros/cons, and which option fits different buyers</x:v>
      </x:c>
      <x:c r="O634" s="9" t="str">
        <x:v>/collections/disposable-vapes</x:v>
      </x:c>
      <x:c r="P634" s="9" t="str">
        <x:v>是</x:v>
      </x:c>
      <x:c r="Q634" s="9" t="str">
        <x:v>自然句/品类词/品牌词</x:v>
      </x:c>
      <x:c r="R634" s="9" t="str">
        <x:v>中风险：榜单和评测必须真实、中立，避免夸大</x:v>
      </x:c>
      <x:c r="S634" s="9" t="str">
        <x:v>这类词不直接给主站，先用博客C教育和比较，再导流到最相关集合页。</x:v>
      </x:c>
      <x:c r="T634" s="38" t="n">
        <x:v>1</x:v>
      </x:c>
      <x:c r="U634" s="38" t="n">
        <x:v>15</x:v>
      </x:c>
      <x:c r="V634" s="38" t="n">
        <x:v>16</x:v>
      </x:c>
      <x:c r="W634" s="38" t="n">
        <x:v>15</x:v>
      </x:c>
      <x:c r="X634" s="38" t="n">
        <x:v>13</x:v>
      </x:c>
      <x:c r="Y634" s="38" t="n">
        <x:v>6</x:v>
      </x:c>
      <x:c r="Z634" s="38" t="n">
        <x:f>MAX(0,MIN(100,ROUND(((T634+U634+V634+W634+X634)-Y634)/85*100,0)))</x:f>
        <x:v>64</x:v>
      </x:c>
      <x:c r="AA634" s="9" t="str">
        <x:f>IF(L634="暂不做","P3 暂缓",IF(Z634&gt;=75,"P0 本周做",IF(Z634&gt;=60,"P1 近期做",IF(Z634&gt;=45,"P2 备选","P3 暂缓"))))</x:f>
        <x:v>P1 近期做</x:v>
      </x:c>
      <x:c r="AB634" s="9" t="str">
        <x:f>IF(Y634&gt;=15,"先做合规/相关性复核，不建议直接商业导流",IF(L634="主站","建/优化主站商业页",IF(L634="博客A-知识教程","写知识教程/FAQ文章",IF(L634="博客B-场景人群","写场景需求/选购指南文章",IF(L634="博客C-对比评测","写对比评测/榜单文章","暂不做或人工复核")))))</x:f>
        <x:v>写对比评测/榜单文章</x:v>
      </x:c>
      <x:c r="AC634" s="9" t="str">
        <x:v>WHITE GUMMY ICE - ExDivo FLORA 40K Disposable Vape - ExDivo</x:v>
      </x:c>
      <x:c r="AD634" s="10" t="str">
        <x:v>white gummy ice - exdivo flora 40k disposable vape</x:v>
      </x:c>
    </x:row>
    <x:row r="635">
      <x:c r="A635" s="34" t="n">
        <x:v>635</x:v>
      </x:c>
      <x:c r="B635" s="9" t="str">
        <x:v>https://exdivo.com/comments/exdivo-interstellar-35k-disposable-vape_2c06745d</x:v>
      </x:c>
      <x:c r="C635" s="9" t="str">
        <x:v>mexican mango disposable vape review</x:v>
      </x:c>
      <x:c r="D635" s="9" t="str">
        <x:v>recommended</x:v>
      </x:c>
      <x:c r="E635" s="36" t="n">
        <x:v>0</x:v>
      </x:c>
      <x:c r="F635" s="36" t="n">
        <x:v>0</x:v>
      </x:c>
      <x:c r="G635" s="9" t="str">
        <x:v>48</x:v>
      </x:c>
      <x:c r="H635" s="9" t="str">
        <x:v>Disposable Vape</x:v>
      </x:c>
      <x:c r="I635" s="9" t="str">
        <x:v>商业调查词</x:v>
      </x:c>
      <x:c r="J635" s="9" t="str">
        <x:v>博客C-对比评测</x:v>
      </x:c>
      <x:c r="K635" s="9" t="str"/>
      <x:c r="L635" s="9" t="str">
        <x:f>IF(K635="",J635,K635)</x:f>
        <x:v>博客C-对比评测</x:v>
      </x:c>
      <x:c r="M635" s="9" t="str">
        <x:v>Best/Top/Review/VS/替代方案文章</x:v>
      </x:c>
      <x:c r="N635" s="9" t="str">
        <x:v>Best angle: mexican mango disposable vape review - comparison, pros/cons, and which option fits different buyers</x:v>
      </x:c>
      <x:c r="O635" s="9" t="str">
        <x:v>/collections/disposable-vapes</x:v>
      </x:c>
      <x:c r="P635" s="9" t="str">
        <x:v>是</x:v>
      </x:c>
      <x:c r="Q635" s="9" t="str">
        <x:v>自然句/品类词/品牌词</x:v>
      </x:c>
      <x:c r="R635" s="9" t="str">
        <x:v>中风险：榜单和评测必须真实、中立，避免夸大</x:v>
      </x:c>
      <x:c r="S635" s="9" t="str">
        <x:v>这类词不直接给主站，先用博客C教育和比较，再导流到最相关集合页。</x:v>
      </x:c>
      <x:c r="T635" s="38" t="n">
        <x:v>1</x:v>
      </x:c>
      <x:c r="U635" s="38" t="n">
        <x:v>15</x:v>
      </x:c>
      <x:c r="V635" s="38" t="n">
        <x:v>16</x:v>
      </x:c>
      <x:c r="W635" s="38" t="n">
        <x:v>15</x:v>
      </x:c>
      <x:c r="X635" s="38" t="n">
        <x:v>13</x:v>
      </x:c>
      <x:c r="Y635" s="38" t="n">
        <x:v>6</x:v>
      </x:c>
      <x:c r="Z635" s="38" t="n">
        <x:f>MAX(0,MIN(100,ROUND(((T635+U635+V635+W635+X635)-Y635)/85*100,0)))</x:f>
        <x:v>64</x:v>
      </x:c>
      <x:c r="AA635" s="9" t="str">
        <x:f>IF(L635="暂不做","P3 暂缓",IF(Z635&gt;=75,"P0 本周做",IF(Z635&gt;=60,"P1 近期做",IF(Z635&gt;=45,"P2 备选","P3 暂缓"))))</x:f>
        <x:v>P1 近期做</x:v>
      </x:c>
      <x:c r="AB635" s="9" t="str">
        <x:f>IF(Y635&gt;=15,"先做合规/相关性复核，不建议直接商业导流",IF(L635="主站","建/优化主站商业页",IF(L635="博客A-知识教程","写知识教程/FAQ文章",IF(L635="博客B-场景人群","写场景需求/选购指南文章",IF(L635="博客C-对比评测","写对比评测/榜单文章","暂不做或人工复核")))))</x:f>
        <x:v>写对比评测/榜单文章</x:v>
      </x:c>
      <x:c r="AC635" s="9" t="str">
        <x:v>Reviews - Mexican Mango - ExDivo INTERSTELLAR 35K Disposable Vape - ExDivo</x:v>
      </x:c>
      <x:c r="AD635" s="10" t="str">
        <x:v>48</x:v>
      </x:c>
    </x:row>
    <x:row r="636">
      <x:c r="A636" s="34" t="n">
        <x:v>636</x:v>
      </x:c>
      <x:c r="B636" s="9" t="str">
        <x:v>https://exdivo.com/comments/exdivo-interstellar-35k-disposable-vape_2c06745d</x:v>
      </x:c>
      <x:c r="C636" s="9" t="str">
        <x:v>mexican mango vape review</x:v>
      </x:c>
      <x:c r="D636" s="9" t="str">
        <x:v>recommended</x:v>
      </x:c>
      <x:c r="E636" s="36" t="n">
        <x:v>0</x:v>
      </x:c>
      <x:c r="F636" s="36" t="n">
        <x:v>0</x:v>
      </x:c>
      <x:c r="G636" s="9" t="str">
        <x:v>48</x:v>
      </x:c>
      <x:c r="H636" s="9" t="str">
        <x:v>对比评测</x:v>
      </x:c>
      <x:c r="I636" s="9" t="str">
        <x:v>商业调查词</x:v>
      </x:c>
      <x:c r="J636" s="9" t="str">
        <x:v>博客C-对比评测</x:v>
      </x:c>
      <x:c r="K636" s="9" t="str"/>
      <x:c r="L636" s="9" t="str">
        <x:f>IF(K636="",J636,K636)</x:f>
        <x:v>博客C-对比评测</x:v>
      </x:c>
      <x:c r="M636" s="9" t="str">
        <x:v>Best/Top/Review/VS/替代方案文章</x:v>
      </x:c>
      <x:c r="N636" s="9" t="str">
        <x:v>Best angle: mexican mango vape review - comparison, pros/cons, and which option fits different buyers</x:v>
      </x:c>
      <x:c r="O636" s="9" t="str">
        <x:v>/collections/disposable-vapes</x:v>
      </x:c>
      <x:c r="P636" s="9" t="str">
        <x:v>是</x:v>
      </x:c>
      <x:c r="Q636" s="9" t="str">
        <x:v>自然句/品类词/品牌词</x:v>
      </x:c>
      <x:c r="R636" s="9" t="str">
        <x:v>中风险：榜单和评测必须真实、中立，避免夸大</x:v>
      </x:c>
      <x:c r="S636" s="9" t="str">
        <x:v>这类词不直接给主站，先用博客C教育和比较，再导流到最相关集合页。</x:v>
      </x:c>
      <x:c r="T636" s="38" t="n">
        <x:v>1</x:v>
      </x:c>
      <x:c r="U636" s="38" t="n">
        <x:v>15</x:v>
      </x:c>
      <x:c r="V636" s="38" t="n">
        <x:v>16</x:v>
      </x:c>
      <x:c r="W636" s="38" t="n">
        <x:v>15</x:v>
      </x:c>
      <x:c r="X636" s="38" t="n">
        <x:v>13</x:v>
      </x:c>
      <x:c r="Y636" s="38" t="n">
        <x:v>6</x:v>
      </x:c>
      <x:c r="Z636" s="38" t="n">
        <x:f>MAX(0,MIN(100,ROUND(((T636+U636+V636+W636+X636)-Y636)/85*100,0)))</x:f>
        <x:v>64</x:v>
      </x:c>
      <x:c r="AA636" s="9" t="str">
        <x:f>IF(L636="暂不做","P3 暂缓",IF(Z636&gt;=75,"P0 本周做",IF(Z636&gt;=60,"P1 近期做",IF(Z636&gt;=45,"P2 备选","P3 暂缓"))))</x:f>
        <x:v>P1 近期做</x:v>
      </x:c>
      <x:c r="AB636" s="9" t="str">
        <x:f>IF(Y636&gt;=15,"先做合规/相关性复核，不建议直接商业导流",IF(L636="主站","建/优化主站商业页",IF(L636="博客A-知识教程","写知识教程/FAQ文章",IF(L636="博客B-场景人群","写场景需求/选购指南文章",IF(L636="博客C-对比评测","写对比评测/榜单文章","暂不做或人工复核")))))</x:f>
        <x:v>写对比评测/榜单文章</x:v>
      </x:c>
      <x:c r="AC636" s="9" t="str">
        <x:v>Reviews - Mexican Mango - ExDivo INTERSTELLAR 35K Disposable Vape - ExDivo</x:v>
      </x:c>
      <x:c r="AD636" s="10" t="str">
        <x:v>48</x:v>
      </x:c>
    </x:row>
    <x:row r="637">
      <x:c r="A637" s="34" t="n">
        <x:v>637</x:v>
      </x:c>
      <x:c r="B637" s="9" t="str">
        <x:v>https://exdivo.com/comments/exdivo-flora-40k-disposable-vape_ce44b467</x:v>
      </x:c>
      <x:c r="C637" s="9" t="str">
        <x:v>blue razz ice disposable vape review</x:v>
      </x:c>
      <x:c r="D637" s="9" t="str">
        <x:v>recommended</x:v>
      </x:c>
      <x:c r="E637" s="36" t="n">
        <x:v>0</x:v>
      </x:c>
      <x:c r="F637" s="36" t="n">
        <x:v>0</x:v>
      </x:c>
      <x:c r="G637" s="9" t="str">
        <x:v>48</x:v>
      </x:c>
      <x:c r="H637" s="9" t="str">
        <x:v>竞品/品牌词</x:v>
      </x:c>
      <x:c r="I637" s="9" t="str">
        <x:v>竞品对比词</x:v>
      </x:c>
      <x:c r="J637" s="9" t="str">
        <x:v>博客C-对比评测</x:v>
      </x:c>
      <x:c r="K637" s="9" t="str"/>
      <x:c r="L637" s="9" t="str">
        <x:f>IF(K637="",J637,K637)</x:f>
        <x:v>博客C-对比评测</x:v>
      </x:c>
      <x:c r="M637" s="9" t="str">
        <x:v>对比/替代/榜单文章</x:v>
      </x:c>
      <x:c r="N637" s="9" t="str">
        <x:v>Best angle: blue razz ice disposable vape review - comparison, pros/cons, and which option fits different buyers</x:v>
      </x:c>
      <x:c r="O637" s="9" t="str">
        <x:v>/collections/disposable-vapes 或对应替代产品集合页</x:v>
      </x:c>
      <x:c r="P637" s="9" t="str">
        <x:v>谨慎</x:v>
      </x:c>
      <x:c r="Q637" s="9" t="str">
        <x:v>自然句/品牌词/品类词</x:v>
      </x:c>
      <x:c r="R637" s="9" t="str">
        <x:v>中风险：涉及竞品品牌，避免商标误导、贬低竞品和虚假对比</x:v>
      </x:c>
      <x:c r="S637" s="9" t="str">
        <x:v>适合做客观对比或替代方案，但不要把竞品词直接做主站商业页。</x:v>
      </x:c>
      <x:c r="T637" s="38" t="n">
        <x:v>1</x:v>
      </x:c>
      <x:c r="U637" s="38" t="n">
        <x:v>15</x:v>
      </x:c>
      <x:c r="V637" s="38" t="n">
        <x:v>14</x:v>
      </x:c>
      <x:c r="W637" s="38" t="n">
        <x:v>14</x:v>
      </x:c>
      <x:c r="X637" s="38" t="n">
        <x:v>11</x:v>
      </x:c>
      <x:c r="Y637" s="38" t="n">
        <x:v>10</x:v>
      </x:c>
      <x:c r="Z637" s="38" t="n">
        <x:f>MAX(0,MIN(100,ROUND(((T637+U637+V637+W637+X637)-Y637)/85*100,0)))</x:f>
        <x:v>53</x:v>
      </x:c>
      <x:c r="AA637" s="9" t="str">
        <x:f>IF(L637="暂不做","P3 暂缓",IF(Z637&gt;=75,"P0 本周做",IF(Z637&gt;=60,"P1 近期做",IF(Z637&gt;=45,"P2 备选","P3 暂缓"))))</x:f>
        <x:v>P2 备选</x:v>
      </x:c>
      <x:c r="AB637" s="9" t="str">
        <x:f>IF(Y637&gt;=15,"先做合规/相关性复核，不建议直接商业导流",IF(L637="主站","建/优化主站商业页",IF(L637="博客A-知识教程","写知识教程/FAQ文章",IF(L637="博客B-场景人群","写场景需求/选购指南文章",IF(L637="博客C-对比评测","写对比评测/榜单文章","暂不做或人工复核")))))</x:f>
        <x:v>写对比评测/榜单文章</x:v>
      </x:c>
      <x:c r="AC637" s="9" t="str">
        <x:v>Reviews - BLUE RAZZ ICE - ExDivo FLORA 40K Disposable Vape - ExDivo</x:v>
      </x:c>
      <x:c r="AD637" s="10" t="str">
        <x:v>48</x:v>
      </x:c>
    </x:row>
    <x:row r="638">
      <x:c r="A638" s="34" t="n">
        <x:v>638</x:v>
      </x:c>
      <x:c r="B638" s="9" t="str">
        <x:v>https://exdivo.com/comments/exdivo-flora-40k-disposable-vape_ce44b467</x:v>
      </x:c>
      <x:c r="C638" s="9" t="str">
        <x:v>blue razz ice vape review</x:v>
      </x:c>
      <x:c r="D638" s="9" t="str">
        <x:v>recommended</x:v>
      </x:c>
      <x:c r="E638" s="36" t="n">
        <x:v>0</x:v>
      </x:c>
      <x:c r="F638" s="36" t="n">
        <x:v>0</x:v>
      </x:c>
      <x:c r="G638" s="9" t="str">
        <x:v>48</x:v>
      </x:c>
      <x:c r="H638" s="9" t="str">
        <x:v>竞品/品牌词</x:v>
      </x:c>
      <x:c r="I638" s="9" t="str">
        <x:v>竞品对比词</x:v>
      </x:c>
      <x:c r="J638" s="9" t="str">
        <x:v>博客C-对比评测</x:v>
      </x:c>
      <x:c r="K638" s="9" t="str"/>
      <x:c r="L638" s="9" t="str">
        <x:f>IF(K638="",J638,K638)</x:f>
        <x:v>博客C-对比评测</x:v>
      </x:c>
      <x:c r="M638" s="9" t="str">
        <x:v>对比/替代/榜单文章</x:v>
      </x:c>
      <x:c r="N638" s="9" t="str">
        <x:v>Best angle: blue razz ice vape review - comparison, pros/cons, and which option fits different buyers</x:v>
      </x:c>
      <x:c r="O638" s="9" t="str">
        <x:v>/collections/disposable-vapes 或对应替代产品集合页</x:v>
      </x:c>
      <x:c r="P638" s="9" t="str">
        <x:v>谨慎</x:v>
      </x:c>
      <x:c r="Q638" s="9" t="str">
        <x:v>自然句/品牌词/品类词</x:v>
      </x:c>
      <x:c r="R638" s="9" t="str">
        <x:v>中风险：涉及竞品品牌，避免商标误导、贬低竞品和虚假对比</x:v>
      </x:c>
      <x:c r="S638" s="9" t="str">
        <x:v>适合做客观对比或替代方案，但不要把竞品词直接做主站商业页。</x:v>
      </x:c>
      <x:c r="T638" s="38" t="n">
        <x:v>1</x:v>
      </x:c>
      <x:c r="U638" s="38" t="n">
        <x:v>15</x:v>
      </x:c>
      <x:c r="V638" s="38" t="n">
        <x:v>14</x:v>
      </x:c>
      <x:c r="W638" s="38" t="n">
        <x:v>14</x:v>
      </x:c>
      <x:c r="X638" s="38" t="n">
        <x:v>11</x:v>
      </x:c>
      <x:c r="Y638" s="38" t="n">
        <x:v>10</x:v>
      </x:c>
      <x:c r="Z638" s="38" t="n">
        <x:f>MAX(0,MIN(100,ROUND(((T638+U638+V638+W638+X638)-Y638)/85*100,0)))</x:f>
        <x:v>53</x:v>
      </x:c>
      <x:c r="AA638" s="9" t="str">
        <x:f>IF(L638="暂不做","P3 暂缓",IF(Z638&gt;=75,"P0 本周做",IF(Z638&gt;=60,"P1 近期做",IF(Z638&gt;=45,"P2 备选","P3 暂缓"))))</x:f>
        <x:v>P2 备选</x:v>
      </x:c>
      <x:c r="AB638" s="9" t="str">
        <x:f>IF(Y638&gt;=15,"先做合规/相关性复核，不建议直接商业导流",IF(L638="主站","建/优化主站商业页",IF(L638="博客A-知识教程","写知识教程/FAQ文章",IF(L638="博客B-场景人群","写场景需求/选购指南文章",IF(L638="博客C-对比评测","写对比评测/榜单文章","暂不做或人工复核")))))</x:f>
        <x:v>写对比评测/榜单文章</x:v>
      </x:c>
      <x:c r="AC638" s="9" t="str">
        <x:v>Reviews - BLUE RAZZ ICE - ExDivo FLORA 40K Disposable Vape - ExDivo</x:v>
      </x:c>
      <x:c r="AD638" s="10" t="str">
        <x:v>48</x:v>
      </x:c>
    </x:row>
    <x:row r="639">
      <x:c r="A639" s="34" t="n">
        <x:v>639</x:v>
      </x:c>
      <x:c r="B639" s="9" t="str">
        <x:v>https://exdivo.com/comments/exdivo-interstellar-35k-disposable-vape_c59c5d3c</x:v>
      </x:c>
      <x:c r="C639" s="9" t="str">
        <x:v>exdivo interstellar 35k fcuking fab review</x:v>
      </x:c>
      <x:c r="D639" s="9" t="str">
        <x:v>recommended</x:v>
      </x:c>
      <x:c r="E639" s="36" t="n">
        <x:v>0</x:v>
      </x:c>
      <x:c r="F639" s="36" t="n">
        <x:v>0</x:v>
      </x:c>
      <x:c r="G639" s="9" t="str">
        <x:v>48</x:v>
      </x:c>
      <x:c r="H639" s="9" t="str">
        <x:v>对比评测</x:v>
      </x:c>
      <x:c r="I639" s="9" t="str">
        <x:v>商业调查词</x:v>
      </x:c>
      <x:c r="J639" s="9" t="str">
        <x:v>博客C-对比评测</x:v>
      </x:c>
      <x:c r="K639" s="9" t="str"/>
      <x:c r="L639" s="9" t="str">
        <x:f>IF(K639="",J639,K639)</x:f>
        <x:v>博客C-对比评测</x:v>
      </x:c>
      <x:c r="M639" s="9" t="str">
        <x:v>Best/Top/Review/VS/替代方案文章</x:v>
      </x:c>
      <x:c r="N639" s="9" t="str">
        <x:v>Best angle: exdivo interstellar 35k fcuking fab review - comparison, pros/cons, and which option fits different buyers</x:v>
      </x:c>
      <x:c r="O639" s="9" t="str">
        <x:v>/collections/disposable-vapes</x:v>
      </x:c>
      <x:c r="P639" s="9" t="str">
        <x:v>是</x:v>
      </x:c>
      <x:c r="Q639" s="9" t="str">
        <x:v>自然句/品类词/品牌词</x:v>
      </x:c>
      <x:c r="R639" s="9" t="str">
        <x:v>中风险：榜单和评测必须真实、中立，避免夸大</x:v>
      </x:c>
      <x:c r="S639" s="9" t="str">
        <x:v>这类词不直接给主站，先用博客C教育和比较，再导流到最相关集合页。</x:v>
      </x:c>
      <x:c r="T639" s="38" t="n">
        <x:v>1</x:v>
      </x:c>
      <x:c r="U639" s="38" t="n">
        <x:v>15</x:v>
      </x:c>
      <x:c r="V639" s="38" t="n">
        <x:v>16</x:v>
      </x:c>
      <x:c r="W639" s="38" t="n">
        <x:v>15</x:v>
      </x:c>
      <x:c r="X639" s="38" t="n">
        <x:v>13</x:v>
      </x:c>
      <x:c r="Y639" s="38" t="n">
        <x:v>6</x:v>
      </x:c>
      <x:c r="Z639" s="38" t="n">
        <x:f>MAX(0,MIN(100,ROUND(((T639+U639+V639+W639+X639)-Y639)/85*100,0)))</x:f>
        <x:v>64</x:v>
      </x:c>
      <x:c r="AA639" s="9" t="str">
        <x:f>IF(L639="暂不做","P3 暂缓",IF(Z639&gt;=75,"P0 本周做",IF(Z639&gt;=60,"P1 近期做",IF(Z639&gt;=45,"P2 备选","P3 暂缓"))))</x:f>
        <x:v>P1 近期做</x:v>
      </x:c>
      <x:c r="AB639" s="9" t="str">
        <x:f>IF(Y639&gt;=15,"先做合规/相关性复核，不建议直接商业导流",IF(L639="主站","建/优化主站商业页",IF(L639="博客A-知识教程","写知识教程/FAQ文章",IF(L639="博客B-场景人群","写场景需求/选购指南文章",IF(L639="博客C-对比评测","写对比评测/榜单文章","暂不做或人工复核")))))</x:f>
        <x:v>写对比评测/榜单文章</x:v>
      </x:c>
      <x:c r="AC639" s="9" t="str">
        <x:v>Reviews - Fcuking Fab - ExDivo INTERSTELLAR 35K Disposable Vape - ExDivo</x:v>
      </x:c>
      <x:c r="AD639" s="10" t="str">
        <x:v>48</x:v>
      </x:c>
    </x:row>
    <x:row r="640">
      <x:c r="A640" s="34" t="n">
        <x:v>640</x:v>
      </x:c>
      <x:c r="B640" s="9" t="str">
        <x:v>https://exdivo.com/comments/exdivo-interstellar-35k-disposable-vape_c59c5d3c</x:v>
      </x:c>
      <x:c r="C640" s="9" t="str">
        <x:v>exdivo interstellar vape review</x:v>
      </x:c>
      <x:c r="D640" s="9" t="str">
        <x:v>recommended</x:v>
      </x:c>
      <x:c r="E640" s="36" t="n">
        <x:v>0</x:v>
      </x:c>
      <x:c r="F640" s="36" t="n">
        <x:v>0</x:v>
      </x:c>
      <x:c r="G640" s="9" t="str">
        <x:v>48</x:v>
      </x:c>
      <x:c r="H640" s="9" t="str">
        <x:v>对比评测</x:v>
      </x:c>
      <x:c r="I640" s="9" t="str">
        <x:v>商业调查词</x:v>
      </x:c>
      <x:c r="J640" s="9" t="str">
        <x:v>博客C-对比评测</x:v>
      </x:c>
      <x:c r="K640" s="9" t="str"/>
      <x:c r="L640" s="9" t="str">
        <x:f>IF(K640="",J640,K640)</x:f>
        <x:v>博客C-对比评测</x:v>
      </x:c>
      <x:c r="M640" s="9" t="str">
        <x:v>Best/Top/Review/VS/替代方案文章</x:v>
      </x:c>
      <x:c r="N640" s="9" t="str">
        <x:v>Best angle: exdivo interstellar vape review - comparison, pros/cons, and which option fits different buyers</x:v>
      </x:c>
      <x:c r="O640" s="9" t="str">
        <x:v>/collections/disposable-vapes</x:v>
      </x:c>
      <x:c r="P640" s="9" t="str">
        <x:v>是</x:v>
      </x:c>
      <x:c r="Q640" s="9" t="str">
        <x:v>自然句/品类词/品牌词</x:v>
      </x:c>
      <x:c r="R640" s="9" t="str">
        <x:v>中风险：榜单和评测必须真实、中立，避免夸大</x:v>
      </x:c>
      <x:c r="S640" s="9" t="str">
        <x:v>这类词不直接给主站，先用博客C教育和比较，再导流到最相关集合页。</x:v>
      </x:c>
      <x:c r="T640" s="38" t="n">
        <x:v>1</x:v>
      </x:c>
      <x:c r="U640" s="38" t="n">
        <x:v>15</x:v>
      </x:c>
      <x:c r="V640" s="38" t="n">
        <x:v>16</x:v>
      </x:c>
      <x:c r="W640" s="38" t="n">
        <x:v>15</x:v>
      </x:c>
      <x:c r="X640" s="38" t="n">
        <x:v>13</x:v>
      </x:c>
      <x:c r="Y640" s="38" t="n">
        <x:v>6</x:v>
      </x:c>
      <x:c r="Z640" s="38" t="n">
        <x:f>MAX(0,MIN(100,ROUND(((T640+U640+V640+W640+X640)-Y640)/85*100,0)))</x:f>
        <x:v>64</x:v>
      </x:c>
      <x:c r="AA640" s="9" t="str">
        <x:f>IF(L640="暂不做","P3 暂缓",IF(Z640&gt;=75,"P0 本周做",IF(Z640&gt;=60,"P1 近期做",IF(Z640&gt;=45,"P2 备选","P3 暂缓"))))</x:f>
        <x:v>P1 近期做</x:v>
      </x:c>
      <x:c r="AB640" s="9" t="str">
        <x:f>IF(Y640&gt;=15,"先做合规/相关性复核，不建议直接商业导流",IF(L640="主站","建/优化主站商业页",IF(L640="博客A-知识教程","写知识教程/FAQ文章",IF(L640="博客B-场景人群","写场景需求/选购指南文章",IF(L640="博客C-对比评测","写对比评测/榜单文章","暂不做或人工复核")))))</x:f>
        <x:v>写对比评测/榜单文章</x:v>
      </x:c>
      <x:c r="AC640" s="9" t="str">
        <x:v>Reviews - Fcuking Fab - ExDivo INTERSTELLAR 35K Disposable Vape - ExDivo</x:v>
      </x:c>
      <x:c r="AD640" s="10" t="str">
        <x:v>48</x:v>
      </x:c>
    </x:row>
    <x:row r="641">
      <x:c r="A641" s="34" t="n">
        <x:v>641</x:v>
      </x:c>
      <x:c r="B641" s="9" t="str">
        <x:v>https://exdivo.com/comments/exdivo-interstellar-35k-disposable-vape_c59c5d3c</x:v>
      </x:c>
      <x:c r="C641" s="9" t="str">
        <x:v>exdivo interstellar flavor review</x:v>
      </x:c>
      <x:c r="D641" s="9" t="str">
        <x:v>recommended</x:v>
      </x:c>
      <x:c r="E641" s="36" t="n">
        <x:v>0</x:v>
      </x:c>
      <x:c r="F641" s="36" t="n">
        <x:v>0</x:v>
      </x:c>
      <x:c r="G641" s="9" t="str">
        <x:v>48</x:v>
      </x:c>
      <x:c r="H641" s="9" t="str">
        <x:v>Flavor / 口味</x:v>
      </x:c>
      <x:c r="I641" s="9" t="str">
        <x:v>商业调查词</x:v>
      </x:c>
      <x:c r="J641" s="9" t="str">
        <x:v>博客C-对比评测</x:v>
      </x:c>
      <x:c r="K641" s="9" t="str"/>
      <x:c r="L641" s="9" t="str">
        <x:f>IF(K641="",J641,K641)</x:f>
        <x:v>博客C-对比评测</x:v>
      </x:c>
      <x:c r="M641" s="9" t="str">
        <x:v>Best/Top/Review/VS/替代方案文章</x:v>
      </x:c>
      <x:c r="N641" s="9" t="str">
        <x:v>Best angle: exdivo interstellar flavor review - comparison, pros/cons, and which option fits different buyers</x:v>
      </x:c>
      <x:c r="O641" s="9" t="str">
        <x:v>/collections/flavored-disposable-vapes</x:v>
      </x:c>
      <x:c r="P641" s="9" t="str">
        <x:v>是</x:v>
      </x:c>
      <x:c r="Q641" s="9" t="str">
        <x:v>自然句/品类词/品牌词</x:v>
      </x:c>
      <x:c r="R641" s="9" t="str">
        <x:v>中风险：榜单和评测必须真实、中立，避免夸大</x:v>
      </x:c>
      <x:c r="S641" s="9" t="str">
        <x:v>这类词不直接给主站，先用博客C教育和比较，再导流到最相关集合页。</x:v>
      </x:c>
      <x:c r="T641" s="38" t="n">
        <x:v>1</x:v>
      </x:c>
      <x:c r="U641" s="38" t="n">
        <x:v>15</x:v>
      </x:c>
      <x:c r="V641" s="38" t="n">
        <x:v>16</x:v>
      </x:c>
      <x:c r="W641" s="38" t="n">
        <x:v>15</x:v>
      </x:c>
      <x:c r="X641" s="38" t="n">
        <x:v>13</x:v>
      </x:c>
      <x:c r="Y641" s="38" t="n">
        <x:v>6</x:v>
      </x:c>
      <x:c r="Z641" s="38" t="n">
        <x:f>MAX(0,MIN(100,ROUND(((T641+U641+V641+W641+X641)-Y641)/85*100,0)))</x:f>
        <x:v>64</x:v>
      </x:c>
      <x:c r="AA641" s="9" t="str">
        <x:f>IF(L641="暂不做","P3 暂缓",IF(Z641&gt;=75,"P0 本周做",IF(Z641&gt;=60,"P1 近期做",IF(Z641&gt;=45,"P2 备选","P3 暂缓"))))</x:f>
        <x:v>P1 近期做</x:v>
      </x:c>
      <x:c r="AB641" s="9" t="str">
        <x:f>IF(Y641&gt;=15,"先做合规/相关性复核，不建议直接商业导流",IF(L641="主站","建/优化主站商业页",IF(L641="博客A-知识教程","写知识教程/FAQ文章",IF(L641="博客B-场景人群","写场景需求/选购指南文章",IF(L641="博客C-对比评测","写对比评测/榜单文章","暂不做或人工复核")))))</x:f>
        <x:v>写对比评测/榜单文章</x:v>
      </x:c>
      <x:c r="AC641" s="9" t="str">
        <x:v>Reviews - Fcuking Fab - ExDivo INTERSTELLAR 35K Disposable Vape - ExDivo</x:v>
      </x:c>
      <x:c r="AD641" s="10" t="str">
        <x:v>48</x:v>
      </x:c>
    </x:row>
    <x:row r="642">
      <x:c r="A642" s="34" t="n">
        <x:v>642</x:v>
      </x:c>
      <x:c r="B642" s="9" t="str">
        <x:v>https://exdivo.com/collections/interstellar/products/exdivo-interstellar-35k-disposable-vape_103ccdd9?data_from=index_index&amp;spm=index_index..block_collection_slides-11702936.5.</x:v>
      </x:c>
      <x:c r="C642" s="9" t="str">
        <x:v>exdivo 35k vape</x:v>
      </x:c>
      <x:c r="D642" s="9" t="str">
        <x:v>recommended</x:v>
      </x:c>
      <x:c r="E642" s="36" t="n">
        <x:v>0</x:v>
      </x:c>
      <x:c r="F642" s="36" t="n">
        <x:v>0</x:v>
      </x:c>
      <x:c r="G642" s="9" t="str">
        <x:v>48</x:v>
      </x:c>
      <x:c r="H642" s="9" t="str">
        <x:v>General Vape</x:v>
      </x:c>
      <x:c r="I642" s="9" t="str">
        <x:v>品类承接词</x:v>
      </x:c>
      <x:c r="J642" s="9" t="str">
        <x:v>主站</x:v>
      </x:c>
      <x:c r="K642" s="9" t="str"/>
      <x:c r="L642" s="9" t="str">
        <x:f>IF(K642="",J642,K642)</x:f>
        <x:v>主站</x:v>
      </x:c>
      <x:c r="M642" s="9" t="str">
        <x:v>品类页/集合页 + FAQ内容块</x:v>
      </x:c>
      <x:c r="N642" s="9" t="str">
        <x:v>主站品类页：用产品集合 + 选购说明承接</x:v>
      </x:c>
      <x:c r="O642" s="9" t="str">
        <x:v>/collections/disposable-vapes</x:v>
      </x:c>
      <x:c r="P642" s="9" t="str">
        <x:v>不适用</x:v>
      </x:c>
      <x:c r="Q642" s="9" t="str">
        <x:v>主站页面自身承接</x:v>
      </x:c>
      <x:c r="R642" s="9" t="str">
        <x:v>核心品类词：主站优先，博客只做长尾解释，不直接抢同一词</x:v>
      </x:c>
      <x:c r="S642" s="9" t="str">
        <x:v>如果 Google 首页产品页和指南混合，主站页要加 FAQ、选购指南、对比模块。</x:v>
      </x:c>
      <x:c r="T642" s="38" t="n">
        <x:v>1</x:v>
      </x:c>
      <x:c r="U642" s="38" t="n">
        <x:v>15</x:v>
      </x:c>
      <x:c r="V642" s="38" t="n">
        <x:v>16</x:v>
      </x:c>
      <x:c r="W642" s="38" t="n">
        <x:v>8</x:v>
      </x:c>
      <x:c r="X642" s="38" t="n">
        <x:v>15</x:v>
      </x:c>
      <x:c r="Y642" s="38" t="n">
        <x:v>4</x:v>
      </x:c>
      <x:c r="Z642" s="38" t="n">
        <x:f>MAX(0,MIN(100,ROUND(((T642+U642+V642+W642+X642)-Y642)/85*100,0)))</x:f>
        <x:v>60</x:v>
      </x:c>
      <x:c r="AA642" s="9" t="str">
        <x:f>IF(L642="暂不做","P3 暂缓",IF(Z642&gt;=75,"P0 本周做",IF(Z642&gt;=60,"P1 近期做",IF(Z642&gt;=45,"P2 备选","P3 暂缓"))))</x:f>
        <x:v>P1 近期做</x:v>
      </x:c>
      <x:c r="AB642" s="9" t="str">
        <x:f>IF(Y642&gt;=15,"先做合规/相关性复核，不建议直接商业导流",IF(L642="主站","建/优化主站商业页",IF(L642="博客A-知识教程","写知识教程/FAQ文章",IF(L642="博客B-场景人群","写场景需求/选购指南文章",IF(L642="博客C-对比评测","写对比评测/榜单文章","暂不做或人工复核")))))</x:f>
        <x:v>建/优化主站商业页</x:v>
      </x:c>
      <x:c r="AC642" s="9" t="str">
        <x:v>ExDivo INTERSTELLAR 35K Disposable Vape</x:v>
      </x:c>
      <x:c r="AD642" s="10" t="str">
        <x:v>35000 puffs</x:v>
      </x:c>
    </x:row>
    <x:row r="643">
      <x:c r="A643" s="34" t="n">
        <x:v>643</x:v>
      </x:c>
      <x:c r="B643" s="9" t="str">
        <x:v>https://exdivo.com/collections/all?page=4</x:v>
      </x:c>
      <x:c r="C643" s="9" t="str">
        <x:v>all exdivo vapes</x:v>
      </x:c>
      <x:c r="D643" s="9" t="str">
        <x:v>recommended</x:v>
      </x:c>
      <x:c r="E643" s="36" t="n">
        <x:v>0</x:v>
      </x:c>
      <x:c r="F643" s="36" t="n">
        <x:v>0</x:v>
      </x:c>
      <x:c r="G643" s="9" t="str">
        <x:v>48</x:v>
      </x:c>
      <x:c r="H643" s="9" t="str">
        <x:v>General Vape</x:v>
      </x:c>
      <x:c r="I643" s="9" t="str">
        <x:v>品类承接词</x:v>
      </x:c>
      <x:c r="J643" s="9" t="str">
        <x:v>主站</x:v>
      </x:c>
      <x:c r="K643" s="9" t="str"/>
      <x:c r="L643" s="9" t="str">
        <x:f>IF(K643="",J643,K643)</x:f>
        <x:v>主站</x:v>
      </x:c>
      <x:c r="M643" s="9" t="str">
        <x:v>品类页/集合页 + FAQ内容块</x:v>
      </x:c>
      <x:c r="N643" s="9" t="str">
        <x:v>主站品类页：用产品集合 + 选购说明承接</x:v>
      </x:c>
      <x:c r="O643" s="9" t="str">
        <x:v>/collections/disposable-vapes</x:v>
      </x:c>
      <x:c r="P643" s="9" t="str">
        <x:v>不适用</x:v>
      </x:c>
      <x:c r="Q643" s="9" t="str">
        <x:v>主站页面自身承接</x:v>
      </x:c>
      <x:c r="R643" s="9" t="str">
        <x:v>核心品类词：主站优先，博客只做长尾解释，不直接抢同一词</x:v>
      </x:c>
      <x:c r="S643" s="9" t="str">
        <x:v>如果 Google 首页产品页和指南混合，主站页要加 FAQ、选购指南、对比模块。</x:v>
      </x:c>
      <x:c r="T643" s="38" t="n">
        <x:v>1</x:v>
      </x:c>
      <x:c r="U643" s="38" t="n">
        <x:v>15</x:v>
      </x:c>
      <x:c r="V643" s="38" t="n">
        <x:v>16</x:v>
      </x:c>
      <x:c r="W643" s="38" t="n">
        <x:v>8</x:v>
      </x:c>
      <x:c r="X643" s="38" t="n">
        <x:v>15</x:v>
      </x:c>
      <x:c r="Y643" s="38" t="n">
        <x:v>4</x:v>
      </x:c>
      <x:c r="Z643" s="38" t="n">
        <x:f>MAX(0,MIN(100,ROUND(((T643+U643+V643+W643+X643)-Y643)/85*100,0)))</x:f>
        <x:v>60</x:v>
      </x:c>
      <x:c r="AA643" s="9" t="str">
        <x:f>IF(L643="暂不做","P3 暂缓",IF(Z643&gt;=75,"P0 本周做",IF(Z643&gt;=60,"P1 近期做",IF(Z643&gt;=45,"P2 备选","P3 暂缓"))))</x:f>
        <x:v>P1 近期做</x:v>
      </x:c>
      <x:c r="AB643" s="9" t="str">
        <x:f>IF(Y643&gt;=15,"先做合规/相关性复核，不建议直接商业导流",IF(L643="主站","建/优化主站商业页",IF(L643="博客A-知识教程","写知识教程/FAQ文章",IF(L643="博客B-场景人群","写场景需求/选购指南文章",IF(L643="博客C-对比评测","写对比评测/榜单文章","暂不做或人工复核")))))</x:f>
        <x:v>建/优化主站商业页</x:v>
      </x:c>
      <x:c r="AC643" s="9" t="str">
        <x:v>All Products - ExDivo</x:v>
      </x:c>
      <x:c r="AD643" s="10" t="str">
        <x:v>all products</x:v>
      </x:c>
    </x:row>
    <x:row r="644">
      <x:c r="A644" s="34" t="n">
        <x:v>644</x:v>
      </x:c>
      <x:c r="B644" s="9" t="str">
        <x:v>https://exdivo.com/collections/interstellar</x:v>
      </x:c>
      <x:c r="C644" s="9" t="str">
        <x:v>exdivo interstellar collection</x:v>
      </x:c>
      <x:c r="D644" s="9" t="str">
        <x:v>recommended</x:v>
      </x:c>
      <x:c r="E644" s="36" t="n">
        <x:v>0</x:v>
      </x:c>
      <x:c r="F644" s="36" t="n">
        <x:v>0</x:v>
      </x:c>
      <x:c r="G644" s="9" t="str">
        <x:v>48</x:v>
      </x:c>
      <x:c r="H644" s="9" t="str">
        <x:v>General Vape</x:v>
      </x:c>
      <x:c r="I644" s="9" t="str">
        <x:v>弱相关词</x:v>
      </x:c>
      <x:c r="J644" s="9" t="str">
        <x:v>暂不做</x:v>
      </x:c>
      <x:c r="K644" s="9" t="str"/>
      <x:c r="L644" s="9" t="str">
        <x:f>IF(K644="",J644,K644)</x:f>
        <x:v>暂不做</x:v>
      </x:c>
      <x:c r="M644" s="9" t="str">
        <x:v>不建议建页</x:v>
      </x:c>
      <x:c r="N644" s="9" t="str">
        <x:v>不进入内容生产</x:v>
      </x:c>
      <x:c r="O644" s="9" t="str">
        <x:v>无</x:v>
      </x:c>
      <x:c r="P644" s="9" t="str">
        <x:v>否</x:v>
      </x:c>
      <x:c r="Q644" s="9" t="str">
        <x:v>不导流</x:v>
      </x:c>
      <x:c r="R644" s="9" t="str">
        <x:v>相关性弱：可能带来无效流量或偏离产品定位</x:v>
      </x:c>
      <x:c r="S644" s="9" t="str">
        <x:v>除非人工确认与核心产品强相关，否则不要进入内容排期。</x:v>
      </x:c>
      <x:c r="T644" s="38" t="n">
        <x:v>1</x:v>
      </x:c>
      <x:c r="U644" s="38" t="n">
        <x:v>15</x:v>
      </x:c>
      <x:c r="V644" s="38" t="n">
        <x:v>2</x:v>
      </x:c>
      <x:c r="W644" s="38" t="n">
        <x:v>3</x:v>
      </x:c>
      <x:c r="X644" s="38" t="n">
        <x:v>2</x:v>
      </x:c>
      <x:c r="Y644" s="38" t="n">
        <x:v>16</x:v>
      </x:c>
      <x:c r="Z644" s="38" t="n">
        <x:f>MAX(0,MIN(100,ROUND(((T644+U644+V644+W644+X644)-Y644)/85*100,0)))</x:f>
        <x:v>8</x:v>
      </x:c>
      <x:c r="AA644" s="9" t="str">
        <x:f>IF(L644="暂不做","P3 暂缓",IF(Z644&gt;=75,"P0 本周做",IF(Z644&gt;=60,"P1 近期做",IF(Z644&gt;=45,"P2 备选","P3 暂缓"))))</x:f>
        <x:v>P3 暂缓</x:v>
      </x:c>
      <x:c r="AB644" s="9" t="str">
        <x:f>IF(Y644&gt;=15,"先做合规/相关性复核，不建议直接商业导流",IF(L644="主站","建/优化主站商业页",IF(L644="博客A-知识教程","写知识教程/FAQ文章",IF(L644="博客B-场景人群","写场景需求/选购指南文章",IF(L644="博客C-对比评测","写对比评测/榜单文章","暂不做或人工复核")))))</x:f>
        <x:v>先做合规/相关性复核，不建议直接商业导流</x:v>
      </x:c>
      <x:c r="AC644" s="9" t="str">
        <x:v>Exdivo collections INTERSTELLAR</x:v>
      </x:c>
      <x:c r="AD644" s="10" t="str">
        <x:v>interstellar</x:v>
      </x:c>
    </x:row>
    <x:row r="645">
      <x:c r="A645" s="34" t="n">
        <x:v>645</x:v>
      </x:c>
      <x:c r="B645" s="9" t="str">
        <x:v>https://exdivo.com/collections/interstellar</x:v>
      </x:c>
      <x:c r="C645" s="9" t="str">
        <x:v>exdivo interstellar flavors</x:v>
      </x:c>
      <x:c r="D645" s="9" t="str">
        <x:v>recommended</x:v>
      </x:c>
      <x:c r="E645" s="36" t="n">
        <x:v>0</x:v>
      </x:c>
      <x:c r="F645" s="36" t="n">
        <x:v>0</x:v>
      </x:c>
      <x:c r="G645" s="9" t="str">
        <x:v>48</x:v>
      </x:c>
      <x:c r="H645" s="9" t="str">
        <x:v>Flavor / 口味</x:v>
      </x:c>
      <x:c r="I645" s="9" t="str">
        <x:v>场景/需求词</x:v>
      </x:c>
      <x:c r="J645" s="9" t="str">
        <x:v>博客B-场景人群</x:v>
      </x:c>
      <x:c r="K645" s="9" t="str"/>
      <x:c r="L645" s="9" t="str">
        <x:f>IF(K645="",J645,K645)</x:f>
        <x:v>博客B-场景人群</x:v>
      </x:c>
      <x:c r="M645" s="9" t="str">
        <x:v>场景解决方案/选购指南文章</x:v>
      </x:c>
      <x:c r="N645" s="9" t="str">
        <x:v>Scenario angle: how to choose exdivo interstellar flavors based on use case, flavor, nicotine, and budget</x:v>
      </x:c>
      <x:c r="O645" s="9" t="str">
        <x:v>/collections/flavored-disposable-vapes</x:v>
      </x:c>
      <x:c r="P645" s="9" t="str">
        <x:v>是</x:v>
      </x:c>
      <x:c r="Q645" s="9" t="str">
        <x:v>自然句/品类词</x:v>
      </x:c>
      <x:c r="R645" s="9" t="str">
        <x:v>低中风险：适合软性导流，但不要夸大效果或触碰健康疗效</x:v>
      </x:c>
      <x:c r="S645" s="9" t="str">
        <x:v>围绕使用场景、口味、尼古丁需求、便携性等写，不和主站品类页抢词。</x:v>
      </x:c>
      <x:c r="T645" s="38" t="n">
        <x:v>1</x:v>
      </x:c>
      <x:c r="U645" s="38" t="n">
        <x:v>15</x:v>
      </x:c>
      <x:c r="V645" s="38" t="n">
        <x:v>13</x:v>
      </x:c>
      <x:c r="W645" s="38" t="n">
        <x:v>14</x:v>
      </x:c>
      <x:c r="X645" s="38" t="n">
        <x:v>13</x:v>
      </x:c>
      <x:c r="Y645" s="38" t="n">
        <x:v>5</x:v>
      </x:c>
      <x:c r="Z645" s="38" t="n">
        <x:f>MAX(0,MIN(100,ROUND(((T645+U645+V645+W645+X645)-Y645)/85*100,0)))</x:f>
        <x:v>60</x:v>
      </x:c>
      <x:c r="AA645" s="9" t="str">
        <x:f>IF(L645="暂不做","P3 暂缓",IF(Z645&gt;=75,"P0 本周做",IF(Z645&gt;=60,"P1 近期做",IF(Z645&gt;=45,"P2 备选","P3 暂缓"))))</x:f>
        <x:v>P1 近期做</x:v>
      </x:c>
      <x:c r="AB645" s="9" t="str">
        <x:f>IF(Y645&gt;=15,"先做合规/相关性复核，不建议直接商业导流",IF(L645="主站","建/优化主站商业页",IF(L645="博客A-知识教程","写知识教程/FAQ文章",IF(L645="博客B-场景人群","写场景需求/选购指南文章",IF(L645="博客C-对比评测","写对比评测/榜单文章","暂不做或人工复核")))))</x:f>
        <x:v>写场景需求/选购指南文章</x:v>
      </x:c>
      <x:c r="AC645" s="9" t="str">
        <x:v>Exdivo collections INTERSTELLAR</x:v>
      </x:c>
      <x:c r="AD645" s="10" t="str">
        <x:v>interstellar</x:v>
      </x:c>
    </x:row>
    <x:row r="646">
      <x:c r="A646" s="34" t="n">
        <x:v>646</x:v>
      </x:c>
      <x:c r="B646" s="9" t="str">
        <x:v>https://exdivo.com/comments/exdivo-flora-40k-disposable-vape_1361e485?writeComment=true</x:v>
      </x:c>
      <x:c r="C646" s="9" t="str">
        <x:v>fucking fab disposable vape review</x:v>
      </x:c>
      <x:c r="D646" s="9" t="str">
        <x:v>recommended</x:v>
      </x:c>
      <x:c r="E646" s="36" t="n">
        <x:v>0</x:v>
      </x:c>
      <x:c r="F646" s="36" t="n">
        <x:v>0</x:v>
      </x:c>
      <x:c r="G646" s="9" t="str">
        <x:v>48</x:v>
      </x:c>
      <x:c r="H646" s="9" t="str">
        <x:v>Disposable Vape</x:v>
      </x:c>
      <x:c r="I646" s="9" t="str">
        <x:v>商业调查词</x:v>
      </x:c>
      <x:c r="J646" s="9" t="str">
        <x:v>博客C-对比评测</x:v>
      </x:c>
      <x:c r="K646" s="9" t="str"/>
      <x:c r="L646" s="9" t="str">
        <x:f>IF(K646="",J646,K646)</x:f>
        <x:v>博客C-对比评测</x:v>
      </x:c>
      <x:c r="M646" s="9" t="str">
        <x:v>Best/Top/Review/VS/替代方案文章</x:v>
      </x:c>
      <x:c r="N646" s="9" t="str">
        <x:v>Best angle: fucking fab disposable vape review - comparison, pros/cons, and which option fits different buyers</x:v>
      </x:c>
      <x:c r="O646" s="9" t="str">
        <x:v>/collections/disposable-vapes</x:v>
      </x:c>
      <x:c r="P646" s="9" t="str">
        <x:v>是</x:v>
      </x:c>
      <x:c r="Q646" s="9" t="str">
        <x:v>自然句/品类词/品牌词</x:v>
      </x:c>
      <x:c r="R646" s="9" t="str">
        <x:v>中风险：榜单和评测必须真实、中立，避免夸大</x:v>
      </x:c>
      <x:c r="S646" s="9" t="str">
        <x:v>这类词不直接给主站，先用博客C教育和比较，再导流到最相关集合页。</x:v>
      </x:c>
      <x:c r="T646" s="38" t="n">
        <x:v>1</x:v>
      </x:c>
      <x:c r="U646" s="38" t="n">
        <x:v>15</x:v>
      </x:c>
      <x:c r="V646" s="38" t="n">
        <x:v>16</x:v>
      </x:c>
      <x:c r="W646" s="38" t="n">
        <x:v>15</x:v>
      </x:c>
      <x:c r="X646" s="38" t="n">
        <x:v>13</x:v>
      </x:c>
      <x:c r="Y646" s="38" t="n">
        <x:v>6</x:v>
      </x:c>
      <x:c r="Z646" s="38" t="n">
        <x:f>MAX(0,MIN(100,ROUND(((T646+U646+V646+W646+X646)-Y646)/85*100,0)))</x:f>
        <x:v>64</x:v>
      </x:c>
      <x:c r="AA646" s="9" t="str">
        <x:f>IF(L646="暂不做","P3 暂缓",IF(Z646&gt;=75,"P0 本周做",IF(Z646&gt;=60,"P1 近期做",IF(Z646&gt;=45,"P2 备选","P3 暂缓"))))</x:f>
        <x:v>P1 近期做</x:v>
      </x:c>
      <x:c r="AB646" s="9" t="str">
        <x:f>IF(Y646&gt;=15,"先做合规/相关性复核，不建议直接商业导流",IF(L646="主站","建/优化主站商业页",IF(L646="博客A-知识教程","写知识教程/FAQ文章",IF(L646="博客B-场景人群","写场景需求/选购指南文章",IF(L646="博客C-对比评测","写对比评测/榜单文章","暂不做或人工复核")))))</x:f>
        <x:v>写对比评测/榜单文章</x:v>
      </x:c>
      <x:c r="AC646" s="9" t="str">
        <x:v>Reviews - FUCKING FAB - ExDivo FLORA 40K Disposable Vape - ExDivo</x:v>
      </x:c>
      <x:c r="AD646" s="10" t="str">
        <x:v>48</x:v>
      </x:c>
    </x:row>
    <x:row r="647">
      <x:c r="A647" s="34" t="n">
        <x:v>647</x:v>
      </x:c>
      <x:c r="B647" s="9" t="str">
        <x:v>https://exdivo.com/collections/misty-rain?page=1</x:v>
      </x:c>
      <x:c r="C647" s="9" t="str">
        <x:v>kuz vape</x:v>
      </x:c>
      <x:c r="D647" s="9" t="str">
        <x:v>recommended</x:v>
      </x:c>
      <x:c r="E647" s="36" t="n">
        <x:v>390</x:v>
      </x:c>
      <x:c r="F647" s="36" t="n">
        <x:v>2</x:v>
      </x:c>
      <x:c r="G647" s="9" t="str">
        <x:v>informational, commercial</x:v>
      </x:c>
      <x:c r="H647" s="9" t="str">
        <x:v>General Vape</x:v>
      </x:c>
      <x:c r="I647" s="9" t="str">
        <x:v>品类承接词</x:v>
      </x:c>
      <x:c r="J647" s="9" t="str">
        <x:v>主站</x:v>
      </x:c>
      <x:c r="K647" s="9" t="str"/>
      <x:c r="L647" s="9" t="str">
        <x:f>IF(K647="",J647,K647)</x:f>
        <x:v>主站</x:v>
      </x:c>
      <x:c r="M647" s="9" t="str">
        <x:v>品类页/集合页 + FAQ内容块</x:v>
      </x:c>
      <x:c r="N647" s="9" t="str">
        <x:v>主站品类页：用产品集合 + 选购说明承接</x:v>
      </x:c>
      <x:c r="O647" s="9" t="str">
        <x:v>/collections/disposable-vapes</x:v>
      </x:c>
      <x:c r="P647" s="9" t="str">
        <x:v>不适用</x:v>
      </x:c>
      <x:c r="Q647" s="9" t="str">
        <x:v>主站页面自身承接</x:v>
      </x:c>
      <x:c r="R647" s="9" t="str">
        <x:v>核心品类词：主站优先，博客只做长尾解释，不直接抢同一词</x:v>
      </x:c>
      <x:c r="S647" s="9" t="str">
        <x:v>如果 Google 首页产品页和指南混合，主站页要加 FAQ、选购指南、对比模块。</x:v>
      </x:c>
      <x:c r="T647" s="38" t="n">
        <x:v>7</x:v>
      </x:c>
      <x:c r="U647" s="38" t="n">
        <x:v>15</x:v>
      </x:c>
      <x:c r="V647" s="38" t="n">
        <x:v>18</x:v>
      </x:c>
      <x:c r="W647" s="38" t="n">
        <x:v>8</x:v>
      </x:c>
      <x:c r="X647" s="38" t="n">
        <x:v>15</x:v>
      </x:c>
      <x:c r="Y647" s="38" t="n">
        <x:v>4</x:v>
      </x:c>
      <x:c r="Z647" s="38" t="n">
        <x:f>MAX(0,MIN(100,ROUND(((T647+U647+V647+W647+X647)-Y647)/85*100,0)))</x:f>
        <x:v>69</x:v>
      </x:c>
      <x:c r="AA647" s="9" t="str">
        <x:f>IF(L647="暂不做","P3 暂缓",IF(Z647&gt;=75,"P0 本周做",IF(Z647&gt;=60,"P1 近期做",IF(Z647&gt;=45,"P2 备选","P3 暂缓"))))</x:f>
        <x:v>P1 近期做</x:v>
      </x:c>
      <x:c r="AB647" s="9" t="str">
        <x:f>IF(Y647&gt;=15,"先做合规/相关性复核，不建议直接商业导流",IF(L647="主站","建/优化主站商业页",IF(L647="博客A-知识教程","写知识教程/FAQ文章",IF(L647="博客B-场景人群","写场景需求/选购指南文章",IF(L647="博客C-对比评测","写对比评测/榜单文章","暂不做或人工复核")))))</x:f>
        <x:v>建/优化主站商业页</x:v>
      </x:c>
      <x:c r="AC647" s="9" t="str">
        <x:v>KUZ - ExDivo</x:v>
      </x:c>
      <x:c r="AD647" s="10" t="str">
        <x:v>kuz</x:v>
      </x:c>
    </x:row>
    <x:row r="648">
      <x:c r="A648" s="34" t="n">
        <x:v>648</x:v>
      </x:c>
      <x:c r="B648" s="9" t="str">
        <x:v>https://exdivo.com/collections/misty-rain?page=1</x:v>
      </x:c>
      <x:c r="C648" s="9" t="str">
        <x:v>kuz vapes</x:v>
      </x:c>
      <x:c r="D648" s="9" t="str">
        <x:v>recommended</x:v>
      </x:c>
      <x:c r="E648" s="36" t="n">
        <x:v>70</x:v>
      </x:c>
      <x:c r="F648" s="36" t="n">
        <x:v>5</x:v>
      </x:c>
      <x:c r="G648" s="9" t="str">
        <x:v>informational</x:v>
      </x:c>
      <x:c r="H648" s="9" t="str">
        <x:v>General Vape</x:v>
      </x:c>
      <x:c r="I648" s="9" t="str">
        <x:v>品类承接词</x:v>
      </x:c>
      <x:c r="J648" s="9" t="str">
        <x:v>主站</x:v>
      </x:c>
      <x:c r="K648" s="9" t="str"/>
      <x:c r="L648" s="9" t="str">
        <x:f>IF(K648="",J648,K648)</x:f>
        <x:v>主站</x:v>
      </x:c>
      <x:c r="M648" s="9" t="str">
        <x:v>品类页/集合页 + FAQ内容块</x:v>
      </x:c>
      <x:c r="N648" s="9" t="str">
        <x:v>主站品类页：用产品集合 + 选购说明承接</x:v>
      </x:c>
      <x:c r="O648" s="9" t="str">
        <x:v>/collections/disposable-vapes</x:v>
      </x:c>
      <x:c r="P648" s="9" t="str">
        <x:v>不适用</x:v>
      </x:c>
      <x:c r="Q648" s="9" t="str">
        <x:v>主站页面自身承接</x:v>
      </x:c>
      <x:c r="R648" s="9" t="str">
        <x:v>核心品类词：主站优先，博客只做长尾解释，不直接抢同一词</x:v>
      </x:c>
      <x:c r="S648" s="9" t="str">
        <x:v>如果 Google 首页产品页和指南混合，主站页要加 FAQ、选购指南、对比模块。</x:v>
      </x:c>
      <x:c r="T648" s="38" t="n">
        <x:v>4</x:v>
      </x:c>
      <x:c r="U648" s="38" t="n">
        <x:v>15</x:v>
      </x:c>
      <x:c r="V648" s="38" t="n">
        <x:v>16</x:v>
      </x:c>
      <x:c r="W648" s="38" t="n">
        <x:v>8</x:v>
      </x:c>
      <x:c r="X648" s="38" t="n">
        <x:v>15</x:v>
      </x:c>
      <x:c r="Y648" s="38" t="n">
        <x:v>4</x:v>
      </x:c>
      <x:c r="Z648" s="38" t="n">
        <x:f>MAX(0,MIN(100,ROUND(((T648+U648+V648+W648+X648)-Y648)/85*100,0)))</x:f>
        <x:v>64</x:v>
      </x:c>
      <x:c r="AA648" s="9" t="str">
        <x:f>IF(L648="暂不做","P3 暂缓",IF(Z648&gt;=75,"P0 本周做",IF(Z648&gt;=60,"P1 近期做",IF(Z648&gt;=45,"P2 备选","P3 暂缓"))))</x:f>
        <x:v>P1 近期做</x:v>
      </x:c>
      <x:c r="AB648" s="9" t="str">
        <x:f>IF(Y648&gt;=15,"先做合规/相关性复核，不建议直接商业导流",IF(L648="主站","建/优化主站商业页",IF(L648="博客A-知识教程","写知识教程/FAQ文章",IF(L648="博客B-场景人群","写场景需求/选购指南文章",IF(L648="博客C-对比评测","写对比评测/榜单文章","暂不做或人工复核")))))</x:f>
        <x:v>建/优化主站商业页</x:v>
      </x:c>
      <x:c r="AC648" s="9" t="str">
        <x:v>KUZ - ExDivo</x:v>
      </x:c>
      <x:c r="AD648" s="10" t="str">
        <x:v>kuz</x:v>
      </x:c>
    </x:row>
    <x:row r="649">
      <x:c r="A649" s="34" t="n">
        <x:v>649</x:v>
      </x:c>
      <x:c r="B649" s="9" t="str">
        <x:v>https://exdivo.com/collections/misty-rain?page=1</x:v>
      </x:c>
      <x:c r="C649" s="9" t="str">
        <x:v>kuz disposable vape</x:v>
      </x:c>
      <x:c r="D649" s="9" t="str">
        <x:v>recommended</x:v>
      </x:c>
      <x:c r="E649" s="36" t="n">
        <x:v>0</x:v>
      </x:c>
      <x:c r="F649" s="36" t="n">
        <x:v>0</x:v>
      </x:c>
      <x:c r="G649" s="9" t="str">
        <x:v>48</x:v>
      </x:c>
      <x:c r="H649" s="9" t="str">
        <x:v>Disposable Vape</x:v>
      </x:c>
      <x:c r="I649" s="9" t="str">
        <x:v>品类承接词</x:v>
      </x:c>
      <x:c r="J649" s="9" t="str">
        <x:v>主站</x:v>
      </x:c>
      <x:c r="K649" s="9" t="str"/>
      <x:c r="L649" s="9" t="str">
        <x:f>IF(K649="",J649,K649)</x:f>
        <x:v>主站</x:v>
      </x:c>
      <x:c r="M649" s="9" t="str">
        <x:v>品类页/集合页 + FAQ内容块</x:v>
      </x:c>
      <x:c r="N649" s="9" t="str">
        <x:v>主站品类页：用产品集合 + 选购说明承接</x:v>
      </x:c>
      <x:c r="O649" s="9" t="str">
        <x:v>/collections/disposable-vapes</x:v>
      </x:c>
      <x:c r="P649" s="9" t="str">
        <x:v>不适用</x:v>
      </x:c>
      <x:c r="Q649" s="9" t="str">
        <x:v>主站页面自身承接</x:v>
      </x:c>
      <x:c r="R649" s="9" t="str">
        <x:v>核心品类词：主站优先，博客只做长尾解释，不直接抢同一词</x:v>
      </x:c>
      <x:c r="S649" s="9" t="str">
        <x:v>如果 Google 首页产品页和指南混合，主站页要加 FAQ、选购指南、对比模块。</x:v>
      </x:c>
      <x:c r="T649" s="38" t="n">
        <x:v>1</x:v>
      </x:c>
      <x:c r="U649" s="38" t="n">
        <x:v>15</x:v>
      </x:c>
      <x:c r="V649" s="38" t="n">
        <x:v>16</x:v>
      </x:c>
      <x:c r="W649" s="38" t="n">
        <x:v>8</x:v>
      </x:c>
      <x:c r="X649" s="38" t="n">
        <x:v>15</x:v>
      </x:c>
      <x:c r="Y649" s="38" t="n">
        <x:v>4</x:v>
      </x:c>
      <x:c r="Z649" s="38" t="n">
        <x:f>MAX(0,MIN(100,ROUND(((T649+U649+V649+W649+X649)-Y649)/85*100,0)))</x:f>
        <x:v>60</x:v>
      </x:c>
      <x:c r="AA649" s="9" t="str">
        <x:f>IF(L649="暂不做","P3 暂缓",IF(Z649&gt;=75,"P0 本周做",IF(Z649&gt;=60,"P1 近期做",IF(Z649&gt;=45,"P2 备选","P3 暂缓"))))</x:f>
        <x:v>P1 近期做</x:v>
      </x:c>
      <x:c r="AB649" s="9" t="str">
        <x:f>IF(Y649&gt;=15,"先做合规/相关性复核，不建议直接商业导流",IF(L649="主站","建/优化主站商业页",IF(L649="博客A-知识教程","写知识教程/FAQ文章",IF(L649="博客B-场景人群","写场景需求/选购指南文章",IF(L649="博客C-对比评测","写对比评测/榜单文章","暂不做或人工复核")))))</x:f>
        <x:v>建/优化主站商业页</x:v>
      </x:c>
      <x:c r="AC649" s="9" t="str">
        <x:v>KUZ - ExDivo</x:v>
      </x:c>
      <x:c r="AD649" s="10" t="str">
        <x:v>kuz</x:v>
      </x:c>
    </x:row>
    <x:row r="650">
      <x:c r="A650" s="34" t="n">
        <x:v>650</x:v>
      </x:c>
      <x:c r="B650" s="9" t="str">
        <x:v>https://exdivo.com/comments/exdivo-interstellar-35k-disposable-vape_a50f7cf9</x:v>
      </x:c>
      <x:c r="C650" s="9" t="str">
        <x:v>exdivo interstellar strawberry mango review</x:v>
      </x:c>
      <x:c r="D650" s="9" t="str">
        <x:v>recommended</x:v>
      </x:c>
      <x:c r="E650" s="36" t="n">
        <x:v>0</x:v>
      </x:c>
      <x:c r="F650" s="36" t="n">
        <x:v>0</x:v>
      </x:c>
      <x:c r="G650" s="9" t="str">
        <x:v>48</x:v>
      </x:c>
      <x:c r="H650" s="9" t="str">
        <x:v>对比评测</x:v>
      </x:c>
      <x:c r="I650" s="9" t="str">
        <x:v>商业调查词</x:v>
      </x:c>
      <x:c r="J650" s="9" t="str">
        <x:v>博客C-对比评测</x:v>
      </x:c>
      <x:c r="K650" s="9" t="str"/>
      <x:c r="L650" s="9" t="str">
        <x:f>IF(K650="",J650,K650)</x:f>
        <x:v>博客C-对比评测</x:v>
      </x:c>
      <x:c r="M650" s="9" t="str">
        <x:v>Best/Top/Review/VS/替代方案文章</x:v>
      </x:c>
      <x:c r="N650" s="9" t="str">
        <x:v>Best angle: exdivo interstellar strawberry mango review - comparison, pros/cons, and which option fits different buyers</x:v>
      </x:c>
      <x:c r="O650" s="9" t="str">
        <x:v>/collections/disposable-vapes</x:v>
      </x:c>
      <x:c r="P650" s="9" t="str">
        <x:v>是</x:v>
      </x:c>
      <x:c r="Q650" s="9" t="str">
        <x:v>自然句/品类词/品牌词</x:v>
      </x:c>
      <x:c r="R650" s="9" t="str">
        <x:v>中风险：榜单和评测必须真实、中立，避免夸大</x:v>
      </x:c>
      <x:c r="S650" s="9" t="str">
        <x:v>这类词不直接给主站，先用博客C教育和比较，再导流到最相关集合页。</x:v>
      </x:c>
      <x:c r="T650" s="38" t="n">
        <x:v>1</x:v>
      </x:c>
      <x:c r="U650" s="38" t="n">
        <x:v>15</x:v>
      </x:c>
      <x:c r="V650" s="38" t="n">
        <x:v>16</x:v>
      </x:c>
      <x:c r="W650" s="38" t="n">
        <x:v>15</x:v>
      </x:c>
      <x:c r="X650" s="38" t="n">
        <x:v>13</x:v>
      </x:c>
      <x:c r="Y650" s="38" t="n">
        <x:v>6</x:v>
      </x:c>
      <x:c r="Z650" s="38" t="n">
        <x:f>MAX(0,MIN(100,ROUND(((T650+U650+V650+W650+X650)-Y650)/85*100,0)))</x:f>
        <x:v>64</x:v>
      </x:c>
      <x:c r="AA650" s="9" t="str">
        <x:f>IF(L650="暂不做","P3 暂缓",IF(Z650&gt;=75,"P0 本周做",IF(Z650&gt;=60,"P1 近期做",IF(Z650&gt;=45,"P2 备选","P3 暂缓"))))</x:f>
        <x:v>P1 近期做</x:v>
      </x:c>
      <x:c r="AB650" s="9" t="str">
        <x:f>IF(Y650&gt;=15,"先做合规/相关性复核，不建议直接商业导流",IF(L650="主站","建/优化主站商业页",IF(L650="博客A-知识教程","写知识教程/FAQ文章",IF(L650="博客B-场景人群","写场景需求/选购指南文章",IF(L650="博客C-对比评测","写对比评测/榜单文章","暂不做或人工复核")))))</x:f>
        <x:v>写对比评测/榜单文章</x:v>
      </x:c>
      <x:c r="AC650" s="9" t="str">
        <x:v>Reviews - Strawberry Mango - ExDivo INTERSTELLAR 35K Disposable Vape - ExDivo</x:v>
      </x:c>
      <x:c r="AD650" s="10" t="str">
        <x:v>48</x:v>
      </x:c>
    </x:row>
    <x:row r="651">
      <x:c r="A651" s="34" t="n">
        <x:v>651</x:v>
      </x:c>
      <x:c r="B651" s="9" t="str">
        <x:v>https://exdivo.com/comments/exdivo-bright-mirror-35k-replaceable-vape-kit_98e835ff?writeComment=true</x:v>
      </x:c>
      <x:c r="C651" s="9" t="str">
        <x:v>exdivo 35k vape kit review</x:v>
      </x:c>
      <x:c r="D651" s="9" t="str">
        <x:v>recommended</x:v>
      </x:c>
      <x:c r="E651" s="36" t="n">
        <x:v>0</x:v>
      </x:c>
      <x:c r="F651" s="36" t="n">
        <x:v>0</x:v>
      </x:c>
      <x:c r="G651" s="9" t="str">
        <x:v>48</x:v>
      </x:c>
      <x:c r="H651" s="9" t="str">
        <x:v>对比评测</x:v>
      </x:c>
      <x:c r="I651" s="9" t="str">
        <x:v>商业调查词</x:v>
      </x:c>
      <x:c r="J651" s="9" t="str">
        <x:v>博客C-对比评测</x:v>
      </x:c>
      <x:c r="K651" s="9" t="str"/>
      <x:c r="L651" s="9" t="str">
        <x:f>IF(K651="",J651,K651)</x:f>
        <x:v>博客C-对比评测</x:v>
      </x:c>
      <x:c r="M651" s="9" t="str">
        <x:v>Best/Top/Review/VS/替代方案文章</x:v>
      </x:c>
      <x:c r="N651" s="9" t="str">
        <x:v>Best angle: exdivo 35k vape kit review - comparison, pros/cons, and which option fits different buyers</x:v>
      </x:c>
      <x:c r="O651" s="9" t="str">
        <x:v>/collections/disposable-vapes</x:v>
      </x:c>
      <x:c r="P651" s="9" t="str">
        <x:v>是</x:v>
      </x:c>
      <x:c r="Q651" s="9" t="str">
        <x:v>自然句/品类词/品牌词</x:v>
      </x:c>
      <x:c r="R651" s="9" t="str">
        <x:v>中风险：榜单和评测必须真实、中立，避免夸大</x:v>
      </x:c>
      <x:c r="S651" s="9" t="str">
        <x:v>这类词不直接给主站，先用博客C教育和比较，再导流到最相关集合页。</x:v>
      </x:c>
      <x:c r="T651" s="38" t="n">
        <x:v>1</x:v>
      </x:c>
      <x:c r="U651" s="38" t="n">
        <x:v>15</x:v>
      </x:c>
      <x:c r="V651" s="38" t="n">
        <x:v>16</x:v>
      </x:c>
      <x:c r="W651" s="38" t="n">
        <x:v>15</x:v>
      </x:c>
      <x:c r="X651" s="38" t="n">
        <x:v>13</x:v>
      </x:c>
      <x:c r="Y651" s="38" t="n">
        <x:v>6</x:v>
      </x:c>
      <x:c r="Z651" s="38" t="n">
        <x:f>MAX(0,MIN(100,ROUND(((T651+U651+V651+W651+X651)-Y651)/85*100,0)))</x:f>
        <x:v>64</x:v>
      </x:c>
      <x:c r="AA651" s="9" t="str">
        <x:f>IF(L651="暂不做","P3 暂缓",IF(Z651&gt;=75,"P0 本周做",IF(Z651&gt;=60,"P1 近期做",IF(Z651&gt;=45,"P2 备选","P3 暂缓"))))</x:f>
        <x:v>P1 近期做</x:v>
      </x:c>
      <x:c r="AB651" s="9" t="str">
        <x:f>IF(Y651&gt;=15,"先做合规/相关性复核，不建议直接商业导流",IF(L651="主站","建/优化主站商业页",IF(L651="博客A-知识教程","写知识教程/FAQ文章",IF(L651="博客B-场景人群","写场景需求/选购指南文章",IF(L651="博客C-对比评测","写对比评测/榜单文章","暂不做或人工复核")))))</x:f>
        <x:v>写对比评测/榜单文章</x:v>
      </x:c>
      <x:c r="AC651" s="9" t="str">
        <x:v>Reviews - MIAMI MINT - ExDivo BRIGHT MIRROR 35K Replaceable VAPE kit - ExDivo</x:v>
      </x:c>
      <x:c r="AD651" s="10" t="str">
        <x:v>48</x:v>
      </x:c>
    </x:row>
    <x:row r="652">
      <x:c r="A652" s="34" t="n">
        <x:v>652</x:v>
      </x:c>
      <x:c r="B652" s="9" t="str">
        <x:v>https://exdivo.com/products/exdivo-space-45k-disposable-vape_5bb6d08c?data_from=collection_detail&amp;spm=collection_detail..collection_detail-11702364.4.</x:v>
      </x:c>
      <x:c r="C652" s="9" t="str">
        <x:v>exdivo 45k vape</x:v>
      </x:c>
      <x:c r="D652" s="9" t="str">
        <x:v>recommended</x:v>
      </x:c>
      <x:c r="E652" s="36" t="n">
        <x:v>0</x:v>
      </x:c>
      <x:c r="F652" s="36" t="n">
        <x:v>0</x:v>
      </x:c>
      <x:c r="G652" s="9" t="str">
        <x:v>48</x:v>
      </x:c>
      <x:c r="H652" s="9" t="str">
        <x:v>General Vape</x:v>
      </x:c>
      <x:c r="I652" s="9" t="str">
        <x:v>品类承接词</x:v>
      </x:c>
      <x:c r="J652" s="9" t="str">
        <x:v>主站</x:v>
      </x:c>
      <x:c r="K652" s="9" t="str"/>
      <x:c r="L652" s="9" t="str">
        <x:f>IF(K652="",J652,K652)</x:f>
        <x:v>主站</x:v>
      </x:c>
      <x:c r="M652" s="9" t="str">
        <x:v>品类页/集合页 + FAQ内容块</x:v>
      </x:c>
      <x:c r="N652" s="9" t="str">
        <x:v>主站品类页：用产品集合 + 选购说明承接</x:v>
      </x:c>
      <x:c r="O652" s="9" t="str">
        <x:v>/collections/disposable-vapes</x:v>
      </x:c>
      <x:c r="P652" s="9" t="str">
        <x:v>不适用</x:v>
      </x:c>
      <x:c r="Q652" s="9" t="str">
        <x:v>主站页面自身承接</x:v>
      </x:c>
      <x:c r="R652" s="9" t="str">
        <x:v>核心品类词：主站优先，博客只做长尾解释，不直接抢同一词</x:v>
      </x:c>
      <x:c r="S652" s="9" t="str">
        <x:v>如果 Google 首页产品页和指南混合，主站页要加 FAQ、选购指南、对比模块。</x:v>
      </x:c>
      <x:c r="T652" s="38" t="n">
        <x:v>1</x:v>
      </x:c>
      <x:c r="U652" s="38" t="n">
        <x:v>15</x:v>
      </x:c>
      <x:c r="V652" s="38" t="n">
        <x:v>16</x:v>
      </x:c>
      <x:c r="W652" s="38" t="n">
        <x:v>8</x:v>
      </x:c>
      <x:c r="X652" s="38" t="n">
        <x:v>15</x:v>
      </x:c>
      <x:c r="Y652" s="38" t="n">
        <x:v>4</x:v>
      </x:c>
      <x:c r="Z652" s="38" t="n">
        <x:f>MAX(0,MIN(100,ROUND(((T652+U652+V652+W652+X652)-Y652)/85*100,0)))</x:f>
        <x:v>60</x:v>
      </x:c>
      <x:c r="AA652" s="9" t="str">
        <x:f>IF(L652="暂不做","P3 暂缓",IF(Z652&gt;=75,"P0 本周做",IF(Z652&gt;=60,"P1 近期做",IF(Z652&gt;=45,"P2 备选","P3 暂缓"))))</x:f>
        <x:v>P1 近期做</x:v>
      </x:c>
      <x:c r="AB652" s="9" t="str">
        <x:f>IF(Y652&gt;=15,"先做合规/相关性复核，不建议直接商业导流",IF(L652="主站","建/优化主站商业页",IF(L652="博客A-知识教程","写知识教程/FAQ文章",IF(L652="博客B-场景人群","写场景需求/选购指南文章",IF(L652="博客C-对比评测","写对比评测/榜单文章","暂不做或人工复核")))))</x:f>
        <x:v>建/优化主站商业页</x:v>
      </x:c>
      <x:c r="AC652" s="9" t="str">
        <x:v>ExDivo SPACE 45K Disposable Vape</x:v>
      </x:c>
      <x:c r="AD652" s="10" t="str">
        <x:v>45000 puffs</x:v>
      </x:c>
    </x:row>
    <x:row r="653">
      <x:c r="A653" s="34" t="n">
        <x:v>653</x:v>
      </x:c>
      <x:c r="B653" s="9" t="str">
        <x:v>https://exdivo.com/products/exdivo-space-45k-disposable-vape_5bb6d08c?data_from=collection_detail&amp;spm=collection_detail..collection_detail-11702364.4.</x:v>
      </x:c>
      <x:c r="C653" s="9" t="str">
        <x:v>space 45k vape</x:v>
      </x:c>
      <x:c r="D653" s="9" t="str">
        <x:v>recommended</x:v>
      </x:c>
      <x:c r="E653" s="36" t="n">
        <x:v>0</x:v>
      </x:c>
      <x:c r="F653" s="36" t="n">
        <x:v>0</x:v>
      </x:c>
      <x:c r="G653" s="9" t="str">
        <x:v>48</x:v>
      </x:c>
      <x:c r="H653" s="9" t="str">
        <x:v>General Vape</x:v>
      </x:c>
      <x:c r="I653" s="9" t="str">
        <x:v>品类承接词</x:v>
      </x:c>
      <x:c r="J653" s="9" t="str">
        <x:v>主站</x:v>
      </x:c>
      <x:c r="K653" s="9" t="str"/>
      <x:c r="L653" s="9" t="str">
        <x:f>IF(K653="",J653,K653)</x:f>
        <x:v>主站</x:v>
      </x:c>
      <x:c r="M653" s="9" t="str">
        <x:v>品类页/集合页 + FAQ内容块</x:v>
      </x:c>
      <x:c r="N653" s="9" t="str">
        <x:v>主站品类页：用产品集合 + 选购说明承接</x:v>
      </x:c>
      <x:c r="O653" s="9" t="str">
        <x:v>/collections/disposable-vapes</x:v>
      </x:c>
      <x:c r="P653" s="9" t="str">
        <x:v>不适用</x:v>
      </x:c>
      <x:c r="Q653" s="9" t="str">
        <x:v>主站页面自身承接</x:v>
      </x:c>
      <x:c r="R653" s="9" t="str">
        <x:v>核心品类词：主站优先，博客只做长尾解释，不直接抢同一词</x:v>
      </x:c>
      <x:c r="S653" s="9" t="str">
        <x:v>如果 Google 首页产品页和指南混合，主站页要加 FAQ、选购指南、对比模块。</x:v>
      </x:c>
      <x:c r="T653" s="38" t="n">
        <x:v>1</x:v>
      </x:c>
      <x:c r="U653" s="38" t="n">
        <x:v>15</x:v>
      </x:c>
      <x:c r="V653" s="38" t="n">
        <x:v>16</x:v>
      </x:c>
      <x:c r="W653" s="38" t="n">
        <x:v>8</x:v>
      </x:c>
      <x:c r="X653" s="38" t="n">
        <x:v>15</x:v>
      </x:c>
      <x:c r="Y653" s="38" t="n">
        <x:v>4</x:v>
      </x:c>
      <x:c r="Z653" s="38" t="n">
        <x:f>MAX(0,MIN(100,ROUND(((T653+U653+V653+W653+X653)-Y653)/85*100,0)))</x:f>
        <x:v>60</x:v>
      </x:c>
      <x:c r="AA653" s="9" t="str">
        <x:f>IF(L653="暂不做","P3 暂缓",IF(Z653&gt;=75,"P0 本周做",IF(Z653&gt;=60,"P1 近期做",IF(Z653&gt;=45,"P2 备选","P3 暂缓"))))</x:f>
        <x:v>P1 近期做</x:v>
      </x:c>
      <x:c r="AB653" s="9" t="str">
        <x:f>IF(Y653&gt;=15,"先做合规/相关性复核，不建议直接商业导流",IF(L653="主站","建/优化主站商业页",IF(L653="博客A-知识教程","写知识教程/FAQ文章",IF(L653="博客B-场景人群","写场景需求/选购指南文章",IF(L653="博客C-对比评测","写对比评测/榜单文章","暂不做或人工复核")))))</x:f>
        <x:v>建/优化主站商业页</x:v>
      </x:c>
      <x:c r="AC653" s="9" t="str">
        <x:v>ExDivo SPACE 45K Disposable Vape</x:v>
      </x:c>
      <x:c r="AD653" s="10" t="str">
        <x:v>45000 puffs</x:v>
      </x:c>
    </x:row>
    <x:row r="654">
      <x:c r="A654" s="34" t="n">
        <x:v>654</x:v>
      </x:c>
      <x:c r="B654" s="9" t="str">
        <x:v>https://exdivo.com/products/exdivo-space-45k-disposable-vape_5bb6d08c?data_from=collection_detail&amp;spm=collection_detail..collection_detail-11702364.4.</x:v>
      </x:c>
      <x:c r="C654" s="9" t="str">
        <x:v>exdivo space 45k disposable</x:v>
      </x:c>
      <x:c r="D654" s="9" t="str">
        <x:v>recommended</x:v>
      </x:c>
      <x:c r="E654" s="36" t="n">
        <x:v>0</x:v>
      </x:c>
      <x:c r="F654" s="36" t="n">
        <x:v>0</x:v>
      </x:c>
      <x:c r="G654" s="9" t="str">
        <x:v>48</x:v>
      </x:c>
      <x:c r="H654" s="9" t="str">
        <x:v>Disposable Vape</x:v>
      </x:c>
      <x:c r="I654" s="9" t="str">
        <x:v>内容词</x:v>
      </x:c>
      <x:c r="J654" s="9" t="str">
        <x:v>博客A-知识教程</x:v>
      </x:c>
      <x:c r="K654" s="9" t="str"/>
      <x:c r="L654" s="9" t="str">
        <x:f>IF(K654="",J654,K654)</x:f>
        <x:v>博客A-知识教程</x:v>
      </x:c>
      <x:c r="M654" s="9" t="str">
        <x:v>知识/教程文章</x:v>
      </x:c>
      <x:c r="N654" s="9" t="str">
        <x:v>Guide angle: explain exdivo space 45k disposable, answer common questions, and avoid sales-first writing</x:v>
      </x:c>
      <x:c r="O654" s="9" t="str">
        <x:v>/collections/disposable-vapes 或最接近的产品集合页</x:v>
      </x:c>
      <x:c r="P654" s="9" t="str">
        <x:v>谨慎</x:v>
      </x:c>
      <x:c r="Q654" s="9" t="str">
        <x:v>品牌词/自然句</x:v>
      </x:c>
      <x:c r="R654" s="9" t="str">
        <x:v>低风险：按常规内容质量和搜索意图校验</x:v>
      </x:c>
      <x:c r="S654" s="9" t="str">
        <x:v>先看 Google SERP：如果首页多数为产品集合页，改回主站；如果多数为教程/问答，保持博客。</x:v>
      </x:c>
      <x:c r="T654" s="38" t="n">
        <x:v>1</x:v>
      </x:c>
      <x:c r="U654" s="38" t="n">
        <x:v>15</x:v>
      </x:c>
      <x:c r="V654" s="38" t="n">
        <x:v>10</x:v>
      </x:c>
      <x:c r="W654" s="38" t="n">
        <x:v>12</x:v>
      </x:c>
      <x:c r="X654" s="38" t="n">
        <x:v>12</x:v>
      </x:c>
      <x:c r="Y654" s="38" t="n">
        <x:v>4</x:v>
      </x:c>
      <x:c r="Z654" s="38" t="n">
        <x:f>MAX(0,MIN(100,ROUND(((T654+U654+V654+W654+X654)-Y654)/85*100,0)))</x:f>
        <x:v>54</x:v>
      </x:c>
      <x:c r="AA654" s="9" t="str">
        <x:f>IF(L654="暂不做","P3 暂缓",IF(Z654&gt;=75,"P0 本周做",IF(Z654&gt;=60,"P1 近期做",IF(Z654&gt;=45,"P2 备选","P3 暂缓"))))</x:f>
        <x:v>P2 备选</x:v>
      </x:c>
      <x:c r="AB654" s="9" t="str">
        <x:f>IF(Y654&gt;=15,"先做合规/相关性复核，不建议直接商业导流",IF(L654="主站","建/优化主站商业页",IF(L654="博客A-知识教程","写知识教程/FAQ文章",IF(L654="博客B-场景人群","写场景需求/选购指南文章",IF(L654="博客C-对比评测","写对比评测/榜单文章","暂不做或人工复核")))))</x:f>
        <x:v>写知识教程/FAQ文章</x:v>
      </x:c>
      <x:c r="AC654" s="9" t="str">
        <x:v>ExDivo SPACE 45K Disposable Vape</x:v>
      </x:c>
      <x:c r="AD654" s="10" t="str">
        <x:v>45000 puffs</x:v>
      </x:c>
    </x:row>
    <x:row r="655">
      <x:c r="A655" s="34" t="n">
        <x:v>655</x:v>
      </x:c>
      <x:c r="B655" s="9" t="str">
        <x:v>https://exdivo.com/products/exdivo-flora-40k-disposable-vape_1361e485</x:v>
      </x:c>
      <x:c r="C655" s="9" t="str">
        <x:v>exdivo 40k vape</x:v>
      </x:c>
      <x:c r="D655" s="9" t="str">
        <x:v>recommended</x:v>
      </x:c>
      <x:c r="E655" s="36" t="n">
        <x:v>0</x:v>
      </x:c>
      <x:c r="F655" s="36" t="n">
        <x:v>0</x:v>
      </x:c>
      <x:c r="G655" s="9" t="str">
        <x:v>48</x:v>
      </x:c>
      <x:c r="H655" s="9" t="str">
        <x:v>General Vape</x:v>
      </x:c>
      <x:c r="I655" s="9" t="str">
        <x:v>品类承接词</x:v>
      </x:c>
      <x:c r="J655" s="9" t="str">
        <x:v>主站</x:v>
      </x:c>
      <x:c r="K655" s="9" t="str"/>
      <x:c r="L655" s="9" t="str">
        <x:f>IF(K655="",J655,K655)</x:f>
        <x:v>主站</x:v>
      </x:c>
      <x:c r="M655" s="9" t="str">
        <x:v>品类页/集合页 + FAQ内容块</x:v>
      </x:c>
      <x:c r="N655" s="9" t="str">
        <x:v>主站品类页：用产品集合 + 选购说明承接</x:v>
      </x:c>
      <x:c r="O655" s="9" t="str">
        <x:v>/collections/disposable-vapes</x:v>
      </x:c>
      <x:c r="P655" s="9" t="str">
        <x:v>不适用</x:v>
      </x:c>
      <x:c r="Q655" s="9" t="str">
        <x:v>主站页面自身承接</x:v>
      </x:c>
      <x:c r="R655" s="9" t="str">
        <x:v>核心品类词：主站优先，博客只做长尾解释，不直接抢同一词</x:v>
      </x:c>
      <x:c r="S655" s="9" t="str">
        <x:v>如果 Google 首页产品页和指南混合，主站页要加 FAQ、选购指南、对比模块。</x:v>
      </x:c>
      <x:c r="T655" s="38" t="n">
        <x:v>1</x:v>
      </x:c>
      <x:c r="U655" s="38" t="n">
        <x:v>15</x:v>
      </x:c>
      <x:c r="V655" s="38" t="n">
        <x:v>16</x:v>
      </x:c>
      <x:c r="W655" s="38" t="n">
        <x:v>8</x:v>
      </x:c>
      <x:c r="X655" s="38" t="n">
        <x:v>15</x:v>
      </x:c>
      <x:c r="Y655" s="38" t="n">
        <x:v>4</x:v>
      </x:c>
      <x:c r="Z655" s="38" t="n">
        <x:f>MAX(0,MIN(100,ROUND(((T655+U655+V655+W655+X655)-Y655)/85*100,0)))</x:f>
        <x:v>60</x:v>
      </x:c>
      <x:c r="AA655" s="9" t="str">
        <x:f>IF(L655="暂不做","P3 暂缓",IF(Z655&gt;=75,"P0 本周做",IF(Z655&gt;=60,"P1 近期做",IF(Z655&gt;=45,"P2 备选","P3 暂缓"))))</x:f>
        <x:v>P1 近期做</x:v>
      </x:c>
      <x:c r="AB655" s="9" t="str">
        <x:f>IF(Y655&gt;=15,"先做合规/相关性复核，不建议直接商业导流",IF(L655="主站","建/优化主站商业页",IF(L655="博客A-知识教程","写知识教程/FAQ文章",IF(L655="博客B-场景人群","写场景需求/选购指南文章",IF(L655="博客C-对比评测","写对比评测/榜单文章","暂不做或人工复核")))))</x:f>
        <x:v>建/优化主站商业页</x:v>
      </x:c>
      <x:c r="AC655" s="9" t="str">
        <x:v>ExDivo FLORA 40K Disposable Vape</x:v>
      </x:c>
      <x:c r="AD655" s="10" t="str">
        <x:v>40000 puffs</x:v>
      </x:c>
    </x:row>
    <x:row r="656">
      <x:c r="A656" s="34" t="n">
        <x:v>656</x:v>
      </x:c>
      <x:c r="B656" s="9" t="str">
        <x:v>https://exdivo.com/products/exdivo-flora-40k-disposable-vape_1361e485</x:v>
      </x:c>
      <x:c r="C656" s="9" t="str">
        <x:v>exdivo 40k disposable</x:v>
      </x:c>
      <x:c r="D656" s="9" t="str">
        <x:v>recommended</x:v>
      </x:c>
      <x:c r="E656" s="36" t="n">
        <x:v>0</x:v>
      </x:c>
      <x:c r="F656" s="36" t="n">
        <x:v>0</x:v>
      </x:c>
      <x:c r="G656" s="9" t="str">
        <x:v>48</x:v>
      </x:c>
      <x:c r="H656" s="9" t="str">
        <x:v>Disposable Vape</x:v>
      </x:c>
      <x:c r="I656" s="9" t="str">
        <x:v>品类承接词</x:v>
      </x:c>
      <x:c r="J656" s="9" t="str">
        <x:v>主站</x:v>
      </x:c>
      <x:c r="K656" s="9" t="str"/>
      <x:c r="L656" s="9" t="str">
        <x:f>IF(K656="",J656,K656)</x:f>
        <x:v>主站</x:v>
      </x:c>
      <x:c r="M656" s="9" t="str">
        <x:v>品类页/集合页 + FAQ内容块</x:v>
      </x:c>
      <x:c r="N656" s="9" t="str">
        <x:v>主站品类页：用产品集合 + 选购说明承接</x:v>
      </x:c>
      <x:c r="O656" s="9" t="str">
        <x:v>/collections/disposable-vapes</x:v>
      </x:c>
      <x:c r="P656" s="9" t="str">
        <x:v>不适用</x:v>
      </x:c>
      <x:c r="Q656" s="9" t="str">
        <x:v>主站页面自身承接</x:v>
      </x:c>
      <x:c r="R656" s="9" t="str">
        <x:v>核心品类词：主站优先，博客只做长尾解释，不直接抢同一词</x:v>
      </x:c>
      <x:c r="S656" s="9" t="str">
        <x:v>如果 Google 首页产品页和指南混合，主站页要加 FAQ、选购指南、对比模块。</x:v>
      </x:c>
      <x:c r="T656" s="38" t="n">
        <x:v>1</x:v>
      </x:c>
      <x:c r="U656" s="38" t="n">
        <x:v>15</x:v>
      </x:c>
      <x:c r="V656" s="38" t="n">
        <x:v>16</x:v>
      </x:c>
      <x:c r="W656" s="38" t="n">
        <x:v>8</x:v>
      </x:c>
      <x:c r="X656" s="38" t="n">
        <x:v>15</x:v>
      </x:c>
      <x:c r="Y656" s="38" t="n">
        <x:v>4</x:v>
      </x:c>
      <x:c r="Z656" s="38" t="n">
        <x:f>MAX(0,MIN(100,ROUND(((T656+U656+V656+W656+X656)-Y656)/85*100,0)))</x:f>
        <x:v>60</x:v>
      </x:c>
      <x:c r="AA656" s="9" t="str">
        <x:f>IF(L656="暂不做","P3 暂缓",IF(Z656&gt;=75,"P0 本周做",IF(Z656&gt;=60,"P1 近期做",IF(Z656&gt;=45,"P2 备选","P3 暂缓"))))</x:f>
        <x:v>P1 近期做</x:v>
      </x:c>
      <x:c r="AB656" s="9" t="str">
        <x:f>IF(Y656&gt;=15,"先做合规/相关性复核，不建议直接商业导流",IF(L656="主站","建/优化主站商业页",IF(L656="博客A-知识教程","写知识教程/FAQ文章",IF(L656="博客B-场景人群","写场景需求/选购指南文章",IF(L656="博客C-对比评测","写对比评测/榜单文章","暂不做或人工复核")))))</x:f>
        <x:v>建/优化主站商业页</x:v>
      </x:c>
      <x:c r="AC656" s="9" t="str">
        <x:v>ExDivo FLORA 40K Disposable Vape</x:v>
      </x:c>
      <x:c r="AD656" s="10" t="str">
        <x:v>40000 puffs</x:v>
      </x:c>
    </x:row>
    <x:row r="657">
      <x:c r="A657" s="34" t="n">
        <x:v>657</x:v>
      </x:c>
      <x:c r="B657" s="9" t="str">
        <x:v>https://exdivo.com/products/exdivo-flora-40k-disposable-vape_1361e485</x:v>
      </x:c>
      <x:c r="C657" s="9" t="str">
        <x:v>exdivo 40k puffs</x:v>
      </x:c>
      <x:c r="D657" s="9" t="str">
        <x:v>recommended</x:v>
      </x:c>
      <x:c r="E657" s="36" t="n">
        <x:v>0</x:v>
      </x:c>
      <x:c r="F657" s="36" t="n">
        <x:v>0</x:v>
      </x:c>
      <x:c r="G657" s="9" t="str">
        <x:v>48</x:v>
      </x:c>
      <x:c r="H657" s="9" t="str">
        <x:v>General Vape</x:v>
      </x:c>
      <x:c r="I657" s="9" t="str">
        <x:v>弱相关词</x:v>
      </x:c>
      <x:c r="J657" s="9" t="str">
        <x:v>暂不做</x:v>
      </x:c>
      <x:c r="K657" s="9" t="str"/>
      <x:c r="L657" s="9" t="str">
        <x:f>IF(K657="",J657,K657)</x:f>
        <x:v>暂不做</x:v>
      </x:c>
      <x:c r="M657" s="9" t="str">
        <x:v>不建议建页</x:v>
      </x:c>
      <x:c r="N657" s="9" t="str">
        <x:v>不进入内容生产</x:v>
      </x:c>
      <x:c r="O657" s="9" t="str">
        <x:v>无</x:v>
      </x:c>
      <x:c r="P657" s="9" t="str">
        <x:v>否</x:v>
      </x:c>
      <x:c r="Q657" s="9" t="str">
        <x:v>不导流</x:v>
      </x:c>
      <x:c r="R657" s="9" t="str">
        <x:v>相关性弱：可能带来无效流量或偏离产品定位</x:v>
      </x:c>
      <x:c r="S657" s="9" t="str">
        <x:v>除非人工确认与核心产品强相关，否则不要进入内容排期。</x:v>
      </x:c>
      <x:c r="T657" s="38" t="n">
        <x:v>1</x:v>
      </x:c>
      <x:c r="U657" s="38" t="n">
        <x:v>15</x:v>
      </x:c>
      <x:c r="V657" s="38" t="n">
        <x:v>2</x:v>
      </x:c>
      <x:c r="W657" s="38" t="n">
        <x:v>3</x:v>
      </x:c>
      <x:c r="X657" s="38" t="n">
        <x:v>2</x:v>
      </x:c>
      <x:c r="Y657" s="38" t="n">
        <x:v>16</x:v>
      </x:c>
      <x:c r="Z657" s="38" t="n">
        <x:f>MAX(0,MIN(100,ROUND(((T657+U657+V657+W657+X657)-Y657)/85*100,0)))</x:f>
        <x:v>8</x:v>
      </x:c>
      <x:c r="AA657" s="9" t="str">
        <x:f>IF(L657="暂不做","P3 暂缓",IF(Z657&gt;=75,"P0 本周做",IF(Z657&gt;=60,"P1 近期做",IF(Z657&gt;=45,"P2 备选","P3 暂缓"))))</x:f>
        <x:v>P3 暂缓</x:v>
      </x:c>
      <x:c r="AB657" s="9" t="str">
        <x:f>IF(Y657&gt;=15,"先做合规/相关性复核，不建议直接商业导流",IF(L657="主站","建/优化主站商业页",IF(L657="博客A-知识教程","写知识教程/FAQ文章",IF(L657="博客B-场景人群","写场景需求/选购指南文章",IF(L657="博客C-对比评测","写对比评测/榜单文章","暂不做或人工复核")))))</x:f>
        <x:v>先做合规/相关性复核，不建议直接商业导流</x:v>
      </x:c>
      <x:c r="AC657" s="9" t="str">
        <x:v>ExDivo FLORA 40K Disposable Vape</x:v>
      </x:c>
      <x:c r="AD657" s="10" t="str">
        <x:v>40000 puffs</x:v>
      </x:c>
    </x:row>
    <x:row r="658">
      <x:c r="A658" s="34" t="n">
        <x:v>658</x:v>
      </x:c>
      <x:c r="B658" s="9" t="str">
        <x:v>https://exdivo.com/products/exdivo-flora-40k-disposable-vape_1361e485</x:v>
      </x:c>
      <x:c r="C658" s="9" t="str">
        <x:v>exdivo flora 40k disposable</x:v>
      </x:c>
      <x:c r="D658" s="9" t="str">
        <x:v>recommended</x:v>
      </x:c>
      <x:c r="E658" s="36" t="n">
        <x:v>0</x:v>
      </x:c>
      <x:c r="F658" s="36" t="n">
        <x:v>0</x:v>
      </x:c>
      <x:c r="G658" s="9" t="str">
        <x:v>48</x:v>
      </x:c>
      <x:c r="H658" s="9" t="str">
        <x:v>Disposable Vape</x:v>
      </x:c>
      <x:c r="I658" s="9" t="str">
        <x:v>内容词</x:v>
      </x:c>
      <x:c r="J658" s="9" t="str">
        <x:v>博客A-知识教程</x:v>
      </x:c>
      <x:c r="K658" s="9" t="str"/>
      <x:c r="L658" s="9" t="str">
        <x:f>IF(K658="",J658,K658)</x:f>
        <x:v>博客A-知识教程</x:v>
      </x:c>
      <x:c r="M658" s="9" t="str">
        <x:v>知识/教程文章</x:v>
      </x:c>
      <x:c r="N658" s="9" t="str">
        <x:v>Guide angle: explain exdivo flora 40k disposable, answer common questions, and avoid sales-first writing</x:v>
      </x:c>
      <x:c r="O658" s="9" t="str">
        <x:v>/collections/disposable-vapes 或最接近的产品集合页</x:v>
      </x:c>
      <x:c r="P658" s="9" t="str">
        <x:v>谨慎</x:v>
      </x:c>
      <x:c r="Q658" s="9" t="str">
        <x:v>品牌词/自然句</x:v>
      </x:c>
      <x:c r="R658" s="9" t="str">
        <x:v>低风险：按常规内容质量和搜索意图校验</x:v>
      </x:c>
      <x:c r="S658" s="9" t="str">
        <x:v>先看 Google SERP：如果首页多数为产品集合页，改回主站；如果多数为教程/问答，保持博客。</x:v>
      </x:c>
      <x:c r="T658" s="38" t="n">
        <x:v>1</x:v>
      </x:c>
      <x:c r="U658" s="38" t="n">
        <x:v>15</x:v>
      </x:c>
      <x:c r="V658" s="38" t="n">
        <x:v>10</x:v>
      </x:c>
      <x:c r="W658" s="38" t="n">
        <x:v>12</x:v>
      </x:c>
      <x:c r="X658" s="38" t="n">
        <x:v>12</x:v>
      </x:c>
      <x:c r="Y658" s="38" t="n">
        <x:v>4</x:v>
      </x:c>
      <x:c r="Z658" s="38" t="n">
        <x:f>MAX(0,MIN(100,ROUND(((T658+U658+V658+W658+X658)-Y658)/85*100,0)))</x:f>
        <x:v>54</x:v>
      </x:c>
      <x:c r="AA658" s="9" t="str">
        <x:f>IF(L658="暂不做","P3 暂缓",IF(Z658&gt;=75,"P0 本周做",IF(Z658&gt;=60,"P1 近期做",IF(Z658&gt;=45,"P2 备选","P3 暂缓"))))</x:f>
        <x:v>P2 备选</x:v>
      </x:c>
      <x:c r="AB658" s="9" t="str">
        <x:f>IF(Y658&gt;=15,"先做合规/相关性复核，不建议直接商业导流",IF(L658="主站","建/优化主站商业页",IF(L658="博客A-知识教程","写知识教程/FAQ文章",IF(L658="博客B-场景人群","写场景需求/选购指南文章",IF(L658="博客C-对比评测","写对比评测/榜单文章","暂不做或人工复核")))))</x:f>
        <x:v>写知识教程/FAQ文章</x:v>
      </x:c>
      <x:c r="AC658" s="9" t="str">
        <x:v>ExDivo FLORA 40K Disposable Vape</x:v>
      </x:c>
      <x:c r="AD658" s="10" t="str">
        <x:v>40000 puffs</x:v>
      </x:c>
    </x:row>
    <x:row r="659">
      <x:c r="A659" s="34" t="n">
        <x:v>659</x:v>
      </x:c>
      <x:c r="B659" s="9" t="str">
        <x:v>https://exdivo.com/products/exdivo-flora-40k-disposable-vape_1361e485</x:v>
      </x:c>
      <x:c r="C659" s="9" t="str">
        <x:v>exdivo 45k disposable</x:v>
      </x:c>
      <x:c r="D659" s="9" t="str">
        <x:v>recommended</x:v>
      </x:c>
      <x:c r="E659" s="36" t="n">
        <x:v>0</x:v>
      </x:c>
      <x:c r="F659" s="36" t="n">
        <x:v>0</x:v>
      </x:c>
      <x:c r="G659" s="9" t="str">
        <x:v>48</x:v>
      </x:c>
      <x:c r="H659" s="9" t="str">
        <x:v>Disposable Vape</x:v>
      </x:c>
      <x:c r="I659" s="9" t="str">
        <x:v>品类承接词</x:v>
      </x:c>
      <x:c r="J659" s="9" t="str">
        <x:v>主站</x:v>
      </x:c>
      <x:c r="K659" s="9" t="str"/>
      <x:c r="L659" s="9" t="str">
        <x:f>IF(K659="",J659,K659)</x:f>
        <x:v>主站</x:v>
      </x:c>
      <x:c r="M659" s="9" t="str">
        <x:v>品类页/集合页 + FAQ内容块</x:v>
      </x:c>
      <x:c r="N659" s="9" t="str">
        <x:v>主站品类页：用产品集合 + 选购说明承接</x:v>
      </x:c>
      <x:c r="O659" s="9" t="str">
        <x:v>/collections/disposable-vapes</x:v>
      </x:c>
      <x:c r="P659" s="9" t="str">
        <x:v>不适用</x:v>
      </x:c>
      <x:c r="Q659" s="9" t="str">
        <x:v>主站页面自身承接</x:v>
      </x:c>
      <x:c r="R659" s="9" t="str">
        <x:v>核心品类词：主站优先，博客只做长尾解释，不直接抢同一词</x:v>
      </x:c>
      <x:c r="S659" s="9" t="str">
        <x:v>如果 Google 首页产品页和指南混合，主站页要加 FAQ、选购指南、对比模块。</x:v>
      </x:c>
      <x:c r="T659" s="38" t="n">
        <x:v>1</x:v>
      </x:c>
      <x:c r="U659" s="38" t="n">
        <x:v>15</x:v>
      </x:c>
      <x:c r="V659" s="38" t="n">
        <x:v>16</x:v>
      </x:c>
      <x:c r="W659" s="38" t="n">
        <x:v>8</x:v>
      </x:c>
      <x:c r="X659" s="38" t="n">
        <x:v>15</x:v>
      </x:c>
      <x:c r="Y659" s="38" t="n">
        <x:v>4</x:v>
      </x:c>
      <x:c r="Z659" s="38" t="n">
        <x:f>MAX(0,MIN(100,ROUND(((T659+U659+V659+W659+X659)-Y659)/85*100,0)))</x:f>
        <x:v>60</x:v>
      </x:c>
      <x:c r="AA659" s="9" t="str">
        <x:f>IF(L659="暂不做","P3 暂缓",IF(Z659&gt;=75,"P0 本周做",IF(Z659&gt;=60,"P1 近期做",IF(Z659&gt;=45,"P2 备选","P3 暂缓"))))</x:f>
        <x:v>P1 近期做</x:v>
      </x:c>
      <x:c r="AB659" s="9" t="str">
        <x:f>IF(Y659&gt;=15,"先做合规/相关性复核，不建议直接商业导流",IF(L659="主站","建/优化主站商业页",IF(L659="博客A-知识教程","写知识教程/FAQ文章",IF(L659="博客B-场景人群","写场景需求/选购指南文章",IF(L659="博客C-对比评测","写对比评测/榜单文章","暂不做或人工复核")))))</x:f>
        <x:v>建/优化主站商业页</x:v>
      </x:c>
      <x:c r="AC659" s="9" t="str">
        <x:v>ExDivo FLORA 40K Disposable Vape</x:v>
      </x:c>
      <x:c r="AD659" s="10" t="str">
        <x:v>40000 puffs</x:v>
      </x:c>
    </x:row>
    <x:row r="660">
      <x:c r="A660" s="34" t="n">
        <x:v>660</x:v>
      </x:c>
      <x:c r="B660" s="9" t="str">
        <x:v>https://exdivo.com/comments/exdivo-kuz-25k-replaceable-pod-vape_8c92b717</x:v>
      </x:c>
      <x:c r="C660" s="9" t="str">
        <x:v>mint pod vape review</x:v>
      </x:c>
      <x:c r="D660" s="9" t="str">
        <x:v>recommended</x:v>
      </x:c>
      <x:c r="E660" s="36" t="n">
        <x:v>0</x:v>
      </x:c>
      <x:c r="F660" s="36" t="n">
        <x:v>0</x:v>
      </x:c>
      <x:c r="G660" s="9" t="str">
        <x:v>48</x:v>
      </x:c>
      <x:c r="H660" s="9" t="str">
        <x:v>Pod Kit / Pod System</x:v>
      </x:c>
      <x:c r="I660" s="9" t="str">
        <x:v>商业调查词</x:v>
      </x:c>
      <x:c r="J660" s="9" t="str">
        <x:v>博客C-对比评测</x:v>
      </x:c>
      <x:c r="K660" s="9" t="str"/>
      <x:c r="L660" s="9" t="str">
        <x:f>IF(K660="",J660,K660)</x:f>
        <x:v>博客C-对比评测</x:v>
      </x:c>
      <x:c r="M660" s="9" t="str">
        <x:v>Best/Top/Review/VS/替代方案文章</x:v>
      </x:c>
      <x:c r="N660" s="9" t="str">
        <x:v>Best angle: mint pod vape review - comparison, pros/cons, and which option fits different buyers</x:v>
      </x:c>
      <x:c r="O660" s="9" t="str">
        <x:v>/collections/pod-kits</x:v>
      </x:c>
      <x:c r="P660" s="9" t="str">
        <x:v>是</x:v>
      </x:c>
      <x:c r="Q660" s="9" t="str">
        <x:v>自然句/品类词/品牌词</x:v>
      </x:c>
      <x:c r="R660" s="9" t="str">
        <x:v>中风险：榜单和评测必须真实、中立，避免夸大</x:v>
      </x:c>
      <x:c r="S660" s="9" t="str">
        <x:v>这类词不直接给主站，先用博客C教育和比较，再导流到最相关集合页。</x:v>
      </x:c>
      <x:c r="T660" s="38" t="n">
        <x:v>1</x:v>
      </x:c>
      <x:c r="U660" s="38" t="n">
        <x:v>15</x:v>
      </x:c>
      <x:c r="V660" s="38" t="n">
        <x:v>16</x:v>
      </x:c>
      <x:c r="W660" s="38" t="n">
        <x:v>15</x:v>
      </x:c>
      <x:c r="X660" s="38" t="n">
        <x:v>13</x:v>
      </x:c>
      <x:c r="Y660" s="38" t="n">
        <x:v>6</x:v>
      </x:c>
      <x:c r="Z660" s="38" t="n">
        <x:f>MAX(0,MIN(100,ROUND(((T660+U660+V660+W660+X660)-Y660)/85*100,0)))</x:f>
        <x:v>64</x:v>
      </x:c>
      <x:c r="AA660" s="9" t="str">
        <x:f>IF(L660="暂不做","P3 暂缓",IF(Z660&gt;=75,"P0 本周做",IF(Z660&gt;=60,"P1 近期做",IF(Z660&gt;=45,"P2 备选","P3 暂缓"))))</x:f>
        <x:v>P1 近期做</x:v>
      </x:c>
      <x:c r="AB660" s="9" t="str">
        <x:f>IF(Y660&gt;=15,"先做合规/相关性复核，不建议直接商业导流",IF(L660="主站","建/优化主站商业页",IF(L660="博客A-知识教程","写知识教程/FAQ文章",IF(L660="博客B-场景人群","写场景需求/选购指南文章",IF(L660="博客C-对比评测","写对比评测/榜单文章","暂不做或人工复核")))))</x:f>
        <x:v>写对比评测/榜单文章</x:v>
      </x:c>
      <x:c r="AC660" s="9" t="str">
        <x:v>Reviews - FRESH MINT - ExDivo KUZ 25K Replaceable Pod Vape - ExDivo</x:v>
      </x:c>
      <x:c r="AD660" s="10" t="str">
        <x:v>48</x:v>
      </x:c>
    </x:row>
    <x:row r="661">
      <x:c r="A661" s="34" t="n">
        <x:v>661</x:v>
      </x:c>
      <x:c r="B661" s="9" t="str">
        <x:v>https://exdivo.com/comments/exdivo-kuz-25k-replaceable-pod-vape_8c92b717</x:v>
      </x:c>
      <x:c r="C661" s="9" t="str">
        <x:v>replaceable pod vape review</x:v>
      </x:c>
      <x:c r="D661" s="9" t="str">
        <x:v>recommended</x:v>
      </x:c>
      <x:c r="E661" s="36" t="n">
        <x:v>0</x:v>
      </x:c>
      <x:c r="F661" s="36" t="n">
        <x:v>0</x:v>
      </x:c>
      <x:c r="G661" s="9" t="str">
        <x:v>48</x:v>
      </x:c>
      <x:c r="H661" s="9" t="str">
        <x:v>Pod Kit / Pod System</x:v>
      </x:c>
      <x:c r="I661" s="9" t="str">
        <x:v>商业调查词</x:v>
      </x:c>
      <x:c r="J661" s="9" t="str">
        <x:v>博客C-对比评测</x:v>
      </x:c>
      <x:c r="K661" s="9" t="str"/>
      <x:c r="L661" s="9" t="str">
        <x:f>IF(K661="",J661,K661)</x:f>
        <x:v>博客C-对比评测</x:v>
      </x:c>
      <x:c r="M661" s="9" t="str">
        <x:v>Best/Top/Review/VS/替代方案文章</x:v>
      </x:c>
      <x:c r="N661" s="9" t="str">
        <x:v>Best angle: replaceable pod vape review - comparison, pros/cons, and which option fits different buyers</x:v>
      </x:c>
      <x:c r="O661" s="9" t="str">
        <x:v>/collections/pod-kits</x:v>
      </x:c>
      <x:c r="P661" s="9" t="str">
        <x:v>是</x:v>
      </x:c>
      <x:c r="Q661" s="9" t="str">
        <x:v>自然句/品类词/品牌词</x:v>
      </x:c>
      <x:c r="R661" s="9" t="str">
        <x:v>中风险：榜单和评测必须真实、中立，避免夸大</x:v>
      </x:c>
      <x:c r="S661" s="9" t="str">
        <x:v>这类词不直接给主站，先用博客C教育和比较，再导流到最相关集合页。</x:v>
      </x:c>
      <x:c r="T661" s="38" t="n">
        <x:v>1</x:v>
      </x:c>
      <x:c r="U661" s="38" t="n">
        <x:v>15</x:v>
      </x:c>
      <x:c r="V661" s="38" t="n">
        <x:v>16</x:v>
      </x:c>
      <x:c r="W661" s="38" t="n">
        <x:v>15</x:v>
      </x:c>
      <x:c r="X661" s="38" t="n">
        <x:v>13</x:v>
      </x:c>
      <x:c r="Y661" s="38" t="n">
        <x:v>6</x:v>
      </x:c>
      <x:c r="Z661" s="38" t="n">
        <x:f>MAX(0,MIN(100,ROUND(((T661+U661+V661+W661+X661)-Y661)/85*100,0)))</x:f>
        <x:v>64</x:v>
      </x:c>
      <x:c r="AA661" s="9" t="str">
        <x:f>IF(L661="暂不做","P3 暂缓",IF(Z661&gt;=75,"P0 本周做",IF(Z661&gt;=60,"P1 近期做",IF(Z661&gt;=45,"P2 备选","P3 暂缓"))))</x:f>
        <x:v>P1 近期做</x:v>
      </x:c>
      <x:c r="AB661" s="9" t="str">
        <x:f>IF(Y661&gt;=15,"先做合规/相关性复核，不建议直接商业导流",IF(L661="主站","建/优化主站商业页",IF(L661="博客A-知识教程","写知识教程/FAQ文章",IF(L661="博客B-场景人群","写场景需求/选购指南文章",IF(L661="博客C-对比评测","写对比评测/榜单文章","暂不做或人工复核")))))</x:f>
        <x:v>写对比评测/榜单文章</x:v>
      </x:c>
      <x:c r="AC661" s="9" t="str">
        <x:v>Reviews - FRESH MINT - ExDivo KUZ 25K Replaceable Pod Vape - ExDivo</x:v>
      </x:c>
      <x:c r="AD661" s="10" t="str">
        <x:v>48</x:v>
      </x:c>
    </x:row>
    <x:row r="662">
      <x:c r="A662" s="34" t="n">
        <x:v>662</x:v>
      </x:c>
      <x:c r="B662" s="9" t="str">
        <x:v>https://exdivo.com/comments/exdivo-flora-40k-disposable-vape_ce44b467?writeComment=true</x:v>
      </x:c>
      <x:c r="C662" s="9" t="str">
        <x:v>exdivo flora blue razz ice review</x:v>
      </x:c>
      <x:c r="D662" s="9" t="str">
        <x:v>recommended</x:v>
      </x:c>
      <x:c r="E662" s="36" t="n">
        <x:v>0</x:v>
      </x:c>
      <x:c r="F662" s="36" t="n">
        <x:v>0</x:v>
      </x:c>
      <x:c r="G662" s="9" t="str">
        <x:v>48</x:v>
      </x:c>
      <x:c r="H662" s="9" t="str">
        <x:v>竞品/品牌词</x:v>
      </x:c>
      <x:c r="I662" s="9" t="str">
        <x:v>竞品对比词</x:v>
      </x:c>
      <x:c r="J662" s="9" t="str">
        <x:v>博客C-对比评测</x:v>
      </x:c>
      <x:c r="K662" s="9" t="str"/>
      <x:c r="L662" s="9" t="str">
        <x:f>IF(K662="",J662,K662)</x:f>
        <x:v>博客C-对比评测</x:v>
      </x:c>
      <x:c r="M662" s="9" t="str">
        <x:v>对比/替代/榜单文章</x:v>
      </x:c>
      <x:c r="N662" s="9" t="str">
        <x:v>Best angle: exdivo flora blue razz ice review - comparison, pros/cons, and which option fits different buyers</x:v>
      </x:c>
      <x:c r="O662" s="9" t="str">
        <x:v>/collections/disposable-vapes 或对应替代产品集合页</x:v>
      </x:c>
      <x:c r="P662" s="9" t="str">
        <x:v>谨慎</x:v>
      </x:c>
      <x:c r="Q662" s="9" t="str">
        <x:v>自然句/品牌词/品类词</x:v>
      </x:c>
      <x:c r="R662" s="9" t="str">
        <x:v>中风险：涉及竞品品牌，避免商标误导、贬低竞品和虚假对比</x:v>
      </x:c>
      <x:c r="S662" s="9" t="str">
        <x:v>适合做客观对比或替代方案，但不要把竞品词直接做主站商业页。</x:v>
      </x:c>
      <x:c r="T662" s="38" t="n">
        <x:v>1</x:v>
      </x:c>
      <x:c r="U662" s="38" t="n">
        <x:v>15</x:v>
      </x:c>
      <x:c r="V662" s="38" t="n">
        <x:v>14</x:v>
      </x:c>
      <x:c r="W662" s="38" t="n">
        <x:v>14</x:v>
      </x:c>
      <x:c r="X662" s="38" t="n">
        <x:v>11</x:v>
      </x:c>
      <x:c r="Y662" s="38" t="n">
        <x:v>10</x:v>
      </x:c>
      <x:c r="Z662" s="38" t="n">
        <x:f>MAX(0,MIN(100,ROUND(((T662+U662+V662+W662+X662)-Y662)/85*100,0)))</x:f>
        <x:v>53</x:v>
      </x:c>
      <x:c r="AA662" s="9" t="str">
        <x:f>IF(L662="暂不做","P3 暂缓",IF(Z662&gt;=75,"P0 本周做",IF(Z662&gt;=60,"P1 近期做",IF(Z662&gt;=45,"P2 备选","P3 暂缓"))))</x:f>
        <x:v>P2 备选</x:v>
      </x:c>
      <x:c r="AB662" s="9" t="str">
        <x:f>IF(Y662&gt;=15,"先做合规/相关性复核，不建议直接商业导流",IF(L662="主站","建/优化主站商业页",IF(L662="博客A-知识教程","写知识教程/FAQ文章",IF(L662="博客B-场景人群","写场景需求/选购指南文章",IF(L662="博客C-对比评测","写对比评测/榜单文章","暂不做或人工复核")))))</x:f>
        <x:v>写对比评测/榜单文章</x:v>
      </x:c>
      <x:c r="AC662" s="9" t="str">
        <x:v>Reviews - BLUE RAZZ ICE - ExDivo FLORA 40K Disposable Vape - ExDivo</x:v>
      </x:c>
      <x:c r="AD662" s="10" t="str">
        <x:v>48</x:v>
      </x:c>
    </x:row>
    <x:row r="663">
      <x:c r="A663" s="34" t="n">
        <x:v>663</x:v>
      </x:c>
      <x:c r="B663" s="9" t="str">
        <x:v>https://exdivo.com/comments/exdivo-flora-40k-disposable-vape_ce44b467?writeComment=true</x:v>
      </x:c>
      <x:c r="C663" s="9" t="str">
        <x:v>exdivo flora 40k blue razz ice review</x:v>
      </x:c>
      <x:c r="D663" s="9" t="str">
        <x:v>recommended</x:v>
      </x:c>
      <x:c r="E663" s="36" t="n">
        <x:v>0</x:v>
      </x:c>
      <x:c r="F663" s="36" t="n">
        <x:v>0</x:v>
      </x:c>
      <x:c r="G663" s="9" t="str">
        <x:v>48</x:v>
      </x:c>
      <x:c r="H663" s="9" t="str">
        <x:v>竞品/品牌词</x:v>
      </x:c>
      <x:c r="I663" s="9" t="str">
        <x:v>竞品对比词</x:v>
      </x:c>
      <x:c r="J663" s="9" t="str">
        <x:v>博客C-对比评测</x:v>
      </x:c>
      <x:c r="K663" s="9" t="str"/>
      <x:c r="L663" s="9" t="str">
        <x:f>IF(K663="",J663,K663)</x:f>
        <x:v>博客C-对比评测</x:v>
      </x:c>
      <x:c r="M663" s="9" t="str">
        <x:v>对比/替代/榜单文章</x:v>
      </x:c>
      <x:c r="N663" s="9" t="str">
        <x:v>Best angle: exdivo flora 40k blue razz ice review - comparison, pros/cons, and which option fits different buyers</x:v>
      </x:c>
      <x:c r="O663" s="9" t="str">
        <x:v>/collections/disposable-vapes 或对应替代产品集合页</x:v>
      </x:c>
      <x:c r="P663" s="9" t="str">
        <x:v>谨慎</x:v>
      </x:c>
      <x:c r="Q663" s="9" t="str">
        <x:v>自然句/品牌词/品类词</x:v>
      </x:c>
      <x:c r="R663" s="9" t="str">
        <x:v>中风险：涉及竞品品牌，避免商标误导、贬低竞品和虚假对比</x:v>
      </x:c>
      <x:c r="S663" s="9" t="str">
        <x:v>适合做客观对比或替代方案，但不要把竞品词直接做主站商业页。</x:v>
      </x:c>
      <x:c r="T663" s="38" t="n">
        <x:v>1</x:v>
      </x:c>
      <x:c r="U663" s="38" t="n">
        <x:v>15</x:v>
      </x:c>
      <x:c r="V663" s="38" t="n">
        <x:v>14</x:v>
      </x:c>
      <x:c r="W663" s="38" t="n">
        <x:v>14</x:v>
      </x:c>
      <x:c r="X663" s="38" t="n">
        <x:v>11</x:v>
      </x:c>
      <x:c r="Y663" s="38" t="n">
        <x:v>10</x:v>
      </x:c>
      <x:c r="Z663" s="38" t="n">
        <x:f>MAX(0,MIN(100,ROUND(((T663+U663+V663+W663+X663)-Y663)/85*100,0)))</x:f>
        <x:v>53</x:v>
      </x:c>
      <x:c r="AA663" s="9" t="str">
        <x:f>IF(L663="暂不做","P3 暂缓",IF(Z663&gt;=75,"P0 本周做",IF(Z663&gt;=60,"P1 近期做",IF(Z663&gt;=45,"P2 备选","P3 暂缓"))))</x:f>
        <x:v>P2 备选</x:v>
      </x:c>
      <x:c r="AB663" s="9" t="str">
        <x:f>IF(Y663&gt;=15,"先做合规/相关性复核，不建议直接商业导流",IF(L663="主站","建/优化主站商业页",IF(L663="博客A-知识教程","写知识教程/FAQ文章",IF(L663="博客B-场景人群","写场景需求/选购指南文章",IF(L663="博客C-对比评测","写对比评测/榜单文章","暂不做或人工复核")))))</x:f>
        <x:v>写对比评测/榜单文章</x:v>
      </x:c>
      <x:c r="AC663" s="9" t="str">
        <x:v>Reviews - BLUE RAZZ ICE - ExDivo FLORA 40K Disposable Vape - ExDivo</x:v>
      </x:c>
      <x:c r="AD663" s="10" t="str">
        <x:v>48</x:v>
      </x:c>
    </x:row>
    <x:row r="664">
      <x:c r="A664" s="34" t="n">
        <x:v>664</x:v>
      </x:c>
      <x:c r="B664" s="9" t="str">
        <x:v>https://exdivo.com/products/exdivo-kuz-25k-replaceable-pod-vape_11a813e7?data_from=index_index&amp;spm=</x:v>
      </x:c>
      <x:c r="C664" s="9" t="str">
        <x:v>exdivo 25k pod vape</x:v>
      </x:c>
      <x:c r="D664" s="9" t="str">
        <x:v>recommended</x:v>
      </x:c>
      <x:c r="E664" s="36" t="n">
        <x:v>0</x:v>
      </x:c>
      <x:c r="F664" s="36" t="n">
        <x:v>0</x:v>
      </x:c>
      <x:c r="G664" s="9" t="str">
        <x:v>48</x:v>
      </x:c>
      <x:c r="H664" s="9" t="str">
        <x:v>Pod Kit / Pod System</x:v>
      </x:c>
      <x:c r="I664" s="9" t="str">
        <x:v>内容词</x:v>
      </x:c>
      <x:c r="J664" s="9" t="str">
        <x:v>博客A-知识教程</x:v>
      </x:c>
      <x:c r="K664" s="9" t="str"/>
      <x:c r="L664" s="9" t="str">
        <x:f>IF(K664="",J664,K664)</x:f>
        <x:v>博客A-知识教程</x:v>
      </x:c>
      <x:c r="M664" s="9" t="str">
        <x:v>知识/教程文章</x:v>
      </x:c>
      <x:c r="N664" s="9" t="str">
        <x:v>Guide angle: explain exdivo 25k pod vape, answer common questions, and avoid sales-first writing</x:v>
      </x:c>
      <x:c r="O664" s="9" t="str">
        <x:v>/collections/disposable-vapes 或最接近的产品集合页</x:v>
      </x:c>
      <x:c r="P664" s="9" t="str">
        <x:v>谨慎</x:v>
      </x:c>
      <x:c r="Q664" s="9" t="str">
        <x:v>品牌词/自然句</x:v>
      </x:c>
      <x:c r="R664" s="9" t="str">
        <x:v>低风险：按常规内容质量和搜索意图校验</x:v>
      </x:c>
      <x:c r="S664" s="9" t="str">
        <x:v>先看 Google SERP：如果首页多数为产品集合页，改回主站；如果多数为教程/问答，保持博客。</x:v>
      </x:c>
      <x:c r="T664" s="38" t="n">
        <x:v>1</x:v>
      </x:c>
      <x:c r="U664" s="38" t="n">
        <x:v>15</x:v>
      </x:c>
      <x:c r="V664" s="38" t="n">
        <x:v>10</x:v>
      </x:c>
      <x:c r="W664" s="38" t="n">
        <x:v>12</x:v>
      </x:c>
      <x:c r="X664" s="38" t="n">
        <x:v>12</x:v>
      </x:c>
      <x:c r="Y664" s="38" t="n">
        <x:v>4</x:v>
      </x:c>
      <x:c r="Z664" s="38" t="n">
        <x:f>MAX(0,MIN(100,ROUND(((T664+U664+V664+W664+X664)-Y664)/85*100,0)))</x:f>
        <x:v>54</x:v>
      </x:c>
      <x:c r="AA664" s="9" t="str">
        <x:f>IF(L664="暂不做","P3 暂缓",IF(Z664&gt;=75,"P0 本周做",IF(Z664&gt;=60,"P1 近期做",IF(Z664&gt;=45,"P2 备选","P3 暂缓"))))</x:f>
        <x:v>P2 备选</x:v>
      </x:c>
      <x:c r="AB664" s="9" t="str">
        <x:f>IF(Y664&gt;=15,"先做合规/相关性复核，不建议直接商业导流",IF(L664="主站","建/优化主站商业页",IF(L664="博客A-知识教程","写知识教程/FAQ文章",IF(L664="博客B-场景人群","写场景需求/选购指南文章",IF(L664="博客C-对比评测","写对比评测/榜单文章","暂不做或人工复核")))))</x:f>
        <x:v>写知识教程/FAQ文章</x:v>
      </x:c>
      <x:c r="AC664" s="9" t="str">
        <x:v>ExDivo KUZ 25K Replaceable Pod Vape</x:v>
      </x:c>
      <x:c r="AD664" s="10" t="str">
        <x:v>25000 puffs</x:v>
      </x:c>
    </x:row>
    <x:row r="665">
      <x:c r="A665" s="34" t="n">
        <x:v>665</x:v>
      </x:c>
      <x:c r="B665" s="9" t="str">
        <x:v>https://exdivo.com/products/exdivo-kuz-25k-replaceable-pod-vape_11a813e7?data_from=index_index&amp;spm=</x:v>
      </x:c>
      <x:c r="C665" s="9" t="str">
        <x:v>exdivo kuz 25k vape</x:v>
      </x:c>
      <x:c r="D665" s="9" t="str">
        <x:v>recommended</x:v>
      </x:c>
      <x:c r="E665" s="36" t="n">
        <x:v>0</x:v>
      </x:c>
      <x:c r="F665" s="36" t="n">
        <x:v>0</x:v>
      </x:c>
      <x:c r="G665" s="9" t="str">
        <x:v>48</x:v>
      </x:c>
      <x:c r="H665" s="9" t="str">
        <x:v>General Vape</x:v>
      </x:c>
      <x:c r="I665" s="9" t="str">
        <x:v>内容词</x:v>
      </x:c>
      <x:c r="J665" s="9" t="str">
        <x:v>博客A-知识教程</x:v>
      </x:c>
      <x:c r="K665" s="9" t="str"/>
      <x:c r="L665" s="9" t="str">
        <x:f>IF(K665="",J665,K665)</x:f>
        <x:v>博客A-知识教程</x:v>
      </x:c>
      <x:c r="M665" s="9" t="str">
        <x:v>知识/教程文章</x:v>
      </x:c>
      <x:c r="N665" s="9" t="str">
        <x:v>Guide angle: explain exdivo kuz 25k vape, answer common questions, and avoid sales-first writing</x:v>
      </x:c>
      <x:c r="O665" s="9" t="str">
        <x:v>/collections/disposable-vapes 或最接近的产品集合页</x:v>
      </x:c>
      <x:c r="P665" s="9" t="str">
        <x:v>谨慎</x:v>
      </x:c>
      <x:c r="Q665" s="9" t="str">
        <x:v>品牌词/自然句</x:v>
      </x:c>
      <x:c r="R665" s="9" t="str">
        <x:v>低风险：按常规内容质量和搜索意图校验</x:v>
      </x:c>
      <x:c r="S665" s="9" t="str">
        <x:v>先看 Google SERP：如果首页多数为产品集合页，改回主站；如果多数为教程/问答，保持博客。</x:v>
      </x:c>
      <x:c r="T665" s="38" t="n">
        <x:v>1</x:v>
      </x:c>
      <x:c r="U665" s="38" t="n">
        <x:v>15</x:v>
      </x:c>
      <x:c r="V665" s="38" t="n">
        <x:v>10</x:v>
      </x:c>
      <x:c r="W665" s="38" t="n">
        <x:v>12</x:v>
      </x:c>
      <x:c r="X665" s="38" t="n">
        <x:v>12</x:v>
      </x:c>
      <x:c r="Y665" s="38" t="n">
        <x:v>4</x:v>
      </x:c>
      <x:c r="Z665" s="38" t="n">
        <x:f>MAX(0,MIN(100,ROUND(((T665+U665+V665+W665+X665)-Y665)/85*100,0)))</x:f>
        <x:v>54</x:v>
      </x:c>
      <x:c r="AA665" s="9" t="str">
        <x:f>IF(L665="暂不做","P3 暂缓",IF(Z665&gt;=75,"P0 本周做",IF(Z665&gt;=60,"P1 近期做",IF(Z665&gt;=45,"P2 备选","P3 暂缓"))))</x:f>
        <x:v>P2 备选</x:v>
      </x:c>
      <x:c r="AB665" s="9" t="str">
        <x:f>IF(Y665&gt;=15,"先做合规/相关性复核，不建议直接商业导流",IF(L665="主站","建/优化主站商业页",IF(L665="博客A-知识教程","写知识教程/FAQ文章",IF(L665="博客B-场景人群","写场景需求/选购指南文章",IF(L665="博客C-对比评测","写对比评测/榜单文章","暂不做或人工复核")))))</x:f>
        <x:v>写知识教程/FAQ文章</x:v>
      </x:c>
      <x:c r="AC665" s="9" t="str">
        <x:v>ExDivo KUZ 25K Replaceable Pod Vape</x:v>
      </x:c>
      <x:c r="AD665" s="10" t="str">
        <x:v>25000 puffs</x:v>
      </x:c>
    </x:row>
    <x:row r="666">
      <x:c r="A666" s="34" t="n">
        <x:v>666</x:v>
      </x:c>
      <x:c r="B666" s="9" t="str">
        <x:v>https://exdivo.com/products/exdivo-kuz-25k-replaceable-pod-vape_11a813e7?data_from=index_index&amp;spm=</x:v>
      </x:c>
      <x:c r="C666" s="9" t="str">
        <x:v>exdivo kuz 25k</x:v>
      </x:c>
      <x:c r="D666" s="9" t="str">
        <x:v>recommended</x:v>
      </x:c>
      <x:c r="E666" s="36" t="n">
        <x:v>0</x:v>
      </x:c>
      <x:c r="F666" s="36" t="n">
        <x:v>0</x:v>
      </x:c>
      <x:c r="G666" s="9" t="str">
        <x:v>48</x:v>
      </x:c>
      <x:c r="H666" s="9" t="str">
        <x:v>General Vape</x:v>
      </x:c>
      <x:c r="I666" s="9" t="str">
        <x:v>弱相关词</x:v>
      </x:c>
      <x:c r="J666" s="9" t="str">
        <x:v>暂不做</x:v>
      </x:c>
      <x:c r="K666" s="9" t="str"/>
      <x:c r="L666" s="9" t="str">
        <x:f>IF(K666="",J666,K666)</x:f>
        <x:v>暂不做</x:v>
      </x:c>
      <x:c r="M666" s="9" t="str">
        <x:v>不建议建页</x:v>
      </x:c>
      <x:c r="N666" s="9" t="str">
        <x:v>不进入内容生产</x:v>
      </x:c>
      <x:c r="O666" s="9" t="str">
        <x:v>无</x:v>
      </x:c>
      <x:c r="P666" s="9" t="str">
        <x:v>否</x:v>
      </x:c>
      <x:c r="Q666" s="9" t="str">
        <x:v>不导流</x:v>
      </x:c>
      <x:c r="R666" s="9" t="str">
        <x:v>相关性弱：可能带来无效流量或偏离产品定位</x:v>
      </x:c>
      <x:c r="S666" s="9" t="str">
        <x:v>除非人工确认与核心产品强相关，否则不要进入内容排期。</x:v>
      </x:c>
      <x:c r="T666" s="38" t="n">
        <x:v>1</x:v>
      </x:c>
      <x:c r="U666" s="38" t="n">
        <x:v>15</x:v>
      </x:c>
      <x:c r="V666" s="38" t="n">
        <x:v>2</x:v>
      </x:c>
      <x:c r="W666" s="38" t="n">
        <x:v>3</x:v>
      </x:c>
      <x:c r="X666" s="38" t="n">
        <x:v>2</x:v>
      </x:c>
      <x:c r="Y666" s="38" t="n">
        <x:v>16</x:v>
      </x:c>
      <x:c r="Z666" s="38" t="n">
        <x:f>MAX(0,MIN(100,ROUND(((T666+U666+V666+W666+X666)-Y666)/85*100,0)))</x:f>
        <x:v>8</x:v>
      </x:c>
      <x:c r="AA666" s="9" t="str">
        <x:f>IF(L666="暂不做","P3 暂缓",IF(Z666&gt;=75,"P0 本周做",IF(Z666&gt;=60,"P1 近期做",IF(Z666&gt;=45,"P2 备选","P3 暂缓"))))</x:f>
        <x:v>P3 暂缓</x:v>
      </x:c>
      <x:c r="AB666" s="9" t="str">
        <x:f>IF(Y666&gt;=15,"先做合规/相关性复核，不建议直接商业导流",IF(L666="主站","建/优化主站商业页",IF(L666="博客A-知识教程","写知识教程/FAQ文章",IF(L666="博客B-场景人群","写场景需求/选购指南文章",IF(L666="博客C-对比评测","写对比评测/榜单文章","暂不做或人工复核")))))</x:f>
        <x:v>先做合规/相关性复核，不建议直接商业导流</x:v>
      </x:c>
      <x:c r="AC666" s="9" t="str">
        <x:v>ExDivo KUZ 25K Replaceable Pod Vape</x:v>
      </x:c>
      <x:c r="AD666" s="10" t="str">
        <x:v>25000 puffs</x:v>
      </x:c>
    </x:row>
    <x:row r="667">
      <x:c r="A667" s="34" t="n">
        <x:v>667</x:v>
      </x:c>
      <x:c r="B667" s="9" t="str">
        <x:v>https://exdivo.com/products/exdivo-kuz-25k-replaceable-pod-vape_11a813e7?data_from=index_index&amp;spm=</x:v>
      </x:c>
      <x:c r="C667" s="9" t="str">
        <x:v>exdivo kuz 25k pod system</x:v>
      </x:c>
      <x:c r="D667" s="9" t="str">
        <x:v>recommended</x:v>
      </x:c>
      <x:c r="E667" s="36" t="n">
        <x:v>0</x:v>
      </x:c>
      <x:c r="F667" s="36" t="n">
        <x:v>0</x:v>
      </x:c>
      <x:c r="G667" s="9" t="str">
        <x:v>48</x:v>
      </x:c>
      <x:c r="H667" s="9" t="str">
        <x:v>Pod Kit / Pod System</x:v>
      </x:c>
      <x:c r="I667" s="9" t="str">
        <x:v>内容词</x:v>
      </x:c>
      <x:c r="J667" s="9" t="str">
        <x:v>博客A-知识教程</x:v>
      </x:c>
      <x:c r="K667" s="9" t="str"/>
      <x:c r="L667" s="9" t="str">
        <x:f>IF(K667="",J667,K667)</x:f>
        <x:v>博客A-知识教程</x:v>
      </x:c>
      <x:c r="M667" s="9" t="str">
        <x:v>知识/教程文章</x:v>
      </x:c>
      <x:c r="N667" s="9" t="str">
        <x:v>Guide angle: explain exdivo kuz 25k pod system, answer common questions, and avoid sales-first writing</x:v>
      </x:c>
      <x:c r="O667" s="9" t="str">
        <x:v>/collections/disposable-vapes 或最接近的产品集合页</x:v>
      </x:c>
      <x:c r="P667" s="9" t="str">
        <x:v>谨慎</x:v>
      </x:c>
      <x:c r="Q667" s="9" t="str">
        <x:v>品牌词/自然句</x:v>
      </x:c>
      <x:c r="R667" s="9" t="str">
        <x:v>低风险：按常规内容质量和搜索意图校验</x:v>
      </x:c>
      <x:c r="S667" s="9" t="str">
        <x:v>先看 Google SERP：如果首页多数为产品集合页，改回主站；如果多数为教程/问答，保持博客。</x:v>
      </x:c>
      <x:c r="T667" s="38" t="n">
        <x:v>1</x:v>
      </x:c>
      <x:c r="U667" s="38" t="n">
        <x:v>15</x:v>
      </x:c>
      <x:c r="V667" s="38" t="n">
        <x:v>10</x:v>
      </x:c>
      <x:c r="W667" s="38" t="n">
        <x:v>12</x:v>
      </x:c>
      <x:c r="X667" s="38" t="n">
        <x:v>12</x:v>
      </x:c>
      <x:c r="Y667" s="38" t="n">
        <x:v>4</x:v>
      </x:c>
      <x:c r="Z667" s="38" t="n">
        <x:f>MAX(0,MIN(100,ROUND(((T667+U667+V667+W667+X667)-Y667)/85*100,0)))</x:f>
        <x:v>54</x:v>
      </x:c>
      <x:c r="AA667" s="9" t="str">
        <x:f>IF(L667="暂不做","P3 暂缓",IF(Z667&gt;=75,"P0 本周做",IF(Z667&gt;=60,"P1 近期做",IF(Z667&gt;=45,"P2 备选","P3 暂缓"))))</x:f>
        <x:v>P2 备选</x:v>
      </x:c>
      <x:c r="AB667" s="9" t="str">
        <x:f>IF(Y667&gt;=15,"先做合规/相关性复核，不建议直接商业导流",IF(L667="主站","建/优化主站商业页",IF(L667="博客A-知识教程","写知识教程/FAQ文章",IF(L667="博客B-场景人群","写场景需求/选购指南文章",IF(L667="博客C-对比评测","写对比评测/榜单文章","暂不做或人工复核")))))</x:f>
        <x:v>写知识教程/FAQ文章</x:v>
      </x:c>
      <x:c r="AC667" s="9" t="str">
        <x:v>ExDivo KUZ 25K Replaceable Pod Vape</x:v>
      </x:c>
      <x:c r="AD667" s="10" t="str">
        <x:v>25000 puffs</x:v>
      </x:c>
    </x:row>
    <x:row r="668">
      <x:c r="A668" s="34" t="n">
        <x:v>668</x:v>
      </x:c>
      <x:c r="B668" s="9" t="str">
        <x:v>https://exdivo.com/products/exdivo-kuz-25k-replaceable-pod-vape_11a813e7?data_from=index_index&amp;spm=</x:v>
      </x:c>
      <x:c r="C668" s="9" t="str">
        <x:v>exdivo kuz 25k pod flavors</x:v>
      </x:c>
      <x:c r="D668" s="9" t="str">
        <x:v>recommended</x:v>
      </x:c>
      <x:c r="E668" s="36" t="n">
        <x:v>0</x:v>
      </x:c>
      <x:c r="F668" s="36" t="n">
        <x:v>0</x:v>
      </x:c>
      <x:c r="G668" s="9" t="str">
        <x:v>48</x:v>
      </x:c>
      <x:c r="H668" s="9" t="str">
        <x:v>Pod Kit / Pod System</x:v>
      </x:c>
      <x:c r="I668" s="9" t="str">
        <x:v>场景/需求词</x:v>
      </x:c>
      <x:c r="J668" s="9" t="str">
        <x:v>博客B-场景人群</x:v>
      </x:c>
      <x:c r="K668" s="9" t="str"/>
      <x:c r="L668" s="9" t="str">
        <x:f>IF(K668="",J668,K668)</x:f>
        <x:v>博客B-场景人群</x:v>
      </x:c>
      <x:c r="M668" s="9" t="str">
        <x:v>场景解决方案/选购指南文章</x:v>
      </x:c>
      <x:c r="N668" s="9" t="str">
        <x:v>Scenario angle: how to choose exdivo kuz 25k pod flavors based on use case, flavor, nicotine, and budget</x:v>
      </x:c>
      <x:c r="O668" s="9" t="str">
        <x:v>/collections/pod-kits</x:v>
      </x:c>
      <x:c r="P668" s="9" t="str">
        <x:v>是</x:v>
      </x:c>
      <x:c r="Q668" s="9" t="str">
        <x:v>自然句/品类词</x:v>
      </x:c>
      <x:c r="R668" s="9" t="str">
        <x:v>低中风险：适合软性导流，但不要夸大效果或触碰健康疗效</x:v>
      </x:c>
      <x:c r="S668" s="9" t="str">
        <x:v>围绕使用场景、口味、尼古丁需求、便携性等写，不和主站品类页抢词。</x:v>
      </x:c>
      <x:c r="T668" s="38" t="n">
        <x:v>1</x:v>
      </x:c>
      <x:c r="U668" s="38" t="n">
        <x:v>15</x:v>
      </x:c>
      <x:c r="V668" s="38" t="n">
        <x:v>13</x:v>
      </x:c>
      <x:c r="W668" s="38" t="n">
        <x:v>14</x:v>
      </x:c>
      <x:c r="X668" s="38" t="n">
        <x:v>13</x:v>
      </x:c>
      <x:c r="Y668" s="38" t="n">
        <x:v>5</x:v>
      </x:c>
      <x:c r="Z668" s="38" t="n">
        <x:f>MAX(0,MIN(100,ROUND(((T668+U668+V668+W668+X668)-Y668)/85*100,0)))</x:f>
        <x:v>60</x:v>
      </x:c>
      <x:c r="AA668" s="9" t="str">
        <x:f>IF(L668="暂不做","P3 暂缓",IF(Z668&gt;=75,"P0 本周做",IF(Z668&gt;=60,"P1 近期做",IF(Z668&gt;=45,"P2 备选","P3 暂缓"))))</x:f>
        <x:v>P1 近期做</x:v>
      </x:c>
      <x:c r="AB668" s="9" t="str">
        <x:f>IF(Y668&gt;=15,"先做合规/相关性复核，不建议直接商业导流",IF(L668="主站","建/优化主站商业页",IF(L668="博客A-知识教程","写知识教程/FAQ文章",IF(L668="博客B-场景人群","写场景需求/选购指南文章",IF(L668="博客C-对比评测","写对比评测/榜单文章","暂不做或人工复核")))))</x:f>
        <x:v>写场景需求/选购指南文章</x:v>
      </x:c>
      <x:c r="AC668" s="9" t="str">
        <x:v>ExDivo KUZ 25K Replaceable Pod Vape</x:v>
      </x:c>
      <x:c r="AD668" s="10" t="str">
        <x:v>25000 puffs</x:v>
      </x:c>
    </x:row>
    <x:row r="669">
      <x:c r="A669" s="34" t="n">
        <x:v>669</x:v>
      </x:c>
      <x:c r="B669" s="9" t="str">
        <x:v>https://exdivo.com/products/exdivo-kuz-25k-replaceable-pod-vape_11a813e7?data_from=index_index&amp;spm=</x:v>
      </x:c>
      <x:c r="C669" s="9" t="str">
        <x:v>exdivo kuz 25k flavor review</x:v>
      </x:c>
      <x:c r="D669" s="9" t="str">
        <x:v>recommended</x:v>
      </x:c>
      <x:c r="E669" s="36" t="n">
        <x:v>0</x:v>
      </x:c>
      <x:c r="F669" s="36" t="n">
        <x:v>0</x:v>
      </x:c>
      <x:c r="G669" s="9" t="str">
        <x:v>48</x:v>
      </x:c>
      <x:c r="H669" s="9" t="str">
        <x:v>Flavor / 口味</x:v>
      </x:c>
      <x:c r="I669" s="9" t="str">
        <x:v>商业调查词</x:v>
      </x:c>
      <x:c r="J669" s="9" t="str">
        <x:v>博客C-对比评测</x:v>
      </x:c>
      <x:c r="K669" s="9" t="str"/>
      <x:c r="L669" s="9" t="str">
        <x:f>IF(K669="",J669,K669)</x:f>
        <x:v>博客C-对比评测</x:v>
      </x:c>
      <x:c r="M669" s="9" t="str">
        <x:v>Best/Top/Review/VS/替代方案文章</x:v>
      </x:c>
      <x:c r="N669" s="9" t="str">
        <x:v>Best angle: exdivo kuz 25k flavor review - comparison, pros/cons, and which option fits different buyers</x:v>
      </x:c>
      <x:c r="O669" s="9" t="str">
        <x:v>/collections/flavored-disposable-vapes</x:v>
      </x:c>
      <x:c r="P669" s="9" t="str">
        <x:v>是</x:v>
      </x:c>
      <x:c r="Q669" s="9" t="str">
        <x:v>自然句/品类词/品牌词</x:v>
      </x:c>
      <x:c r="R669" s="9" t="str">
        <x:v>中风险：榜单和评测必须真实、中立，避免夸大</x:v>
      </x:c>
      <x:c r="S669" s="9" t="str">
        <x:v>这类词不直接给主站，先用博客C教育和比较，再导流到最相关集合页。</x:v>
      </x:c>
      <x:c r="T669" s="38" t="n">
        <x:v>1</x:v>
      </x:c>
      <x:c r="U669" s="38" t="n">
        <x:v>15</x:v>
      </x:c>
      <x:c r="V669" s="38" t="n">
        <x:v>16</x:v>
      </x:c>
      <x:c r="W669" s="38" t="n">
        <x:v>15</x:v>
      </x:c>
      <x:c r="X669" s="38" t="n">
        <x:v>13</x:v>
      </x:c>
      <x:c r="Y669" s="38" t="n">
        <x:v>6</x:v>
      </x:c>
      <x:c r="Z669" s="38" t="n">
        <x:f>MAX(0,MIN(100,ROUND(((T669+U669+V669+W669+X669)-Y669)/85*100,0)))</x:f>
        <x:v>64</x:v>
      </x:c>
      <x:c r="AA669" s="9" t="str">
        <x:f>IF(L669="暂不做","P3 暂缓",IF(Z669&gt;=75,"P0 本周做",IF(Z669&gt;=60,"P1 近期做",IF(Z669&gt;=45,"P2 备选","P3 暂缓"))))</x:f>
        <x:v>P1 近期做</x:v>
      </x:c>
      <x:c r="AB669" s="9" t="str">
        <x:f>IF(Y669&gt;=15,"先做合规/相关性复核，不建议直接商业导流",IF(L669="主站","建/优化主站商业页",IF(L669="博客A-知识教程","写知识教程/FAQ文章",IF(L669="博客B-场景人群","写场景需求/选购指南文章",IF(L669="博客C-对比评测","写对比评测/榜单文章","暂不做或人工复核")))))</x:f>
        <x:v>写对比评测/榜单文章</x:v>
      </x:c>
      <x:c r="AC669" s="9" t="str">
        <x:v>ExDivo KUZ 25K Replaceable Pod Vape</x:v>
      </x:c>
      <x:c r="AD669" s="10" t="str">
        <x:v>25000 puffs</x:v>
      </x:c>
    </x:row>
    <x:row r="670">
      <x:c r="A670" s="34" t="n">
        <x:v>670</x:v>
      </x:c>
      <x:c r="B670" s="9" t="str">
        <x:v>https://exdivo.com/products/exdivo-kuz-25k-replaceable-pod-vape_11a813e7?data_from=index_index&amp;spm=</x:v>
      </x:c>
      <x:c r="C670" s="9" t="str">
        <x:v>exdivo kuz 25k flavors</x:v>
      </x:c>
      <x:c r="D670" s="9" t="str">
        <x:v>recommended</x:v>
      </x:c>
      <x:c r="E670" s="36" t="n">
        <x:v>0</x:v>
      </x:c>
      <x:c r="F670" s="36" t="n">
        <x:v>0</x:v>
      </x:c>
      <x:c r="G670" s="9" t="str">
        <x:v>48</x:v>
      </x:c>
      <x:c r="H670" s="9" t="str">
        <x:v>Flavor / 口味</x:v>
      </x:c>
      <x:c r="I670" s="9" t="str">
        <x:v>场景/需求词</x:v>
      </x:c>
      <x:c r="J670" s="9" t="str">
        <x:v>博客B-场景人群</x:v>
      </x:c>
      <x:c r="K670" s="9" t="str"/>
      <x:c r="L670" s="9" t="str">
        <x:f>IF(K670="",J670,K670)</x:f>
        <x:v>博客B-场景人群</x:v>
      </x:c>
      <x:c r="M670" s="9" t="str">
        <x:v>场景解决方案/选购指南文章</x:v>
      </x:c>
      <x:c r="N670" s="9" t="str">
        <x:v>Scenario angle: how to choose exdivo kuz 25k flavors based on use case, flavor, nicotine, and budget</x:v>
      </x:c>
      <x:c r="O670" s="9" t="str">
        <x:v>/collections/flavored-disposable-vapes</x:v>
      </x:c>
      <x:c r="P670" s="9" t="str">
        <x:v>是</x:v>
      </x:c>
      <x:c r="Q670" s="9" t="str">
        <x:v>自然句/品类词</x:v>
      </x:c>
      <x:c r="R670" s="9" t="str">
        <x:v>低中风险：适合软性导流，但不要夸大效果或触碰健康疗效</x:v>
      </x:c>
      <x:c r="S670" s="9" t="str">
        <x:v>围绕使用场景、口味、尼古丁需求、便携性等写，不和主站品类页抢词。</x:v>
      </x:c>
      <x:c r="T670" s="38" t="n">
        <x:v>1</x:v>
      </x:c>
      <x:c r="U670" s="38" t="n">
        <x:v>15</x:v>
      </x:c>
      <x:c r="V670" s="38" t="n">
        <x:v>13</x:v>
      </x:c>
      <x:c r="W670" s="38" t="n">
        <x:v>14</x:v>
      </x:c>
      <x:c r="X670" s="38" t="n">
        <x:v>13</x:v>
      </x:c>
      <x:c r="Y670" s="38" t="n">
        <x:v>5</x:v>
      </x:c>
      <x:c r="Z670" s="38" t="n">
        <x:f>MAX(0,MIN(100,ROUND(((T670+U670+V670+W670+X670)-Y670)/85*100,0)))</x:f>
        <x:v>60</x:v>
      </x:c>
      <x:c r="AA670" s="9" t="str">
        <x:f>IF(L670="暂不做","P3 暂缓",IF(Z670&gt;=75,"P0 本周做",IF(Z670&gt;=60,"P1 近期做",IF(Z670&gt;=45,"P2 备选","P3 暂缓"))))</x:f>
        <x:v>P1 近期做</x:v>
      </x:c>
      <x:c r="AB670" s="9" t="str">
        <x:f>IF(Y670&gt;=15,"先做合规/相关性复核，不建议直接商业导流",IF(L670="主站","建/优化主站商业页",IF(L670="博客A-知识教程","写知识教程/FAQ文章",IF(L670="博客B-场景人群","写场景需求/选购指南文章",IF(L670="博客C-对比评测","写对比评测/榜单文章","暂不做或人工复核")))))</x:f>
        <x:v>写场景需求/选购指南文章</x:v>
      </x:c>
      <x:c r="AC670" s="9" t="str">
        <x:v>ExDivo KUZ 25K Replaceable Pod Vape</x:v>
      </x:c>
      <x:c r="AD670" s="10" t="str">
        <x:v>25000 puffs</x:v>
      </x:c>
    </x:row>
    <x:row r="671">
      <x:c r="A671" s="34" t="n">
        <x:v>671</x:v>
      </x:c>
      <x:c r="B671" s="9" t="str">
        <x:v>https://exdivo.com/products/exdivo-kuz-25k-replaceable-pod-vape_11a813e7?data_from=index_index&amp;spm=</x:v>
      </x:c>
      <x:c r="C671" s="9" t="str">
        <x:v>exdivo kuz 25k review</x:v>
      </x:c>
      <x:c r="D671" s="9" t="str">
        <x:v>recommended</x:v>
      </x:c>
      <x:c r="E671" s="36" t="n">
        <x:v>0</x:v>
      </x:c>
      <x:c r="F671" s="36" t="n">
        <x:v>0</x:v>
      </x:c>
      <x:c r="G671" s="9" t="str">
        <x:v>48</x:v>
      </x:c>
      <x:c r="H671" s="9" t="str">
        <x:v>对比评测</x:v>
      </x:c>
      <x:c r="I671" s="9" t="str">
        <x:v>商业调查词</x:v>
      </x:c>
      <x:c r="J671" s="9" t="str">
        <x:v>博客C-对比评测</x:v>
      </x:c>
      <x:c r="K671" s="9" t="str"/>
      <x:c r="L671" s="9" t="str">
        <x:f>IF(K671="",J671,K671)</x:f>
        <x:v>博客C-对比评测</x:v>
      </x:c>
      <x:c r="M671" s="9" t="str">
        <x:v>Best/Top/Review/VS/替代方案文章</x:v>
      </x:c>
      <x:c r="N671" s="9" t="str">
        <x:v>Best angle: exdivo kuz 25k review - comparison, pros/cons, and which option fits different buyers</x:v>
      </x:c>
      <x:c r="O671" s="9" t="str">
        <x:v>/collections/disposable-vapes</x:v>
      </x:c>
      <x:c r="P671" s="9" t="str">
        <x:v>是</x:v>
      </x:c>
      <x:c r="Q671" s="9" t="str">
        <x:v>自然句/品类词/品牌词</x:v>
      </x:c>
      <x:c r="R671" s="9" t="str">
        <x:v>中风险：榜单和评测必须真实、中立，避免夸大</x:v>
      </x:c>
      <x:c r="S671" s="9" t="str">
        <x:v>这类词不直接给主站，先用博客C教育和比较，再导流到最相关集合页。</x:v>
      </x:c>
      <x:c r="T671" s="38" t="n">
        <x:v>1</x:v>
      </x:c>
      <x:c r="U671" s="38" t="n">
        <x:v>15</x:v>
      </x:c>
      <x:c r="V671" s="38" t="n">
        <x:v>16</x:v>
      </x:c>
      <x:c r="W671" s="38" t="n">
        <x:v>15</x:v>
      </x:c>
      <x:c r="X671" s="38" t="n">
        <x:v>13</x:v>
      </x:c>
      <x:c r="Y671" s="38" t="n">
        <x:v>6</x:v>
      </x:c>
      <x:c r="Z671" s="38" t="n">
        <x:f>MAX(0,MIN(100,ROUND(((T671+U671+V671+W671+X671)-Y671)/85*100,0)))</x:f>
        <x:v>64</x:v>
      </x:c>
      <x:c r="AA671" s="9" t="str">
        <x:f>IF(L671="暂不做","P3 暂缓",IF(Z671&gt;=75,"P0 本周做",IF(Z671&gt;=60,"P1 近期做",IF(Z671&gt;=45,"P2 备选","P3 暂缓"))))</x:f>
        <x:v>P1 近期做</x:v>
      </x:c>
      <x:c r="AB671" s="9" t="str">
        <x:f>IF(Y671&gt;=15,"先做合规/相关性复核，不建议直接商业导流",IF(L671="主站","建/优化主站商业页",IF(L671="博客A-知识教程","写知识教程/FAQ文章",IF(L671="博客B-场景人群","写场景需求/选购指南文章",IF(L671="博客C-对比评测","写对比评测/榜单文章","暂不做或人工复核")))))</x:f>
        <x:v>写对比评测/榜单文章</x:v>
      </x:c>
      <x:c r="AC671" s="9" t="str">
        <x:v>ExDivo KUZ 25K Replaceable Pod Vape</x:v>
      </x:c>
      <x:c r="AD671" s="10" t="str">
        <x:v>25000 puffs</x:v>
      </x:c>
    </x:row>
    <x:row r="672">
      <x:c r="A672" s="34" t="n">
        <x:v>672</x:v>
      </x:c>
      <x:c r="B672" s="9" t="str">
        <x:v>https://exdivo.com/collections/all?page=5</x:v>
      </x:c>
      <x:c r="C672" s="9" t="str">
        <x:v>exdivo vape products</x:v>
      </x:c>
      <x:c r="D672" s="9" t="str">
        <x:v>recommended</x:v>
      </x:c>
      <x:c r="E672" s="36" t="n">
        <x:v>0</x:v>
      </x:c>
      <x:c r="F672" s="36" t="n">
        <x:v>0</x:v>
      </x:c>
      <x:c r="G672" s="9" t="str">
        <x:v>48</x:v>
      </x:c>
      <x:c r="H672" s="9" t="str">
        <x:v>General Vape</x:v>
      </x:c>
      <x:c r="I672" s="9" t="str">
        <x:v>品类承接词</x:v>
      </x:c>
      <x:c r="J672" s="9" t="str">
        <x:v>主站</x:v>
      </x:c>
      <x:c r="K672" s="9" t="str"/>
      <x:c r="L672" s="9" t="str">
        <x:f>IF(K672="",J672,K672)</x:f>
        <x:v>主站</x:v>
      </x:c>
      <x:c r="M672" s="9" t="str">
        <x:v>品类页/集合页 + FAQ内容块</x:v>
      </x:c>
      <x:c r="N672" s="9" t="str">
        <x:v>主站品类页：用产品集合 + 选购说明承接</x:v>
      </x:c>
      <x:c r="O672" s="9" t="str">
        <x:v>/collections/disposable-vapes</x:v>
      </x:c>
      <x:c r="P672" s="9" t="str">
        <x:v>不适用</x:v>
      </x:c>
      <x:c r="Q672" s="9" t="str">
        <x:v>主站页面自身承接</x:v>
      </x:c>
      <x:c r="R672" s="9" t="str">
        <x:v>核心品类词：主站优先，博客只做长尾解释，不直接抢同一词</x:v>
      </x:c>
      <x:c r="S672" s="9" t="str">
        <x:v>如果 Google 首页产品页和指南混合，主站页要加 FAQ、选购指南、对比模块。</x:v>
      </x:c>
      <x:c r="T672" s="38" t="n">
        <x:v>1</x:v>
      </x:c>
      <x:c r="U672" s="38" t="n">
        <x:v>15</x:v>
      </x:c>
      <x:c r="V672" s="38" t="n">
        <x:v>16</x:v>
      </x:c>
      <x:c r="W672" s="38" t="n">
        <x:v>8</x:v>
      </x:c>
      <x:c r="X672" s="38" t="n">
        <x:v>15</x:v>
      </x:c>
      <x:c r="Y672" s="38" t="n">
        <x:v>4</x:v>
      </x:c>
      <x:c r="Z672" s="38" t="n">
        <x:f>MAX(0,MIN(100,ROUND(((T672+U672+V672+W672+X672)-Y672)/85*100,0)))</x:f>
        <x:v>60</x:v>
      </x:c>
      <x:c r="AA672" s="9" t="str">
        <x:f>IF(L672="暂不做","P3 暂缓",IF(Z672&gt;=75,"P0 本周做",IF(Z672&gt;=60,"P1 近期做",IF(Z672&gt;=45,"P2 备选","P3 暂缓"))))</x:f>
        <x:v>P1 近期做</x:v>
      </x:c>
      <x:c r="AB672" s="9" t="str">
        <x:f>IF(Y672&gt;=15,"先做合规/相关性复核，不建议直接商业导流",IF(L672="主站","建/优化主站商业页",IF(L672="博客A-知识教程","写知识教程/FAQ文章",IF(L672="博客B-场景人群","写场景需求/选购指南文章",IF(L672="博客C-对比评测","写对比评测/榜单文章","暂不做或人工复核")))))</x:f>
        <x:v>建/优化主站商业页</x:v>
      </x:c>
      <x:c r="AC672" s="9" t="str">
        <x:v>All Products - ExDivo</x:v>
      </x:c>
      <x:c r="AD672" s="10" t="str">
        <x:v>all products</x:v>
      </x:c>
    </x:row>
    <x:row r="673">
      <x:c r="A673" s="34" t="n">
        <x:v>673</x:v>
      </x:c>
      <x:c r="B673" s="9" t="str">
        <x:v>https://exdivo.com/collections/all?page=5</x:v>
      </x:c>
      <x:c r="C673" s="9" t="str">
        <x:v>buy exdivo vapes</x:v>
      </x:c>
      <x:c r="D673" s="9" t="str">
        <x:v>recommended</x:v>
      </x:c>
      <x:c r="E673" s="36" t="n">
        <x:v>0</x:v>
      </x:c>
      <x:c r="F673" s="36" t="n">
        <x:v>0</x:v>
      </x:c>
      <x:c r="G673" s="9" t="str">
        <x:v>48</x:v>
      </x:c>
      <x:c r="H673" s="9" t="str">
        <x:v>购买交易</x:v>
      </x:c>
      <x:c r="I673" s="9" t="str">
        <x:v>交易词</x:v>
      </x:c>
      <x:c r="J673" s="9" t="str">
        <x:v>主站</x:v>
      </x:c>
      <x:c r="K673" s="9" t="str"/>
      <x:c r="L673" s="9" t="str">
        <x:f>IF(K673="",J673,K673)</x:f>
        <x:v>主站</x:v>
      </x:c>
      <x:c r="M673" s="9" t="str">
        <x:v>产品集合页/分类页/购买页</x:v>
      </x:c>
      <x:c r="N673" s="9" t="str">
        <x:v>主站商业页：标题围绕购买意图 + 品类 + 关键卖点</x:v>
      </x:c>
      <x:c r="O673" s="9" t="str">
        <x:v>/collections/disposable-vapes</x:v>
      </x:c>
      <x:c r="P673" s="9" t="str">
        <x:v>不适用</x:v>
      </x:c>
      <x:c r="Q673" s="9" t="str">
        <x:v>主站页面自身承接</x:v>
      </x:c>
      <x:c r="R673" s="9" t="str">
        <x:v>商业词：优先给主站，避免博客抢主站排名</x:v>
      </x:c>
      <x:c r="S673" s="9" t="str">
        <x:v>SERP 如为商品列表/品牌站/电商集合页，就建主站页面；若 SERP 全是教程，再拆支持文章。</x:v>
      </x:c>
      <x:c r="T673" s="38" t="n">
        <x:v>1</x:v>
      </x:c>
      <x:c r="U673" s="38" t="n">
        <x:v>15</x:v>
      </x:c>
      <x:c r="V673" s="38" t="n">
        <x:v>20</x:v>
      </x:c>
      <x:c r="W673" s="38" t="n">
        <x:v>7</x:v>
      </x:c>
      <x:c r="X673" s="38" t="n">
        <x:v>15</x:v>
      </x:c>
      <x:c r="Y673" s="38" t="n">
        <x:v>4</x:v>
      </x:c>
      <x:c r="Z673" s="38" t="n">
        <x:f>MAX(0,MIN(100,ROUND(((T673+U673+V673+W673+X673)-Y673)/85*100,0)))</x:f>
        <x:v>64</x:v>
      </x:c>
      <x:c r="AA673" s="9" t="str">
        <x:f>IF(L673="暂不做","P3 暂缓",IF(Z673&gt;=75,"P0 本周做",IF(Z673&gt;=60,"P1 近期做",IF(Z673&gt;=45,"P2 备选","P3 暂缓"))))</x:f>
        <x:v>P1 近期做</x:v>
      </x:c>
      <x:c r="AB673" s="9" t="str">
        <x:f>IF(Y673&gt;=15,"先做合规/相关性复核，不建议直接商业导流",IF(L673="主站","建/优化主站商业页",IF(L673="博客A-知识教程","写知识教程/FAQ文章",IF(L673="博客B-场景人群","写场景需求/选购指南文章",IF(L673="博客C-对比评测","写对比评测/榜单文章","暂不做或人工复核")))))</x:f>
        <x:v>建/优化主站商业页</x:v>
      </x:c>
      <x:c r="AC673" s="9" t="str">
        <x:v>All Products - ExDivo</x:v>
      </x:c>
      <x:c r="AD673" s="10" t="str">
        <x:v>all products</x:v>
      </x:c>
    </x:row>
    <x:row r="674">
      <x:c r="A674" s="34" t="n">
        <x:v>674</x:v>
      </x:c>
      <x:c r="B674" s="9" t="str">
        <x:v>https://exdivo.com/collections/all?page=5</x:v>
      </x:c>
      <x:c r="C674" s="9" t="str">
        <x:v>exdivo vape kits</x:v>
      </x:c>
      <x:c r="D674" s="9" t="str">
        <x:v>recommended</x:v>
      </x:c>
      <x:c r="E674" s="36" t="n">
        <x:v>0</x:v>
      </x:c>
      <x:c r="F674" s="36" t="n">
        <x:v>0</x:v>
      </x:c>
      <x:c r="G674" s="9" t="str">
        <x:v>48</x:v>
      </x:c>
      <x:c r="H674" s="9" t="str">
        <x:v>General Vape</x:v>
      </x:c>
      <x:c r="I674" s="9" t="str">
        <x:v>品类承接词</x:v>
      </x:c>
      <x:c r="J674" s="9" t="str">
        <x:v>主站</x:v>
      </x:c>
      <x:c r="K674" s="9" t="str"/>
      <x:c r="L674" s="9" t="str">
        <x:f>IF(K674="",J674,K674)</x:f>
        <x:v>主站</x:v>
      </x:c>
      <x:c r="M674" s="9" t="str">
        <x:v>品类页/集合页 + FAQ内容块</x:v>
      </x:c>
      <x:c r="N674" s="9" t="str">
        <x:v>主站品类页：用产品集合 + 选购说明承接</x:v>
      </x:c>
      <x:c r="O674" s="9" t="str">
        <x:v>/collections/disposable-vapes</x:v>
      </x:c>
      <x:c r="P674" s="9" t="str">
        <x:v>不适用</x:v>
      </x:c>
      <x:c r="Q674" s="9" t="str">
        <x:v>主站页面自身承接</x:v>
      </x:c>
      <x:c r="R674" s="9" t="str">
        <x:v>核心品类词：主站优先，博客只做长尾解释，不直接抢同一词</x:v>
      </x:c>
      <x:c r="S674" s="9" t="str">
        <x:v>如果 Google 首页产品页和指南混合，主站页要加 FAQ、选购指南、对比模块。</x:v>
      </x:c>
      <x:c r="T674" s="38" t="n">
        <x:v>1</x:v>
      </x:c>
      <x:c r="U674" s="38" t="n">
        <x:v>15</x:v>
      </x:c>
      <x:c r="V674" s="38" t="n">
        <x:v>16</x:v>
      </x:c>
      <x:c r="W674" s="38" t="n">
        <x:v>8</x:v>
      </x:c>
      <x:c r="X674" s="38" t="n">
        <x:v>15</x:v>
      </x:c>
      <x:c r="Y674" s="38" t="n">
        <x:v>4</x:v>
      </x:c>
      <x:c r="Z674" s="38" t="n">
        <x:f>MAX(0,MIN(100,ROUND(((T674+U674+V674+W674+X674)-Y674)/85*100,0)))</x:f>
        <x:v>60</x:v>
      </x:c>
      <x:c r="AA674" s="9" t="str">
        <x:f>IF(L674="暂不做","P3 暂缓",IF(Z674&gt;=75,"P0 本周做",IF(Z674&gt;=60,"P1 近期做",IF(Z674&gt;=45,"P2 备选","P3 暂缓"))))</x:f>
        <x:v>P1 近期做</x:v>
      </x:c>
      <x:c r="AB674" s="9" t="str">
        <x:f>IF(Y674&gt;=15,"先做合规/相关性复核，不建议直接商业导流",IF(L674="主站","建/优化主站商业页",IF(L674="博客A-知识教程","写知识教程/FAQ文章",IF(L674="博客B-场景人群","写场景需求/选购指南文章",IF(L674="博客C-对比评测","写对比评测/榜单文章","暂不做或人工复核")))))</x:f>
        <x:v>建/优化主站商业页</x:v>
      </x:c>
      <x:c r="AC674" s="9" t="str">
        <x:v>All Products - ExDivo</x:v>
      </x:c>
      <x:c r="AD674" s="10" t="str">
        <x:v>all products</x:v>
      </x:c>
    </x:row>
    <x:row r="675">
      <x:c r="A675" s="34" t="n">
        <x:v>675</x:v>
      </x:c>
      <x:c r="B675" s="9" t="str">
        <x:v>https://exdivo.com/collections/all?page=5</x:v>
      </x:c>
      <x:c r="C675" s="9" t="str">
        <x:v>exdivo disposable vapes</x:v>
      </x:c>
      <x:c r="D675" s="9" t="str">
        <x:v>recommended</x:v>
      </x:c>
      <x:c r="E675" s="36" t="n">
        <x:v>0</x:v>
      </x:c>
      <x:c r="F675" s="36" t="n">
        <x:v>0</x:v>
      </x:c>
      <x:c r="G675" s="9" t="str">
        <x:v>48</x:v>
      </x:c>
      <x:c r="H675" s="9" t="str">
        <x:v>Disposable Vape</x:v>
      </x:c>
      <x:c r="I675" s="9" t="str">
        <x:v>品类承接词</x:v>
      </x:c>
      <x:c r="J675" s="9" t="str">
        <x:v>主站</x:v>
      </x:c>
      <x:c r="K675" s="9" t="str"/>
      <x:c r="L675" s="9" t="str">
        <x:f>IF(K675="",J675,K675)</x:f>
        <x:v>主站</x:v>
      </x:c>
      <x:c r="M675" s="9" t="str">
        <x:v>品类页/集合页 + FAQ内容块</x:v>
      </x:c>
      <x:c r="N675" s="9" t="str">
        <x:v>主站品类页：用产品集合 + 选购说明承接</x:v>
      </x:c>
      <x:c r="O675" s="9" t="str">
        <x:v>/collections/disposable-vapes</x:v>
      </x:c>
      <x:c r="P675" s="9" t="str">
        <x:v>不适用</x:v>
      </x:c>
      <x:c r="Q675" s="9" t="str">
        <x:v>主站页面自身承接</x:v>
      </x:c>
      <x:c r="R675" s="9" t="str">
        <x:v>核心品类词：主站优先，博客只做长尾解释，不直接抢同一词</x:v>
      </x:c>
      <x:c r="S675" s="9" t="str">
        <x:v>如果 Google 首页产品页和指南混合，主站页要加 FAQ、选购指南、对比模块。</x:v>
      </x:c>
      <x:c r="T675" s="38" t="n">
        <x:v>1</x:v>
      </x:c>
      <x:c r="U675" s="38" t="n">
        <x:v>15</x:v>
      </x:c>
      <x:c r="V675" s="38" t="n">
        <x:v>16</x:v>
      </x:c>
      <x:c r="W675" s="38" t="n">
        <x:v>8</x:v>
      </x:c>
      <x:c r="X675" s="38" t="n">
        <x:v>15</x:v>
      </x:c>
      <x:c r="Y675" s="38" t="n">
        <x:v>4</x:v>
      </x:c>
      <x:c r="Z675" s="38" t="n">
        <x:f>MAX(0,MIN(100,ROUND(((T675+U675+V675+W675+X675)-Y675)/85*100,0)))</x:f>
        <x:v>60</x:v>
      </x:c>
      <x:c r="AA675" s="9" t="str">
        <x:f>IF(L675="暂不做","P3 暂缓",IF(Z675&gt;=75,"P0 本周做",IF(Z675&gt;=60,"P1 近期做",IF(Z675&gt;=45,"P2 备选","P3 暂缓"))))</x:f>
        <x:v>P1 近期做</x:v>
      </x:c>
      <x:c r="AB675" s="9" t="str">
        <x:f>IF(Y675&gt;=15,"先做合规/相关性复核，不建议直接商业导流",IF(L675="主站","建/优化主站商业页",IF(L675="博客A-知识教程","写知识教程/FAQ文章",IF(L675="博客B-场景人群","写场景需求/选购指南文章",IF(L675="博客C-对比评测","写对比评测/榜单文章","暂不做或人工复核")))))</x:f>
        <x:v>建/优化主站商业页</x:v>
      </x:c>
      <x:c r="AC675" s="9" t="str">
        <x:v>All Products - ExDivo</x:v>
      </x:c>
      <x:c r="AD675" s="10" t="str">
        <x:v>all products</x:v>
      </x:c>
    </x:row>
    <x:row r="676">
      <x:c r="A676" s="34" t="n">
        <x:v>676</x:v>
      </x:c>
      <x:c r="B676" s="9" t="str">
        <x:v>https://exdivo.com/collections/all?page=5</x:v>
      </x:c>
      <x:c r="C676" s="9" t="str">
        <x:v>buy exdivo vapes online</x:v>
      </x:c>
      <x:c r="D676" s="9" t="str">
        <x:v>recommended</x:v>
      </x:c>
      <x:c r="E676" s="36" t="n">
        <x:v>0</x:v>
      </x:c>
      <x:c r="F676" s="36" t="n">
        <x:v>0</x:v>
      </x:c>
      <x:c r="G676" s="9" t="str">
        <x:v>48</x:v>
      </x:c>
      <x:c r="H676" s="9" t="str">
        <x:v>购买交易</x:v>
      </x:c>
      <x:c r="I676" s="9" t="str">
        <x:v>交易词</x:v>
      </x:c>
      <x:c r="J676" s="9" t="str">
        <x:v>主站</x:v>
      </x:c>
      <x:c r="K676" s="9" t="str"/>
      <x:c r="L676" s="9" t="str">
        <x:f>IF(K676="",J676,K676)</x:f>
        <x:v>主站</x:v>
      </x:c>
      <x:c r="M676" s="9" t="str">
        <x:v>产品集合页/分类页/购买页</x:v>
      </x:c>
      <x:c r="N676" s="9" t="str">
        <x:v>主站商业页：标题围绕购买意图 + 品类 + 关键卖点</x:v>
      </x:c>
      <x:c r="O676" s="9" t="str">
        <x:v>/collections/disposable-vapes</x:v>
      </x:c>
      <x:c r="P676" s="9" t="str">
        <x:v>不适用</x:v>
      </x:c>
      <x:c r="Q676" s="9" t="str">
        <x:v>主站页面自身承接</x:v>
      </x:c>
      <x:c r="R676" s="9" t="str">
        <x:v>商业词：优先给主站，避免博客抢主站排名</x:v>
      </x:c>
      <x:c r="S676" s="9" t="str">
        <x:v>SERP 如为商品列表/品牌站/电商集合页，就建主站页面；若 SERP 全是教程，再拆支持文章。</x:v>
      </x:c>
      <x:c r="T676" s="38" t="n">
        <x:v>1</x:v>
      </x:c>
      <x:c r="U676" s="38" t="n">
        <x:v>15</x:v>
      </x:c>
      <x:c r="V676" s="38" t="n">
        <x:v>20</x:v>
      </x:c>
      <x:c r="W676" s="38" t="n">
        <x:v>7</x:v>
      </x:c>
      <x:c r="X676" s="38" t="n">
        <x:v>15</x:v>
      </x:c>
      <x:c r="Y676" s="38" t="n">
        <x:v>4</x:v>
      </x:c>
      <x:c r="Z676" s="38" t="n">
        <x:f>MAX(0,MIN(100,ROUND(((T676+U676+V676+W676+X676)-Y676)/85*100,0)))</x:f>
        <x:v>64</x:v>
      </x:c>
      <x:c r="AA676" s="9" t="str">
        <x:f>IF(L676="暂不做","P3 暂缓",IF(Z676&gt;=75,"P0 本周做",IF(Z676&gt;=60,"P1 近期做",IF(Z676&gt;=45,"P2 备选","P3 暂缓"))))</x:f>
        <x:v>P1 近期做</x:v>
      </x:c>
      <x:c r="AB676" s="9" t="str">
        <x:f>IF(Y676&gt;=15,"先做合规/相关性复核，不建议直接商业导流",IF(L676="主站","建/优化主站商业页",IF(L676="博客A-知识教程","写知识教程/FAQ文章",IF(L676="博客B-场景人群","写场景需求/选购指南文章",IF(L676="博客C-对比评测","写对比评测/榜单文章","暂不做或人工复核")))))</x:f>
        <x:v>建/优化主站商业页</x:v>
      </x:c>
      <x:c r="AC676" s="9" t="str">
        <x:v>All Products - ExDivo</x:v>
      </x:c>
      <x:c r="AD676" s="10" t="str">
        <x:v>all products</x:v>
      </x:c>
    </x:row>
    <x:row r="677">
      <x:c r="A677" s="34" t="n">
        <x:v>677</x:v>
      </x:c>
      <x:c r="B677" s="9" t="str">
        <x:v>https://exdivo.com/collections/all?page=5</x:v>
      </x:c>
      <x:c r="C677" s="9" t="str">
        <x:v>exdivo vape brand</x:v>
      </x:c>
      <x:c r="D677" s="9" t="str">
        <x:v>recommended</x:v>
      </x:c>
      <x:c r="E677" s="36" t="n">
        <x:v>0</x:v>
      </x:c>
      <x:c r="F677" s="36" t="n">
        <x:v>0</x:v>
      </x:c>
      <x:c r="G677" s="9" t="str">
        <x:v>48</x:v>
      </x:c>
      <x:c r="H677" s="9" t="str">
        <x:v>对比评测</x:v>
      </x:c>
      <x:c r="I677" s="9" t="str">
        <x:v>商业调查词</x:v>
      </x:c>
      <x:c r="J677" s="9" t="str">
        <x:v>博客C-对比评测</x:v>
      </x:c>
      <x:c r="K677" s="9" t="str"/>
      <x:c r="L677" s="9" t="str">
        <x:f>IF(K677="",J677,K677)</x:f>
        <x:v>博客C-对比评测</x:v>
      </x:c>
      <x:c r="M677" s="9" t="str">
        <x:v>Best/Top/Review/VS/替代方案文章</x:v>
      </x:c>
      <x:c r="N677" s="9" t="str">
        <x:v>Best angle: exdivo vape brand - comparison, pros/cons, and which option fits different buyers</x:v>
      </x:c>
      <x:c r="O677" s="9" t="str">
        <x:v>/collections/disposable-vapes</x:v>
      </x:c>
      <x:c r="P677" s="9" t="str">
        <x:v>是</x:v>
      </x:c>
      <x:c r="Q677" s="9" t="str">
        <x:v>自然句/品类词/品牌词</x:v>
      </x:c>
      <x:c r="R677" s="9" t="str">
        <x:v>中风险：榜单和评测必须真实、中立，避免夸大</x:v>
      </x:c>
      <x:c r="S677" s="9" t="str">
        <x:v>这类词不直接给主站，先用博客C教育和比较，再导流到最相关集合页。</x:v>
      </x:c>
      <x:c r="T677" s="38" t="n">
        <x:v>1</x:v>
      </x:c>
      <x:c r="U677" s="38" t="n">
        <x:v>15</x:v>
      </x:c>
      <x:c r="V677" s="38" t="n">
        <x:v>16</x:v>
      </x:c>
      <x:c r="W677" s="38" t="n">
        <x:v>15</x:v>
      </x:c>
      <x:c r="X677" s="38" t="n">
        <x:v>13</x:v>
      </x:c>
      <x:c r="Y677" s="38" t="n">
        <x:v>6</x:v>
      </x:c>
      <x:c r="Z677" s="38" t="n">
        <x:f>MAX(0,MIN(100,ROUND(((T677+U677+V677+W677+X677)-Y677)/85*100,0)))</x:f>
        <x:v>64</x:v>
      </x:c>
      <x:c r="AA677" s="9" t="str">
        <x:f>IF(L677="暂不做","P3 暂缓",IF(Z677&gt;=75,"P0 本周做",IF(Z677&gt;=60,"P1 近期做",IF(Z677&gt;=45,"P2 备选","P3 暂缓"))))</x:f>
        <x:v>P1 近期做</x:v>
      </x:c>
      <x:c r="AB677" s="9" t="str">
        <x:f>IF(Y677&gt;=15,"先做合规/相关性复核，不建议直接商业导流",IF(L677="主站","建/优化主站商业页",IF(L677="博客A-知识教程","写知识教程/FAQ文章",IF(L677="博客B-场景人群","写场景需求/选购指南文章",IF(L677="博客C-对比评测","写对比评测/榜单文章","暂不做或人工复核")))))</x:f>
        <x:v>写对比评测/榜单文章</x:v>
      </x:c>
      <x:c r="AC677" s="9" t="str">
        <x:v>All Products - ExDivo</x:v>
      </x:c>
      <x:c r="AD677" s="10" t="str">
        <x:v>all products</x:v>
      </x:c>
    </x:row>
    <x:row r="678">
      <x:c r="A678" s="34" t="n">
        <x:v>678</x:v>
      </x:c>
      <x:c r="B678" s="9" t="str">
        <x:v>https://exdivo.com/collections/all?page=5</x:v>
      </x:c>
      <x:c r="C678" s="9" t="str">
        <x:v>exdivo vape kit</x:v>
      </x:c>
      <x:c r="D678" s="9" t="str">
        <x:v>recommended</x:v>
      </x:c>
      <x:c r="E678" s="36" t="n">
        <x:v>0</x:v>
      </x:c>
      <x:c r="F678" s="36" t="n">
        <x:v>0</x:v>
      </x:c>
      <x:c r="G678" s="9" t="str">
        <x:v>48</x:v>
      </x:c>
      <x:c r="H678" s="9" t="str">
        <x:v>General Vape</x:v>
      </x:c>
      <x:c r="I678" s="9" t="str">
        <x:v>品类承接词</x:v>
      </x:c>
      <x:c r="J678" s="9" t="str">
        <x:v>主站</x:v>
      </x:c>
      <x:c r="K678" s="9" t="str"/>
      <x:c r="L678" s="9" t="str">
        <x:f>IF(K678="",J678,K678)</x:f>
        <x:v>主站</x:v>
      </x:c>
      <x:c r="M678" s="9" t="str">
        <x:v>品类页/集合页 + FAQ内容块</x:v>
      </x:c>
      <x:c r="N678" s="9" t="str">
        <x:v>主站品类页：用产品集合 + 选购说明承接</x:v>
      </x:c>
      <x:c r="O678" s="9" t="str">
        <x:v>/collections/disposable-vapes</x:v>
      </x:c>
      <x:c r="P678" s="9" t="str">
        <x:v>不适用</x:v>
      </x:c>
      <x:c r="Q678" s="9" t="str">
        <x:v>主站页面自身承接</x:v>
      </x:c>
      <x:c r="R678" s="9" t="str">
        <x:v>核心品类词：主站优先，博客只做长尾解释，不直接抢同一词</x:v>
      </x:c>
      <x:c r="S678" s="9" t="str">
        <x:v>如果 Google 首页产品页和指南混合，主站页要加 FAQ、选购指南、对比模块。</x:v>
      </x:c>
      <x:c r="T678" s="38" t="n">
        <x:v>1</x:v>
      </x:c>
      <x:c r="U678" s="38" t="n">
        <x:v>15</x:v>
      </x:c>
      <x:c r="V678" s="38" t="n">
        <x:v>16</x:v>
      </x:c>
      <x:c r="W678" s="38" t="n">
        <x:v>8</x:v>
      </x:c>
      <x:c r="X678" s="38" t="n">
        <x:v>15</x:v>
      </x:c>
      <x:c r="Y678" s="38" t="n">
        <x:v>4</x:v>
      </x:c>
      <x:c r="Z678" s="38" t="n">
        <x:f>MAX(0,MIN(100,ROUND(((T678+U678+V678+W678+X678)-Y678)/85*100,0)))</x:f>
        <x:v>60</x:v>
      </x:c>
      <x:c r="AA678" s="9" t="str">
        <x:f>IF(L678="暂不做","P3 暂缓",IF(Z678&gt;=75,"P0 本周做",IF(Z678&gt;=60,"P1 近期做",IF(Z678&gt;=45,"P2 备选","P3 暂缓"))))</x:f>
        <x:v>P1 近期做</x:v>
      </x:c>
      <x:c r="AB678" s="9" t="str">
        <x:f>IF(Y678&gt;=15,"先做合规/相关性复核，不建议直接商业导流",IF(L678="主站","建/优化主站商业页",IF(L678="博客A-知识教程","写知识教程/FAQ文章",IF(L678="博客B-场景人群","写场景需求/选购指南文章",IF(L678="博客C-对比评测","写对比评测/榜单文章","暂不做或人工复核")))))</x:f>
        <x:v>建/优化主站商业页</x:v>
      </x:c>
      <x:c r="AC678" s="9" t="str">
        <x:v>All Products - ExDivo</x:v>
      </x:c>
      <x:c r="AD678" s="10" t="str">
        <x:v>all products</x:v>
      </x:c>
    </x:row>
    <x:row r="679">
      <x:c r="A679" s="34" t="n">
        <x:v>679</x:v>
      </x:c>
      <x:c r="B679" s="9" t="str">
        <x:v>https://exdivo.com/collections/all?page=5</x:v>
      </x:c>
      <x:c r="C679" s="9" t="str">
        <x:v>exdivo vape pods</x:v>
      </x:c>
      <x:c r="D679" s="9" t="str">
        <x:v>recommended</x:v>
      </x:c>
      <x:c r="E679" s="36" t="n">
        <x:v>0</x:v>
      </x:c>
      <x:c r="F679" s="36" t="n">
        <x:v>0</x:v>
      </x:c>
      <x:c r="G679" s="9" t="str">
        <x:v>48</x:v>
      </x:c>
      <x:c r="H679" s="9" t="str">
        <x:v>Pod Kit / Pod System</x:v>
      </x:c>
      <x:c r="I679" s="9" t="str">
        <x:v>品类承接词</x:v>
      </x:c>
      <x:c r="J679" s="9" t="str">
        <x:v>主站</x:v>
      </x:c>
      <x:c r="K679" s="9" t="str"/>
      <x:c r="L679" s="9" t="str">
        <x:f>IF(K679="",J679,K679)</x:f>
        <x:v>主站</x:v>
      </x:c>
      <x:c r="M679" s="9" t="str">
        <x:v>品类页/集合页 + FAQ内容块</x:v>
      </x:c>
      <x:c r="N679" s="9" t="str">
        <x:v>主站品类页：用产品集合 + 选购说明承接</x:v>
      </x:c>
      <x:c r="O679" s="9" t="str">
        <x:v>/collections/pod-kits</x:v>
      </x:c>
      <x:c r="P679" s="9" t="str">
        <x:v>不适用</x:v>
      </x:c>
      <x:c r="Q679" s="9" t="str">
        <x:v>主站页面自身承接</x:v>
      </x:c>
      <x:c r="R679" s="9" t="str">
        <x:v>核心品类词：主站优先，博客只做长尾解释，不直接抢同一词</x:v>
      </x:c>
      <x:c r="S679" s="9" t="str">
        <x:v>如果 Google 首页产品页和指南混合，主站页要加 FAQ、选购指南、对比模块。</x:v>
      </x:c>
      <x:c r="T679" s="38" t="n">
        <x:v>1</x:v>
      </x:c>
      <x:c r="U679" s="38" t="n">
        <x:v>15</x:v>
      </x:c>
      <x:c r="V679" s="38" t="n">
        <x:v>16</x:v>
      </x:c>
      <x:c r="W679" s="38" t="n">
        <x:v>8</x:v>
      </x:c>
      <x:c r="X679" s="38" t="n">
        <x:v>15</x:v>
      </x:c>
      <x:c r="Y679" s="38" t="n">
        <x:v>4</x:v>
      </x:c>
      <x:c r="Z679" s="38" t="n">
        <x:f>MAX(0,MIN(100,ROUND(((T679+U679+V679+W679+X679)-Y679)/85*100,0)))</x:f>
        <x:v>60</x:v>
      </x:c>
      <x:c r="AA679" s="9" t="str">
        <x:f>IF(L679="暂不做","P3 暂缓",IF(Z679&gt;=75,"P0 本周做",IF(Z679&gt;=60,"P1 近期做",IF(Z679&gt;=45,"P2 备选","P3 暂缓"))))</x:f>
        <x:v>P1 近期做</x:v>
      </x:c>
      <x:c r="AB679" s="9" t="str">
        <x:f>IF(Y679&gt;=15,"先做合规/相关性复核，不建议直接商业导流",IF(L679="主站","建/优化主站商业页",IF(L679="博客A-知识教程","写知识教程/FAQ文章",IF(L679="博客B-场景人群","写场景需求/选购指南文章",IF(L679="博客C-对比评测","写对比评测/榜单文章","暂不做或人工复核")))))</x:f>
        <x:v>建/优化主站商业页</x:v>
      </x:c>
      <x:c r="AC679" s="9" t="str">
        <x:v>All Products - ExDivo</x:v>
      </x:c>
      <x:c r="AD679" s="10" t="str">
        <x:v>all products</x:v>
      </x:c>
    </x:row>
    <x:row r="680">
      <x:c r="A680" s="34" t="n">
        <x:v>680</x:v>
      </x:c>
      <x:c r="B680" s="9" t="str">
        <x:v>https://exdivo.com/collections/all?page=5</x:v>
      </x:c>
      <x:c r="C680" s="9" t="str">
        <x:v>exdivo vape online</x:v>
      </x:c>
      <x:c r="D680" s="9" t="str">
        <x:v>recommended</x:v>
      </x:c>
      <x:c r="E680" s="36" t="n">
        <x:v>0</x:v>
      </x:c>
      <x:c r="F680" s="36" t="n">
        <x:v>0</x:v>
      </x:c>
      <x:c r="G680" s="9" t="str">
        <x:v>48</x:v>
      </x:c>
      <x:c r="H680" s="9" t="str">
        <x:v>购买交易</x:v>
      </x:c>
      <x:c r="I680" s="9" t="str">
        <x:v>交易词</x:v>
      </x:c>
      <x:c r="J680" s="9" t="str">
        <x:v>主站</x:v>
      </x:c>
      <x:c r="K680" s="9" t="str"/>
      <x:c r="L680" s="9" t="str">
        <x:f>IF(K680="",J680,K680)</x:f>
        <x:v>主站</x:v>
      </x:c>
      <x:c r="M680" s="9" t="str">
        <x:v>产品集合页/分类页/购买页</x:v>
      </x:c>
      <x:c r="N680" s="9" t="str">
        <x:v>主站商业页：标题围绕购买意图 + 品类 + 关键卖点</x:v>
      </x:c>
      <x:c r="O680" s="9" t="str">
        <x:v>/collections/disposable-vapes</x:v>
      </x:c>
      <x:c r="P680" s="9" t="str">
        <x:v>不适用</x:v>
      </x:c>
      <x:c r="Q680" s="9" t="str">
        <x:v>主站页面自身承接</x:v>
      </x:c>
      <x:c r="R680" s="9" t="str">
        <x:v>商业词：优先给主站，避免博客抢主站排名</x:v>
      </x:c>
      <x:c r="S680" s="9" t="str">
        <x:v>SERP 如为商品列表/品牌站/电商集合页，就建主站页面；若 SERP 全是教程，再拆支持文章。</x:v>
      </x:c>
      <x:c r="T680" s="38" t="n">
        <x:v>1</x:v>
      </x:c>
      <x:c r="U680" s="38" t="n">
        <x:v>15</x:v>
      </x:c>
      <x:c r="V680" s="38" t="n">
        <x:v>20</x:v>
      </x:c>
      <x:c r="W680" s="38" t="n">
        <x:v>7</x:v>
      </x:c>
      <x:c r="X680" s="38" t="n">
        <x:v>15</x:v>
      </x:c>
      <x:c r="Y680" s="38" t="n">
        <x:v>4</x:v>
      </x:c>
      <x:c r="Z680" s="38" t="n">
        <x:f>MAX(0,MIN(100,ROUND(((T680+U680+V680+W680+X680)-Y680)/85*100,0)))</x:f>
        <x:v>64</x:v>
      </x:c>
      <x:c r="AA680" s="9" t="str">
        <x:f>IF(L680="暂不做","P3 暂缓",IF(Z680&gt;=75,"P0 本周做",IF(Z680&gt;=60,"P1 近期做",IF(Z680&gt;=45,"P2 备选","P3 暂缓"))))</x:f>
        <x:v>P1 近期做</x:v>
      </x:c>
      <x:c r="AB680" s="9" t="str">
        <x:f>IF(Y680&gt;=15,"先做合规/相关性复核，不建议直接商业导流",IF(L680="主站","建/优化主站商业页",IF(L680="博客A-知识教程","写知识教程/FAQ文章",IF(L680="博客B-场景人群","写场景需求/选购指南文章",IF(L680="博客C-对比评测","写对比评测/榜单文章","暂不做或人工复核")))))</x:f>
        <x:v>建/优化主站商业页</x:v>
      </x:c>
      <x:c r="AC680" s="9" t="str">
        <x:v>All Products - ExDivo</x:v>
      </x:c>
      <x:c r="AD680" s="10" t="str">
        <x:v>all products</x:v>
      </x:c>
    </x:row>
    <x:row r="681">
      <x:c r="A681" s="34" t="n">
        <x:v>681</x:v>
      </x:c>
      <x:c r="B681" s="9" t="str">
        <x:v>https://exdivo.com/collections/all?page=5</x:v>
      </x:c>
      <x:c r="C681" s="9" t="str">
        <x:v>exdivo vape deals</x:v>
      </x:c>
      <x:c r="D681" s="9" t="str">
        <x:v>recommended</x:v>
      </x:c>
      <x:c r="E681" s="36" t="n">
        <x:v>0</x:v>
      </x:c>
      <x:c r="F681" s="36" t="n">
        <x:v>0</x:v>
      </x:c>
      <x:c r="G681" s="9" t="str">
        <x:v>48</x:v>
      </x:c>
      <x:c r="H681" s="9" t="str">
        <x:v>General Vape</x:v>
      </x:c>
      <x:c r="I681" s="9" t="str">
        <x:v>品类承接词</x:v>
      </x:c>
      <x:c r="J681" s="9" t="str">
        <x:v>主站</x:v>
      </x:c>
      <x:c r="K681" s="9" t="str"/>
      <x:c r="L681" s="9" t="str">
        <x:f>IF(K681="",J681,K681)</x:f>
        <x:v>主站</x:v>
      </x:c>
      <x:c r="M681" s="9" t="str">
        <x:v>品类页/集合页 + FAQ内容块</x:v>
      </x:c>
      <x:c r="N681" s="9" t="str">
        <x:v>主站品类页：用产品集合 + 选购说明承接</x:v>
      </x:c>
      <x:c r="O681" s="9" t="str">
        <x:v>/collections/disposable-vapes</x:v>
      </x:c>
      <x:c r="P681" s="9" t="str">
        <x:v>不适用</x:v>
      </x:c>
      <x:c r="Q681" s="9" t="str">
        <x:v>主站页面自身承接</x:v>
      </x:c>
      <x:c r="R681" s="9" t="str">
        <x:v>核心品类词：主站优先，博客只做长尾解释，不直接抢同一词</x:v>
      </x:c>
      <x:c r="S681" s="9" t="str">
        <x:v>如果 Google 首页产品页和指南混合，主站页要加 FAQ、选购指南、对比模块。</x:v>
      </x:c>
      <x:c r="T681" s="38" t="n">
        <x:v>1</x:v>
      </x:c>
      <x:c r="U681" s="38" t="n">
        <x:v>15</x:v>
      </x:c>
      <x:c r="V681" s="38" t="n">
        <x:v>16</x:v>
      </x:c>
      <x:c r="W681" s="38" t="n">
        <x:v>8</x:v>
      </x:c>
      <x:c r="X681" s="38" t="n">
        <x:v>15</x:v>
      </x:c>
      <x:c r="Y681" s="38" t="n">
        <x:v>4</x:v>
      </x:c>
      <x:c r="Z681" s="38" t="n">
        <x:f>MAX(0,MIN(100,ROUND(((T681+U681+V681+W681+X681)-Y681)/85*100,0)))</x:f>
        <x:v>60</x:v>
      </x:c>
      <x:c r="AA681" s="9" t="str">
        <x:f>IF(L681="暂不做","P3 暂缓",IF(Z681&gt;=75,"P0 本周做",IF(Z681&gt;=60,"P1 近期做",IF(Z681&gt;=45,"P2 备选","P3 暂缓"))))</x:f>
        <x:v>P1 近期做</x:v>
      </x:c>
      <x:c r="AB681" s="9" t="str">
        <x:f>IF(Y681&gt;=15,"先做合规/相关性复核，不建议直接商业导流",IF(L681="主站","建/优化主站商业页",IF(L681="博客A-知识教程","写知识教程/FAQ文章",IF(L681="博客B-场景人群","写场景需求/选购指南文章",IF(L681="博客C-对比评测","写对比评测/榜单文章","暂不做或人工复核")))))</x:f>
        <x:v>建/优化主站商业页</x:v>
      </x:c>
      <x:c r="AC681" s="9" t="str">
        <x:v>All Products - ExDivo</x:v>
      </x:c>
      <x:c r="AD681" s="10" t="str">
        <x:v>all products</x:v>
      </x:c>
    </x:row>
    <x:row r="682">
      <x:c r="A682" s="34" t="n">
        <x:v>682</x:v>
      </x:c>
      <x:c r="B682" s="9" t="str">
        <x:v>https://exdivo.com/collections/all?page=5</x:v>
      </x:c>
      <x:c r="C682" s="9" t="str">
        <x:v>exdivo vape shop</x:v>
      </x:c>
      <x:c r="D682" s="9" t="str">
        <x:v>recommended</x:v>
      </x:c>
      <x:c r="E682" s="36" t="n">
        <x:v>0</x:v>
      </x:c>
      <x:c r="F682" s="36" t="n">
        <x:v>0</x:v>
      </x:c>
      <x:c r="G682" s="9" t="str">
        <x:v>48</x:v>
      </x:c>
      <x:c r="H682" s="9" t="str">
        <x:v>购买交易</x:v>
      </x:c>
      <x:c r="I682" s="9" t="str">
        <x:v>交易词</x:v>
      </x:c>
      <x:c r="J682" s="9" t="str">
        <x:v>主站</x:v>
      </x:c>
      <x:c r="K682" s="9" t="str"/>
      <x:c r="L682" s="9" t="str">
        <x:f>IF(K682="",J682,K682)</x:f>
        <x:v>主站</x:v>
      </x:c>
      <x:c r="M682" s="9" t="str">
        <x:v>产品集合页/分类页/购买页</x:v>
      </x:c>
      <x:c r="N682" s="9" t="str">
        <x:v>主站商业页：标题围绕购买意图 + 品类 + 关键卖点</x:v>
      </x:c>
      <x:c r="O682" s="9" t="str">
        <x:v>/collections/disposable-vapes</x:v>
      </x:c>
      <x:c r="P682" s="9" t="str">
        <x:v>不适用</x:v>
      </x:c>
      <x:c r="Q682" s="9" t="str">
        <x:v>主站页面自身承接</x:v>
      </x:c>
      <x:c r="R682" s="9" t="str">
        <x:v>商业词：优先给主站，避免博客抢主站排名</x:v>
      </x:c>
      <x:c r="S682" s="9" t="str">
        <x:v>SERP 如为商品列表/品牌站/电商集合页，就建主站页面；若 SERP 全是教程，再拆支持文章。</x:v>
      </x:c>
      <x:c r="T682" s="38" t="n">
        <x:v>1</x:v>
      </x:c>
      <x:c r="U682" s="38" t="n">
        <x:v>15</x:v>
      </x:c>
      <x:c r="V682" s="38" t="n">
        <x:v>20</x:v>
      </x:c>
      <x:c r="W682" s="38" t="n">
        <x:v>7</x:v>
      </x:c>
      <x:c r="X682" s="38" t="n">
        <x:v>15</x:v>
      </x:c>
      <x:c r="Y682" s="38" t="n">
        <x:v>4</x:v>
      </x:c>
      <x:c r="Z682" s="38" t="n">
        <x:f>MAX(0,MIN(100,ROUND(((T682+U682+V682+W682+X682)-Y682)/85*100,0)))</x:f>
        <x:v>64</x:v>
      </x:c>
      <x:c r="AA682" s="9" t="str">
        <x:f>IF(L682="暂不做","P3 暂缓",IF(Z682&gt;=75,"P0 本周做",IF(Z682&gt;=60,"P1 近期做",IF(Z682&gt;=45,"P2 备选","P3 暂缓"))))</x:f>
        <x:v>P1 近期做</x:v>
      </x:c>
      <x:c r="AB682" s="9" t="str">
        <x:f>IF(Y682&gt;=15,"先做合规/相关性复核，不建议直接商业导流",IF(L682="主站","建/优化主站商业页",IF(L682="博客A-知识教程","写知识教程/FAQ文章",IF(L682="博客B-场景人群","写场景需求/选购指南文章",IF(L682="博客C-对比评测","写对比评测/榜单文章","暂不做或人工复核")))))</x:f>
        <x:v>建/优化主站商业页</x:v>
      </x:c>
      <x:c r="AC682" s="9" t="str">
        <x:v>All Products - ExDivo</x:v>
      </x:c>
      <x:c r="AD682" s="10" t="str">
        <x:v>all products</x:v>
      </x:c>
    </x:row>
    <x:row r="683">
      <x:c r="A683" s="34" t="n">
        <x:v>683</x:v>
      </x:c>
      <x:c r="B683" s="9" t="str">
        <x:v>https://exdivo.com/collections/all?page=5</x:v>
      </x:c>
      <x:c r="C683" s="9" t="str">
        <x:v>exdivo vape models</x:v>
      </x:c>
      <x:c r="D683" s="9" t="str">
        <x:v>recommended</x:v>
      </x:c>
      <x:c r="E683" s="36" t="n">
        <x:v>0</x:v>
      </x:c>
      <x:c r="F683" s="36" t="n">
        <x:v>0</x:v>
      </x:c>
      <x:c r="G683" s="9" t="str">
        <x:v>48</x:v>
      </x:c>
      <x:c r="H683" s="9" t="str">
        <x:v>General Vape</x:v>
      </x:c>
      <x:c r="I683" s="9" t="str">
        <x:v>品类承接词</x:v>
      </x:c>
      <x:c r="J683" s="9" t="str">
        <x:v>主站</x:v>
      </x:c>
      <x:c r="K683" s="9" t="str"/>
      <x:c r="L683" s="9" t="str">
        <x:f>IF(K683="",J683,K683)</x:f>
        <x:v>主站</x:v>
      </x:c>
      <x:c r="M683" s="9" t="str">
        <x:v>品类页/集合页 + FAQ内容块</x:v>
      </x:c>
      <x:c r="N683" s="9" t="str">
        <x:v>主站品类页：用产品集合 + 选购说明承接</x:v>
      </x:c>
      <x:c r="O683" s="9" t="str">
        <x:v>/collections/disposable-vapes</x:v>
      </x:c>
      <x:c r="P683" s="9" t="str">
        <x:v>不适用</x:v>
      </x:c>
      <x:c r="Q683" s="9" t="str">
        <x:v>主站页面自身承接</x:v>
      </x:c>
      <x:c r="R683" s="9" t="str">
        <x:v>核心品类词：主站优先，博客只做长尾解释，不直接抢同一词</x:v>
      </x:c>
      <x:c r="S683" s="9" t="str">
        <x:v>如果 Google 首页产品页和指南混合，主站页要加 FAQ、选购指南、对比模块。</x:v>
      </x:c>
      <x:c r="T683" s="38" t="n">
        <x:v>1</x:v>
      </x:c>
      <x:c r="U683" s="38" t="n">
        <x:v>15</x:v>
      </x:c>
      <x:c r="V683" s="38" t="n">
        <x:v>16</x:v>
      </x:c>
      <x:c r="W683" s="38" t="n">
        <x:v>8</x:v>
      </x:c>
      <x:c r="X683" s="38" t="n">
        <x:v>15</x:v>
      </x:c>
      <x:c r="Y683" s="38" t="n">
        <x:v>4</x:v>
      </x:c>
      <x:c r="Z683" s="38" t="n">
        <x:f>MAX(0,MIN(100,ROUND(((T683+U683+V683+W683+X683)-Y683)/85*100,0)))</x:f>
        <x:v>60</x:v>
      </x:c>
      <x:c r="AA683" s="9" t="str">
        <x:f>IF(L683="暂不做","P3 暂缓",IF(Z683&gt;=75,"P0 本周做",IF(Z683&gt;=60,"P1 近期做",IF(Z683&gt;=45,"P2 备选","P3 暂缓"))))</x:f>
        <x:v>P1 近期做</x:v>
      </x:c>
      <x:c r="AB683" s="9" t="str">
        <x:f>IF(Y683&gt;=15,"先做合规/相关性复核，不建议直接商业导流",IF(L683="主站","建/优化主站商业页",IF(L683="博客A-知识教程","写知识教程/FAQ文章",IF(L683="博客B-场景人群","写场景需求/选购指南文章",IF(L683="博客C-对比评测","写对比评测/榜单文章","暂不做或人工复核")))))</x:f>
        <x:v>建/优化主站商业页</x:v>
      </x:c>
      <x:c r="AC683" s="9" t="str">
        <x:v>All Products - ExDivo</x:v>
      </x:c>
      <x:c r="AD683" s="10" t="str">
        <x:v>all products</x:v>
      </x:c>
    </x:row>
    <x:row r="684">
      <x:c r="A684" s="34" t="n">
        <x:v>684</x:v>
      </x:c>
      <x:c r="B684" s="9" t="str">
        <x:v>https://exdivo.com/collections/all?page=5</x:v>
      </x:c>
      <x:c r="C684" s="9" t="str">
        <x:v>exdivo vape accessories</x:v>
      </x:c>
      <x:c r="D684" s="9" t="str">
        <x:v>recommended</x:v>
      </x:c>
      <x:c r="E684" s="36" t="n">
        <x:v>0</x:v>
      </x:c>
      <x:c r="F684" s="36" t="n">
        <x:v>0</x:v>
      </x:c>
      <x:c r="G684" s="9" t="str">
        <x:v>48</x:v>
      </x:c>
      <x:c r="H684" s="9" t="str">
        <x:v>General Vape</x:v>
      </x:c>
      <x:c r="I684" s="9" t="str">
        <x:v>品类承接词</x:v>
      </x:c>
      <x:c r="J684" s="9" t="str">
        <x:v>主站</x:v>
      </x:c>
      <x:c r="K684" s="9" t="str"/>
      <x:c r="L684" s="9" t="str">
        <x:f>IF(K684="",J684,K684)</x:f>
        <x:v>主站</x:v>
      </x:c>
      <x:c r="M684" s="9" t="str">
        <x:v>品类页/集合页 + FAQ内容块</x:v>
      </x:c>
      <x:c r="N684" s="9" t="str">
        <x:v>主站品类页：用产品集合 + 选购说明承接</x:v>
      </x:c>
      <x:c r="O684" s="9" t="str">
        <x:v>/collections/disposable-vapes</x:v>
      </x:c>
      <x:c r="P684" s="9" t="str">
        <x:v>不适用</x:v>
      </x:c>
      <x:c r="Q684" s="9" t="str">
        <x:v>主站页面自身承接</x:v>
      </x:c>
      <x:c r="R684" s="9" t="str">
        <x:v>核心品类词：主站优先，博客只做长尾解释，不直接抢同一词</x:v>
      </x:c>
      <x:c r="S684" s="9" t="str">
        <x:v>如果 Google 首页产品页和指南混合，主站页要加 FAQ、选购指南、对比模块。</x:v>
      </x:c>
      <x:c r="T684" s="38" t="n">
        <x:v>1</x:v>
      </x:c>
      <x:c r="U684" s="38" t="n">
        <x:v>15</x:v>
      </x:c>
      <x:c r="V684" s="38" t="n">
        <x:v>16</x:v>
      </x:c>
      <x:c r="W684" s="38" t="n">
        <x:v>8</x:v>
      </x:c>
      <x:c r="X684" s="38" t="n">
        <x:v>15</x:v>
      </x:c>
      <x:c r="Y684" s="38" t="n">
        <x:v>4</x:v>
      </x:c>
      <x:c r="Z684" s="38" t="n">
        <x:f>MAX(0,MIN(100,ROUND(((T684+U684+V684+W684+X684)-Y684)/85*100,0)))</x:f>
        <x:v>60</x:v>
      </x:c>
      <x:c r="AA684" s="9" t="str">
        <x:f>IF(L684="暂不做","P3 暂缓",IF(Z684&gt;=75,"P0 本周做",IF(Z684&gt;=60,"P1 近期做",IF(Z684&gt;=45,"P2 备选","P3 暂缓"))))</x:f>
        <x:v>P1 近期做</x:v>
      </x:c>
      <x:c r="AB684" s="9" t="str">
        <x:f>IF(Y684&gt;=15,"先做合规/相关性复核，不建议直接商业导流",IF(L684="主站","建/优化主站商业页",IF(L684="博客A-知识教程","写知识教程/FAQ文章",IF(L684="博客B-场景人群","写场景需求/选购指南文章",IF(L684="博客C-对比评测","写对比评测/榜单文章","暂不做或人工复核")))))</x:f>
        <x:v>建/优化主站商业页</x:v>
      </x:c>
      <x:c r="AC684" s="9" t="str">
        <x:v>All Products - ExDivo</x:v>
      </x:c>
      <x:c r="AD684" s="10" t="str">
        <x:v>all products</x:v>
      </x:c>
    </x:row>
    <x:row r="685">
      <x:c r="A685" s="34" t="n">
        <x:v>685</x:v>
      </x:c>
      <x:c r="B685" s="9" t="str">
        <x:v>48</x:v>
      </x:c>
      <x:c r="C685" s="9" t="str">
        <x:v>nexa ultra 50000 disposable vape</x:v>
      </x:c>
      <x:c r="D685" s="9" t="str">
        <x:v>recommended</x:v>
      </x:c>
      <x:c r="E685" s="36" t="n">
        <x:v>110</x:v>
      </x:c>
      <x:c r="F685" s="36" t="n">
        <x:v>0</x:v>
      </x:c>
      <x:c r="G685" s="9" t="str">
        <x:v>informational, commercial</x:v>
      </x:c>
      <x:c r="H685" s="9" t="str">
        <x:v>Disposable Vape</x:v>
      </x:c>
      <x:c r="I685" s="9" t="str">
        <x:v>品类承接词</x:v>
      </x:c>
      <x:c r="J685" s="9" t="str">
        <x:v>主站</x:v>
      </x:c>
      <x:c r="K685" s="9" t="str"/>
      <x:c r="L685" s="9" t="str">
        <x:f>IF(K685="",J685,K685)</x:f>
        <x:v>主站</x:v>
      </x:c>
      <x:c r="M685" s="9" t="str">
        <x:v>品类页/集合页 + FAQ内容块</x:v>
      </x:c>
      <x:c r="N685" s="9" t="str">
        <x:v>主站品类页：用产品集合 + 选购说明承接</x:v>
      </x:c>
      <x:c r="O685" s="9" t="str">
        <x:v>/collections/disposable-vapes</x:v>
      </x:c>
      <x:c r="P685" s="9" t="str">
        <x:v>不适用</x:v>
      </x:c>
      <x:c r="Q685" s="9" t="str">
        <x:v>主站页面自身承接</x:v>
      </x:c>
      <x:c r="R685" s="9" t="str">
        <x:v>核心品类词：主站优先，博客只做长尾解释，不直接抢同一词</x:v>
      </x:c>
      <x:c r="S685" s="9" t="str">
        <x:v>如果 Google 首页产品页和指南混合，主站页要加 FAQ、选购指南、对比模块。</x:v>
      </x:c>
      <x:c r="T685" s="38" t="n">
        <x:v>7</x:v>
      </x:c>
      <x:c r="U685" s="38" t="n">
        <x:v>15</x:v>
      </x:c>
      <x:c r="V685" s="38" t="n">
        <x:v>18</x:v>
      </x:c>
      <x:c r="W685" s="38" t="n">
        <x:v>8</x:v>
      </x:c>
      <x:c r="X685" s="38" t="n">
        <x:v>15</x:v>
      </x:c>
      <x:c r="Y685" s="38" t="n">
        <x:v>4</x:v>
      </x:c>
      <x:c r="Z685" s="38" t="n">
        <x:f>MAX(0,MIN(100,ROUND(((T685+U685+V685+W685+X685)-Y685)/85*100,0)))</x:f>
        <x:v>69</x:v>
      </x:c>
      <x:c r="AA685" s="9" t="str">
        <x:f>IF(L685="暂不做","P3 暂缓",IF(Z685&gt;=75,"P0 本周做",IF(Z685&gt;=60,"P1 近期做",IF(Z685&gt;=45,"P2 备选","P3 暂缓"))))</x:f>
        <x:v>P1 近期做</x:v>
      </x:c>
      <x:c r="AB685" s="9" t="str">
        <x:f>IF(Y685&gt;=15,"先做合规/相关性复核，不建议直接商业导流",IF(L685="主站","建/优化主站商业页",IF(L685="博客A-知识教程","写知识教程/FAQ文章",IF(L685="博客B-场景人群","写场景需求/选购指南文章",IF(L685="博客C-对比评测","写对比评测/榜单文章","暂不做或人工复核")))))</x:f>
        <x:v>建/优化主站商业页</x:v>
      </x:c>
      <x:c r="AC685" s="9" t="str">
        <x:v>nexa ultra 50000 disposable vape</x:v>
      </x:c>
      <x:c r="AD685" s="10" t="str">
        <x:v>48</x:v>
      </x:c>
    </x:row>
    <x:row r="686">
      <x:c r="A686" s="34" t="n">
        <x:v>686</x:v>
      </x:c>
      <x:c r="B686" s="9" t="str">
        <x:v>48</x:v>
      </x:c>
      <x:c r="C686" s="9" t="str">
        <x:v>nexa strawberry banana vape</x:v>
      </x:c>
      <x:c r="D686" s="9" t="str">
        <x:v>recommended</x:v>
      </x:c>
      <x:c r="E686" s="36" t="n">
        <x:v>40</x:v>
      </x:c>
      <x:c r="F686" s="36" t="n">
        <x:v>0</x:v>
      </x:c>
      <x:c r="G686" s="9" t="str">
        <x:v>informational, commercial</x:v>
      </x:c>
      <x:c r="H686" s="9" t="str">
        <x:v>合规科普</x:v>
      </x:c>
      <x:c r="I686" s="9" t="str">
        <x:v>合规/YMYL科普词</x:v>
      </x:c>
      <x:c r="J686" s="9" t="str">
        <x:v>博客A-知识教程</x:v>
      </x:c>
      <x:c r="K686" s="9" t="str"/>
      <x:c r="L686" s="9" t="str">
        <x:f>IF(K686="",J686,K686)</x:f>
        <x:v>博客A-知识教程</x:v>
      </x:c>
      <x:c r="M686" s="9" t="str">
        <x:v>合规/健康风险科普文章</x:v>
      </x:c>
      <x:c r="N686" s="9" t="str">
        <x:v>Guide angle: explain nexa strawberry banana vape, answer common questions, and avoid sales-first writing</x:v>
      </x:c>
      <x:c r="O686" s="9" t="str">
        <x:v>无商业内链</x:v>
      </x:c>
      <x:c r="P686" s="9" t="str">
        <x:v>否</x:v>
      </x:c>
      <x:c r="Q686" s="9" t="str">
        <x:v>不导流</x:v>
      </x:c>
      <x:c r="R686" s="9" t="str">
        <x:v>高风险：健康、戒烟、法律等 YMYL 主题，不写疗效承诺，不直接卖货</x:v>
      </x:c>
      <x:c r="S686" s="9" t="str">
        <x:v>需要引用权威资料，语气中立；如果不能做到合规审核，暂缓。</x:v>
      </x:c>
      <x:c r="T686" s="38" t="n">
        <x:v>4</x:v>
      </x:c>
      <x:c r="U686" s="38" t="n">
        <x:v>15</x:v>
      </x:c>
      <x:c r="V686" s="38" t="n">
        <x:v>4</x:v>
      </x:c>
      <x:c r="W686" s="38" t="n">
        <x:v>10</x:v>
      </x:c>
      <x:c r="X686" s="38" t="n">
        <x:v>8</x:v>
      </x:c>
      <x:c r="Y686" s="38" t="n">
        <x:v>15</x:v>
      </x:c>
      <x:c r="Z686" s="38" t="n">
        <x:f>MAX(0,MIN(100,ROUND(((T686+U686+V686+W686+X686)-Y686)/85*100,0)))</x:f>
        <x:v>31</x:v>
      </x:c>
      <x:c r="AA686" s="9" t="str">
        <x:f>IF(L686="暂不做","P3 暂缓",IF(Z686&gt;=75,"P0 本周做",IF(Z686&gt;=60,"P1 近期做",IF(Z686&gt;=45,"P2 备选","P3 暂缓"))))</x:f>
        <x:v>P3 暂缓</x:v>
      </x:c>
      <x:c r="AB686" s="9" t="str">
        <x:f>IF(Y686&gt;=15,"先做合规/相关性复核，不建议直接商业导流",IF(L686="主站","建/优化主站商业页",IF(L686="博客A-知识教程","写知识教程/FAQ文章",IF(L686="博客B-场景人群","写场景需求/选购指南文章",IF(L686="博客C-对比评测","写对比评测/榜单文章","暂不做或人工复核")))))</x:f>
        <x:v>先做合规/相关性复核，不建议直接商业导流</x:v>
      </x:c>
      <x:c r="AC686" s="9" t="str">
        <x:v>nexa ultra 50000 disposable vape</x:v>
      </x:c>
      <x:c r="AD686" s="10" t="str">
        <x:v>48</x:v>
      </x:c>
    </x:row>
    <x:row r="687">
      <x:c r="A687" s="34" t="n">
        <x:v>687</x:v>
      </x:c>
      <x:c r="B687" s="9" t="str">
        <x:v>48</x:v>
      </x:c>
      <x:c r="C687" s="9" t="str">
        <x:v>foger vape pods</x:v>
      </x:c>
      <x:c r="D687" s="9" t="str">
        <x:v>recommended</x:v>
      </x:c>
      <x:c r="E687" s="36" t="n">
        <x:v>2400</x:v>
      </x:c>
      <x:c r="F687" s="36" t="n">
        <x:v>7</x:v>
      </x:c>
      <x:c r="G687" s="9" t="str">
        <x:v>informational</x:v>
      </x:c>
      <x:c r="H687" s="9" t="str">
        <x:v>Pod Kit / Pod System</x:v>
      </x:c>
      <x:c r="I687" s="9" t="str">
        <x:v>品类承接词</x:v>
      </x:c>
      <x:c r="J687" s="9" t="str">
        <x:v>主站</x:v>
      </x:c>
      <x:c r="K687" s="9" t="str"/>
      <x:c r="L687" s="9" t="str">
        <x:f>IF(K687="",J687,K687)</x:f>
        <x:v>主站</x:v>
      </x:c>
      <x:c r="M687" s="9" t="str">
        <x:v>品类页/集合页 + FAQ内容块</x:v>
      </x:c>
      <x:c r="N687" s="9" t="str">
        <x:v>主站品类页：用产品集合 + 选购说明承接</x:v>
      </x:c>
      <x:c r="O687" s="9" t="str">
        <x:v>/collections/pod-kits</x:v>
      </x:c>
      <x:c r="P687" s="9" t="str">
        <x:v>不适用</x:v>
      </x:c>
      <x:c r="Q687" s="9" t="str">
        <x:v>主站页面自身承接</x:v>
      </x:c>
      <x:c r="R687" s="9" t="str">
        <x:v>核心品类词：主站优先，博客只做长尾解释，不直接抢同一词</x:v>
      </x:c>
      <x:c r="S687" s="9" t="str">
        <x:v>如果 Google 首页产品页和指南混合，主站页要加 FAQ、选购指南、对比模块。</x:v>
      </x:c>
      <x:c r="T687" s="38" t="n">
        <x:v>13</x:v>
      </x:c>
      <x:c r="U687" s="38" t="n">
        <x:v>15</x:v>
      </x:c>
      <x:c r="V687" s="38" t="n">
        <x:v>16</x:v>
      </x:c>
      <x:c r="W687" s="38" t="n">
        <x:v>8</x:v>
      </x:c>
      <x:c r="X687" s="38" t="n">
        <x:v>15</x:v>
      </x:c>
      <x:c r="Y687" s="38" t="n">
        <x:v>4</x:v>
      </x:c>
      <x:c r="Z687" s="38" t="n">
        <x:f>MAX(0,MIN(100,ROUND(((T687+U687+V687+W687+X687)-Y687)/85*100,0)))</x:f>
        <x:v>74</x:v>
      </x:c>
      <x:c r="AA687" s="9" t="str">
        <x:f>IF(L687="暂不做","P3 暂缓",IF(Z687&gt;=75,"P0 本周做",IF(Z687&gt;=60,"P1 近期做",IF(Z687&gt;=45,"P2 备选","P3 暂缓"))))</x:f>
        <x:v>P1 近期做</x:v>
      </x:c>
      <x:c r="AB687" s="9" t="str">
        <x:f>IF(Y687&gt;=15,"先做合规/相关性复核，不建议直接商业导流",IF(L687="主站","建/优化主站商业页",IF(L687="博客A-知识教程","写知识教程/FAQ文章",IF(L687="博客B-场景人群","写场景需求/选购指南文章",IF(L687="博客C-对比评测","写对比评测/榜单文章","暂不做或人工复核")))))</x:f>
        <x:v>建/优化主站商业页</x:v>
      </x:c>
      <x:c r="AC687" s="9" t="str">
        <x:v>foger vape pods</x:v>
      </x:c>
      <x:c r="AD687" s="10" t="str">
        <x:v>48</x:v>
      </x:c>
    </x:row>
    <x:row r="688">
      <x:c r="A688" s="34" t="n">
        <x:v>688</x:v>
      </x:c>
      <x:c r="B688" s="9" t="str">
        <x:v>48</x:v>
      </x:c>
      <x:c r="C688" s="9" t="str">
        <x:v>fogger vape pods</x:v>
      </x:c>
      <x:c r="D688" s="9" t="str">
        <x:v>recommended</x:v>
      </x:c>
      <x:c r="E688" s="36" t="n">
        <x:v>320</x:v>
      </x:c>
      <x:c r="F688" s="36" t="n">
        <x:v>6</x:v>
      </x:c>
      <x:c r="G688" s="9" t="str">
        <x:v>informational</x:v>
      </x:c>
      <x:c r="H688" s="9" t="str">
        <x:v>Pod Kit / Pod System</x:v>
      </x:c>
      <x:c r="I688" s="9" t="str">
        <x:v>品类承接词</x:v>
      </x:c>
      <x:c r="J688" s="9" t="str">
        <x:v>主站</x:v>
      </x:c>
      <x:c r="K688" s="9" t="str"/>
      <x:c r="L688" s="9" t="str">
        <x:f>IF(K688="",J688,K688)</x:f>
        <x:v>主站</x:v>
      </x:c>
      <x:c r="M688" s="9" t="str">
        <x:v>品类页/集合页 + FAQ内容块</x:v>
      </x:c>
      <x:c r="N688" s="9" t="str">
        <x:v>主站品类页：用产品集合 + 选购说明承接</x:v>
      </x:c>
      <x:c r="O688" s="9" t="str">
        <x:v>/collections/pod-kits</x:v>
      </x:c>
      <x:c r="P688" s="9" t="str">
        <x:v>不适用</x:v>
      </x:c>
      <x:c r="Q688" s="9" t="str">
        <x:v>主站页面自身承接</x:v>
      </x:c>
      <x:c r="R688" s="9" t="str">
        <x:v>核心品类词：主站优先，博客只做长尾解释，不直接抢同一词</x:v>
      </x:c>
      <x:c r="S688" s="9" t="str">
        <x:v>如果 Google 首页产品页和指南混合，主站页要加 FAQ、选购指南、对比模块。</x:v>
      </x:c>
      <x:c r="T688" s="38" t="n">
        <x:v>7</x:v>
      </x:c>
      <x:c r="U688" s="38" t="n">
        <x:v>15</x:v>
      </x:c>
      <x:c r="V688" s="38" t="n">
        <x:v>16</x:v>
      </x:c>
      <x:c r="W688" s="38" t="n">
        <x:v>8</x:v>
      </x:c>
      <x:c r="X688" s="38" t="n">
        <x:v>15</x:v>
      </x:c>
      <x:c r="Y688" s="38" t="n">
        <x:v>4</x:v>
      </x:c>
      <x:c r="Z688" s="38" t="n">
        <x:f>MAX(0,MIN(100,ROUND(((T688+U688+V688+W688+X688)-Y688)/85*100,0)))</x:f>
        <x:v>67</x:v>
      </x:c>
      <x:c r="AA688" s="9" t="str">
        <x:f>IF(L688="暂不做","P3 暂缓",IF(Z688&gt;=75,"P0 本周做",IF(Z688&gt;=60,"P1 近期做",IF(Z688&gt;=45,"P2 备选","P3 暂缓"))))</x:f>
        <x:v>P1 近期做</x:v>
      </x:c>
      <x:c r="AB688" s="9" t="str">
        <x:f>IF(Y688&gt;=15,"先做合规/相关性复核，不建议直接商业导流",IF(L688="主站","建/优化主站商业页",IF(L688="博客A-知识教程","写知识教程/FAQ文章",IF(L688="博客B-场景人群","写场景需求/选购指南文章",IF(L688="博客C-对比评测","写对比评测/榜单文章","暂不做或人工复核")))))</x:f>
        <x:v>建/优化主站商业页</x:v>
      </x:c>
      <x:c r="AC688" s="9" t="str">
        <x:v>foger vape pods</x:v>
      </x:c>
      <x:c r="AD688" s="10" t="str">
        <x:v>48</x:v>
      </x:c>
    </x:row>
    <x:row r="689">
      <x:c r="A689" s="34" t="n">
        <x:v>689</x:v>
      </x:c>
      <x:c r="B689" s="9" t="str">
        <x:v>48</x:v>
      </x:c>
      <x:c r="C689" s="9" t="str">
        <x:v>foger vape flavors ranked</x:v>
      </x:c>
      <x:c r="D689" s="9" t="str">
        <x:v>recommended</x:v>
      </x:c>
      <x:c r="E689" s="36" t="n">
        <x:v>140</x:v>
      </x:c>
      <x:c r="F689" s="36" t="n">
        <x:v>0</x:v>
      </x:c>
      <x:c r="G689" s="9" t="str">
        <x:v>commercial</x:v>
      </x:c>
      <x:c r="H689" s="9" t="str">
        <x:v>Flavor / 口味</x:v>
      </x:c>
      <x:c r="I689" s="9" t="str">
        <x:v>品类承接词</x:v>
      </x:c>
      <x:c r="J689" s="9" t="str">
        <x:v>主站</x:v>
      </x:c>
      <x:c r="K689" s="9" t="str"/>
      <x:c r="L689" s="9" t="str">
        <x:f>IF(K689="",J689,K689)</x:f>
        <x:v>主站</x:v>
      </x:c>
      <x:c r="M689" s="9" t="str">
        <x:v>品类页/集合页 + FAQ内容块</x:v>
      </x:c>
      <x:c r="N689" s="9" t="str">
        <x:v>主站品类页：用产品集合 + 选购说明承接</x:v>
      </x:c>
      <x:c r="O689" s="9" t="str">
        <x:v>/collections/flavored-disposable-vapes</x:v>
      </x:c>
      <x:c r="P689" s="9" t="str">
        <x:v>不适用</x:v>
      </x:c>
      <x:c r="Q689" s="9" t="str">
        <x:v>主站页面自身承接</x:v>
      </x:c>
      <x:c r="R689" s="9" t="str">
        <x:v>核心品类词：主站优先，博客只做长尾解释，不直接抢同一词</x:v>
      </x:c>
      <x:c r="S689" s="9" t="str">
        <x:v>如果 Google 首页产品页和指南混合，主站页要加 FAQ、选购指南、对比模块。</x:v>
      </x:c>
      <x:c r="T689" s="38" t="n">
        <x:v>7</x:v>
      </x:c>
      <x:c r="U689" s="38" t="n">
        <x:v>15</x:v>
      </x:c>
      <x:c r="V689" s="38" t="n">
        <x:v>18</x:v>
      </x:c>
      <x:c r="W689" s="38" t="n">
        <x:v>8</x:v>
      </x:c>
      <x:c r="X689" s="38" t="n">
        <x:v>15</x:v>
      </x:c>
      <x:c r="Y689" s="38" t="n">
        <x:v>4</x:v>
      </x:c>
      <x:c r="Z689" s="38" t="n">
        <x:f>MAX(0,MIN(100,ROUND(((T689+U689+V689+W689+X689)-Y689)/85*100,0)))</x:f>
        <x:v>69</x:v>
      </x:c>
      <x:c r="AA689" s="9" t="str">
        <x:f>IF(L689="暂不做","P3 暂缓",IF(Z689&gt;=75,"P0 本周做",IF(Z689&gt;=60,"P1 近期做",IF(Z689&gt;=45,"P2 备选","P3 暂缓"))))</x:f>
        <x:v>P1 近期做</x:v>
      </x:c>
      <x:c r="AB689" s="9" t="str">
        <x:f>IF(Y689&gt;=15,"先做合规/相关性复核，不建议直接商业导流",IF(L689="主站","建/优化主站商业页",IF(L689="博客A-知识教程","写知识教程/FAQ文章",IF(L689="博客B-场景人群","写场景需求/选购指南文章",IF(L689="博客C-对比评测","写对比评测/榜单文章","暂不做或人工复核")))))</x:f>
        <x:v>建/优化主站商业页</x:v>
      </x:c>
      <x:c r="AC689" s="9" t="str">
        <x:v>foger vape pods</x:v>
      </x:c>
      <x:c r="AD689" s="10" t="str">
        <x:v>48</x:v>
      </x:c>
    </x:row>
    <x:row r="690">
      <x:c r="A690" s="34" t="n">
        <x:v>690</x:v>
      </x:c>
      <x:c r="B690" s="9" t="str">
        <x:v>48</x:v>
      </x:c>
      <x:c r="C690" s="9" t="str">
        <x:v>foger vape refill pods</x:v>
      </x:c>
      <x:c r="D690" s="9" t="str">
        <x:v>recommended</x:v>
      </x:c>
      <x:c r="E690" s="36" t="n">
        <x:v>140</x:v>
      </x:c>
      <x:c r="F690" s="36" t="n">
        <x:v>2</x:v>
      </x:c>
      <x:c r="G690" s="9" t="str">
        <x:v>informational</x:v>
      </x:c>
      <x:c r="H690" s="9" t="str">
        <x:v>Pod Kit / Pod System</x:v>
      </x:c>
      <x:c r="I690" s="9" t="str">
        <x:v>知识/教程词</x:v>
      </x:c>
      <x:c r="J690" s="9" t="str">
        <x:v>博客A-知识教程</x:v>
      </x:c>
      <x:c r="K690" s="9" t="str"/>
      <x:c r="L690" s="9" t="str">
        <x:f>IF(K690="",J690,K690)</x:f>
        <x:v>博客A-知识教程</x:v>
      </x:c>
      <x:c r="M690" s="9" t="str">
        <x:v>百科/How-to/FAQ文章</x:v>
      </x:c>
      <x:c r="N690" s="9" t="str">
        <x:v>Guide angle: explain foger vape refill pods, answer common questions, and avoid sales-first writing</x:v>
      </x:c>
      <x:c r="O690" s="9" t="str">
        <x:v>/collections/pod-kits</x:v>
      </x:c>
      <x:c r="P690" s="9" t="str">
        <x:v>谨慎</x:v>
      </x:c>
      <x:c r="Q690" s="9" t="str">
        <x:v>自然句/品牌词</x:v>
      </x:c>
      <x:c r="R690" s="9" t="str">
        <x:v>低中风险：先满足信息意图，导流要克制</x:v>
      </x:c>
      <x:c r="S690" s="9" t="str">
        <x:v>如果文章能自然回答下一步购买问题，再放 1 个主站内链；否则只做知识闭环。</x:v>
      </x:c>
      <x:c r="T690" s="38" t="n">
        <x:v>7</x:v>
      </x:c>
      <x:c r="U690" s="38" t="n">
        <x:v>15</x:v>
      </x:c>
      <x:c r="V690" s="38" t="n">
        <x:v>9</x:v>
      </x:c>
      <x:c r="W690" s="38" t="n">
        <x:v>14</x:v>
      </x:c>
      <x:c r="X690" s="38" t="n">
        <x:v>12</x:v>
      </x:c>
      <x:c r="Y690" s="38" t="n">
        <x:v>5</x:v>
      </x:c>
      <x:c r="Z690" s="38" t="n">
        <x:f>MAX(0,MIN(100,ROUND(((T690+U690+V690+W690+X690)-Y690)/85*100,0)))</x:f>
        <x:v>61</x:v>
      </x:c>
      <x:c r="AA690" s="9" t="str">
        <x:f>IF(L690="暂不做","P3 暂缓",IF(Z690&gt;=75,"P0 本周做",IF(Z690&gt;=60,"P1 近期做",IF(Z690&gt;=45,"P2 备选","P3 暂缓"))))</x:f>
        <x:v>P1 近期做</x:v>
      </x:c>
      <x:c r="AB690" s="9" t="str">
        <x:f>IF(Y690&gt;=15,"先做合规/相关性复核，不建议直接商业导流",IF(L690="主站","建/优化主站商业页",IF(L690="博客A-知识教程","写知识教程/FAQ文章",IF(L690="博客B-场景人群","写场景需求/选购指南文章",IF(L690="博客C-对比评测","写对比评测/榜单文章","暂不做或人工复核")))))</x:f>
        <x:v>写知识教程/FAQ文章</x:v>
      </x:c>
      <x:c r="AC690" s="9" t="str">
        <x:v>foger vape pods</x:v>
      </x:c>
      <x:c r="AD690" s="10" t="str">
        <x:v>48</x:v>
      </x:c>
    </x:row>
    <x:row r="691">
      <x:c r="A691" s="34" t="n">
        <x:v>691</x:v>
      </x:c>
      <x:c r="B691" s="9" t="str">
        <x:v>48</x:v>
      </x:c>
      <x:c r="C691" s="9" t="str">
        <x:v>foger vape reviews</x:v>
      </x:c>
      <x:c r="D691" s="9" t="str">
        <x:v>recommended</x:v>
      </x:c>
      <x:c r="E691" s="36" t="n">
        <x:v>140</x:v>
      </x:c>
      <x:c r="F691" s="36" t="n">
        <x:v>5</x:v>
      </x:c>
      <x:c r="G691" s="9" t="str">
        <x:v>commercial</x:v>
      </x:c>
      <x:c r="H691" s="9" t="str">
        <x:v>对比评测</x:v>
      </x:c>
      <x:c r="I691" s="9" t="str">
        <x:v>商业调查词</x:v>
      </x:c>
      <x:c r="J691" s="9" t="str">
        <x:v>博客C-对比评测</x:v>
      </x:c>
      <x:c r="K691" s="9" t="str"/>
      <x:c r="L691" s="9" t="str">
        <x:f>IF(K691="",J691,K691)</x:f>
        <x:v>博客C-对比评测</x:v>
      </x:c>
      <x:c r="M691" s="9" t="str">
        <x:v>Best/Top/Review/VS/替代方案文章</x:v>
      </x:c>
      <x:c r="N691" s="9" t="str">
        <x:v>Best angle: foger vape reviews - comparison, pros/cons, and which option fits different buyers</x:v>
      </x:c>
      <x:c r="O691" s="9" t="str">
        <x:v>/collections/disposable-vapes</x:v>
      </x:c>
      <x:c r="P691" s="9" t="str">
        <x:v>是</x:v>
      </x:c>
      <x:c r="Q691" s="9" t="str">
        <x:v>自然句/品类词/品牌词</x:v>
      </x:c>
      <x:c r="R691" s="9" t="str">
        <x:v>中风险：榜单和评测必须真实、中立，避免夸大</x:v>
      </x:c>
      <x:c r="S691" s="9" t="str">
        <x:v>这类词不直接给主站，先用博客C教育和比较，再导流到最相关集合页。</x:v>
      </x:c>
      <x:c r="T691" s="38" t="n">
        <x:v>7</x:v>
      </x:c>
      <x:c r="U691" s="38" t="n">
        <x:v>15</x:v>
      </x:c>
      <x:c r="V691" s="38" t="n">
        <x:v>16</x:v>
      </x:c>
      <x:c r="W691" s="38" t="n">
        <x:v>15</x:v>
      </x:c>
      <x:c r="X691" s="38" t="n">
        <x:v>13</x:v>
      </x:c>
      <x:c r="Y691" s="38" t="n">
        <x:v>6</x:v>
      </x:c>
      <x:c r="Z691" s="38" t="n">
        <x:f>MAX(0,MIN(100,ROUND(((T691+U691+V691+W691+X691)-Y691)/85*100,0)))</x:f>
        <x:v>71</x:v>
      </x:c>
      <x:c r="AA691" s="9" t="str">
        <x:f>IF(L691="暂不做","P3 暂缓",IF(Z691&gt;=75,"P0 本周做",IF(Z691&gt;=60,"P1 近期做",IF(Z691&gt;=45,"P2 备选","P3 暂缓"))))</x:f>
        <x:v>P1 近期做</x:v>
      </x:c>
      <x:c r="AB691" s="9" t="str">
        <x:f>IF(Y691&gt;=15,"先做合规/相关性复核，不建议直接商业导流",IF(L691="主站","建/优化主站商业页",IF(L691="博客A-知识教程","写知识教程/FAQ文章",IF(L691="博客B-场景人群","写场景需求/选购指南文章",IF(L691="博客C-对比评测","写对比评测/榜单文章","暂不做或人工复核")))))</x:f>
        <x:v>写对比评测/榜单文章</x:v>
      </x:c>
      <x:c r="AC691" s="9" t="str">
        <x:v>foger vape pods</x:v>
      </x:c>
      <x:c r="AD691" s="10" t="str">
        <x:v>48</x:v>
      </x:c>
    </x:row>
    <x:row r="692">
      <x:c r="A692" s="34" t="n">
        <x:v>692</x:v>
      </x:c>
      <x:c r="B692" s="9" t="str">
        <x:v>48</x:v>
      </x:c>
      <x:c r="C692" s="9" t="str">
        <x:v>sour apple ice foger</x:v>
      </x:c>
      <x:c r="D692" s="9" t="str">
        <x:v>recommended</x:v>
      </x:c>
      <x:c r="E692" s="36" t="n">
        <x:v>110</x:v>
      </x:c>
      <x:c r="F692" s="36" t="n">
        <x:v>2</x:v>
      </x:c>
      <x:c r="G692" s="9" t="str">
        <x:v>informational, commercial</x:v>
      </x:c>
      <x:c r="H692" s="9" t="str">
        <x:v>General Vape</x:v>
      </x:c>
      <x:c r="I692" s="9" t="str">
        <x:v>知识/教程词</x:v>
      </x:c>
      <x:c r="J692" s="9" t="str">
        <x:v>博客A-知识教程</x:v>
      </x:c>
      <x:c r="K692" s="9" t="str"/>
      <x:c r="L692" s="9" t="str">
        <x:f>IF(K692="",J692,K692)</x:f>
        <x:v>博客A-知识教程</x:v>
      </x:c>
      <x:c r="M692" s="9" t="str">
        <x:v>百科/How-to/FAQ文章</x:v>
      </x:c>
      <x:c r="N692" s="9" t="str">
        <x:v>Guide angle: explain sour apple ice foger, answer common questions, and avoid sales-first writing</x:v>
      </x:c>
      <x:c r="O692" s="9" t="str">
        <x:v>/collections/disposable-vapes</x:v>
      </x:c>
      <x:c r="P692" s="9" t="str">
        <x:v>谨慎</x:v>
      </x:c>
      <x:c r="Q692" s="9" t="str">
        <x:v>自然句/品牌词</x:v>
      </x:c>
      <x:c r="R692" s="9" t="str">
        <x:v>低中风险：先满足信息意图，导流要克制</x:v>
      </x:c>
      <x:c r="S692" s="9" t="str">
        <x:v>如果文章能自然回答下一步购买问题，再放 1 个主站内链；否则只做知识闭环。</x:v>
      </x:c>
      <x:c r="T692" s="38" t="n">
        <x:v>7</x:v>
      </x:c>
      <x:c r="U692" s="38" t="n">
        <x:v>15</x:v>
      </x:c>
      <x:c r="V692" s="38" t="n">
        <x:v>9</x:v>
      </x:c>
      <x:c r="W692" s="38" t="n">
        <x:v>14</x:v>
      </x:c>
      <x:c r="X692" s="38" t="n">
        <x:v>12</x:v>
      </x:c>
      <x:c r="Y692" s="38" t="n">
        <x:v>5</x:v>
      </x:c>
      <x:c r="Z692" s="38" t="n">
        <x:f>MAX(0,MIN(100,ROUND(((T692+U692+V692+W692+X692)-Y692)/85*100,0)))</x:f>
        <x:v>61</x:v>
      </x:c>
      <x:c r="AA692" s="9" t="str">
        <x:f>IF(L692="暂不做","P3 暂缓",IF(Z692&gt;=75,"P0 本周做",IF(Z692&gt;=60,"P1 近期做",IF(Z692&gt;=45,"P2 备选","P3 暂缓"))))</x:f>
        <x:v>P1 近期做</x:v>
      </x:c>
      <x:c r="AB692" s="9" t="str">
        <x:f>IF(Y692&gt;=15,"先做合规/相关性复核，不建议直接商业导流",IF(L692="主站","建/优化主站商业页",IF(L692="博客A-知识教程","写知识教程/FAQ文章",IF(L692="博客B-场景人群","写场景需求/选购指南文章",IF(L692="博客C-对比评测","写对比评测/榜单文章","暂不做或人工复核")))))</x:f>
        <x:v>写知识教程/FAQ文章</x:v>
      </x:c>
      <x:c r="AC692" s="9" t="str">
        <x:v>foger vape pods</x:v>
      </x:c>
      <x:c r="AD692" s="10" t="str">
        <x:v>48</x:v>
      </x:c>
    </x:row>
    <x:row r="693">
      <x:c r="A693" s="34" t="n">
        <x:v>693</x:v>
      </x:c>
      <x:c r="B693" s="9" t="str">
        <x:v>48</x:v>
      </x:c>
      <x:c r="C693" s="9" t="str">
        <x:v>fogger disposable vape flavors</x:v>
      </x:c>
      <x:c r="D693" s="9" t="str">
        <x:v>recommended</x:v>
      </x:c>
      <x:c r="E693" s="36" t="n">
        <x:v>70</x:v>
      </x:c>
      <x:c r="F693" s="36" t="n">
        <x:v>4</x:v>
      </x:c>
      <x:c r="G693" s="9" t="str">
        <x:v>commercial</x:v>
      </x:c>
      <x:c r="H693" s="9" t="str">
        <x:v>Disposable Vape</x:v>
      </x:c>
      <x:c r="I693" s="9" t="str">
        <x:v>品类承接词</x:v>
      </x:c>
      <x:c r="J693" s="9" t="str">
        <x:v>主站</x:v>
      </x:c>
      <x:c r="K693" s="9" t="str"/>
      <x:c r="L693" s="9" t="str">
        <x:f>IF(K693="",J693,K693)</x:f>
        <x:v>主站</x:v>
      </x:c>
      <x:c r="M693" s="9" t="str">
        <x:v>品类页/集合页 + FAQ内容块</x:v>
      </x:c>
      <x:c r="N693" s="9" t="str">
        <x:v>主站品类页：用产品集合 + 选购说明承接</x:v>
      </x:c>
      <x:c r="O693" s="9" t="str">
        <x:v>/collections/flavored-disposable-vapes</x:v>
      </x:c>
      <x:c r="P693" s="9" t="str">
        <x:v>不适用</x:v>
      </x:c>
      <x:c r="Q693" s="9" t="str">
        <x:v>主站页面自身承接</x:v>
      </x:c>
      <x:c r="R693" s="9" t="str">
        <x:v>核心品类词：主站优先，博客只做长尾解释，不直接抢同一词</x:v>
      </x:c>
      <x:c r="S693" s="9" t="str">
        <x:v>如果 Google 首页产品页和指南混合，主站页要加 FAQ、选购指南、对比模块。</x:v>
      </x:c>
      <x:c r="T693" s="38" t="n">
        <x:v>4</x:v>
      </x:c>
      <x:c r="U693" s="38" t="n">
        <x:v>15</x:v>
      </x:c>
      <x:c r="V693" s="38" t="n">
        <x:v>18</x:v>
      </x:c>
      <x:c r="W693" s="38" t="n">
        <x:v>8</x:v>
      </x:c>
      <x:c r="X693" s="38" t="n">
        <x:v>15</x:v>
      </x:c>
      <x:c r="Y693" s="38" t="n">
        <x:v>4</x:v>
      </x:c>
      <x:c r="Z693" s="38" t="n">
        <x:f>MAX(0,MIN(100,ROUND(((T693+U693+V693+W693+X693)-Y693)/85*100,0)))</x:f>
        <x:v>66</x:v>
      </x:c>
      <x:c r="AA693" s="9" t="str">
        <x:f>IF(L693="暂不做","P3 暂缓",IF(Z693&gt;=75,"P0 本周做",IF(Z693&gt;=60,"P1 近期做",IF(Z693&gt;=45,"P2 备选","P3 暂缓"))))</x:f>
        <x:v>P1 近期做</x:v>
      </x:c>
      <x:c r="AB693" s="9" t="str">
        <x:f>IF(Y693&gt;=15,"先做合规/相关性复核，不建议直接商业导流",IF(L693="主站","建/优化主站商业页",IF(L693="博客A-知识教程","写知识教程/FAQ文章",IF(L693="博客B-场景人群","写场景需求/选购指南文章",IF(L693="博客C-对比评测","写对比评测/榜单文章","暂不做或人工复核")))))</x:f>
        <x:v>建/优化主站商业页</x:v>
      </x:c>
      <x:c r="AC693" s="9" t="str">
        <x:v>foger vape pods</x:v>
      </x:c>
      <x:c r="AD693" s="10" t="str">
        <x:v>48</x:v>
      </x:c>
    </x:row>
    <x:row r="694">
      <x:c r="A694" s="34" t="n">
        <x:v>694</x:v>
      </x:c>
      <x:c r="B694" s="9" t="str">
        <x:v>48</x:v>
      </x:c>
      <x:c r="C694" s="9" t="str">
        <x:v>fogger vape refill kit</x:v>
      </x:c>
      <x:c r="D694" s="9" t="str">
        <x:v>recommended</x:v>
      </x:c>
      <x:c r="E694" s="36" t="n">
        <x:v>50</x:v>
      </x:c>
      <x:c r="F694" s="36" t="n">
        <x:v>0</x:v>
      </x:c>
      <x:c r="G694" s="9" t="str">
        <x:v>informational, commercial</x:v>
      </x:c>
      <x:c r="H694" s="9" t="str">
        <x:v>知识教程</x:v>
      </x:c>
      <x:c r="I694" s="9" t="str">
        <x:v>品类承接词</x:v>
      </x:c>
      <x:c r="J694" s="9" t="str">
        <x:v>主站</x:v>
      </x:c>
      <x:c r="K694" s="9" t="str"/>
      <x:c r="L694" s="9" t="str">
        <x:f>IF(K694="",J694,K694)</x:f>
        <x:v>主站</x:v>
      </x:c>
      <x:c r="M694" s="9" t="str">
        <x:v>品类页/集合页 + FAQ内容块</x:v>
      </x:c>
      <x:c r="N694" s="9" t="str">
        <x:v>主站品类页：用产品集合 + 选购说明承接</x:v>
      </x:c>
      <x:c r="O694" s="9" t="str">
        <x:v>/collections/disposable-vapes</x:v>
      </x:c>
      <x:c r="P694" s="9" t="str">
        <x:v>不适用</x:v>
      </x:c>
      <x:c r="Q694" s="9" t="str">
        <x:v>主站页面自身承接</x:v>
      </x:c>
      <x:c r="R694" s="9" t="str">
        <x:v>核心品类词：主站优先，博客只做长尾解释，不直接抢同一词</x:v>
      </x:c>
      <x:c r="S694" s="9" t="str">
        <x:v>如果 Google 首页产品页和指南混合，主站页要加 FAQ、选购指南、对比模块。</x:v>
      </x:c>
      <x:c r="T694" s="38" t="n">
        <x:v>4</x:v>
      </x:c>
      <x:c r="U694" s="38" t="n">
        <x:v>15</x:v>
      </x:c>
      <x:c r="V694" s="38" t="n">
        <x:v>18</x:v>
      </x:c>
      <x:c r="W694" s="38" t="n">
        <x:v>8</x:v>
      </x:c>
      <x:c r="X694" s="38" t="n">
        <x:v>15</x:v>
      </x:c>
      <x:c r="Y694" s="38" t="n">
        <x:v>4</x:v>
      </x:c>
      <x:c r="Z694" s="38" t="n">
        <x:f>MAX(0,MIN(100,ROUND(((T694+U694+V694+W694+X694)-Y694)/85*100,0)))</x:f>
        <x:v>66</x:v>
      </x:c>
      <x:c r="AA694" s="9" t="str">
        <x:f>IF(L694="暂不做","P3 暂缓",IF(Z694&gt;=75,"P0 本周做",IF(Z694&gt;=60,"P1 近期做",IF(Z694&gt;=45,"P2 备选","P3 暂缓"))))</x:f>
        <x:v>P1 近期做</x:v>
      </x:c>
      <x:c r="AB694" s="9" t="str">
        <x:f>IF(Y694&gt;=15,"先做合规/相关性复核，不建议直接商业导流",IF(L694="主站","建/优化主站商业页",IF(L694="博客A-知识教程","写知识教程/FAQ文章",IF(L694="博客B-场景人群","写场景需求/选购指南文章",IF(L694="博客C-对比评测","写对比评测/榜单文章","暂不做或人工复核")))))</x:f>
        <x:v>建/优化主站商业页</x:v>
      </x:c>
      <x:c r="AC694" s="9" t="str">
        <x:v>foger vape pods</x:v>
      </x:c>
      <x:c r="AD694" s="10" t="str">
        <x:v>48</x:v>
      </x:c>
    </x:row>
    <x:row r="695">
      <x:c r="A695" s="34" t="n">
        <x:v>695</x:v>
      </x:c>
      <x:c r="B695" s="9" t="str">
        <x:v>48</x:v>
      </x:c>
      <x:c r="C695" s="9" t="str">
        <x:v>foger disposable vape flavors</x:v>
      </x:c>
      <x:c r="D695" s="9" t="str">
        <x:v>recommended</x:v>
      </x:c>
      <x:c r="E695" s="36" t="n">
        <x:v>50</x:v>
      </x:c>
      <x:c r="F695" s="36" t="n">
        <x:v>0</x:v>
      </x:c>
      <x:c r="G695" s="9" t="str">
        <x:v>commercial</x:v>
      </x:c>
      <x:c r="H695" s="9" t="str">
        <x:v>Disposable Vape</x:v>
      </x:c>
      <x:c r="I695" s="9" t="str">
        <x:v>品类承接词</x:v>
      </x:c>
      <x:c r="J695" s="9" t="str">
        <x:v>主站</x:v>
      </x:c>
      <x:c r="K695" s="9" t="str"/>
      <x:c r="L695" s="9" t="str">
        <x:f>IF(K695="",J695,K695)</x:f>
        <x:v>主站</x:v>
      </x:c>
      <x:c r="M695" s="9" t="str">
        <x:v>品类页/集合页 + FAQ内容块</x:v>
      </x:c>
      <x:c r="N695" s="9" t="str">
        <x:v>主站品类页：用产品集合 + 选购说明承接</x:v>
      </x:c>
      <x:c r="O695" s="9" t="str">
        <x:v>/collections/flavored-disposable-vapes</x:v>
      </x:c>
      <x:c r="P695" s="9" t="str">
        <x:v>不适用</x:v>
      </x:c>
      <x:c r="Q695" s="9" t="str">
        <x:v>主站页面自身承接</x:v>
      </x:c>
      <x:c r="R695" s="9" t="str">
        <x:v>核心品类词：主站优先，博客只做长尾解释，不直接抢同一词</x:v>
      </x:c>
      <x:c r="S695" s="9" t="str">
        <x:v>如果 Google 首页产品页和指南混合，主站页要加 FAQ、选购指南、对比模块。</x:v>
      </x:c>
      <x:c r="T695" s="38" t="n">
        <x:v>4</x:v>
      </x:c>
      <x:c r="U695" s="38" t="n">
        <x:v>15</x:v>
      </x:c>
      <x:c r="V695" s="38" t="n">
        <x:v>18</x:v>
      </x:c>
      <x:c r="W695" s="38" t="n">
        <x:v>8</x:v>
      </x:c>
      <x:c r="X695" s="38" t="n">
        <x:v>15</x:v>
      </x:c>
      <x:c r="Y695" s="38" t="n">
        <x:v>4</x:v>
      </x:c>
      <x:c r="Z695" s="38" t="n">
        <x:f>MAX(0,MIN(100,ROUND(((T695+U695+V695+W695+X695)-Y695)/85*100,0)))</x:f>
        <x:v>66</x:v>
      </x:c>
      <x:c r="AA695" s="9" t="str">
        <x:f>IF(L695="暂不做","P3 暂缓",IF(Z695&gt;=75,"P0 本周做",IF(Z695&gt;=60,"P1 近期做",IF(Z695&gt;=45,"P2 备选","P3 暂缓"))))</x:f>
        <x:v>P1 近期做</x:v>
      </x:c>
      <x:c r="AB695" s="9" t="str">
        <x:f>IF(Y695&gt;=15,"先做合规/相关性复核，不建议直接商业导流",IF(L695="主站","建/优化主站商业页",IF(L695="博客A-知识教程","写知识教程/FAQ文章",IF(L695="博客B-场景人群","写场景需求/选购指南文章",IF(L695="博客C-对比评测","写对比评测/榜单文章","暂不做或人工复核")))))</x:f>
        <x:v>建/优化主站商业页</x:v>
      </x:c>
      <x:c r="AC695" s="9" t="str">
        <x:v>foger vape pods</x:v>
      </x:c>
      <x:c r="AD695" s="10" t="str">
        <x:v>48</x:v>
      </x:c>
    </x:row>
    <x:row r="696">
      <x:c r="A696" s="34" t="n">
        <x:v>696</x:v>
      </x:c>
      <x:c r="B696" s="9" t="str">
        <x:v>48</x:v>
      </x:c>
      <x:c r="C696" s="9" t="str">
        <x:v>fogger disposable vapes</x:v>
      </x:c>
      <x:c r="D696" s="9" t="str">
        <x:v>recommended</x:v>
      </x:c>
      <x:c r="E696" s="36" t="n">
        <x:v>70</x:v>
      </x:c>
      <x:c r="F696" s="36" t="n">
        <x:v>11</x:v>
      </x:c>
      <x:c r="G696" s="9" t="str">
        <x:v>informational, commercial</x:v>
      </x:c>
      <x:c r="H696" s="9" t="str">
        <x:v>Disposable Vape</x:v>
      </x:c>
      <x:c r="I696" s="9" t="str">
        <x:v>品类承接词</x:v>
      </x:c>
      <x:c r="J696" s="9" t="str">
        <x:v>主站</x:v>
      </x:c>
      <x:c r="K696" s="9" t="str"/>
      <x:c r="L696" s="9" t="str">
        <x:f>IF(K696="",J696,K696)</x:f>
        <x:v>主站</x:v>
      </x:c>
      <x:c r="M696" s="9" t="str">
        <x:v>品类页/集合页 + FAQ内容块</x:v>
      </x:c>
      <x:c r="N696" s="9" t="str">
        <x:v>主站品类页：用产品集合 + 选购说明承接</x:v>
      </x:c>
      <x:c r="O696" s="9" t="str">
        <x:v>/collections/disposable-vapes</x:v>
      </x:c>
      <x:c r="P696" s="9" t="str">
        <x:v>不适用</x:v>
      </x:c>
      <x:c r="Q696" s="9" t="str">
        <x:v>主站页面自身承接</x:v>
      </x:c>
      <x:c r="R696" s="9" t="str">
        <x:v>核心品类词：主站优先，博客只做长尾解释，不直接抢同一词</x:v>
      </x:c>
      <x:c r="S696" s="9" t="str">
        <x:v>如果 Google 首页产品页和指南混合，主站页要加 FAQ、选购指南、对比模块。</x:v>
      </x:c>
      <x:c r="T696" s="38" t="n">
        <x:v>4</x:v>
      </x:c>
      <x:c r="U696" s="38" t="n">
        <x:v>15</x:v>
      </x:c>
      <x:c r="V696" s="38" t="n">
        <x:v>18</x:v>
      </x:c>
      <x:c r="W696" s="38" t="n">
        <x:v>8</x:v>
      </x:c>
      <x:c r="X696" s="38" t="n">
        <x:v>15</x:v>
      </x:c>
      <x:c r="Y696" s="38" t="n">
        <x:v>4</x:v>
      </x:c>
      <x:c r="Z696" s="38" t="n">
        <x:f>MAX(0,MIN(100,ROUND(((T696+U696+V696+W696+X696)-Y696)/85*100,0)))</x:f>
        <x:v>66</x:v>
      </x:c>
      <x:c r="AA696" s="9" t="str">
        <x:f>IF(L696="暂不做","P3 暂缓",IF(Z696&gt;=75,"P0 本周做",IF(Z696&gt;=60,"P1 近期做",IF(Z696&gt;=45,"P2 备选","P3 暂缓"))))</x:f>
        <x:v>P1 近期做</x:v>
      </x:c>
      <x:c r="AB696" s="9" t="str">
        <x:f>IF(Y696&gt;=15,"先做合规/相关性复核，不建议直接商业导流",IF(L696="主站","建/优化主站商业页",IF(L696="博客A-知识教程","写知识教程/FAQ文章",IF(L696="博客B-场景人群","写场景需求/选购指南文章",IF(L696="博客C-对比评测","写对比评测/榜单文章","暂不做或人工复核")))))</x:f>
        <x:v>建/优化主站商业页</x:v>
      </x:c>
      <x:c r="AC696" s="9" t="str">
        <x:v>foger vape pods</x:v>
      </x:c>
      <x:c r="AD696" s="10" t="str">
        <x:v>48</x:v>
      </x:c>
    </x:row>
    <x:row r="697">
      <x:c r="A697" s="34" t="n">
        <x:v>697</x:v>
      </x:c>
      <x:c r="B697" s="9" t="str">
        <x:v>48</x:v>
      </x:c>
      <x:c r="C697" s="9" t="str">
        <x:v>how much does a vape pod cost</x:v>
      </x:c>
      <x:c r="D697" s="9" t="str">
        <x:v>recommended</x:v>
      </x:c>
      <x:c r="E697" s="36" t="n">
        <x:v>50</x:v>
      </x:c>
      <x:c r="F697" s="36" t="n">
        <x:v>11</x:v>
      </x:c>
      <x:c r="G697" s="9" t="str">
        <x:v>informational</x:v>
      </x:c>
      <x:c r="H697" s="9" t="str">
        <x:v>Pod Kit / Pod System</x:v>
      </x:c>
      <x:c r="I697" s="9" t="str">
        <x:v>知识/教程词</x:v>
      </x:c>
      <x:c r="J697" s="9" t="str">
        <x:v>博客A-知识教程</x:v>
      </x:c>
      <x:c r="K697" s="9" t="str"/>
      <x:c r="L697" s="9" t="str">
        <x:f>IF(K697="",J697,K697)</x:f>
        <x:v>博客A-知识教程</x:v>
      </x:c>
      <x:c r="M697" s="9" t="str">
        <x:v>百科/How-to/FAQ文章</x:v>
      </x:c>
      <x:c r="N697" s="9" t="str">
        <x:v>Guide angle: explain how much does a vape pod cost, answer common questions, and avoid sales-first writing</x:v>
      </x:c>
      <x:c r="O697" s="9" t="str">
        <x:v>/collections/pod-kits</x:v>
      </x:c>
      <x:c r="P697" s="9" t="str">
        <x:v>谨慎</x:v>
      </x:c>
      <x:c r="Q697" s="9" t="str">
        <x:v>自然句/品牌词</x:v>
      </x:c>
      <x:c r="R697" s="9" t="str">
        <x:v>低中风险：先满足信息意图，导流要克制</x:v>
      </x:c>
      <x:c r="S697" s="9" t="str">
        <x:v>如果文章能自然回答下一步购买问题，再放 1 个主站内链；否则只做知识闭环。</x:v>
      </x:c>
      <x:c r="T697" s="38" t="n">
        <x:v>4</x:v>
      </x:c>
      <x:c r="U697" s="38" t="n">
        <x:v>15</x:v>
      </x:c>
      <x:c r="V697" s="38" t="n">
        <x:v>9</x:v>
      </x:c>
      <x:c r="W697" s="38" t="n">
        <x:v>14</x:v>
      </x:c>
      <x:c r="X697" s="38" t="n">
        <x:v>12</x:v>
      </x:c>
      <x:c r="Y697" s="38" t="n">
        <x:v>5</x:v>
      </x:c>
      <x:c r="Z697" s="38" t="n">
        <x:f>MAX(0,MIN(100,ROUND(((T697+U697+V697+W697+X697)-Y697)/85*100,0)))</x:f>
        <x:v>58</x:v>
      </x:c>
      <x:c r="AA697" s="9" t="str">
        <x:f>IF(L697="暂不做","P3 暂缓",IF(Z697&gt;=75,"P0 本周做",IF(Z697&gt;=60,"P1 近期做",IF(Z697&gt;=45,"P2 备选","P3 暂缓"))))</x:f>
        <x:v>P2 备选</x:v>
      </x:c>
      <x:c r="AB697" s="9" t="str">
        <x:f>IF(Y697&gt;=15,"先做合规/相关性复核，不建议直接商业导流",IF(L697="主站","建/优化主站商业页",IF(L697="博客A-知识教程","写知识教程/FAQ文章",IF(L697="博客B-场景人群","写场景需求/选购指南文章",IF(L697="博客C-对比评测","写对比评测/榜单文章","暂不做或人工复核")))))</x:f>
        <x:v>写知识教程/FAQ文章</x:v>
      </x:c>
      <x:c r="AC697" s="9" t="str">
        <x:v>foger vape pods</x:v>
      </x:c>
      <x:c r="AD697" s="10" t="str">
        <x:v>48</x:v>
      </x:c>
    </x:row>
    <x:row r="698">
      <x:c r="A698" s="34" t="n">
        <x:v>698</x:v>
      </x:c>
      <x:c r="B698" s="9" t="str">
        <x:v>48</x:v>
      </x:c>
      <x:c r="C698" s="9" t="str">
        <x:v>foger vape refill</x:v>
      </x:c>
      <x:c r="D698" s="9" t="str">
        <x:v>recommended</x:v>
      </x:c>
      <x:c r="E698" s="36" t="n">
        <x:v>6600</x:v>
      </x:c>
      <x:c r="F698" s="36" t="n">
        <x:v>12</x:v>
      </x:c>
      <x:c r="G698" s="9" t="str">
        <x:v>informational</x:v>
      </x:c>
      <x:c r="H698" s="9" t="str">
        <x:v>知识教程</x:v>
      </x:c>
      <x:c r="I698" s="9" t="str">
        <x:v>品类承接词</x:v>
      </x:c>
      <x:c r="J698" s="9" t="str">
        <x:v>主站</x:v>
      </x:c>
      <x:c r="K698" s="9" t="str"/>
      <x:c r="L698" s="9" t="str">
        <x:f>IF(K698="",J698,K698)</x:f>
        <x:v>主站</x:v>
      </x:c>
      <x:c r="M698" s="9" t="str">
        <x:v>品类页/集合页 + FAQ内容块</x:v>
      </x:c>
      <x:c r="N698" s="9" t="str">
        <x:v>主站品类页：用产品集合 + 选购说明承接</x:v>
      </x:c>
      <x:c r="O698" s="9" t="str">
        <x:v>/collections/disposable-vapes</x:v>
      </x:c>
      <x:c r="P698" s="9" t="str">
        <x:v>不适用</x:v>
      </x:c>
      <x:c r="Q698" s="9" t="str">
        <x:v>主站页面自身承接</x:v>
      </x:c>
      <x:c r="R698" s="9" t="str">
        <x:v>核心品类词：主站优先，博客只做长尾解释，不直接抢同一词</x:v>
      </x:c>
      <x:c r="S698" s="9" t="str">
        <x:v>如果 Google 首页产品页和指南混合，主站页要加 FAQ、选购指南、对比模块。</x:v>
      </x:c>
      <x:c r="T698" s="38" t="n">
        <x:v>16</x:v>
      </x:c>
      <x:c r="U698" s="38" t="n">
        <x:v>15</x:v>
      </x:c>
      <x:c r="V698" s="38" t="n">
        <x:v>16</x:v>
      </x:c>
      <x:c r="W698" s="38" t="n">
        <x:v>8</x:v>
      </x:c>
      <x:c r="X698" s="38" t="n">
        <x:v>15</x:v>
      </x:c>
      <x:c r="Y698" s="38" t="n">
        <x:v>4</x:v>
      </x:c>
      <x:c r="Z698" s="38" t="n">
        <x:f>MAX(0,MIN(100,ROUND(((T698+U698+V698+W698+X698)-Y698)/85*100,0)))</x:f>
        <x:v>78</x:v>
      </x:c>
      <x:c r="AA698" s="9" t="str">
        <x:f>IF(L698="暂不做","P3 暂缓",IF(Z698&gt;=75,"P0 本周做",IF(Z698&gt;=60,"P1 近期做",IF(Z698&gt;=45,"P2 备选","P3 暂缓"))))</x:f>
        <x:v>P0 本周做</x:v>
      </x:c>
      <x:c r="AB698" s="9" t="str">
        <x:f>IF(Y698&gt;=15,"先做合规/相关性复核，不建议直接商业导流",IF(L698="主站","建/优化主站商业页",IF(L698="博客A-知识教程","写知识教程/FAQ文章",IF(L698="博客B-场景人群","写场景需求/选购指南文章",IF(L698="博客C-对比评测","写对比评测/榜单文章","暂不做或人工复核")))))</x:f>
        <x:v>建/优化主站商业页</x:v>
      </x:c>
      <x:c r="AC698" s="9" t="str">
        <x:v>foger vape pods</x:v>
      </x:c>
      <x:c r="AD698" s="10" t="str">
        <x:v>48</x:v>
      </x:c>
    </x:row>
    <x:row r="699">
      <x:c r="A699" s="34" t="n">
        <x:v>699</x:v>
      </x:c>
      <x:c r="B699" s="9" t="str">
        <x:v>48</x:v>
      </x:c>
      <x:c r="C699" s="9" t="str">
        <x:v>foger switch pro 30k disposable vape</x:v>
      </x:c>
      <x:c r="D699" s="9" t="str">
        <x:v>recommended</x:v>
      </x:c>
      <x:c r="E699" s="36" t="n">
        <x:v>2400</x:v>
      </x:c>
      <x:c r="F699" s="36" t="n">
        <x:v>8</x:v>
      </x:c>
      <x:c r="G699" s="9" t="str">
        <x:v>informational</x:v>
      </x:c>
      <x:c r="H699" s="9" t="str">
        <x:v>Disposable Vape</x:v>
      </x:c>
      <x:c r="I699" s="9" t="str">
        <x:v>知识/教程词</x:v>
      </x:c>
      <x:c r="J699" s="9" t="str">
        <x:v>博客A-知识教程</x:v>
      </x:c>
      <x:c r="K699" s="9" t="str"/>
      <x:c r="L699" s="9" t="str">
        <x:f>IF(K699="",J699,K699)</x:f>
        <x:v>博客A-知识教程</x:v>
      </x:c>
      <x:c r="M699" s="9" t="str">
        <x:v>百科/How-to/FAQ文章</x:v>
      </x:c>
      <x:c r="N699" s="9" t="str">
        <x:v>Guide angle: explain foger switch pro 30k disposable vape, answer common questions, and avoid sales-first writing</x:v>
      </x:c>
      <x:c r="O699" s="9" t="str">
        <x:v>/collections/disposable-vapes</x:v>
      </x:c>
      <x:c r="P699" s="9" t="str">
        <x:v>谨慎</x:v>
      </x:c>
      <x:c r="Q699" s="9" t="str">
        <x:v>自然句/品牌词</x:v>
      </x:c>
      <x:c r="R699" s="9" t="str">
        <x:v>低中风险：先满足信息意图，导流要克制</x:v>
      </x:c>
      <x:c r="S699" s="9" t="str">
        <x:v>如果文章能自然回答下一步购买问题，再放 1 个主站内链；否则只做知识闭环。</x:v>
      </x:c>
      <x:c r="T699" s="38" t="n">
        <x:v>13</x:v>
      </x:c>
      <x:c r="U699" s="38" t="n">
        <x:v>15</x:v>
      </x:c>
      <x:c r="V699" s="38" t="n">
        <x:v>9</x:v>
      </x:c>
      <x:c r="W699" s="38" t="n">
        <x:v>14</x:v>
      </x:c>
      <x:c r="X699" s="38" t="n">
        <x:v>12</x:v>
      </x:c>
      <x:c r="Y699" s="38" t="n">
        <x:v>5</x:v>
      </x:c>
      <x:c r="Z699" s="38" t="n">
        <x:f>MAX(0,MIN(100,ROUND(((T699+U699+V699+W699+X699)-Y699)/85*100,0)))</x:f>
        <x:v>68</x:v>
      </x:c>
      <x:c r="AA699" s="9" t="str">
        <x:f>IF(L699="暂不做","P3 暂缓",IF(Z699&gt;=75,"P0 本周做",IF(Z699&gt;=60,"P1 近期做",IF(Z699&gt;=45,"P2 备选","P3 暂缓"))))</x:f>
        <x:v>P1 近期做</x:v>
      </x:c>
      <x:c r="AB699" s="9" t="str">
        <x:f>IF(Y699&gt;=15,"先做合规/相关性复核，不建议直接商业导流",IF(L699="主站","建/优化主站商业页",IF(L699="博客A-知识教程","写知识教程/FAQ文章",IF(L699="博客B-场景人群","写场景需求/选购指南文章",IF(L699="博客C-对比评测","写对比评测/榜单文章","暂不做或人工复核")))))</x:f>
        <x:v>写知识教程/FAQ文章</x:v>
      </x:c>
      <x:c r="AC699" s="9" t="str">
        <x:v>foger vape pods</x:v>
      </x:c>
      <x:c r="AD699" s="10" t="str">
        <x:v>48</x:v>
      </x:c>
    </x:row>
    <x:row r="700">
      <x:c r="A700" s="34" t="n">
        <x:v>700</x:v>
      </x:c>
      <x:c r="B700" s="9" t="str">
        <x:v>48</x:v>
      </x:c>
      <x:c r="C700" s="9" t="str">
        <x:v>fogger vape refill</x:v>
      </x:c>
      <x:c r="D700" s="9" t="str">
        <x:v>recommended</x:v>
      </x:c>
      <x:c r="E700" s="36" t="n">
        <x:v>4400</x:v>
      </x:c>
      <x:c r="F700" s="36" t="n">
        <x:v>13</x:v>
      </x:c>
      <x:c r="G700" s="9" t="str">
        <x:v>informational</x:v>
      </x:c>
      <x:c r="H700" s="9" t="str">
        <x:v>知识教程</x:v>
      </x:c>
      <x:c r="I700" s="9" t="str">
        <x:v>品类承接词</x:v>
      </x:c>
      <x:c r="J700" s="9" t="str">
        <x:v>主站</x:v>
      </x:c>
      <x:c r="K700" s="9" t="str"/>
      <x:c r="L700" s="9" t="str">
        <x:f>IF(K700="",J700,K700)</x:f>
        <x:v>主站</x:v>
      </x:c>
      <x:c r="M700" s="9" t="str">
        <x:v>品类页/集合页 + FAQ内容块</x:v>
      </x:c>
      <x:c r="N700" s="9" t="str">
        <x:v>主站品类页：用产品集合 + 选购说明承接</x:v>
      </x:c>
      <x:c r="O700" s="9" t="str">
        <x:v>/collections/disposable-vapes</x:v>
      </x:c>
      <x:c r="P700" s="9" t="str">
        <x:v>不适用</x:v>
      </x:c>
      <x:c r="Q700" s="9" t="str">
        <x:v>主站页面自身承接</x:v>
      </x:c>
      <x:c r="R700" s="9" t="str">
        <x:v>核心品类词：主站优先，博客只做长尾解释，不直接抢同一词</x:v>
      </x:c>
      <x:c r="S700" s="9" t="str">
        <x:v>如果 Google 首页产品页和指南混合，主站页要加 FAQ、选购指南、对比模块。</x:v>
      </x:c>
      <x:c r="T700" s="38" t="n">
        <x:v>13</x:v>
      </x:c>
      <x:c r="U700" s="38" t="n">
        <x:v>15</x:v>
      </x:c>
      <x:c r="V700" s="38" t="n">
        <x:v>16</x:v>
      </x:c>
      <x:c r="W700" s="38" t="n">
        <x:v>8</x:v>
      </x:c>
      <x:c r="X700" s="38" t="n">
        <x:v>15</x:v>
      </x:c>
      <x:c r="Y700" s="38" t="n">
        <x:v>4</x:v>
      </x:c>
      <x:c r="Z700" s="38" t="n">
        <x:f>MAX(0,MIN(100,ROUND(((T700+U700+V700+W700+X700)-Y700)/85*100,0)))</x:f>
        <x:v>74</x:v>
      </x:c>
      <x:c r="AA700" s="9" t="str">
        <x:f>IF(L700="暂不做","P3 暂缓",IF(Z700&gt;=75,"P0 本周做",IF(Z700&gt;=60,"P1 近期做",IF(Z700&gt;=45,"P2 备选","P3 暂缓"))))</x:f>
        <x:v>P1 近期做</x:v>
      </x:c>
      <x:c r="AB700" s="9" t="str">
        <x:f>IF(Y700&gt;=15,"先做合规/相关性复核，不建议直接商业导流",IF(L700="主站","建/优化主站商业页",IF(L700="博客A-知识教程","写知识教程/FAQ文章",IF(L700="博客B-场景人群","写场景需求/选购指南文章",IF(L700="博客C-对比评测","写对比评测/榜单文章","暂不做或人工复核")))))</x:f>
        <x:v>建/优化主站商业页</x:v>
      </x:c>
      <x:c r="AC700" s="9" t="str">
        <x:v>foger vape pods</x:v>
      </x:c>
      <x:c r="AD700" s="10" t="str">
        <x:v>48</x:v>
      </x:c>
    </x:row>
    <x:row r="701">
      <x:c r="A701" s="34" t="n">
        <x:v>701</x:v>
      </x:c>
      <x:c r="B701" s="9" t="str">
        <x:v>48</x:v>
      </x:c>
      <x:c r="C701" s="9" t="str">
        <x:v>vape sales near me</x:v>
      </x:c>
      <x:c r="D701" s="9" t="str">
        <x:v>recommended</x:v>
      </x:c>
      <x:c r="E701" s="36" t="n">
        <x:v>70</x:v>
      </x:c>
      <x:c r="F701" s="36" t="n">
        <x:v>64</x:v>
      </x:c>
      <x:c r="G701" s="9" t="str">
        <x:v>transactional</x:v>
      </x:c>
      <x:c r="H701" s="9" t="str">
        <x:v>购买交易</x:v>
      </x:c>
      <x:c r="I701" s="9" t="str">
        <x:v>本地交易词</x:v>
      </x:c>
      <x:c r="J701" s="9" t="str">
        <x:v>暂不做</x:v>
      </x:c>
      <x:c r="K701" s="9" t="str"/>
      <x:c r="L701" s="9" t="str">
        <x:f>IF(K701="",J701,K701)</x:f>
        <x:v>暂不做</x:v>
      </x:c>
      <x:c r="M701" s="9" t="str">
        <x:v>除非有门店页，否则暂不做</x:v>
      </x:c>
      <x:c r="N701" s="9" t="str">
        <x:v>暂不进入博客生产</x:v>
      </x:c>
      <x:c r="O701" s="9" t="str">
        <x:v>门店/经销商页（若有）</x:v>
      </x:c>
      <x:c r="P701" s="9" t="str">
        <x:v>否</x:v>
      </x:c>
      <x:c r="Q701" s="9" t="str">
        <x:v>不导流</x:v>
      </x:c>
      <x:c r="R701" s="9" t="str">
        <x:v>匹配风险：near me 通常需要本地门店/地图结果，独立站难承接</x:v>
      </x:c>
      <x:c r="S701" s="9" t="str">
        <x:v>如果未来有经销商/门店查询页，可改为主站门店页。</x:v>
      </x:c>
      <x:c r="T701" s="38" t="n">
        <x:v>4</x:v>
      </x:c>
      <x:c r="U701" s="38" t="n">
        <x:v>3</x:v>
      </x:c>
      <x:c r="V701" s="38" t="n">
        <x:v>8</x:v>
      </x:c>
      <x:c r="W701" s="38" t="n">
        <x:v>4</x:v>
      </x:c>
      <x:c r="X701" s="38" t="n">
        <x:v>5</x:v>
      </x:c>
      <x:c r="Y701" s="38" t="n">
        <x:v>12</x:v>
      </x:c>
      <x:c r="Z701" s="38" t="n">
        <x:f>MAX(0,MIN(100,ROUND(((T701+U701+V701+W701+X701)-Y701)/85*100,0)))</x:f>
        <x:v>14</x:v>
      </x:c>
      <x:c r="AA701" s="9" t="str">
        <x:f>IF(L701="暂不做","P3 暂缓",IF(Z701&gt;=75,"P0 本周做",IF(Z701&gt;=60,"P1 近期做",IF(Z701&gt;=45,"P2 备选","P3 暂缓"))))</x:f>
        <x:v>P3 暂缓</x:v>
      </x:c>
      <x:c r="AB701" s="9" t="str">
        <x:f>IF(Y701&gt;=15,"先做合规/相关性复核，不建议直接商业导流",IF(L701="主站","建/优化主站商业页",IF(L701="博客A-知识教程","写知识教程/FAQ文章",IF(L701="博客B-场景人群","写场景需求/选购指南文章",IF(L701="博客C-对比评测","写对比评测/榜单文章","暂不做或人工复核")))))</x:f>
        <x:v>暂不做或人工复核</x:v>
      </x:c>
      <x:c r="AC701" s="9" t="str">
        <x:v>vape sales near me</x:v>
      </x:c>
      <x:c r="AD701" s="10" t="str">
        <x:v>48</x:v>
      </x:c>
    </x:row>
    <x:row r="702">
      <x:c r="A702" s="34" t="n">
        <x:v>702</x:v>
      </x:c>
      <x:c r="B702" s="9" t="str">
        <x:v>48</x:v>
      </x:c>
      <x:c r="C702" s="9" t="str">
        <x:v>nearest vape shop</x:v>
      </x:c>
      <x:c r="D702" s="9" t="str">
        <x:v>recommended</x:v>
      </x:c>
      <x:c r="E702" s="36" t="n">
        <x:v>2400</x:v>
      </x:c>
      <x:c r="F702" s="36" t="n">
        <x:v>63</x:v>
      </x:c>
      <x:c r="G702" s="9" t="str">
        <x:v>commercial</x:v>
      </x:c>
      <x:c r="H702" s="9" t="str">
        <x:v>购买交易</x:v>
      </x:c>
      <x:c r="I702" s="9" t="str">
        <x:v>交易词</x:v>
      </x:c>
      <x:c r="J702" s="9" t="str">
        <x:v>主站</x:v>
      </x:c>
      <x:c r="K702" s="9" t="str"/>
      <x:c r="L702" s="9" t="str">
        <x:f>IF(K702="",J702,K702)</x:f>
        <x:v>主站</x:v>
      </x:c>
      <x:c r="M702" s="9" t="str">
        <x:v>产品集合页/分类页/购买页</x:v>
      </x:c>
      <x:c r="N702" s="9" t="str">
        <x:v>主站商业页：标题围绕购买意图 + 品类 + 关键卖点</x:v>
      </x:c>
      <x:c r="O702" s="9" t="str">
        <x:v>/collections/disposable-vapes</x:v>
      </x:c>
      <x:c r="P702" s="9" t="str">
        <x:v>不适用</x:v>
      </x:c>
      <x:c r="Q702" s="9" t="str">
        <x:v>主站页面自身承接</x:v>
      </x:c>
      <x:c r="R702" s="9" t="str">
        <x:v>商业词：优先给主站，避免博客抢主站排名</x:v>
      </x:c>
      <x:c r="S702" s="9" t="str">
        <x:v>SERP 如为商品列表/品牌站/电商集合页，就建主站页面；若 SERP 全是教程，再拆支持文章。</x:v>
      </x:c>
      <x:c r="T702" s="38" t="n">
        <x:v>13</x:v>
      </x:c>
      <x:c r="U702" s="38" t="n">
        <x:v>3</x:v>
      </x:c>
      <x:c r="V702" s="38" t="n">
        <x:v>20</x:v>
      </x:c>
      <x:c r="W702" s="38" t="n">
        <x:v>7</x:v>
      </x:c>
      <x:c r="X702" s="38" t="n">
        <x:v>15</x:v>
      </x:c>
      <x:c r="Y702" s="38" t="n">
        <x:v>4</x:v>
      </x:c>
      <x:c r="Z702" s="38" t="n">
        <x:f>MAX(0,MIN(100,ROUND(((T702+U702+V702+W702+X702)-Y702)/85*100,0)))</x:f>
        <x:v>64</x:v>
      </x:c>
      <x:c r="AA702" s="9" t="str">
        <x:f>IF(L702="暂不做","P3 暂缓",IF(Z702&gt;=75,"P0 本周做",IF(Z702&gt;=60,"P1 近期做",IF(Z702&gt;=45,"P2 备选","P3 暂缓"))))</x:f>
        <x:v>P1 近期做</x:v>
      </x:c>
      <x:c r="AB702" s="9" t="str">
        <x:f>IF(Y702&gt;=15,"先做合规/相关性复核，不建议直接商业导流",IF(L702="主站","建/优化主站商业页",IF(L702="博客A-知识教程","写知识教程/FAQ文章",IF(L702="博客B-场景人群","写场景需求/选购指南文章",IF(L702="博客C-对比评测","写对比评测/榜单文章","暂不做或人工复核")))))</x:f>
        <x:v>建/优化主站商业页</x:v>
      </x:c>
      <x:c r="AC702" s="9" t="str">
        <x:v>vape sales near me</x:v>
      </x:c>
      <x:c r="AD702" s="10" t="str">
        <x:v>48</x:v>
      </x:c>
    </x:row>
    <x:row r="703">
      <x:c r="A703" s="34" t="n">
        <x:v>703</x:v>
      </x:c>
      <x:c r="B703" s="9" t="str">
        <x:v>48</x:v>
      </x:c>
      <x:c r="C703" s="9" t="str">
        <x:v>premium e cigs</x:v>
      </x:c>
      <x:c r="D703" s="9" t="str">
        <x:v>recommended</x:v>
      </x:c>
      <x:c r="E703" s="36" t="n">
        <x:v>40</x:v>
      </x:c>
      <x:c r="F703" s="36" t="n">
        <x:v>59</x:v>
      </x:c>
      <x:c r="G703" s="9" t="str">
        <x:v>commercial</x:v>
      </x:c>
      <x:c r="H703" s="9" t="str">
        <x:v>E-Cigarette</x:v>
      </x:c>
      <x:c r="I703" s="9" t="str">
        <x:v>品类承接词</x:v>
      </x:c>
      <x:c r="J703" s="9" t="str">
        <x:v>主站</x:v>
      </x:c>
      <x:c r="K703" s="9" t="str"/>
      <x:c r="L703" s="9" t="str">
        <x:f>IF(K703="",J703,K703)</x:f>
        <x:v>主站</x:v>
      </x:c>
      <x:c r="M703" s="9" t="str">
        <x:v>品类页/集合页 + FAQ内容块</x:v>
      </x:c>
      <x:c r="N703" s="9" t="str">
        <x:v>主站品类页：用产品集合 + 选购说明承接</x:v>
      </x:c>
      <x:c r="O703" s="9" t="str">
        <x:v>/collections/e-cigarettes</x:v>
      </x:c>
      <x:c r="P703" s="9" t="str">
        <x:v>不适用</x:v>
      </x:c>
      <x:c r="Q703" s="9" t="str">
        <x:v>主站页面自身承接</x:v>
      </x:c>
      <x:c r="R703" s="9" t="str">
        <x:v>核心品类词：主站优先，博客只做长尾解释，不直接抢同一词</x:v>
      </x:c>
      <x:c r="S703" s="9" t="str">
        <x:v>如果 Google 首页产品页和指南混合，主站页要加 FAQ、选购指南、对比模块。</x:v>
      </x:c>
      <x:c r="T703" s="38" t="n">
        <x:v>4</x:v>
      </x:c>
      <x:c r="U703" s="38" t="n">
        <x:v>6</x:v>
      </x:c>
      <x:c r="V703" s="38" t="n">
        <x:v>18</x:v>
      </x:c>
      <x:c r="W703" s="38" t="n">
        <x:v>8</x:v>
      </x:c>
      <x:c r="X703" s="38" t="n">
        <x:v>15</x:v>
      </x:c>
      <x:c r="Y703" s="38" t="n">
        <x:v>4</x:v>
      </x:c>
      <x:c r="Z703" s="38" t="n">
        <x:f>MAX(0,MIN(100,ROUND(((T703+U703+V703+W703+X703)-Y703)/85*100,0)))</x:f>
        <x:v>55</x:v>
      </x:c>
      <x:c r="AA703" s="9" t="str">
        <x:f>IF(L703="暂不做","P3 暂缓",IF(Z703&gt;=75,"P0 本周做",IF(Z703&gt;=60,"P1 近期做",IF(Z703&gt;=45,"P2 备选","P3 暂缓"))))</x:f>
        <x:v>P2 备选</x:v>
      </x:c>
      <x:c r="AB703" s="9" t="str">
        <x:f>IF(Y703&gt;=15,"先做合规/相关性复核，不建议直接商业导流",IF(L703="主站","建/优化主站商业页",IF(L703="博客A-知识教程","写知识教程/FAQ文章",IF(L703="博客B-场景人群","写场景需求/选购指南文章",IF(L703="博客C-对比评测","写对比评测/榜单文章","暂不做或人工复核")))))</x:f>
        <x:v>建/优化主站商业页</x:v>
      </x:c>
      <x:c r="AC703" s="9" t="str">
        <x:v>vape sales near me</x:v>
      </x:c>
      <x:c r="AD703" s="10" t="str">
        <x:v>48</x:v>
      </x:c>
    </x:row>
    <x:row r="704">
      <x:c r="A704" s="34" t="n">
        <x:v>704</x:v>
      </x:c>
      <x:c r="B704" s="9" t="str">
        <x:v>48</x:v>
      </x:c>
      <x:c r="C704" s="9" t="str">
        <x:v>peach jam vape</x:v>
      </x:c>
      <x:c r="D704" s="9" t="str">
        <x:v>recommended</x:v>
      </x:c>
      <x:c r="E704" s="36" t="n">
        <x:v>70</x:v>
      </x:c>
      <x:c r="F704" s="36" t="n">
        <x:v>0</x:v>
      </x:c>
      <x:c r="G704" s="9" t="str">
        <x:v>informational</x:v>
      </x:c>
      <x:c r="H704" s="9" t="str">
        <x:v>General Vape</x:v>
      </x:c>
      <x:c r="I704" s="9" t="str">
        <x:v>品类承接词</x:v>
      </x:c>
      <x:c r="J704" s="9" t="str">
        <x:v>主站</x:v>
      </x:c>
      <x:c r="K704" s="9" t="str"/>
      <x:c r="L704" s="9" t="str">
        <x:f>IF(K704="",J704,K704)</x:f>
        <x:v>主站</x:v>
      </x:c>
      <x:c r="M704" s="9" t="str">
        <x:v>品类页/集合页 + FAQ内容块</x:v>
      </x:c>
      <x:c r="N704" s="9" t="str">
        <x:v>主站品类页：用产品集合 + 选购说明承接</x:v>
      </x:c>
      <x:c r="O704" s="9" t="str">
        <x:v>/collections/disposable-vapes</x:v>
      </x:c>
      <x:c r="P704" s="9" t="str">
        <x:v>不适用</x:v>
      </x:c>
      <x:c r="Q704" s="9" t="str">
        <x:v>主站页面自身承接</x:v>
      </x:c>
      <x:c r="R704" s="9" t="str">
        <x:v>核心品类词：主站优先，博客只做长尾解释，不直接抢同一词</x:v>
      </x:c>
      <x:c r="S704" s="9" t="str">
        <x:v>如果 Google 首页产品页和指南混合，主站页要加 FAQ、选购指南、对比模块。</x:v>
      </x:c>
      <x:c r="T704" s="38" t="n">
        <x:v>4</x:v>
      </x:c>
      <x:c r="U704" s="38" t="n">
        <x:v>15</x:v>
      </x:c>
      <x:c r="V704" s="38" t="n">
        <x:v>16</x:v>
      </x:c>
      <x:c r="W704" s="38" t="n">
        <x:v>8</x:v>
      </x:c>
      <x:c r="X704" s="38" t="n">
        <x:v>15</x:v>
      </x:c>
      <x:c r="Y704" s="38" t="n">
        <x:v>4</x:v>
      </x:c>
      <x:c r="Z704" s="38" t="n">
        <x:f>MAX(0,MIN(100,ROUND(((T704+U704+V704+W704+X704)-Y704)/85*100,0)))</x:f>
        <x:v>64</x:v>
      </x:c>
      <x:c r="AA704" s="9" t="str">
        <x:f>IF(L704="暂不做","P3 暂缓",IF(Z704&gt;=75,"P0 本周做",IF(Z704&gt;=60,"P1 近期做",IF(Z704&gt;=45,"P2 备选","P3 暂缓"))))</x:f>
        <x:v>P1 近期做</x:v>
      </x:c>
      <x:c r="AB704" s="9" t="str">
        <x:f>IF(Y704&gt;=15,"先做合规/相关性复核，不建议直接商业导流",IF(L704="主站","建/优化主站商业页",IF(L704="博客A-知识教程","写知识教程/FAQ文章",IF(L704="博客B-场景人群","写场景需求/选购指南文章",IF(L704="博客C-对比评测","写对比评测/榜单文章","暂不做或人工复核")))))</x:f>
        <x:v>建/优化主站商业页</x:v>
      </x:c>
      <x:c r="AC704" s="9" t="str">
        <x:v>peach jam vape</x:v>
      </x:c>
      <x:c r="AD704" s="10" t="str">
        <x:v>48</x:v>
      </x:c>
    </x:row>
    <x:row r="705">
      <x:c r="A705" s="34" t="n">
        <x:v>705</x:v>
      </x:c>
      <x:c r="B705" s="9" t="str">
        <x:v>48</x:v>
      </x:c>
      <x:c r="C705" s="9" t="str">
        <x:v>pulse disposable vape</x:v>
      </x:c>
      <x:c r="D705" s="9" t="str">
        <x:v>recommended</x:v>
      </x:c>
      <x:c r="E705" s="36" t="n">
        <x:v>40</x:v>
      </x:c>
      <x:c r="F705" s="36" t="n">
        <x:v>16</x:v>
      </x:c>
      <x:c r="G705" s="9" t="str">
        <x:v>informational</x:v>
      </x:c>
      <x:c r="H705" s="9" t="str">
        <x:v>Disposable Vape</x:v>
      </x:c>
      <x:c r="I705" s="9" t="str">
        <x:v>品类承接词</x:v>
      </x:c>
      <x:c r="J705" s="9" t="str">
        <x:v>主站</x:v>
      </x:c>
      <x:c r="K705" s="9" t="str"/>
      <x:c r="L705" s="9" t="str">
        <x:f>IF(K705="",J705,K705)</x:f>
        <x:v>主站</x:v>
      </x:c>
      <x:c r="M705" s="9" t="str">
        <x:v>品类页/集合页 + FAQ内容块</x:v>
      </x:c>
      <x:c r="N705" s="9" t="str">
        <x:v>主站品类页：用产品集合 + 选购说明承接</x:v>
      </x:c>
      <x:c r="O705" s="9" t="str">
        <x:v>/collections/disposable-vapes</x:v>
      </x:c>
      <x:c r="P705" s="9" t="str">
        <x:v>不适用</x:v>
      </x:c>
      <x:c r="Q705" s="9" t="str">
        <x:v>主站页面自身承接</x:v>
      </x:c>
      <x:c r="R705" s="9" t="str">
        <x:v>核心品类词：主站优先，博客只做长尾解释，不直接抢同一词</x:v>
      </x:c>
      <x:c r="S705" s="9" t="str">
        <x:v>如果 Google 首页产品页和指南混合，主站页要加 FAQ、选购指南、对比模块。</x:v>
      </x:c>
      <x:c r="T705" s="38" t="n">
        <x:v>4</x:v>
      </x:c>
      <x:c r="U705" s="38" t="n">
        <x:v>12</x:v>
      </x:c>
      <x:c r="V705" s="38" t="n">
        <x:v>16</x:v>
      </x:c>
      <x:c r="W705" s="38" t="n">
        <x:v>8</x:v>
      </x:c>
      <x:c r="X705" s="38" t="n">
        <x:v>15</x:v>
      </x:c>
      <x:c r="Y705" s="38" t="n">
        <x:v>4</x:v>
      </x:c>
      <x:c r="Z705" s="38" t="n">
        <x:f>MAX(0,MIN(100,ROUND(((T705+U705+V705+W705+X705)-Y705)/85*100,0)))</x:f>
        <x:v>60</x:v>
      </x:c>
      <x:c r="AA705" s="9" t="str">
        <x:f>IF(L705="暂不做","P3 暂缓",IF(Z705&gt;=75,"P0 本周做",IF(Z705&gt;=60,"P1 近期做",IF(Z705&gt;=45,"P2 备选","P3 暂缓"))))</x:f>
        <x:v>P1 近期做</x:v>
      </x:c>
      <x:c r="AB705" s="9" t="str">
        <x:f>IF(Y705&gt;=15,"先做合规/相关性复核，不建议直接商业导流",IF(L705="主站","建/优化主站商业页",IF(L705="博客A-知识教程","写知识教程/FAQ文章",IF(L705="博客B-场景人群","写场景需求/选购指南文章",IF(L705="博客C-对比评测","写对比评测/榜单文章","暂不做或人工复核")))))</x:f>
        <x:v>建/优化主站商业页</x:v>
      </x:c>
      <x:c r="AC705" s="9" t="str">
        <x:v>peach jam vape</x:v>
      </x:c>
      <x:c r="AD705" s="10" t="str">
        <x:v>48</x:v>
      </x:c>
    </x:row>
    <x:row r="706">
      <x:c r="A706" s="34" t="n">
        <x:v>706</x:v>
      </x:c>
      <x:c r="B706" s="9" t="str">
        <x:v>48</x:v>
      </x:c>
      <x:c r="C706" s="9" t="str">
        <x:v>pulse vape</x:v>
      </x:c>
      <x:c r="D706" s="9" t="str">
        <x:v>recommended</x:v>
      </x:c>
      <x:c r="E706" s="36" t="n">
        <x:v>3600</x:v>
      </x:c>
      <x:c r="F706" s="36" t="n">
        <x:v>35</x:v>
      </x:c>
      <x:c r="G706" s="9" t="str">
        <x:v>informational</x:v>
      </x:c>
      <x:c r="H706" s="9" t="str">
        <x:v>General Vape</x:v>
      </x:c>
      <x:c r="I706" s="9" t="str">
        <x:v>品类承接词</x:v>
      </x:c>
      <x:c r="J706" s="9" t="str">
        <x:v>主站</x:v>
      </x:c>
      <x:c r="K706" s="9" t="str"/>
      <x:c r="L706" s="9" t="str">
        <x:f>IF(K706="",J706,K706)</x:f>
        <x:v>主站</x:v>
      </x:c>
      <x:c r="M706" s="9" t="str">
        <x:v>品类页/集合页 + FAQ内容块</x:v>
      </x:c>
      <x:c r="N706" s="9" t="str">
        <x:v>主站品类页：用产品集合 + 选购说明承接</x:v>
      </x:c>
      <x:c r="O706" s="9" t="str">
        <x:v>/collections/disposable-vapes</x:v>
      </x:c>
      <x:c r="P706" s="9" t="str">
        <x:v>不适用</x:v>
      </x:c>
      <x:c r="Q706" s="9" t="str">
        <x:v>主站页面自身承接</x:v>
      </x:c>
      <x:c r="R706" s="9" t="str">
        <x:v>核心品类词：主站优先，博客只做长尾解释，不直接抢同一词</x:v>
      </x:c>
      <x:c r="S706" s="9" t="str">
        <x:v>如果 Google 首页产品页和指南混合，主站页要加 FAQ、选购指南、对比模块。</x:v>
      </x:c>
      <x:c r="T706" s="38" t="n">
        <x:v>13</x:v>
      </x:c>
      <x:c r="U706" s="38" t="n">
        <x:v>9</x:v>
      </x:c>
      <x:c r="V706" s="38" t="n">
        <x:v>16</x:v>
      </x:c>
      <x:c r="W706" s="38" t="n">
        <x:v>8</x:v>
      </x:c>
      <x:c r="X706" s="38" t="n">
        <x:v>15</x:v>
      </x:c>
      <x:c r="Y706" s="38" t="n">
        <x:v>4</x:v>
      </x:c>
      <x:c r="Z706" s="38" t="n">
        <x:f>MAX(0,MIN(100,ROUND(((T706+U706+V706+W706+X706)-Y706)/85*100,0)))</x:f>
        <x:v>67</x:v>
      </x:c>
      <x:c r="AA706" s="9" t="str">
        <x:f>IF(L706="暂不做","P3 暂缓",IF(Z706&gt;=75,"P0 本周做",IF(Z706&gt;=60,"P1 近期做",IF(Z706&gt;=45,"P2 备选","P3 暂缓"))))</x:f>
        <x:v>P1 近期做</x:v>
      </x:c>
      <x:c r="AB706" s="9" t="str">
        <x:f>IF(Y706&gt;=15,"先做合规/相关性复核，不建议直接商业导流",IF(L706="主站","建/优化主站商业页",IF(L706="博客A-知识教程","写知识教程/FAQ文章",IF(L706="博客B-场景人群","写场景需求/选购指南文章",IF(L706="博客C-对比评测","写对比评测/榜单文章","暂不做或人工复核")))))</x:f>
        <x:v>建/优化主站商业页</x:v>
      </x:c>
      <x:c r="AC706" s="9" t="str">
        <x:v>peach jam vape</x:v>
      </x:c>
      <x:c r="AD706" s="10" t="str">
        <x:v>48</x:v>
      </x:c>
    </x:row>
    <x:row r="707">
      <x:c r="A707" s="34" t="n">
        <x:v>707</x:v>
      </x:c>
      <x:c r="B707" s="9" t="str">
        <x:v>48</x:v>
      </x:c>
      <x:c r="C707" s="9" t="str">
        <x:v>vaping deals</x:v>
      </x:c>
      <x:c r="D707" s="9" t="str">
        <x:v>recommended</x:v>
      </x:c>
      <x:c r="E707" s="36" t="n">
        <x:v>390</x:v>
      </x:c>
      <x:c r="F707" s="36" t="n">
        <x:v>38</x:v>
      </x:c>
      <x:c r="G707" s="9" t="str">
        <x:v>transactional</x:v>
      </x:c>
      <x:c r="H707" s="9" t="str">
        <x:v>General Vape</x:v>
      </x:c>
      <x:c r="I707" s="9" t="str">
        <x:v>交易词</x:v>
      </x:c>
      <x:c r="J707" s="9" t="str">
        <x:v>主站</x:v>
      </x:c>
      <x:c r="K707" s="9" t="str"/>
      <x:c r="L707" s="9" t="str">
        <x:f>IF(K707="",J707,K707)</x:f>
        <x:v>主站</x:v>
      </x:c>
      <x:c r="M707" s="9" t="str">
        <x:v>产品集合页/分类页/购买页</x:v>
      </x:c>
      <x:c r="N707" s="9" t="str">
        <x:v>主站商业页：标题围绕购买意图 + 品类 + 关键卖点</x:v>
      </x:c>
      <x:c r="O707" s="9" t="str">
        <x:v>/collections/disposable-vapes</x:v>
      </x:c>
      <x:c r="P707" s="9" t="str">
        <x:v>不适用</x:v>
      </x:c>
      <x:c r="Q707" s="9" t="str">
        <x:v>主站页面自身承接</x:v>
      </x:c>
      <x:c r="R707" s="9" t="str">
        <x:v>商业词：优先给主站，避免博客抢主站排名</x:v>
      </x:c>
      <x:c r="S707" s="9" t="str">
        <x:v>SERP 如为商品列表/品牌站/电商集合页，就建主站页面；若 SERP 全是教程，再拆支持文章。</x:v>
      </x:c>
      <x:c r="T707" s="38" t="n">
        <x:v>7</x:v>
      </x:c>
      <x:c r="U707" s="38" t="n">
        <x:v>9</x:v>
      </x:c>
      <x:c r="V707" s="38" t="n">
        <x:v>20</x:v>
      </x:c>
      <x:c r="W707" s="38" t="n">
        <x:v>7</x:v>
      </x:c>
      <x:c r="X707" s="38" t="n">
        <x:v>15</x:v>
      </x:c>
      <x:c r="Y707" s="38" t="n">
        <x:v>4</x:v>
      </x:c>
      <x:c r="Z707" s="38" t="n">
        <x:f>MAX(0,MIN(100,ROUND(((T707+U707+V707+W707+X707)-Y707)/85*100,0)))</x:f>
        <x:v>64</x:v>
      </x:c>
      <x:c r="AA707" s="9" t="str">
        <x:f>IF(L707="暂不做","P3 暂缓",IF(Z707&gt;=75,"P0 本周做",IF(Z707&gt;=60,"P1 近期做",IF(Z707&gt;=45,"P2 备选","P3 暂缓"))))</x:f>
        <x:v>P1 近期做</x:v>
      </x:c>
      <x:c r="AB707" s="9" t="str">
        <x:f>IF(Y707&gt;=15,"先做合规/相关性复核，不建议直接商业导流",IF(L707="主站","建/优化主站商业页",IF(L707="博客A-知识教程","写知识教程/FAQ文章",IF(L707="博客B-场景人群","写场景需求/选购指南文章",IF(L707="博客C-对比评测","写对比评测/榜单文章","暂不做或人工复核")))))</x:f>
        <x:v>建/优化主站商业页</x:v>
      </x:c>
      <x:c r="AC707" s="9" t="str">
        <x:v>vaping deals</x:v>
      </x:c>
      <x:c r="AD707" s="10" t="str">
        <x:v>48</x:v>
      </x:c>
    </x:row>
    <x:row r="708">
      <x:c r="A708" s="34" t="n">
        <x:v>708</x:v>
      </x:c>
      <x:c r="B708" s="9" t="str">
        <x:v>48</x:v>
      </x:c>
      <x:c r="C708" s="9" t="str">
        <x:v>magnetic disposable vape</x:v>
      </x:c>
      <x:c r="D708" s="9" t="str">
        <x:v>recommended</x:v>
      </x:c>
      <x:c r="E708" s="36" t="n">
        <x:v>110</x:v>
      </x:c>
      <x:c r="F708" s="36" t="n">
        <x:v>12</x:v>
      </x:c>
      <x:c r="G708" s="9" t="str">
        <x:v>informational</x:v>
      </x:c>
      <x:c r="H708" s="9" t="str">
        <x:v>Disposable Vape</x:v>
      </x:c>
      <x:c r="I708" s="9" t="str">
        <x:v>品类承接词</x:v>
      </x:c>
      <x:c r="J708" s="9" t="str">
        <x:v>主站</x:v>
      </x:c>
      <x:c r="K708" s="9" t="str"/>
      <x:c r="L708" s="9" t="str">
        <x:f>IF(K708="",J708,K708)</x:f>
        <x:v>主站</x:v>
      </x:c>
      <x:c r="M708" s="9" t="str">
        <x:v>品类页/集合页 + FAQ内容块</x:v>
      </x:c>
      <x:c r="N708" s="9" t="str">
        <x:v>主站品类页：用产品集合 + 选购说明承接</x:v>
      </x:c>
      <x:c r="O708" s="9" t="str">
        <x:v>/collections/disposable-vapes</x:v>
      </x:c>
      <x:c r="P708" s="9" t="str">
        <x:v>不适用</x:v>
      </x:c>
      <x:c r="Q708" s="9" t="str">
        <x:v>主站页面自身承接</x:v>
      </x:c>
      <x:c r="R708" s="9" t="str">
        <x:v>核心品类词：主站优先，博客只做长尾解释，不直接抢同一词</x:v>
      </x:c>
      <x:c r="S708" s="9" t="str">
        <x:v>如果 Google 首页产品页和指南混合，主站页要加 FAQ、选购指南、对比模块。</x:v>
      </x:c>
      <x:c r="T708" s="38" t="n">
        <x:v>7</x:v>
      </x:c>
      <x:c r="U708" s="38" t="n">
        <x:v>15</x:v>
      </x:c>
      <x:c r="V708" s="38" t="n">
        <x:v>16</x:v>
      </x:c>
      <x:c r="W708" s="38" t="n">
        <x:v>8</x:v>
      </x:c>
      <x:c r="X708" s="38" t="n">
        <x:v>15</x:v>
      </x:c>
      <x:c r="Y708" s="38" t="n">
        <x:v>4</x:v>
      </x:c>
      <x:c r="Z708" s="38" t="n">
        <x:f>MAX(0,MIN(100,ROUND(((T708+U708+V708+W708+X708)-Y708)/85*100,0)))</x:f>
        <x:v>67</x:v>
      </x:c>
      <x:c r="AA708" s="9" t="str">
        <x:f>IF(L708="暂不做","P3 暂缓",IF(Z708&gt;=75,"P0 本周做",IF(Z708&gt;=60,"P1 近期做",IF(Z708&gt;=45,"P2 备选","P3 暂缓"))))</x:f>
        <x:v>P1 近期做</x:v>
      </x:c>
      <x:c r="AB708" s="9" t="str">
        <x:f>IF(Y708&gt;=15,"先做合规/相关性复核，不建议直接商业导流",IF(L708="主站","建/优化主站商业页",IF(L708="博客A-知识教程","写知识教程/FAQ文章",IF(L708="博客B-场景人群","写场景需求/选购指南文章",IF(L708="博客C-对比评测","写对比评测/榜单文章","暂不做或人工复核")))))</x:f>
        <x:v>建/优化主站商业页</x:v>
      </x:c>
      <x:c r="AC708" s="9" t="str">
        <x:v>vaping deals</x:v>
      </x:c>
      <x:c r="AD708" s="10" t="str">
        <x:v>48</x:v>
      </x:c>
    </x:row>
    <x:row r="709">
      <x:c r="A709" s="34" t="n">
        <x:v>709</x:v>
      </x:c>
      <x:c r="B709" s="9" t="str">
        <x:v>48</x:v>
      </x:c>
      <x:c r="C709" s="9" t="str">
        <x:v>vape juice flavors with nicotine</x:v>
      </x:c>
      <x:c r="D709" s="9" t="str">
        <x:v>recommended</x:v>
      </x:c>
      <x:c r="E709" s="36" t="n">
        <x:v>170</x:v>
      </x:c>
      <x:c r="F709" s="36" t="n">
        <x:v>49</x:v>
      </x:c>
      <x:c r="G709" s="9" t="str">
        <x:v>informational, transactional</x:v>
      </x:c>
      <x:c r="H709" s="9" t="str">
        <x:v>Flavor / 口味</x:v>
      </x:c>
      <x:c r="I709" s="9" t="str">
        <x:v>交易词</x:v>
      </x:c>
      <x:c r="J709" s="9" t="str">
        <x:v>主站</x:v>
      </x:c>
      <x:c r="K709" s="9" t="str"/>
      <x:c r="L709" s="9" t="str">
        <x:f>IF(K709="",J709,K709)</x:f>
        <x:v>主站</x:v>
      </x:c>
      <x:c r="M709" s="9" t="str">
        <x:v>产品集合页/分类页/购买页</x:v>
      </x:c>
      <x:c r="N709" s="9" t="str">
        <x:v>主站商业页：标题围绕购买意图 + 品类 + 关键卖点</x:v>
      </x:c>
      <x:c r="O709" s="9" t="str">
        <x:v>/collections/flavored-disposable-vapes</x:v>
      </x:c>
      <x:c r="P709" s="9" t="str">
        <x:v>不适用</x:v>
      </x:c>
      <x:c r="Q709" s="9" t="str">
        <x:v>主站页面自身承接</x:v>
      </x:c>
      <x:c r="R709" s="9" t="str">
        <x:v>商业词：优先给主站，避免博客抢主站排名</x:v>
      </x:c>
      <x:c r="S709" s="9" t="str">
        <x:v>SERP 如为商品列表/品牌站/电商集合页，就建主站页面；若 SERP 全是教程，再拆支持文章。</x:v>
      </x:c>
      <x:c r="T709" s="38" t="n">
        <x:v>7</x:v>
      </x:c>
      <x:c r="U709" s="38" t="n">
        <x:v>6</x:v>
      </x:c>
      <x:c r="V709" s="38" t="n">
        <x:v>20</x:v>
      </x:c>
      <x:c r="W709" s="38" t="n">
        <x:v>7</x:v>
      </x:c>
      <x:c r="X709" s="38" t="n">
        <x:v>15</x:v>
      </x:c>
      <x:c r="Y709" s="38" t="n">
        <x:v>4</x:v>
      </x:c>
      <x:c r="Z709" s="38" t="n">
        <x:f>MAX(0,MIN(100,ROUND(((T709+U709+V709+W709+X709)-Y709)/85*100,0)))</x:f>
        <x:v>60</x:v>
      </x:c>
      <x:c r="AA709" s="9" t="str">
        <x:f>IF(L709="暂不做","P3 暂缓",IF(Z709&gt;=75,"P0 本周做",IF(Z709&gt;=60,"P1 近期做",IF(Z709&gt;=45,"P2 备选","P3 暂缓"))))</x:f>
        <x:v>P1 近期做</x:v>
      </x:c>
      <x:c r="AB709" s="9" t="str">
        <x:f>IF(Y709&gt;=15,"先做合规/相关性复核，不建议直接商业导流",IF(L709="主站","建/优化主站商业页",IF(L709="博客A-知识教程","写知识教程/FAQ文章",IF(L709="博客B-场景人群","写场景需求/选购指南文章",IF(L709="博客C-对比评测","写对比评测/榜单文章","暂不做或人工复核")))))</x:f>
        <x:v>建/优化主站商业页</x:v>
      </x:c>
      <x:c r="AC709" s="9" t="str">
        <x:v>vaping deals</x:v>
      </x:c>
      <x:c r="AD709" s="10" t="str">
        <x:v>48</x:v>
      </x:c>
    </x:row>
    <x:row r="710">
      <x:c r="A710" s="34" t="n">
        <x:v>710</x:v>
      </x:c>
      <x:c r="B710" s="9" t="str">
        <x:v>48</x:v>
      </x:c>
      <x:c r="C710" s="9" t="str">
        <x:v>vape liquid online</x:v>
      </x:c>
      <x:c r="D710" s="9" t="str">
        <x:v>recommended</x:v>
      </x:c>
      <x:c r="E710" s="36" t="n">
        <x:v>260</x:v>
      </x:c>
      <x:c r="F710" s="36" t="n">
        <x:v>74</x:v>
      </x:c>
      <x:c r="G710" s="9" t="str">
        <x:v>commercial</x:v>
      </x:c>
      <x:c r="H710" s="9" t="str">
        <x:v>购买交易</x:v>
      </x:c>
      <x:c r="I710" s="9" t="str">
        <x:v>交易词</x:v>
      </x:c>
      <x:c r="J710" s="9" t="str">
        <x:v>主站</x:v>
      </x:c>
      <x:c r="K710" s="9" t="str"/>
      <x:c r="L710" s="9" t="str">
        <x:f>IF(K710="",J710,K710)</x:f>
        <x:v>主站</x:v>
      </x:c>
      <x:c r="M710" s="9" t="str">
        <x:v>产品集合页/分类页/购买页</x:v>
      </x:c>
      <x:c r="N710" s="9" t="str">
        <x:v>主站商业页：标题围绕购买意图 + 品类 + 关键卖点</x:v>
      </x:c>
      <x:c r="O710" s="9" t="str">
        <x:v>/collections/disposable-vapes</x:v>
      </x:c>
      <x:c r="P710" s="9" t="str">
        <x:v>不适用</x:v>
      </x:c>
      <x:c r="Q710" s="9" t="str">
        <x:v>主站页面自身承接</x:v>
      </x:c>
      <x:c r="R710" s="9" t="str">
        <x:v>商业词：优先给主站，避免博客抢主站排名</x:v>
      </x:c>
      <x:c r="S710" s="9" t="str">
        <x:v>SERP 如为商品列表/品牌站/电商集合页，就建主站页面；若 SERP 全是教程，再拆支持文章。</x:v>
      </x:c>
      <x:c r="T710" s="38" t="n">
        <x:v>7</x:v>
      </x:c>
      <x:c r="U710" s="38" t="n">
        <x:v>3</x:v>
      </x:c>
      <x:c r="V710" s="38" t="n">
        <x:v>20</x:v>
      </x:c>
      <x:c r="W710" s="38" t="n">
        <x:v>7</x:v>
      </x:c>
      <x:c r="X710" s="38" t="n">
        <x:v>15</x:v>
      </x:c>
      <x:c r="Y710" s="38" t="n">
        <x:v>4</x:v>
      </x:c>
      <x:c r="Z710" s="38" t="n">
        <x:f>MAX(0,MIN(100,ROUND(((T710+U710+V710+W710+X710)-Y710)/85*100,0)))</x:f>
        <x:v>56</x:v>
      </x:c>
      <x:c r="AA710" s="9" t="str">
        <x:f>IF(L710="暂不做","P3 暂缓",IF(Z710&gt;=75,"P0 本周做",IF(Z710&gt;=60,"P1 近期做",IF(Z710&gt;=45,"P2 备选","P3 暂缓"))))</x:f>
        <x:v>P2 备选</x:v>
      </x:c>
      <x:c r="AB710" s="9" t="str">
        <x:f>IF(Y710&gt;=15,"先做合规/相关性复核，不建议直接商业导流",IF(L710="主站","建/优化主站商业页",IF(L710="博客A-知识教程","写知识教程/FAQ文章",IF(L710="博客B-场景人群","写场景需求/选购指南文章",IF(L710="博客C-对比评测","写对比评测/榜单文章","暂不做或人工复核")))))</x:f>
        <x:v>建/优化主站商业页</x:v>
      </x:c>
      <x:c r="AC710" s="9" t="str">
        <x:v>vaping deals</x:v>
      </x:c>
      <x:c r="AD710" s="10" t="str">
        <x:v>48</x:v>
      </x:c>
    </x:row>
    <x:row r="711">
      <x:c r="A711" s="34" t="n">
        <x:v>711</x:v>
      </x:c>
      <x:c r="B711" s="9" t="str">
        <x:v>48</x:v>
      </x:c>
      <x:c r="C711" s="9" t="str">
        <x:v>flat vapes</x:v>
      </x:c>
      <x:c r="D711" s="9" t="str">
        <x:v>recommended</x:v>
      </x:c>
      <x:c r="E711" s="36" t="n">
        <x:v>90</x:v>
      </x:c>
      <x:c r="F711" s="36" t="n">
        <x:v>24</x:v>
      </x:c>
      <x:c r="G711" s="9" t="str">
        <x:v>informational</x:v>
      </x:c>
      <x:c r="H711" s="9" t="str">
        <x:v>General Vape</x:v>
      </x:c>
      <x:c r="I711" s="9" t="str">
        <x:v>品类承接词</x:v>
      </x:c>
      <x:c r="J711" s="9" t="str">
        <x:v>主站</x:v>
      </x:c>
      <x:c r="K711" s="9" t="str"/>
      <x:c r="L711" s="9" t="str">
        <x:f>IF(K711="",J711,K711)</x:f>
        <x:v>主站</x:v>
      </x:c>
      <x:c r="M711" s="9" t="str">
        <x:v>品类页/集合页 + FAQ内容块</x:v>
      </x:c>
      <x:c r="N711" s="9" t="str">
        <x:v>主站品类页：用产品集合 + 选购说明承接</x:v>
      </x:c>
      <x:c r="O711" s="9" t="str">
        <x:v>/collections/disposable-vapes</x:v>
      </x:c>
      <x:c r="P711" s="9" t="str">
        <x:v>不适用</x:v>
      </x:c>
      <x:c r="Q711" s="9" t="str">
        <x:v>主站页面自身承接</x:v>
      </x:c>
      <x:c r="R711" s="9" t="str">
        <x:v>核心品类词：主站优先，博客只做长尾解释，不直接抢同一词</x:v>
      </x:c>
      <x:c r="S711" s="9" t="str">
        <x:v>如果 Google 首页产品页和指南混合，主站页要加 FAQ、选购指南、对比模块。</x:v>
      </x:c>
      <x:c r="T711" s="38" t="n">
        <x:v>4</x:v>
      </x:c>
      <x:c r="U711" s="38" t="n">
        <x:v>12</x:v>
      </x:c>
      <x:c r="V711" s="38" t="n">
        <x:v>16</x:v>
      </x:c>
      <x:c r="W711" s="38" t="n">
        <x:v>8</x:v>
      </x:c>
      <x:c r="X711" s="38" t="n">
        <x:v>15</x:v>
      </x:c>
      <x:c r="Y711" s="38" t="n">
        <x:v>4</x:v>
      </x:c>
      <x:c r="Z711" s="38" t="n">
        <x:f>MAX(0,MIN(100,ROUND(((T711+U711+V711+W711+X711)-Y711)/85*100,0)))</x:f>
        <x:v>60</x:v>
      </x:c>
      <x:c r="AA711" s="9" t="str">
        <x:f>IF(L711="暂不做","P3 暂缓",IF(Z711&gt;=75,"P0 本周做",IF(Z711&gt;=60,"P1 近期做",IF(Z711&gt;=45,"P2 备选","P3 暂缓"))))</x:f>
        <x:v>P1 近期做</x:v>
      </x:c>
      <x:c r="AB711" s="9" t="str">
        <x:f>IF(Y711&gt;=15,"先做合规/相关性复核，不建议直接商业导流",IF(L711="主站","建/优化主站商业页",IF(L711="博客A-知识教程","写知识教程/FAQ文章",IF(L711="博客B-场景人群","写场景需求/选购指南文章",IF(L711="博客C-对比评测","写对比评测/榜单文章","暂不做或人工复核")))))</x:f>
        <x:v>建/优化主站商业页</x:v>
      </x:c>
      <x:c r="AC711" s="9" t="str">
        <x:v>vaping deals</x:v>
      </x:c>
      <x:c r="AD711" s="10" t="str">
        <x:v>48</x:v>
      </x:c>
    </x:row>
    <x:row r="712">
      <x:c r="A712" s="34" t="n">
        <x:v>712</x:v>
      </x:c>
      <x:c r="B712" s="9" t="str">
        <x:v>48</x:v>
      </x:c>
      <x:c r="C712" s="9" t="str">
        <x:v>online vapes for sale</x:v>
      </x:c>
      <x:c r="D712" s="9" t="str">
        <x:v>recommended</x:v>
      </x:c>
      <x:c r="E712" s="36" t="n">
        <x:v>70</x:v>
      </x:c>
      <x:c r="F712" s="36" t="n">
        <x:v>73</x:v>
      </x:c>
      <x:c r="G712" s="9" t="str">
        <x:v>transactional</x:v>
      </x:c>
      <x:c r="H712" s="9" t="str">
        <x:v>购买交易</x:v>
      </x:c>
      <x:c r="I712" s="9" t="str">
        <x:v>交易词</x:v>
      </x:c>
      <x:c r="J712" s="9" t="str">
        <x:v>主站</x:v>
      </x:c>
      <x:c r="K712" s="9" t="str"/>
      <x:c r="L712" s="9" t="str">
        <x:f>IF(K712="",J712,K712)</x:f>
        <x:v>主站</x:v>
      </x:c>
      <x:c r="M712" s="9" t="str">
        <x:v>产品集合页/分类页/购买页</x:v>
      </x:c>
      <x:c r="N712" s="9" t="str">
        <x:v>主站商业页：标题围绕购买意图 + 品类 + 关键卖点</x:v>
      </x:c>
      <x:c r="O712" s="9" t="str">
        <x:v>/collections/disposable-vapes</x:v>
      </x:c>
      <x:c r="P712" s="9" t="str">
        <x:v>不适用</x:v>
      </x:c>
      <x:c r="Q712" s="9" t="str">
        <x:v>主站页面自身承接</x:v>
      </x:c>
      <x:c r="R712" s="9" t="str">
        <x:v>商业词：优先给主站，避免博客抢主站排名</x:v>
      </x:c>
      <x:c r="S712" s="9" t="str">
        <x:v>SERP 如为商品列表/品牌站/电商集合页，就建主站页面；若 SERP 全是教程，再拆支持文章。</x:v>
      </x:c>
      <x:c r="T712" s="38" t="n">
        <x:v>4</x:v>
      </x:c>
      <x:c r="U712" s="38" t="n">
        <x:v>3</x:v>
      </x:c>
      <x:c r="V712" s="38" t="n">
        <x:v>20</x:v>
      </x:c>
      <x:c r="W712" s="38" t="n">
        <x:v>7</x:v>
      </x:c>
      <x:c r="X712" s="38" t="n">
        <x:v>15</x:v>
      </x:c>
      <x:c r="Y712" s="38" t="n">
        <x:v>4</x:v>
      </x:c>
      <x:c r="Z712" s="38" t="n">
        <x:f>MAX(0,MIN(100,ROUND(((T712+U712+V712+W712+X712)-Y712)/85*100,0)))</x:f>
        <x:v>53</x:v>
      </x:c>
      <x:c r="AA712" s="9" t="str">
        <x:f>IF(L712="暂不做","P3 暂缓",IF(Z712&gt;=75,"P0 本周做",IF(Z712&gt;=60,"P1 近期做",IF(Z712&gt;=45,"P2 备选","P3 暂缓"))))</x:f>
        <x:v>P2 备选</x:v>
      </x:c>
      <x:c r="AB712" s="9" t="str">
        <x:f>IF(Y712&gt;=15,"先做合规/相关性复核，不建议直接商业导流",IF(L712="主站","建/优化主站商业页",IF(L712="博客A-知识教程","写知识教程/FAQ文章",IF(L712="博客B-场景人群","写场景需求/选购指南文章",IF(L712="博客C-对比评测","写对比评测/榜单文章","暂不做或人工复核")))))</x:f>
        <x:v>建/优化主站商业页</x:v>
      </x:c>
      <x:c r="AC712" s="9" t="str">
        <x:v>vaping deals</x:v>
      </x:c>
      <x:c r="AD712" s="10" t="str">
        <x:v>48</x:v>
      </x:c>
    </x:row>
    <x:row r="713">
      <x:c r="A713" s="34" t="n">
        <x:v>713</x:v>
      </x:c>
      <x:c r="B713" s="9" t="str">
        <x:v>48</x:v>
      </x:c>
      <x:c r="C713" s="9" t="str">
        <x:v>where can i order disposable vapes online</x:v>
      </x:c>
      <x:c r="D713" s="9" t="str">
        <x:v>recommended</x:v>
      </x:c>
      <x:c r="E713" s="36" t="n">
        <x:v>30</x:v>
      </x:c>
      <x:c r="F713" s="36" t="n">
        <x:v>51</x:v>
      </x:c>
      <x:c r="G713" s="9" t="str">
        <x:v>informational</x:v>
      </x:c>
      <x:c r="H713" s="9" t="str">
        <x:v>Disposable Vape</x:v>
      </x:c>
      <x:c r="I713" s="9" t="str">
        <x:v>交易词</x:v>
      </x:c>
      <x:c r="J713" s="9" t="str">
        <x:v>主站</x:v>
      </x:c>
      <x:c r="K713" s="9" t="str"/>
      <x:c r="L713" s="9" t="str">
        <x:f>IF(K713="",J713,K713)</x:f>
        <x:v>主站</x:v>
      </x:c>
      <x:c r="M713" s="9" t="str">
        <x:v>产品集合页/分类页/购买页</x:v>
      </x:c>
      <x:c r="N713" s="9" t="str">
        <x:v>主站商业页：标题围绕购买意图 + 品类 + 关键卖点</x:v>
      </x:c>
      <x:c r="O713" s="9" t="str">
        <x:v>/collections/disposable-vapes</x:v>
      </x:c>
      <x:c r="P713" s="9" t="str">
        <x:v>不适用</x:v>
      </x:c>
      <x:c r="Q713" s="9" t="str">
        <x:v>主站页面自身承接</x:v>
      </x:c>
      <x:c r="R713" s="9" t="str">
        <x:v>商业词：优先给主站，避免博客抢主站排名</x:v>
      </x:c>
      <x:c r="S713" s="9" t="str">
        <x:v>SERP 如为商品列表/品牌站/电商集合页，就建主站页面；若 SERP 全是教程，再拆支持文章。</x:v>
      </x:c>
      <x:c r="T713" s="38" t="n">
        <x:v>4</x:v>
      </x:c>
      <x:c r="U713" s="38" t="n">
        <x:v>6</x:v>
      </x:c>
      <x:c r="V713" s="38" t="n">
        <x:v>20</x:v>
      </x:c>
      <x:c r="W713" s="38" t="n">
        <x:v>7</x:v>
      </x:c>
      <x:c r="X713" s="38" t="n">
        <x:v>15</x:v>
      </x:c>
      <x:c r="Y713" s="38" t="n">
        <x:v>4</x:v>
      </x:c>
      <x:c r="Z713" s="38" t="n">
        <x:f>MAX(0,MIN(100,ROUND(((T713+U713+V713+W713+X713)-Y713)/85*100,0)))</x:f>
        <x:v>56</x:v>
      </x:c>
      <x:c r="AA713" s="9" t="str">
        <x:f>IF(L713="暂不做","P3 暂缓",IF(Z713&gt;=75,"P0 本周做",IF(Z713&gt;=60,"P1 近期做",IF(Z713&gt;=45,"P2 备选","P3 暂缓"))))</x:f>
        <x:v>P2 备选</x:v>
      </x:c>
      <x:c r="AB713" s="9" t="str">
        <x:f>IF(Y713&gt;=15,"先做合规/相关性复核，不建议直接商业导流",IF(L713="主站","建/优化主站商业页",IF(L713="博客A-知识教程","写知识教程/FAQ文章",IF(L713="博客B-场景人群","写场景需求/选购指南文章",IF(L713="博客C-对比评测","写对比评测/榜单文章","暂不做或人工复核")))))</x:f>
        <x:v>建/优化主站商业页</x:v>
      </x:c>
      <x:c r="AC713" s="9" t="str">
        <x:v>vaping deals</x:v>
      </x:c>
      <x:c r="AD713" s="10" t="str">
        <x:v>48</x:v>
      </x:c>
    </x:row>
    <x:row r="714">
      <x:c r="A714" s="34" t="n">
        <x:v>714</x:v>
      </x:c>
      <x:c r="B714" s="9" t="str">
        <x:v>48</x:v>
      </x:c>
      <x:c r="C714" s="9" t="str">
        <x:v>how much does a vape cost</x:v>
      </x:c>
      <x:c r="D714" s="9" t="str">
        <x:v>recommended</x:v>
      </x:c>
      <x:c r="E714" s="36" t="n">
        <x:v>2900</x:v>
      </x:c>
      <x:c r="F714" s="36" t="n">
        <x:v>22</x:v>
      </x:c>
      <x:c r="G714" s="9" t="str">
        <x:v>informational</x:v>
      </x:c>
      <x:c r="H714" s="9" t="str">
        <x:v>知识教程</x:v>
      </x:c>
      <x:c r="I714" s="9" t="str">
        <x:v>知识/教程词</x:v>
      </x:c>
      <x:c r="J714" s="9" t="str">
        <x:v>博客A-知识教程</x:v>
      </x:c>
      <x:c r="K714" s="9" t="str"/>
      <x:c r="L714" s="9" t="str">
        <x:f>IF(K714="",J714,K714)</x:f>
        <x:v>博客A-知识教程</x:v>
      </x:c>
      <x:c r="M714" s="9" t="str">
        <x:v>百科/How-to/FAQ文章</x:v>
      </x:c>
      <x:c r="N714" s="9" t="str">
        <x:v>Guide angle: explain how much does a vape cost, answer common questions, and avoid sales-first writing</x:v>
      </x:c>
      <x:c r="O714" s="9" t="str">
        <x:v>/collections/disposable-vapes</x:v>
      </x:c>
      <x:c r="P714" s="9" t="str">
        <x:v>谨慎</x:v>
      </x:c>
      <x:c r="Q714" s="9" t="str">
        <x:v>自然句/品牌词</x:v>
      </x:c>
      <x:c r="R714" s="9" t="str">
        <x:v>低中风险：先满足信息意图，导流要克制</x:v>
      </x:c>
      <x:c r="S714" s="9" t="str">
        <x:v>如果文章能自然回答下一步购买问题，再放 1 个主站内链；否则只做知识闭环。</x:v>
      </x:c>
      <x:c r="T714" s="38" t="n">
        <x:v>13</x:v>
      </x:c>
      <x:c r="U714" s="38" t="n">
        <x:v>12</x:v>
      </x:c>
      <x:c r="V714" s="38" t="n">
        <x:v>9</x:v>
      </x:c>
      <x:c r="W714" s="38" t="n">
        <x:v>14</x:v>
      </x:c>
      <x:c r="X714" s="38" t="n">
        <x:v>12</x:v>
      </x:c>
      <x:c r="Y714" s="38" t="n">
        <x:v>5</x:v>
      </x:c>
      <x:c r="Z714" s="38" t="n">
        <x:f>MAX(0,MIN(100,ROUND(((T714+U714+V714+W714+X714)-Y714)/85*100,0)))</x:f>
        <x:v>65</x:v>
      </x:c>
      <x:c r="AA714" s="9" t="str">
        <x:f>IF(L714="暂不做","P3 暂缓",IF(Z714&gt;=75,"P0 本周做",IF(Z714&gt;=60,"P1 近期做",IF(Z714&gt;=45,"P2 备选","P3 暂缓"))))</x:f>
        <x:v>P1 近期做</x:v>
      </x:c>
      <x:c r="AB714" s="9" t="str">
        <x:f>IF(Y714&gt;=15,"先做合规/相关性复核，不建议直接商业导流",IF(L714="主站","建/优化主站商业页",IF(L714="博客A-知识教程","写知识教程/FAQ文章",IF(L714="博客B-场景人群","写场景需求/选购指南文章",IF(L714="博客C-对比评测","写对比评测/榜单文章","暂不做或人工复核")))))</x:f>
        <x:v>写知识教程/FAQ文章</x:v>
      </x:c>
      <x:c r="AC714" s="9" t="str">
        <x:v>vaping deals</x:v>
      </x:c>
      <x:c r="AD714" s="10" t="str">
        <x:v>48</x:v>
      </x:c>
    </x:row>
    <x:row r="715">
      <x:c r="A715" s="34" t="n">
        <x:v>715</x:v>
      </x:c>
      <x:c r="B715" s="9" t="str">
        <x:v>48</x:v>
      </x:c>
      <x:c r="C715" s="9" t="str">
        <x:v>e cigarette accessories</x:v>
      </x:c>
      <x:c r="D715" s="9" t="str">
        <x:v>recommended</x:v>
      </x:c>
      <x:c r="E715" s="36" t="n">
        <x:v>50</x:v>
      </x:c>
      <x:c r="F715" s="36" t="n">
        <x:v>27</x:v>
      </x:c>
      <x:c r="G715" s="9" t="str">
        <x:v>commercial</x:v>
      </x:c>
      <x:c r="H715" s="9" t="str">
        <x:v>E-Cigarette</x:v>
      </x:c>
      <x:c r="I715" s="9" t="str">
        <x:v>品类承接词</x:v>
      </x:c>
      <x:c r="J715" s="9" t="str">
        <x:v>主站</x:v>
      </x:c>
      <x:c r="K715" s="9" t="str"/>
      <x:c r="L715" s="9" t="str">
        <x:f>IF(K715="",J715,K715)</x:f>
        <x:v>主站</x:v>
      </x:c>
      <x:c r="M715" s="9" t="str">
        <x:v>品类页/集合页 + FAQ内容块</x:v>
      </x:c>
      <x:c r="N715" s="9" t="str">
        <x:v>主站品类页：用产品集合 + 选购说明承接</x:v>
      </x:c>
      <x:c r="O715" s="9" t="str">
        <x:v>/collections/e-cigarettes</x:v>
      </x:c>
      <x:c r="P715" s="9" t="str">
        <x:v>不适用</x:v>
      </x:c>
      <x:c r="Q715" s="9" t="str">
        <x:v>主站页面自身承接</x:v>
      </x:c>
      <x:c r="R715" s="9" t="str">
        <x:v>核心品类词：主站优先，博客只做长尾解释，不直接抢同一词</x:v>
      </x:c>
      <x:c r="S715" s="9" t="str">
        <x:v>如果 Google 首页产品页和指南混合，主站页要加 FAQ、选购指南、对比模块。</x:v>
      </x:c>
      <x:c r="T715" s="38" t="n">
        <x:v>4</x:v>
      </x:c>
      <x:c r="U715" s="38" t="n">
        <x:v>12</x:v>
      </x:c>
      <x:c r="V715" s="38" t="n">
        <x:v>18</x:v>
      </x:c>
      <x:c r="W715" s="38" t="n">
        <x:v>8</x:v>
      </x:c>
      <x:c r="X715" s="38" t="n">
        <x:v>15</x:v>
      </x:c>
      <x:c r="Y715" s="38" t="n">
        <x:v>4</x:v>
      </x:c>
      <x:c r="Z715" s="38" t="n">
        <x:f>MAX(0,MIN(100,ROUND(((T715+U715+V715+W715+X715)-Y715)/85*100,0)))</x:f>
        <x:v>62</x:v>
      </x:c>
      <x:c r="AA715" s="9" t="str">
        <x:f>IF(L715="暂不做","P3 暂缓",IF(Z715&gt;=75,"P0 本周做",IF(Z715&gt;=60,"P1 近期做",IF(Z715&gt;=45,"P2 备选","P3 暂缓"))))</x:f>
        <x:v>P1 近期做</x:v>
      </x:c>
      <x:c r="AB715" s="9" t="str">
        <x:f>IF(Y715&gt;=15,"先做合规/相关性复核，不建议直接商业导流",IF(L715="主站","建/优化主站商业页",IF(L715="博客A-知识教程","写知识教程/FAQ文章",IF(L715="博客B-场景人群","写场景需求/选购指南文章",IF(L715="博客C-对比评测","写对比评测/榜单文章","暂不做或人工复核")))))</x:f>
        <x:v>建/优化主站商业页</x:v>
      </x:c>
      <x:c r="AC715" s="9" t="str">
        <x:v>vaping deals</x:v>
      </x:c>
      <x:c r="AD715" s="10" t="str">
        <x:v>48</x:v>
      </x:c>
    </x:row>
    <x:row r="716">
      <x:c r="A716" s="34" t="n">
        <x:v>716</x:v>
      </x:c>
      <x:c r="B716" s="9" t="str">
        <x:v>48</x:v>
      </x:c>
      <x:c r="C716" s="9" t="str">
        <x:v>vape charger</x:v>
      </x:c>
      <x:c r="D716" s="9" t="str">
        <x:v>recommended</x:v>
      </x:c>
      <x:c r="E716" s="36" t="n">
        <x:v>1900</x:v>
      </x:c>
      <x:c r="F716" s="36" t="n">
        <x:v>28</x:v>
      </x:c>
      <x:c r="G716" s="9" t="str">
        <x:v>informational, commercial</x:v>
      </x:c>
      <x:c r="H716" s="9" t="str">
        <x:v>知识教程</x:v>
      </x:c>
      <x:c r="I716" s="9" t="str">
        <x:v>品类承接词</x:v>
      </x:c>
      <x:c r="J716" s="9" t="str">
        <x:v>主站</x:v>
      </x:c>
      <x:c r="K716" s="9" t="str"/>
      <x:c r="L716" s="9" t="str">
        <x:f>IF(K716="",J716,K716)</x:f>
        <x:v>主站</x:v>
      </x:c>
      <x:c r="M716" s="9" t="str">
        <x:v>品类页/集合页 + FAQ内容块</x:v>
      </x:c>
      <x:c r="N716" s="9" t="str">
        <x:v>主站品类页：用产品集合 + 选购说明承接</x:v>
      </x:c>
      <x:c r="O716" s="9" t="str">
        <x:v>/collections/disposable-vapes</x:v>
      </x:c>
      <x:c r="P716" s="9" t="str">
        <x:v>不适用</x:v>
      </x:c>
      <x:c r="Q716" s="9" t="str">
        <x:v>主站页面自身承接</x:v>
      </x:c>
      <x:c r="R716" s="9" t="str">
        <x:v>核心品类词：主站优先，博客只做长尾解释，不直接抢同一词</x:v>
      </x:c>
      <x:c r="S716" s="9" t="str">
        <x:v>如果 Google 首页产品页和指南混合，主站页要加 FAQ、选购指南、对比模块。</x:v>
      </x:c>
      <x:c r="T716" s="38" t="n">
        <x:v>13</x:v>
      </x:c>
      <x:c r="U716" s="38" t="n">
        <x:v>12</x:v>
      </x:c>
      <x:c r="V716" s="38" t="n">
        <x:v>18</x:v>
      </x:c>
      <x:c r="W716" s="38" t="n">
        <x:v>8</x:v>
      </x:c>
      <x:c r="X716" s="38" t="n">
        <x:v>15</x:v>
      </x:c>
      <x:c r="Y716" s="38" t="n">
        <x:v>4</x:v>
      </x:c>
      <x:c r="Z716" s="38" t="n">
        <x:f>MAX(0,MIN(100,ROUND(((T716+U716+V716+W716+X716)-Y716)/85*100,0)))</x:f>
        <x:v>73</x:v>
      </x:c>
      <x:c r="AA716" s="9" t="str">
        <x:f>IF(L716="暂不做","P3 暂缓",IF(Z716&gt;=75,"P0 本周做",IF(Z716&gt;=60,"P1 近期做",IF(Z716&gt;=45,"P2 备选","P3 暂缓"))))</x:f>
        <x:v>P1 近期做</x:v>
      </x:c>
      <x:c r="AB716" s="9" t="str">
        <x:f>IF(Y716&gt;=15,"先做合规/相关性复核，不建议直接商业导流",IF(L716="主站","建/优化主站商业页",IF(L716="博客A-知识教程","写知识教程/FAQ文章",IF(L716="博客B-场景人群","写场景需求/选购指南文章",IF(L716="博客C-对比评测","写对比评测/榜单文章","暂不做或人工复核")))))</x:f>
        <x:v>建/优化主站商业页</x:v>
      </x:c>
      <x:c r="AC716" s="9" t="str">
        <x:v>vaping deals</x:v>
      </x:c>
      <x:c r="AD716" s="10" t="str">
        <x:v>48</x:v>
      </x:c>
    </x:row>
    <x:row r="717">
      <x:c r="A717" s="34" t="n">
        <x:v>717</x:v>
      </x:c>
      <x:c r="B717" s="9" t="str">
        <x:v>48</x:v>
      </x:c>
      <x:c r="C717" s="9" t="str">
        <x:v>vape juice supplies</x:v>
      </x:c>
      <x:c r="D717" s="9" t="str">
        <x:v>recommended</x:v>
      </x:c>
      <x:c r="E717" s="36" t="n">
        <x:v>40</x:v>
      </x:c>
      <x:c r="F717" s="36" t="n">
        <x:v>57</x:v>
      </x:c>
      <x:c r="G717" s="9" t="str">
        <x:v>commercial</x:v>
      </x:c>
      <x:c r="H717" s="9" t="str">
        <x:v>General Vape</x:v>
      </x:c>
      <x:c r="I717" s="9" t="str">
        <x:v>品类承接词</x:v>
      </x:c>
      <x:c r="J717" s="9" t="str">
        <x:v>主站</x:v>
      </x:c>
      <x:c r="K717" s="9" t="str"/>
      <x:c r="L717" s="9" t="str">
        <x:f>IF(K717="",J717,K717)</x:f>
        <x:v>主站</x:v>
      </x:c>
      <x:c r="M717" s="9" t="str">
        <x:v>品类页/集合页 + FAQ内容块</x:v>
      </x:c>
      <x:c r="N717" s="9" t="str">
        <x:v>主站品类页：用产品集合 + 选购说明承接</x:v>
      </x:c>
      <x:c r="O717" s="9" t="str">
        <x:v>/collections/disposable-vapes</x:v>
      </x:c>
      <x:c r="P717" s="9" t="str">
        <x:v>不适用</x:v>
      </x:c>
      <x:c r="Q717" s="9" t="str">
        <x:v>主站页面自身承接</x:v>
      </x:c>
      <x:c r="R717" s="9" t="str">
        <x:v>核心品类词：主站优先，博客只做长尾解释，不直接抢同一词</x:v>
      </x:c>
      <x:c r="S717" s="9" t="str">
        <x:v>如果 Google 首页产品页和指南混合，主站页要加 FAQ、选购指南、对比模块。</x:v>
      </x:c>
      <x:c r="T717" s="38" t="n">
        <x:v>4</x:v>
      </x:c>
      <x:c r="U717" s="38" t="n">
        <x:v>6</x:v>
      </x:c>
      <x:c r="V717" s="38" t="n">
        <x:v>18</x:v>
      </x:c>
      <x:c r="W717" s="38" t="n">
        <x:v>8</x:v>
      </x:c>
      <x:c r="X717" s="38" t="n">
        <x:v>15</x:v>
      </x:c>
      <x:c r="Y717" s="38" t="n">
        <x:v>4</x:v>
      </x:c>
      <x:c r="Z717" s="38" t="n">
        <x:f>MAX(0,MIN(100,ROUND(((T717+U717+V717+W717+X717)-Y717)/85*100,0)))</x:f>
        <x:v>55</x:v>
      </x:c>
      <x:c r="AA717" s="9" t="str">
        <x:f>IF(L717="暂不做","P3 暂缓",IF(Z717&gt;=75,"P0 本周做",IF(Z717&gt;=60,"P1 近期做",IF(Z717&gt;=45,"P2 备选","P3 暂缓"))))</x:f>
        <x:v>P2 备选</x:v>
      </x:c>
      <x:c r="AB717" s="9" t="str">
        <x:f>IF(Y717&gt;=15,"先做合规/相关性复核，不建议直接商业导流",IF(L717="主站","建/优化主站商业页",IF(L717="博客A-知识教程","写知识教程/FAQ文章",IF(L717="博客B-场景人群","写场景需求/选购指南文章",IF(L717="博客C-对比评测","写对比评测/榜单文章","暂不做或人工复核")))))</x:f>
        <x:v>建/优化主站商业页</x:v>
      </x:c>
      <x:c r="AC717" s="9" t="str">
        <x:v>vaping deals</x:v>
      </x:c>
      <x:c r="AD717" s="10" t="str">
        <x:v>48</x:v>
      </x:c>
    </x:row>
    <x:row r="718">
      <x:c r="A718" s="34" t="n">
        <x:v>718</x:v>
      </x:c>
      <x:c r="B718" s="9" t="str">
        <x:v>48</x:v>
      </x:c>
      <x:c r="C718" s="9" t="str">
        <x:v>thc vape pens</x:v>
      </x:c>
      <x:c r="D718" s="9" t="str">
        <x:v>recommended</x:v>
      </x:c>
      <x:c r="E718" s="36" t="n">
        <x:v>2400</x:v>
      </x:c>
      <x:c r="F718" s="36" t="n">
        <x:v>51</x:v>
      </x:c>
      <x:c r="G718" s="9" t="str">
        <x:v>informational</x:v>
      </x:c>
      <x:c r="H718" s="9" t="str">
        <x:v>高风险/非主营</x:v>
      </x:c>
      <x:c r="I718" s="9" t="str">
        <x:v>高风险/非主营词</x:v>
      </x:c>
      <x:c r="J718" s="9" t="str">
        <x:v>暂不做</x:v>
      </x:c>
      <x:c r="K718" s="9" t="str"/>
      <x:c r="L718" s="9" t="str">
        <x:f>IF(K718="",J718,K718)</x:f>
        <x:v>暂不做</x:v>
      </x:c>
      <x:c r="M718" s="9" t="str">
        <x:v>不建议建页</x:v>
      </x:c>
      <x:c r="N718" s="9" t="str">
        <x:v>不进入内容生产</x:v>
      </x:c>
      <x:c r="O718" s="9" t="str">
        <x:v>无</x:v>
      </x:c>
      <x:c r="P718" s="9" t="str">
        <x:v>否</x:v>
      </x:c>
      <x:c r="Q718" s="9" t="str">
        <x:v>不导流</x:v>
      </x:c>
      <x:c r="R718" s="9" t="str">
        <x:v>高风险：可能涉及 THC/CBD/大麻/药物或非主营品类，不建议用于主站导流</x:v>
      </x:c>
      <x:c r="S718" s="9" t="str">
        <x:v>仅在确认合法资质、产品范围和地区法规后再考虑，否则删除。</x:v>
      </x:c>
      <x:c r="T718" s="38" t="n">
        <x:v>13</x:v>
      </x:c>
      <x:c r="U718" s="38" t="n">
        <x:v>6</x:v>
      </x:c>
      <x:c r="V718" s="38" t="n">
        <x:v>1</x:v>
      </x:c>
      <x:c r="W718" s="38" t="n">
        <x:v>2</x:v>
      </x:c>
      <x:c r="X718" s="38" t="n">
        <x:v>1</x:v>
      </x:c>
      <x:c r="Y718" s="38" t="n">
        <x:v>20</x:v>
      </x:c>
      <x:c r="Z718" s="38" t="n">
        <x:f>MAX(0,MIN(100,ROUND(((T718+U718+V718+W718+X718)-Y718)/85*100,0)))</x:f>
        <x:v>4</x:v>
      </x:c>
      <x:c r="AA718" s="9" t="str">
        <x:f>IF(L718="暂不做","P3 暂缓",IF(Z718&gt;=75,"P0 本周做",IF(Z718&gt;=60,"P1 近期做",IF(Z718&gt;=45,"P2 备选","P3 暂缓"))))</x:f>
        <x:v>P3 暂缓</x:v>
      </x:c>
      <x:c r="AB718" s="9" t="str">
        <x:f>IF(Y718&gt;=15,"先做合规/相关性复核，不建议直接商业导流",IF(L718="主站","建/优化主站商业页",IF(L718="博客A-知识教程","写知识教程/FAQ文章",IF(L718="博客B-场景人群","写场景需求/选购指南文章",IF(L718="博客C-对比评测","写对比评测/榜单文章","暂不做或人工复核")))))</x:f>
        <x:v>先做合规/相关性复核，不建议直接商业导流</x:v>
      </x:c>
      <x:c r="AC718" s="9" t="str">
        <x:v>vaping deals</x:v>
      </x:c>
      <x:c r="AD718" s="10" t="str">
        <x:v>48</x:v>
      </x:c>
    </x:row>
    <x:row r="719">
      <x:c r="A719" s="34" t="n">
        <x:v>719</x:v>
      </x:c>
      <x:c r="B719" s="9" t="str">
        <x:v>48</x:v>
      </x:c>
      <x:c r="C719" s="9" t="str">
        <x:v>tienda de vapeo</x:v>
      </x:c>
      <x:c r="D719" s="9" t="str">
        <x:v>recommended</x:v>
      </x:c>
      <x:c r="E719" s="36" t="n">
        <x:v>90</x:v>
      </x:c>
      <x:c r="F719" s="36" t="n">
        <x:v>77</x:v>
      </x:c>
      <x:c r="G719" s="9" t="str">
        <x:v>commercial</x:v>
      </x:c>
      <x:c r="H719" s="9" t="str">
        <x:v>General Vape</x:v>
      </x:c>
      <x:c r="I719" s="9" t="str">
        <x:v>品类承接词</x:v>
      </x:c>
      <x:c r="J719" s="9" t="str">
        <x:v>主站</x:v>
      </x:c>
      <x:c r="K719" s="9" t="str"/>
      <x:c r="L719" s="9" t="str">
        <x:f>IF(K719="",J719,K719)</x:f>
        <x:v>主站</x:v>
      </x:c>
      <x:c r="M719" s="9" t="str">
        <x:v>品类页/集合页 + FAQ内容块</x:v>
      </x:c>
      <x:c r="N719" s="9" t="str">
        <x:v>主站品类页：用产品集合 + 选购说明承接</x:v>
      </x:c>
      <x:c r="O719" s="9" t="str">
        <x:v>/collections/disposable-vapes</x:v>
      </x:c>
      <x:c r="P719" s="9" t="str">
        <x:v>不适用</x:v>
      </x:c>
      <x:c r="Q719" s="9" t="str">
        <x:v>主站页面自身承接</x:v>
      </x:c>
      <x:c r="R719" s="9" t="str">
        <x:v>核心品类词：主站优先，博客只做长尾解释，不直接抢同一词</x:v>
      </x:c>
      <x:c r="S719" s="9" t="str">
        <x:v>如果 Google 首页产品页和指南混合，主站页要加 FAQ、选购指南、对比模块。</x:v>
      </x:c>
      <x:c r="T719" s="38" t="n">
        <x:v>4</x:v>
      </x:c>
      <x:c r="U719" s="38" t="n">
        <x:v>1</x:v>
      </x:c>
      <x:c r="V719" s="38" t="n">
        <x:v>18</x:v>
      </x:c>
      <x:c r="W719" s="38" t="n">
        <x:v>8</x:v>
      </x:c>
      <x:c r="X719" s="38" t="n">
        <x:v>15</x:v>
      </x:c>
      <x:c r="Y719" s="38" t="n">
        <x:v>4</x:v>
      </x:c>
      <x:c r="Z719" s="38" t="n">
        <x:f>MAX(0,MIN(100,ROUND(((T719+U719+V719+W719+X719)-Y719)/85*100,0)))</x:f>
        <x:v>49</x:v>
      </x:c>
      <x:c r="AA719" s="9" t="str">
        <x:f>IF(L719="暂不做","P3 暂缓",IF(Z719&gt;=75,"P0 本周做",IF(Z719&gt;=60,"P1 近期做",IF(Z719&gt;=45,"P2 备选","P3 暂缓"))))</x:f>
        <x:v>P2 备选</x:v>
      </x:c>
      <x:c r="AB719" s="9" t="str">
        <x:f>IF(Y719&gt;=15,"先做合规/相关性复核，不建议直接商业导流",IF(L719="主站","建/优化主站商业页",IF(L719="博客A-知识教程","写知识教程/FAQ文章",IF(L719="博客B-场景人群","写场景需求/选购指南文章",IF(L719="博客C-对比评测","写对比评测/榜单文章","暂不做或人工复核")))))</x:f>
        <x:v>建/优化主站商业页</x:v>
      </x:c>
      <x:c r="AC719" s="9" t="str">
        <x:v>vaping deals</x:v>
      </x:c>
      <x:c r="AD719" s="10" t="str">
        <x:v>48</x:v>
      </x:c>
    </x:row>
    <x:row r="720">
      <x:c r="A720" s="34" t="n">
        <x:v>720</x:v>
      </x:c>
      <x:c r="B720" s="9" t="str">
        <x:v>48</x:v>
      </x:c>
      <x:c r="C720" s="9" t="str">
        <x:v>vape store nesr.me</x:v>
      </x:c>
      <x:c r="D720" s="9" t="str">
        <x:v>recommended</x:v>
      </x:c>
      <x:c r="E720" s="36" t="n">
        <x:v>2900</x:v>
      </x:c>
      <x:c r="F720" s="36" t="n">
        <x:v>69</x:v>
      </x:c>
      <x:c r="G720" s="9" t="str">
        <x:v>commercial</x:v>
      </x:c>
      <x:c r="H720" s="9" t="str">
        <x:v>购买交易</x:v>
      </x:c>
      <x:c r="I720" s="9" t="str">
        <x:v>交易词</x:v>
      </x:c>
      <x:c r="J720" s="9" t="str">
        <x:v>主站</x:v>
      </x:c>
      <x:c r="K720" s="9" t="str"/>
      <x:c r="L720" s="9" t="str">
        <x:f>IF(K720="",J720,K720)</x:f>
        <x:v>主站</x:v>
      </x:c>
      <x:c r="M720" s="9" t="str">
        <x:v>产品集合页/分类页/购买页</x:v>
      </x:c>
      <x:c r="N720" s="9" t="str">
        <x:v>主站商业页：标题围绕购买意图 + 品类 + 关键卖点</x:v>
      </x:c>
      <x:c r="O720" s="9" t="str">
        <x:v>/collections/disposable-vapes</x:v>
      </x:c>
      <x:c r="P720" s="9" t="str">
        <x:v>不适用</x:v>
      </x:c>
      <x:c r="Q720" s="9" t="str">
        <x:v>主站页面自身承接</x:v>
      </x:c>
      <x:c r="R720" s="9" t="str">
        <x:v>商业词：优先给主站，避免博客抢主站排名</x:v>
      </x:c>
      <x:c r="S720" s="9" t="str">
        <x:v>SERP 如为商品列表/品牌站/电商集合页，就建主站页面；若 SERP 全是教程，再拆支持文章。</x:v>
      </x:c>
      <x:c r="T720" s="38" t="n">
        <x:v>13</x:v>
      </x:c>
      <x:c r="U720" s="38" t="n">
        <x:v>3</x:v>
      </x:c>
      <x:c r="V720" s="38" t="n">
        <x:v>20</x:v>
      </x:c>
      <x:c r="W720" s="38" t="n">
        <x:v>7</x:v>
      </x:c>
      <x:c r="X720" s="38" t="n">
        <x:v>15</x:v>
      </x:c>
      <x:c r="Y720" s="38" t="n">
        <x:v>4</x:v>
      </x:c>
      <x:c r="Z720" s="38" t="n">
        <x:f>MAX(0,MIN(100,ROUND(((T720+U720+V720+W720+X720)-Y720)/85*100,0)))</x:f>
        <x:v>64</x:v>
      </x:c>
      <x:c r="AA720" s="9" t="str">
        <x:f>IF(L720="暂不做","P3 暂缓",IF(Z720&gt;=75,"P0 本周做",IF(Z720&gt;=60,"P1 近期做",IF(Z720&gt;=45,"P2 备选","P3 暂缓"))))</x:f>
        <x:v>P1 近期做</x:v>
      </x:c>
      <x:c r="AB720" s="9" t="str">
        <x:f>IF(Y720&gt;=15,"先做合规/相关性复核，不建议直接商业导流",IF(L720="主站","建/优化主站商业页",IF(L720="博客A-知识教程","写知识教程/FAQ文章",IF(L720="博客B-场景人群","写场景需求/选购指南文章",IF(L720="博客C-对比评测","写对比评测/榜单文章","暂不做或人工复核")))))</x:f>
        <x:v>建/优化主站商业页</x:v>
      </x:c>
      <x:c r="AC720" s="9" t="str">
        <x:v>vaping deals</x:v>
      </x:c>
      <x:c r="AD720" s="10" t="str">
        <x:v>48</x:v>
      </x:c>
    </x:row>
    <x:row r="721">
      <x:c r="A721" s="34" t="n">
        <x:v>721</x:v>
      </x:c>
      <x:c r="B721" s="9" t="str">
        <x:v>48</x:v>
      </x:c>
      <x:c r="C721" s="9" t="str">
        <x:v>blow pop vape</x:v>
      </x:c>
      <x:c r="D721" s="9" t="str">
        <x:v>recommended</x:v>
      </x:c>
      <x:c r="E721" s="36" t="n">
        <x:v>210</x:v>
      </x:c>
      <x:c r="F721" s="36" t="n">
        <x:v>0</x:v>
      </x:c>
      <x:c r="G721" s="9" t="str">
        <x:v>informational</x:v>
      </x:c>
      <x:c r="H721" s="9" t="str">
        <x:v>General Vape</x:v>
      </x:c>
      <x:c r="I721" s="9" t="str">
        <x:v>品类承接词</x:v>
      </x:c>
      <x:c r="J721" s="9" t="str">
        <x:v>主站</x:v>
      </x:c>
      <x:c r="K721" s="9" t="str"/>
      <x:c r="L721" s="9" t="str">
        <x:f>IF(K721="",J721,K721)</x:f>
        <x:v>主站</x:v>
      </x:c>
      <x:c r="M721" s="9" t="str">
        <x:v>品类页/集合页 + FAQ内容块</x:v>
      </x:c>
      <x:c r="N721" s="9" t="str">
        <x:v>主站品类页：用产品集合 + 选购说明承接</x:v>
      </x:c>
      <x:c r="O721" s="9" t="str">
        <x:v>/collections/disposable-vapes</x:v>
      </x:c>
      <x:c r="P721" s="9" t="str">
        <x:v>不适用</x:v>
      </x:c>
      <x:c r="Q721" s="9" t="str">
        <x:v>主站页面自身承接</x:v>
      </x:c>
      <x:c r="R721" s="9" t="str">
        <x:v>核心品类词：主站优先，博客只做长尾解释，不直接抢同一词</x:v>
      </x:c>
      <x:c r="S721" s="9" t="str">
        <x:v>如果 Google 首页产品页和指南混合，主站页要加 FAQ、选购指南、对比模块。</x:v>
      </x:c>
      <x:c r="T721" s="38" t="n">
        <x:v>7</x:v>
      </x:c>
      <x:c r="U721" s="38" t="n">
        <x:v>15</x:v>
      </x:c>
      <x:c r="V721" s="38" t="n">
        <x:v>16</x:v>
      </x:c>
      <x:c r="W721" s="38" t="n">
        <x:v>8</x:v>
      </x:c>
      <x:c r="X721" s="38" t="n">
        <x:v>15</x:v>
      </x:c>
      <x:c r="Y721" s="38" t="n">
        <x:v>4</x:v>
      </x:c>
      <x:c r="Z721" s="38" t="n">
        <x:f>MAX(0,MIN(100,ROUND(((T721+U721+V721+W721+X721)-Y721)/85*100,0)))</x:f>
        <x:v>67</x:v>
      </x:c>
      <x:c r="AA721" s="9" t="str">
        <x:f>IF(L721="暂不做","P3 暂缓",IF(Z721&gt;=75,"P0 本周做",IF(Z721&gt;=60,"P1 近期做",IF(Z721&gt;=45,"P2 备选","P3 暂缓"))))</x:f>
        <x:v>P1 近期做</x:v>
      </x:c>
      <x:c r="AB721" s="9" t="str">
        <x:f>IF(Y721&gt;=15,"先做合规/相关性复核，不建议直接商业导流",IF(L721="主站","建/优化主站商业页",IF(L721="博客A-知识教程","写知识教程/FAQ文章",IF(L721="博客B-场景人群","写场景需求/选购指南文章",IF(L721="博客C-对比评测","写对比评测/榜单文章","暂不做或人工复核")))))</x:f>
        <x:v>建/优化主站商业页</x:v>
      </x:c>
      <x:c r="AC721" s="9" t="str">
        <x:v>blow pop vape</x:v>
      </x:c>
      <x:c r="AD721" s="10" t="str">
        <x:v>48</x:v>
      </x:c>
    </x:row>
    <x:row r="722">
      <x:c r="A722" s="34" t="n">
        <x:v>722</x:v>
      </x:c>
      <x:c r="B722" s="9" t="str">
        <x:v>48</x:v>
      </x:c>
      <x:c r="C722" s="9" t="str">
        <x:v>vape flavors fruity</x:v>
      </x:c>
      <x:c r="D722" s="9" t="str">
        <x:v>recommended</x:v>
      </x:c>
      <x:c r="E722" s="36" t="n">
        <x:v>170</x:v>
      </x:c>
      <x:c r="F722" s="36" t="n">
        <x:v>3</x:v>
      </x:c>
      <x:c r="G722" s="9" t="str">
        <x:v>informational</x:v>
      </x:c>
      <x:c r="H722" s="9" t="str">
        <x:v>Flavor / 口味</x:v>
      </x:c>
      <x:c r="I722" s="9" t="str">
        <x:v>场景/需求词</x:v>
      </x:c>
      <x:c r="J722" s="9" t="str">
        <x:v>博客B-场景人群</x:v>
      </x:c>
      <x:c r="K722" s="9" t="str"/>
      <x:c r="L722" s="9" t="str">
        <x:f>IF(K722="",J722,K722)</x:f>
        <x:v>博客B-场景人群</x:v>
      </x:c>
      <x:c r="M722" s="9" t="str">
        <x:v>场景解决方案/选购指南文章</x:v>
      </x:c>
      <x:c r="N722" s="9" t="str">
        <x:v>Scenario angle: how to choose vape flavors fruity based on use case, flavor, nicotine, and budget</x:v>
      </x:c>
      <x:c r="O722" s="9" t="str">
        <x:v>/collections/flavored-disposable-vapes</x:v>
      </x:c>
      <x:c r="P722" s="9" t="str">
        <x:v>是</x:v>
      </x:c>
      <x:c r="Q722" s="9" t="str">
        <x:v>自然句/品类词</x:v>
      </x:c>
      <x:c r="R722" s="9" t="str">
        <x:v>低中风险：适合软性导流，但不要夸大效果或触碰健康疗效</x:v>
      </x:c>
      <x:c r="S722" s="9" t="str">
        <x:v>围绕使用场景、口味、尼古丁需求、便携性等写，不和主站品类页抢词。</x:v>
      </x:c>
      <x:c r="T722" s="38" t="n">
        <x:v>7</x:v>
      </x:c>
      <x:c r="U722" s="38" t="n">
        <x:v>15</x:v>
      </x:c>
      <x:c r="V722" s="38" t="n">
        <x:v>13</x:v>
      </x:c>
      <x:c r="W722" s="38" t="n">
        <x:v>14</x:v>
      </x:c>
      <x:c r="X722" s="38" t="n">
        <x:v>13</x:v>
      </x:c>
      <x:c r="Y722" s="38" t="n">
        <x:v>5</x:v>
      </x:c>
      <x:c r="Z722" s="38" t="n">
        <x:f>MAX(0,MIN(100,ROUND(((T722+U722+V722+W722+X722)-Y722)/85*100,0)))</x:f>
        <x:v>67</x:v>
      </x:c>
      <x:c r="AA722" s="9" t="str">
        <x:f>IF(L722="暂不做","P3 暂缓",IF(Z722&gt;=75,"P0 本周做",IF(Z722&gt;=60,"P1 近期做",IF(Z722&gt;=45,"P2 备选","P3 暂缓"))))</x:f>
        <x:v>P1 近期做</x:v>
      </x:c>
      <x:c r="AB722" s="9" t="str">
        <x:f>IF(Y722&gt;=15,"先做合规/相关性复核，不建议直接商业导流",IF(L722="主站","建/优化主站商业页",IF(L722="博客A-知识教程","写知识教程/FAQ文章",IF(L722="博客B-场景人群","写场景需求/选购指南文章",IF(L722="博客C-对比评测","写对比评测/榜单文章","暂不做或人工复核")))))</x:f>
        <x:v>写场景需求/选购指南文章</x:v>
      </x:c>
      <x:c r="AC722" s="9" t="str">
        <x:v>blow pop vape</x:v>
      </x:c>
      <x:c r="AD722" s="10" t="str">
        <x:v>48</x:v>
      </x:c>
    </x:row>
    <x:row r="723">
      <x:c r="A723" s="34" t="n">
        <x:v>723</x:v>
      </x:c>
      <x:c r="B723" s="9" t="str">
        <x:v>48</x:v>
      </x:c>
      <x:c r="C723" s="9" t="str">
        <x:v>mint chocolate vape</x:v>
      </x:c>
      <x:c r="D723" s="9" t="str">
        <x:v>recommended</x:v>
      </x:c>
      <x:c r="E723" s="36" t="n">
        <x:v>50</x:v>
      </x:c>
      <x:c r="F723" s="36" t="n">
        <x:v>4</x:v>
      </x:c>
      <x:c r="G723" s="9" t="str">
        <x:v>informational</x:v>
      </x:c>
      <x:c r="H723" s="9" t="str">
        <x:v>General Vape</x:v>
      </x:c>
      <x:c r="I723" s="9" t="str">
        <x:v>品类承接词</x:v>
      </x:c>
      <x:c r="J723" s="9" t="str">
        <x:v>主站</x:v>
      </x:c>
      <x:c r="K723" s="9" t="str"/>
      <x:c r="L723" s="9" t="str">
        <x:f>IF(K723="",J723,K723)</x:f>
        <x:v>主站</x:v>
      </x:c>
      <x:c r="M723" s="9" t="str">
        <x:v>品类页/集合页 + FAQ内容块</x:v>
      </x:c>
      <x:c r="N723" s="9" t="str">
        <x:v>主站品类页：用产品集合 + 选购说明承接</x:v>
      </x:c>
      <x:c r="O723" s="9" t="str">
        <x:v>/collections/disposable-vapes</x:v>
      </x:c>
      <x:c r="P723" s="9" t="str">
        <x:v>不适用</x:v>
      </x:c>
      <x:c r="Q723" s="9" t="str">
        <x:v>主站页面自身承接</x:v>
      </x:c>
      <x:c r="R723" s="9" t="str">
        <x:v>核心品类词：主站优先，博客只做长尾解释，不直接抢同一词</x:v>
      </x:c>
      <x:c r="S723" s="9" t="str">
        <x:v>如果 Google 首页产品页和指南混合，主站页要加 FAQ、选购指南、对比模块。</x:v>
      </x:c>
      <x:c r="T723" s="38" t="n">
        <x:v>4</x:v>
      </x:c>
      <x:c r="U723" s="38" t="n">
        <x:v>15</x:v>
      </x:c>
      <x:c r="V723" s="38" t="n">
        <x:v>16</x:v>
      </x:c>
      <x:c r="W723" s="38" t="n">
        <x:v>8</x:v>
      </x:c>
      <x:c r="X723" s="38" t="n">
        <x:v>15</x:v>
      </x:c>
      <x:c r="Y723" s="38" t="n">
        <x:v>4</x:v>
      </x:c>
      <x:c r="Z723" s="38" t="n">
        <x:f>MAX(0,MIN(100,ROUND(((T723+U723+V723+W723+X723)-Y723)/85*100,0)))</x:f>
        <x:v>64</x:v>
      </x:c>
      <x:c r="AA723" s="9" t="str">
        <x:f>IF(L723="暂不做","P3 暂缓",IF(Z723&gt;=75,"P0 本周做",IF(Z723&gt;=60,"P1 近期做",IF(Z723&gt;=45,"P2 备选","P3 暂缓"))))</x:f>
        <x:v>P1 近期做</x:v>
      </x:c>
      <x:c r="AB723" s="9" t="str">
        <x:f>IF(Y723&gt;=15,"先做合规/相关性复核，不建议直接商业导流",IF(L723="主站","建/优化主站商业页",IF(L723="博客A-知识教程","写知识教程/FAQ文章",IF(L723="博客B-场景人群","写场景需求/选购指南文章",IF(L723="博客C-对比评测","写对比评测/榜单文章","暂不做或人工复核")))))</x:f>
        <x:v>建/优化主站商业页</x:v>
      </x:c>
      <x:c r="AC723" s="9" t="str">
        <x:v>blow pop vape</x:v>
      </x:c>
      <x:c r="AD723" s="10" t="str">
        <x:v>48</x:v>
      </x:c>
    </x:row>
    <x:row r="724">
      <x:c r="A724" s="34" t="n">
        <x:v>724</x:v>
      </x:c>
      <x:c r="B724" s="9" t="str">
        <x:v>48</x:v>
      </x:c>
      <x:c r="C724" s="9" t="str">
        <x:v>what does white gummy ice taste like</x:v>
      </x:c>
      <x:c r="D724" s="9" t="str">
        <x:v>recommended</x:v>
      </x:c>
      <x:c r="E724" s="36" t="n">
        <x:v>140</x:v>
      </x:c>
      <x:c r="F724" s="36" t="n">
        <x:v>2</x:v>
      </x:c>
      <x:c r="G724" s="9" t="str">
        <x:v>informational</x:v>
      </x:c>
      <x:c r="H724" s="9" t="str">
        <x:v>知识教程</x:v>
      </x:c>
      <x:c r="I724" s="9" t="str">
        <x:v>知识/教程词</x:v>
      </x:c>
      <x:c r="J724" s="9" t="str">
        <x:v>博客A-知识教程</x:v>
      </x:c>
      <x:c r="K724" s="9" t="str"/>
      <x:c r="L724" s="9" t="str">
        <x:f>IF(K724="",J724,K724)</x:f>
        <x:v>博客A-知识教程</x:v>
      </x:c>
      <x:c r="M724" s="9" t="str">
        <x:v>百科/How-to/FAQ文章</x:v>
      </x:c>
      <x:c r="N724" s="9" t="str">
        <x:v>Guide angle: explain what does white gummy ice taste like, answer common questions, and avoid sales-first writing</x:v>
      </x:c>
      <x:c r="O724" s="9" t="str">
        <x:v>/collections/disposable-vapes</x:v>
      </x:c>
      <x:c r="P724" s="9" t="str">
        <x:v>谨慎</x:v>
      </x:c>
      <x:c r="Q724" s="9" t="str">
        <x:v>自然句/品牌词</x:v>
      </x:c>
      <x:c r="R724" s="9" t="str">
        <x:v>低中风险：先满足信息意图，导流要克制</x:v>
      </x:c>
      <x:c r="S724" s="9" t="str">
        <x:v>如果文章能自然回答下一步购买问题，再放 1 个主站内链；否则只做知识闭环。</x:v>
      </x:c>
      <x:c r="T724" s="38" t="n">
        <x:v>7</x:v>
      </x:c>
      <x:c r="U724" s="38" t="n">
        <x:v>15</x:v>
      </x:c>
      <x:c r="V724" s="38" t="n">
        <x:v>9</x:v>
      </x:c>
      <x:c r="W724" s="38" t="n">
        <x:v>14</x:v>
      </x:c>
      <x:c r="X724" s="38" t="n">
        <x:v>12</x:v>
      </x:c>
      <x:c r="Y724" s="38" t="n">
        <x:v>5</x:v>
      </x:c>
      <x:c r="Z724" s="38" t="n">
        <x:f>MAX(0,MIN(100,ROUND(((T724+U724+V724+W724+X724)-Y724)/85*100,0)))</x:f>
        <x:v>61</x:v>
      </x:c>
      <x:c r="AA724" s="9" t="str">
        <x:f>IF(L724="暂不做","P3 暂缓",IF(Z724&gt;=75,"P0 本周做",IF(Z724&gt;=60,"P1 近期做",IF(Z724&gt;=45,"P2 备选","P3 暂缓"))))</x:f>
        <x:v>P1 近期做</x:v>
      </x:c>
      <x:c r="AB724" s="9" t="str">
        <x:f>IF(Y724&gt;=15,"先做合规/相关性复核，不建议直接商业导流",IF(L724="主站","建/优化主站商业页",IF(L724="博客A-知识教程","写知识教程/FAQ文章",IF(L724="博客B-场景人群","写场景需求/选购指南文章",IF(L724="博客C-对比评测","写对比评测/榜单文章","暂不做或人工复核")))))</x:f>
        <x:v>写知识教程/FAQ文章</x:v>
      </x:c>
      <x:c r="AC724" s="9" t="str">
        <x:v>blow pop vape</x:v>
      </x:c>
      <x:c r="AD724" s="10" t="str">
        <x:v>48</x:v>
      </x:c>
    </x:row>
    <x:row r="725">
      <x:c r="A725" s="34" t="n">
        <x:v>725</x:v>
      </x:c>
      <x:c r="B725" s="9" t="str">
        <x:v>48</x:v>
      </x:c>
      <x:c r="C725" s="9" t="str">
        <x:v>white gummy ice geek bar</x:v>
      </x:c>
      <x:c r="D725" s="9" t="str">
        <x:v>recommended</x:v>
      </x:c>
      <x:c r="E725" s="36" t="n">
        <x:v>2900</x:v>
      </x:c>
      <x:c r="F725" s="36" t="n">
        <x:v>7</x:v>
      </x:c>
      <x:c r="G725" s="9" t="str">
        <x:v>informational</x:v>
      </x:c>
      <x:c r="H725" s="9" t="str">
        <x:v>竞品/品牌词</x:v>
      </x:c>
      <x:c r="I725" s="9" t="str">
        <x:v>竞品品牌词</x:v>
      </x:c>
      <x:c r="J725" s="9" t="str">
        <x:v>暂不做</x:v>
      </x:c>
      <x:c r="K725" s="9" t="str"/>
      <x:c r="L725" s="9" t="str">
        <x:f>IF(K725="",J725,K725)</x:f>
        <x:v>暂不做</x:v>
      </x:c>
      <x:c r="M725" s="9" t="str">
        <x:v>人工确认后再决定</x:v>
      </x:c>
      <x:c r="N725" s="9" t="str">
        <x:v>人工确认是否可做客观对比</x:v>
      </x:c>
      <x:c r="O725" s="9" t="str">
        <x:v>无</x:v>
      </x:c>
      <x:c r="P725" s="9" t="str">
        <x:v>否</x:v>
      </x:c>
      <x:c r="Q725" s="9" t="str">
        <x:v>不导流</x:v>
      </x:c>
      <x:c r="R725" s="9" t="str">
        <x:v>中高风险：纯竞品品牌词容易产生商标/相关性问题</x:v>
      </x:c>
      <x:c r="S725" s="9" t="str">
        <x:v>只有带 alternative / vs / review / best 这类明确比较意图时，才考虑博客C。</x:v>
      </x:c>
      <x:c r="T725" s="38" t="n">
        <x:v>13</x:v>
      </x:c>
      <x:c r="U725" s="38" t="n">
        <x:v>15</x:v>
      </x:c>
      <x:c r="V725" s="38" t="n">
        <x:v>5</x:v>
      </x:c>
      <x:c r="W725" s="38" t="n">
        <x:v>7</x:v>
      </x:c>
      <x:c r="X725" s="38" t="n">
        <x:v>4</x:v>
      </x:c>
      <x:c r="Y725" s="38" t="n">
        <x:v>14</x:v>
      </x:c>
      <x:c r="Z725" s="38" t="n">
        <x:f>MAX(0,MIN(100,ROUND(((T725+U725+V725+W725+X725)-Y725)/85*100,0)))</x:f>
        <x:v>35</x:v>
      </x:c>
      <x:c r="AA725" s="9" t="str">
        <x:f>IF(L725="暂不做","P3 暂缓",IF(Z725&gt;=75,"P0 本周做",IF(Z725&gt;=60,"P1 近期做",IF(Z725&gt;=45,"P2 备选","P3 暂缓"))))</x:f>
        <x:v>P3 暂缓</x:v>
      </x:c>
      <x:c r="AB725" s="9" t="str">
        <x:f>IF(Y725&gt;=15,"先做合规/相关性复核，不建议直接商业导流",IF(L725="主站","建/优化主站商业页",IF(L725="博客A-知识教程","写知识教程/FAQ文章",IF(L725="博客B-场景人群","写场景需求/选购指南文章",IF(L725="博客C-对比评测","写对比评测/榜单文章","暂不做或人工复核")))))</x:f>
        <x:v>暂不做或人工复核</x:v>
      </x:c>
      <x:c r="AC725" s="9" t="str">
        <x:v>blow pop vape</x:v>
      </x:c>
      <x:c r="AD725" s="10" t="str">
        <x:v>48</x:v>
      </x:c>
    </x:row>
    <x:row r="726">
      <x:c r="A726" s="34" t="n">
        <x:v>726</x:v>
      </x:c>
      <x:c r="B726" s="9" t="str">
        <x:v>48</x:v>
      </x:c>
      <x:c r="C726" s="9" t="str">
        <x:v>sour apple ice geek bar</x:v>
      </x:c>
      <x:c r="D726" s="9" t="str">
        <x:v>recommended</x:v>
      </x:c>
      <x:c r="E726" s="36" t="n">
        <x:v>2400</x:v>
      </x:c>
      <x:c r="F726" s="36" t="n">
        <x:v>11</x:v>
      </x:c>
      <x:c r="G726" s="9" t="str">
        <x:v>informational</x:v>
      </x:c>
      <x:c r="H726" s="9" t="str">
        <x:v>竞品/品牌词</x:v>
      </x:c>
      <x:c r="I726" s="9" t="str">
        <x:v>竞品品牌词</x:v>
      </x:c>
      <x:c r="J726" s="9" t="str">
        <x:v>暂不做</x:v>
      </x:c>
      <x:c r="K726" s="9" t="str"/>
      <x:c r="L726" s="9" t="str">
        <x:f>IF(K726="",J726,K726)</x:f>
        <x:v>暂不做</x:v>
      </x:c>
      <x:c r="M726" s="9" t="str">
        <x:v>人工确认后再决定</x:v>
      </x:c>
      <x:c r="N726" s="9" t="str">
        <x:v>人工确认是否可做客观对比</x:v>
      </x:c>
      <x:c r="O726" s="9" t="str">
        <x:v>无</x:v>
      </x:c>
      <x:c r="P726" s="9" t="str">
        <x:v>否</x:v>
      </x:c>
      <x:c r="Q726" s="9" t="str">
        <x:v>不导流</x:v>
      </x:c>
      <x:c r="R726" s="9" t="str">
        <x:v>中高风险：纯竞品品牌词容易产生商标/相关性问题</x:v>
      </x:c>
      <x:c r="S726" s="9" t="str">
        <x:v>只有带 alternative / vs / review / best 这类明确比较意图时，才考虑博客C。</x:v>
      </x:c>
      <x:c r="T726" s="38" t="n">
        <x:v>13</x:v>
      </x:c>
      <x:c r="U726" s="38" t="n">
        <x:v>15</x:v>
      </x:c>
      <x:c r="V726" s="38" t="n">
        <x:v>5</x:v>
      </x:c>
      <x:c r="W726" s="38" t="n">
        <x:v>7</x:v>
      </x:c>
      <x:c r="X726" s="38" t="n">
        <x:v>4</x:v>
      </x:c>
      <x:c r="Y726" s="38" t="n">
        <x:v>14</x:v>
      </x:c>
      <x:c r="Z726" s="38" t="n">
        <x:f>MAX(0,MIN(100,ROUND(((T726+U726+V726+W726+X726)-Y726)/85*100,0)))</x:f>
        <x:v>35</x:v>
      </x:c>
      <x:c r="AA726" s="9" t="str">
        <x:f>IF(L726="暂不做","P3 暂缓",IF(Z726&gt;=75,"P0 本周做",IF(Z726&gt;=60,"P1 近期做",IF(Z726&gt;=45,"P2 备选","P3 暂缓"))))</x:f>
        <x:v>P3 暂缓</x:v>
      </x:c>
      <x:c r="AB726" s="9" t="str">
        <x:f>IF(Y726&gt;=15,"先做合规/相关性复核，不建议直接商业导流",IF(L726="主站","建/优化主站商业页",IF(L726="博客A-知识教程","写知识教程/FAQ文章",IF(L726="博客B-场景人群","写场景需求/选购指南文章",IF(L726="博客C-对比评测","写对比评测/榜单文章","暂不做或人工复核")))))</x:f>
        <x:v>暂不做或人工复核</x:v>
      </x:c>
      <x:c r="AC726" s="9" t="str">
        <x:v>blow pop vape</x:v>
      </x:c>
      <x:c r="AD726" s="10" t="str">
        <x:v>48</x:v>
      </x:c>
    </x:row>
    <x:row r="727">
      <x:c r="A727" s="34" t="n">
        <x:v>727</x:v>
      </x:c>
      <x:c r="B727" s="9" t="str">
        <x:v>48</x:v>
      </x:c>
      <x:c r="C727" s="9" t="str">
        <x:v>crazy vape flavors</x:v>
      </x:c>
      <x:c r="D727" s="9" t="str">
        <x:v>recommended</x:v>
      </x:c>
      <x:c r="E727" s="36" t="n">
        <x:v>90</x:v>
      </x:c>
      <x:c r="F727" s="36" t="n">
        <x:v>0</x:v>
      </x:c>
      <x:c r="G727" s="9" t="str">
        <x:v>informational, commercial</x:v>
      </x:c>
      <x:c r="H727" s="9" t="str">
        <x:v>竞品/品牌词</x:v>
      </x:c>
      <x:c r="I727" s="9" t="str">
        <x:v>竞品品牌词</x:v>
      </x:c>
      <x:c r="J727" s="9" t="str">
        <x:v>暂不做</x:v>
      </x:c>
      <x:c r="K727" s="9" t="str"/>
      <x:c r="L727" s="9" t="str">
        <x:f>IF(K727="",J727,K727)</x:f>
        <x:v>暂不做</x:v>
      </x:c>
      <x:c r="M727" s="9" t="str">
        <x:v>人工确认后再决定</x:v>
      </x:c>
      <x:c r="N727" s="9" t="str">
        <x:v>人工确认是否可做客观对比</x:v>
      </x:c>
      <x:c r="O727" s="9" t="str">
        <x:v>无</x:v>
      </x:c>
      <x:c r="P727" s="9" t="str">
        <x:v>否</x:v>
      </x:c>
      <x:c r="Q727" s="9" t="str">
        <x:v>不导流</x:v>
      </x:c>
      <x:c r="R727" s="9" t="str">
        <x:v>中高风险：纯竞品品牌词容易产生商标/相关性问题</x:v>
      </x:c>
      <x:c r="S727" s="9" t="str">
        <x:v>只有带 alternative / vs / review / best 这类明确比较意图时，才考虑博客C。</x:v>
      </x:c>
      <x:c r="T727" s="38" t="n">
        <x:v>4</x:v>
      </x:c>
      <x:c r="U727" s="38" t="n">
        <x:v>15</x:v>
      </x:c>
      <x:c r="V727" s="38" t="n">
        <x:v>5</x:v>
      </x:c>
      <x:c r="W727" s="38" t="n">
        <x:v>7</x:v>
      </x:c>
      <x:c r="X727" s="38" t="n">
        <x:v>4</x:v>
      </x:c>
      <x:c r="Y727" s="38" t="n">
        <x:v>14</x:v>
      </x:c>
      <x:c r="Z727" s="38" t="n">
        <x:f>MAX(0,MIN(100,ROUND(((T727+U727+V727+W727+X727)-Y727)/85*100,0)))</x:f>
        <x:v>25</x:v>
      </x:c>
      <x:c r="AA727" s="9" t="str">
        <x:f>IF(L727="暂不做","P3 暂缓",IF(Z727&gt;=75,"P0 本周做",IF(Z727&gt;=60,"P1 近期做",IF(Z727&gt;=45,"P2 备选","P3 暂缓"))))</x:f>
        <x:v>P3 暂缓</x:v>
      </x:c>
      <x:c r="AB727" s="9" t="str">
        <x:f>IF(Y727&gt;=15,"先做合规/相关性复核，不建议直接商业导流",IF(L727="主站","建/优化主站商业页",IF(L727="博客A-知识教程","写知识教程/FAQ文章",IF(L727="博客B-场景人群","写场景需求/选购指南文章",IF(L727="博客C-对比评测","写对比评测/榜单文章","暂不做或人工复核")))))</x:f>
        <x:v>暂不做或人工复核</x:v>
      </x:c>
      <x:c r="AC727" s="9" t="str">
        <x:v>blow pop vape</x:v>
      </x:c>
      <x:c r="AD727" s="10" t="str">
        <x:v>48</x:v>
      </x:c>
    </x:row>
    <x:row r="728">
      <x:c r="A728" s="34" t="n">
        <x:v>728</x:v>
      </x:c>
      <x:c r="B728" s="9" t="str">
        <x:v>48</x:v>
      </x:c>
      <x:c r="C728" s="9" t="str">
        <x:v>banana vape disposable</x:v>
      </x:c>
      <x:c r="D728" s="9" t="str">
        <x:v>recommended</x:v>
      </x:c>
      <x:c r="E728" s="36" t="n">
        <x:v>140</x:v>
      </x:c>
      <x:c r="F728" s="36" t="n">
        <x:v>3</x:v>
      </x:c>
      <x:c r="G728" s="9" t="str">
        <x:v>informational, commercial</x:v>
      </x:c>
      <x:c r="H728" s="9" t="str">
        <x:v>合规科普</x:v>
      </x:c>
      <x:c r="I728" s="9" t="str">
        <x:v>合规/YMYL科普词</x:v>
      </x:c>
      <x:c r="J728" s="9" t="str">
        <x:v>博客A-知识教程</x:v>
      </x:c>
      <x:c r="K728" s="9" t="str"/>
      <x:c r="L728" s="9" t="str">
        <x:f>IF(K728="",J728,K728)</x:f>
        <x:v>博客A-知识教程</x:v>
      </x:c>
      <x:c r="M728" s="9" t="str">
        <x:v>合规/健康风险科普文章</x:v>
      </x:c>
      <x:c r="N728" s="9" t="str">
        <x:v>Guide angle: explain banana vape disposable, answer common questions, and avoid sales-first writing</x:v>
      </x:c>
      <x:c r="O728" s="9" t="str">
        <x:v>无商业内链</x:v>
      </x:c>
      <x:c r="P728" s="9" t="str">
        <x:v>否</x:v>
      </x:c>
      <x:c r="Q728" s="9" t="str">
        <x:v>不导流</x:v>
      </x:c>
      <x:c r="R728" s="9" t="str">
        <x:v>高风险：健康、戒烟、法律等 YMYL 主题，不写疗效承诺，不直接卖货</x:v>
      </x:c>
      <x:c r="S728" s="9" t="str">
        <x:v>需要引用权威资料，语气中立；如果不能做到合规审核，暂缓。</x:v>
      </x:c>
      <x:c r="T728" s="38" t="n">
        <x:v>7</x:v>
      </x:c>
      <x:c r="U728" s="38" t="n">
        <x:v>15</x:v>
      </x:c>
      <x:c r="V728" s="38" t="n">
        <x:v>4</x:v>
      </x:c>
      <x:c r="W728" s="38" t="n">
        <x:v>10</x:v>
      </x:c>
      <x:c r="X728" s="38" t="n">
        <x:v>8</x:v>
      </x:c>
      <x:c r="Y728" s="38" t="n">
        <x:v>15</x:v>
      </x:c>
      <x:c r="Z728" s="38" t="n">
        <x:f>MAX(0,MIN(100,ROUND(((T728+U728+V728+W728+X728)-Y728)/85*100,0)))</x:f>
        <x:v>34</x:v>
      </x:c>
      <x:c r="AA728" s="9" t="str">
        <x:f>IF(L728="暂不做","P3 暂缓",IF(Z728&gt;=75,"P0 本周做",IF(Z728&gt;=60,"P1 近期做",IF(Z728&gt;=45,"P2 备选","P3 暂缓"))))</x:f>
        <x:v>P3 暂缓</x:v>
      </x:c>
      <x:c r="AB728" s="9" t="str">
        <x:f>IF(Y728&gt;=15,"先做合规/相关性复核，不建议直接商业导流",IF(L728="主站","建/优化主站商业页",IF(L728="博客A-知识教程","写知识教程/FAQ文章",IF(L728="博客B-场景人群","写场景需求/选购指南文章",IF(L728="博客C-对比评测","写对比评测/榜单文章","暂不做或人工复核")))))</x:f>
        <x:v>先做合规/相关性复核，不建议直接商业导流</x:v>
      </x:c>
      <x:c r="AC728" s="9" t="str">
        <x:v>blow pop vape</x:v>
      </x:c>
      <x:c r="AD728" s="10" t="str">
        <x:v>48</x:v>
      </x:c>
    </x:row>
    <x:row r="729">
      <x:c r="A729" s="34" t="n">
        <x:v>729</x:v>
      </x:c>
      <x:c r="B729" s="9" t="str">
        <x:v>48</x:v>
      </x:c>
      <x:c r="C729" s="9" t="str">
        <x:v>gummy vape</x:v>
      </x:c>
      <x:c r="D729" s="9" t="str">
        <x:v>recommended</x:v>
      </x:c>
      <x:c r="E729" s="36" t="n">
        <x:v>110</x:v>
      </x:c>
      <x:c r="F729" s="36" t="n">
        <x:v>3</x:v>
      </x:c>
      <x:c r="G729" s="9" t="str">
        <x:v>informational</x:v>
      </x:c>
      <x:c r="H729" s="9" t="str">
        <x:v>General Vape</x:v>
      </x:c>
      <x:c r="I729" s="9" t="str">
        <x:v>品类承接词</x:v>
      </x:c>
      <x:c r="J729" s="9" t="str">
        <x:v>主站</x:v>
      </x:c>
      <x:c r="K729" s="9" t="str"/>
      <x:c r="L729" s="9" t="str">
        <x:f>IF(K729="",J729,K729)</x:f>
        <x:v>主站</x:v>
      </x:c>
      <x:c r="M729" s="9" t="str">
        <x:v>品类页/集合页 + FAQ内容块</x:v>
      </x:c>
      <x:c r="N729" s="9" t="str">
        <x:v>主站品类页：用产品集合 + 选购说明承接</x:v>
      </x:c>
      <x:c r="O729" s="9" t="str">
        <x:v>/collections/disposable-vapes</x:v>
      </x:c>
      <x:c r="P729" s="9" t="str">
        <x:v>不适用</x:v>
      </x:c>
      <x:c r="Q729" s="9" t="str">
        <x:v>主站页面自身承接</x:v>
      </x:c>
      <x:c r="R729" s="9" t="str">
        <x:v>核心品类词：主站优先，博客只做长尾解释，不直接抢同一词</x:v>
      </x:c>
      <x:c r="S729" s="9" t="str">
        <x:v>如果 Google 首页产品页和指南混合，主站页要加 FAQ、选购指南、对比模块。</x:v>
      </x:c>
      <x:c r="T729" s="38" t="n">
        <x:v>7</x:v>
      </x:c>
      <x:c r="U729" s="38" t="n">
        <x:v>15</x:v>
      </x:c>
      <x:c r="V729" s="38" t="n">
        <x:v>16</x:v>
      </x:c>
      <x:c r="W729" s="38" t="n">
        <x:v>8</x:v>
      </x:c>
      <x:c r="X729" s="38" t="n">
        <x:v>15</x:v>
      </x:c>
      <x:c r="Y729" s="38" t="n">
        <x:v>4</x:v>
      </x:c>
      <x:c r="Z729" s="38" t="n">
        <x:f>MAX(0,MIN(100,ROUND(((T729+U729+V729+W729+X729)-Y729)/85*100,0)))</x:f>
        <x:v>67</x:v>
      </x:c>
      <x:c r="AA729" s="9" t="str">
        <x:f>IF(L729="暂不做","P3 暂缓",IF(Z729&gt;=75,"P0 本周做",IF(Z729&gt;=60,"P1 近期做",IF(Z729&gt;=45,"P2 备选","P3 暂缓"))))</x:f>
        <x:v>P1 近期做</x:v>
      </x:c>
      <x:c r="AB729" s="9" t="str">
        <x:f>IF(Y729&gt;=15,"先做合规/相关性复核，不建议直接商业导流",IF(L729="主站","建/优化主站商业页",IF(L729="博客A-知识教程","写知识教程/FAQ文章",IF(L729="博客B-场景人群","写场景需求/选购指南文章",IF(L729="博客C-对比评测","写对比评测/榜单文章","暂不做或人工复核")))))</x:f>
        <x:v>建/优化主站商业页</x:v>
      </x:c>
      <x:c r="AC729" s="9" t="str">
        <x:v>blow pop vape</x:v>
      </x:c>
      <x:c r="AD729" s="10" t="str">
        <x:v>48</x:v>
      </x:c>
    </x:row>
    <x:row r="730">
      <x:c r="A730" s="34" t="n">
        <x:v>730</x:v>
      </x:c>
      <x:c r="B730" s="9" t="str">
        <x:v>48</x:v>
      </x:c>
      <x:c r="C730" s="9" t="str">
        <x:v>banana ice vape</x:v>
      </x:c>
      <x:c r="D730" s="9" t="str">
        <x:v>recommended</x:v>
      </x:c>
      <x:c r="E730" s="36" t="n">
        <x:v>1000</x:v>
      </x:c>
      <x:c r="F730" s="36" t="n">
        <x:v>4</x:v>
      </x:c>
      <x:c r="G730" s="9" t="str">
        <x:v>informational</x:v>
      </x:c>
      <x:c r="H730" s="9" t="str">
        <x:v>合规科普</x:v>
      </x:c>
      <x:c r="I730" s="9" t="str">
        <x:v>合规/YMYL科普词</x:v>
      </x:c>
      <x:c r="J730" s="9" t="str">
        <x:v>博客A-知识教程</x:v>
      </x:c>
      <x:c r="K730" s="9" t="str"/>
      <x:c r="L730" s="9" t="str">
        <x:f>IF(K730="",J730,K730)</x:f>
        <x:v>博客A-知识教程</x:v>
      </x:c>
      <x:c r="M730" s="9" t="str">
        <x:v>合规/健康风险科普文章</x:v>
      </x:c>
      <x:c r="N730" s="9" t="str">
        <x:v>Guide angle: explain banana ice vape, answer common questions, and avoid sales-first writing</x:v>
      </x:c>
      <x:c r="O730" s="9" t="str">
        <x:v>无商业内链</x:v>
      </x:c>
      <x:c r="P730" s="9" t="str">
        <x:v>否</x:v>
      </x:c>
      <x:c r="Q730" s="9" t="str">
        <x:v>不导流</x:v>
      </x:c>
      <x:c r="R730" s="9" t="str">
        <x:v>高风险：健康、戒烟、法律等 YMYL 主题，不写疗效承诺，不直接卖货</x:v>
      </x:c>
      <x:c r="S730" s="9" t="str">
        <x:v>需要引用权威资料，语气中立；如果不能做到合规审核，暂缓。</x:v>
      </x:c>
      <x:c r="T730" s="38" t="n">
        <x:v>13</x:v>
      </x:c>
      <x:c r="U730" s="38" t="n">
        <x:v>15</x:v>
      </x:c>
      <x:c r="V730" s="38" t="n">
        <x:v>4</x:v>
      </x:c>
      <x:c r="W730" s="38" t="n">
        <x:v>10</x:v>
      </x:c>
      <x:c r="X730" s="38" t="n">
        <x:v>8</x:v>
      </x:c>
      <x:c r="Y730" s="38" t="n">
        <x:v>15</x:v>
      </x:c>
      <x:c r="Z730" s="38" t="n">
        <x:f>MAX(0,MIN(100,ROUND(((T730+U730+V730+W730+X730)-Y730)/85*100,0)))</x:f>
        <x:v>41</x:v>
      </x:c>
      <x:c r="AA730" s="9" t="str">
        <x:f>IF(L730="暂不做","P3 暂缓",IF(Z730&gt;=75,"P0 本周做",IF(Z730&gt;=60,"P1 近期做",IF(Z730&gt;=45,"P2 备选","P3 暂缓"))))</x:f>
        <x:v>P3 暂缓</x:v>
      </x:c>
      <x:c r="AB730" s="9" t="str">
        <x:f>IF(Y730&gt;=15,"先做合规/相关性复核，不建议直接商业导流",IF(L730="主站","建/优化主站商业页",IF(L730="博客A-知识教程","写知识教程/FAQ文章",IF(L730="博客B-场景人群","写场景需求/选购指南文章",IF(L730="博客C-对比评测","写对比评测/榜单文章","暂不做或人工复核")))))</x:f>
        <x:v>先做合规/相关性复核，不建议直接商业导流</x:v>
      </x:c>
      <x:c r="AC730" s="9" t="str">
        <x:v>blow pop vape</x:v>
      </x:c>
      <x:c r="AD730" s="10" t="str">
        <x:v>48</x:v>
      </x:c>
    </x:row>
    <x:row r="731">
      <x:c r="A731" s="34" t="n">
        <x:v>731</x:v>
      </x:c>
      <x:c r="B731" s="9" t="str">
        <x:v>48</x:v>
      </x:c>
      <x:c r="C731" s="9" t="str">
        <x:v>mango ice vape</x:v>
      </x:c>
      <x:c r="D731" s="9" t="str">
        <x:v>recommended</x:v>
      </x:c>
      <x:c r="E731" s="36" t="n">
        <x:v>320</x:v>
      </x:c>
      <x:c r="F731" s="36" t="n">
        <x:v>5</x:v>
      </x:c>
      <x:c r="G731" s="9" t="str">
        <x:v>informational</x:v>
      </x:c>
      <x:c r="H731" s="9" t="str">
        <x:v>General Vape</x:v>
      </x:c>
      <x:c r="I731" s="9" t="str">
        <x:v>品类承接词</x:v>
      </x:c>
      <x:c r="J731" s="9" t="str">
        <x:v>主站</x:v>
      </x:c>
      <x:c r="K731" s="9" t="str"/>
      <x:c r="L731" s="9" t="str">
        <x:f>IF(K731="",J731,K731)</x:f>
        <x:v>主站</x:v>
      </x:c>
      <x:c r="M731" s="9" t="str">
        <x:v>品类页/集合页 + FAQ内容块</x:v>
      </x:c>
      <x:c r="N731" s="9" t="str">
        <x:v>主站品类页：用产品集合 + 选购说明承接</x:v>
      </x:c>
      <x:c r="O731" s="9" t="str">
        <x:v>/collections/disposable-vapes</x:v>
      </x:c>
      <x:c r="P731" s="9" t="str">
        <x:v>不适用</x:v>
      </x:c>
      <x:c r="Q731" s="9" t="str">
        <x:v>主站页面自身承接</x:v>
      </x:c>
      <x:c r="R731" s="9" t="str">
        <x:v>核心品类词：主站优先，博客只做长尾解释，不直接抢同一词</x:v>
      </x:c>
      <x:c r="S731" s="9" t="str">
        <x:v>如果 Google 首页产品页和指南混合，主站页要加 FAQ、选购指南、对比模块。</x:v>
      </x:c>
      <x:c r="T731" s="38" t="n">
        <x:v>7</x:v>
      </x:c>
      <x:c r="U731" s="38" t="n">
        <x:v>15</x:v>
      </x:c>
      <x:c r="V731" s="38" t="n">
        <x:v>16</x:v>
      </x:c>
      <x:c r="W731" s="38" t="n">
        <x:v>8</x:v>
      </x:c>
      <x:c r="X731" s="38" t="n">
        <x:v>15</x:v>
      </x:c>
      <x:c r="Y731" s="38" t="n">
        <x:v>4</x:v>
      </x:c>
      <x:c r="Z731" s="38" t="n">
        <x:f>MAX(0,MIN(100,ROUND(((T731+U731+V731+W731+X731)-Y731)/85*100,0)))</x:f>
        <x:v>67</x:v>
      </x:c>
      <x:c r="AA731" s="9" t="str">
        <x:f>IF(L731="暂不做","P3 暂缓",IF(Z731&gt;=75,"P0 本周做",IF(Z731&gt;=60,"P1 近期做",IF(Z731&gt;=45,"P2 备选","P3 暂缓"))))</x:f>
        <x:v>P1 近期做</x:v>
      </x:c>
      <x:c r="AB731" s="9" t="str">
        <x:f>IF(Y731&gt;=15,"先做合规/相关性复核，不建议直接商业导流",IF(L731="主站","建/优化主站商业页",IF(L731="博客A-知识教程","写知识教程/FAQ文章",IF(L731="博客B-场景人群","写场景需求/选购指南文章",IF(L731="博客C-对比评测","写对比评测/榜单文章","暂不做或人工复核")))))</x:f>
        <x:v>建/优化主站商业页</x:v>
      </x:c>
      <x:c r="AC731" s="9" t="str">
        <x:v>blow pop vape</x:v>
      </x:c>
      <x:c r="AD731" s="10" t="str">
        <x:v>48</x:v>
      </x:c>
    </x:row>
    <x:row r="732">
      <x:c r="A732" s="34" t="n">
        <x:v>732</x:v>
      </x:c>
      <x:c r="B732" s="9" t="str">
        <x:v>48</x:v>
      </x:c>
      <x:c r="C732" s="9" t="str">
        <x:v>juicy peach ice</x:v>
      </x:c>
      <x:c r="D732" s="9" t="str">
        <x:v>recommended</x:v>
      </x:c>
      <x:c r="E732" s="36" t="n">
        <x:v>590</x:v>
      </x:c>
      <x:c r="F732" s="36" t="n">
        <x:v>6</x:v>
      </x:c>
      <x:c r="G732" s="9" t="str">
        <x:v>informational</x:v>
      </x:c>
      <x:c r="H732" s="9" t="str">
        <x:v>General Vape</x:v>
      </x:c>
      <x:c r="I732" s="9" t="str">
        <x:v>知识/教程词</x:v>
      </x:c>
      <x:c r="J732" s="9" t="str">
        <x:v>博客A-知识教程</x:v>
      </x:c>
      <x:c r="K732" s="9" t="str"/>
      <x:c r="L732" s="9" t="str">
        <x:f>IF(K732="",J732,K732)</x:f>
        <x:v>博客A-知识教程</x:v>
      </x:c>
      <x:c r="M732" s="9" t="str">
        <x:v>百科/How-to/FAQ文章</x:v>
      </x:c>
      <x:c r="N732" s="9" t="str">
        <x:v>Guide angle: explain juicy peach ice, answer common questions, and avoid sales-first writing</x:v>
      </x:c>
      <x:c r="O732" s="9" t="str">
        <x:v>/collections/disposable-vapes</x:v>
      </x:c>
      <x:c r="P732" s="9" t="str">
        <x:v>谨慎</x:v>
      </x:c>
      <x:c r="Q732" s="9" t="str">
        <x:v>自然句/品牌词</x:v>
      </x:c>
      <x:c r="R732" s="9" t="str">
        <x:v>低中风险：先满足信息意图，导流要克制</x:v>
      </x:c>
      <x:c r="S732" s="9" t="str">
        <x:v>如果文章能自然回答下一步购买问题，再放 1 个主站内链；否则只做知识闭环。</x:v>
      </x:c>
      <x:c r="T732" s="38" t="n">
        <x:v>10</x:v>
      </x:c>
      <x:c r="U732" s="38" t="n">
        <x:v>15</x:v>
      </x:c>
      <x:c r="V732" s="38" t="n">
        <x:v>9</x:v>
      </x:c>
      <x:c r="W732" s="38" t="n">
        <x:v>14</x:v>
      </x:c>
      <x:c r="X732" s="38" t="n">
        <x:v>12</x:v>
      </x:c>
      <x:c r="Y732" s="38" t="n">
        <x:v>5</x:v>
      </x:c>
      <x:c r="Z732" s="38" t="n">
        <x:f>MAX(0,MIN(100,ROUND(((T732+U732+V732+W732+X732)-Y732)/85*100,0)))</x:f>
        <x:v>65</x:v>
      </x:c>
      <x:c r="AA732" s="9" t="str">
        <x:f>IF(L732="暂不做","P3 暂缓",IF(Z732&gt;=75,"P0 本周做",IF(Z732&gt;=60,"P1 近期做",IF(Z732&gt;=45,"P2 备选","P3 暂缓"))))</x:f>
        <x:v>P1 近期做</x:v>
      </x:c>
      <x:c r="AB732" s="9" t="str">
        <x:f>IF(Y732&gt;=15,"先做合规/相关性复核，不建议直接商业导流",IF(L732="主站","建/优化主站商业页",IF(L732="博客A-知识教程","写知识教程/FAQ文章",IF(L732="博客B-场景人群","写场景需求/选购指南文章",IF(L732="博客C-对比评测","写对比评测/榜单文章","暂不做或人工复核")))))</x:f>
        <x:v>写知识教程/FAQ文章</x:v>
      </x:c>
      <x:c r="AC732" s="9" t="str">
        <x:v>blow pop vape</x:v>
      </x:c>
      <x:c r="AD732" s="10" t="str">
        <x:v>48</x:v>
      </x:c>
    </x:row>
    <x:row r="733">
      <x:c r="A733" s="34" t="n">
        <x:v>733</x:v>
      </x:c>
      <x:c r="B733" s="9" t="str">
        <x:v>48</x:v>
      </x:c>
      <x:c r="C733" s="9" t="str">
        <x:v>vapes white</x:v>
      </x:c>
      <x:c r="D733" s="9" t="str">
        <x:v>recommended</x:v>
      </x:c>
      <x:c r="E733" s="36" t="n">
        <x:v>140</x:v>
      </x:c>
      <x:c r="F733" s="36" t="n">
        <x:v>11</x:v>
      </x:c>
      <x:c r="G733" s="9" t="str">
        <x:v>informational</x:v>
      </x:c>
      <x:c r="H733" s="9" t="str">
        <x:v>General Vape</x:v>
      </x:c>
      <x:c r="I733" s="9" t="str">
        <x:v>品类承接词</x:v>
      </x:c>
      <x:c r="J733" s="9" t="str">
        <x:v>主站</x:v>
      </x:c>
      <x:c r="K733" s="9" t="str"/>
      <x:c r="L733" s="9" t="str">
        <x:f>IF(K733="",J733,K733)</x:f>
        <x:v>主站</x:v>
      </x:c>
      <x:c r="M733" s="9" t="str">
        <x:v>品类页/集合页 + FAQ内容块</x:v>
      </x:c>
      <x:c r="N733" s="9" t="str">
        <x:v>主站品类页：用产品集合 + 选购说明承接</x:v>
      </x:c>
      <x:c r="O733" s="9" t="str">
        <x:v>/collections/disposable-vapes</x:v>
      </x:c>
      <x:c r="P733" s="9" t="str">
        <x:v>不适用</x:v>
      </x:c>
      <x:c r="Q733" s="9" t="str">
        <x:v>主站页面自身承接</x:v>
      </x:c>
      <x:c r="R733" s="9" t="str">
        <x:v>核心品类词：主站优先，博客只做长尾解释，不直接抢同一词</x:v>
      </x:c>
      <x:c r="S733" s="9" t="str">
        <x:v>如果 Google 首页产品页和指南混合，主站页要加 FAQ、选购指南、对比模块。</x:v>
      </x:c>
      <x:c r="T733" s="38" t="n">
        <x:v>7</x:v>
      </x:c>
      <x:c r="U733" s="38" t="n">
        <x:v>15</x:v>
      </x:c>
      <x:c r="V733" s="38" t="n">
        <x:v>16</x:v>
      </x:c>
      <x:c r="W733" s="38" t="n">
        <x:v>8</x:v>
      </x:c>
      <x:c r="X733" s="38" t="n">
        <x:v>15</x:v>
      </x:c>
      <x:c r="Y733" s="38" t="n">
        <x:v>4</x:v>
      </x:c>
      <x:c r="Z733" s="38" t="n">
        <x:f>MAX(0,MIN(100,ROUND(((T733+U733+V733+W733+X733)-Y733)/85*100,0)))</x:f>
        <x:v>67</x:v>
      </x:c>
      <x:c r="AA733" s="9" t="str">
        <x:f>IF(L733="暂不做","P3 暂缓",IF(Z733&gt;=75,"P0 本周做",IF(Z733&gt;=60,"P1 近期做",IF(Z733&gt;=45,"P2 备选","P3 暂缓"))))</x:f>
        <x:v>P1 近期做</x:v>
      </x:c>
      <x:c r="AB733" s="9" t="str">
        <x:f>IF(Y733&gt;=15,"先做合规/相关性复核，不建议直接商业导流",IF(L733="主站","建/优化主站商业页",IF(L733="博客A-知识教程","写知识教程/FAQ文章",IF(L733="博客B-场景人群","写场景需求/选购指南文章",IF(L733="博客C-对比评测","写对比评测/榜单文章","暂不做或人工复核")))))</x:f>
        <x:v>建/优化主站商业页</x:v>
      </x:c>
      <x:c r="AC733" s="9" t="str">
        <x:v>blow pop vape</x:v>
      </x:c>
      <x:c r="AD733" s="10" t="str">
        <x:v>48</x:v>
      </x:c>
    </x:row>
    <x:row r="734">
      <x:c r="A734" s="34" t="n">
        <x:v>734</x:v>
      </x:c>
      <x:c r="B734" s="9" t="str">
        <x:v>48</x:v>
      </x:c>
      <x:c r="C734" s="9" t="str">
        <x:v>peach vapes</x:v>
      </x:c>
      <x:c r="D734" s="9" t="str">
        <x:v>recommended</x:v>
      </x:c>
      <x:c r="E734" s="36" t="n">
        <x:v>110</x:v>
      </x:c>
      <x:c r="F734" s="36" t="n">
        <x:v>14</x:v>
      </x:c>
      <x:c r="G734" s="9" t="str">
        <x:v>informational, commercial</x:v>
      </x:c>
      <x:c r="H734" s="9" t="str">
        <x:v>General Vape</x:v>
      </x:c>
      <x:c r="I734" s="9" t="str">
        <x:v>品类承接词</x:v>
      </x:c>
      <x:c r="J734" s="9" t="str">
        <x:v>主站</x:v>
      </x:c>
      <x:c r="K734" s="9" t="str"/>
      <x:c r="L734" s="9" t="str">
        <x:f>IF(K734="",J734,K734)</x:f>
        <x:v>主站</x:v>
      </x:c>
      <x:c r="M734" s="9" t="str">
        <x:v>品类页/集合页 + FAQ内容块</x:v>
      </x:c>
      <x:c r="N734" s="9" t="str">
        <x:v>主站品类页：用产品集合 + 选购说明承接</x:v>
      </x:c>
      <x:c r="O734" s="9" t="str">
        <x:v>/collections/disposable-vapes</x:v>
      </x:c>
      <x:c r="P734" s="9" t="str">
        <x:v>不适用</x:v>
      </x:c>
      <x:c r="Q734" s="9" t="str">
        <x:v>主站页面自身承接</x:v>
      </x:c>
      <x:c r="R734" s="9" t="str">
        <x:v>核心品类词：主站优先，博客只做长尾解释，不直接抢同一词</x:v>
      </x:c>
      <x:c r="S734" s="9" t="str">
        <x:v>如果 Google 首页产品页和指南混合，主站页要加 FAQ、选购指南、对比模块。</x:v>
      </x:c>
      <x:c r="T734" s="38" t="n">
        <x:v>7</x:v>
      </x:c>
      <x:c r="U734" s="38" t="n">
        <x:v>15</x:v>
      </x:c>
      <x:c r="V734" s="38" t="n">
        <x:v>18</x:v>
      </x:c>
      <x:c r="W734" s="38" t="n">
        <x:v>8</x:v>
      </x:c>
      <x:c r="X734" s="38" t="n">
        <x:v>15</x:v>
      </x:c>
      <x:c r="Y734" s="38" t="n">
        <x:v>4</x:v>
      </x:c>
      <x:c r="Z734" s="38" t="n">
        <x:f>MAX(0,MIN(100,ROUND(((T734+U734+V734+W734+X734)-Y734)/85*100,0)))</x:f>
        <x:v>69</x:v>
      </x:c>
      <x:c r="AA734" s="9" t="str">
        <x:f>IF(L734="暂不做","P3 暂缓",IF(Z734&gt;=75,"P0 本周做",IF(Z734&gt;=60,"P1 近期做",IF(Z734&gt;=45,"P2 备选","P3 暂缓"))))</x:f>
        <x:v>P1 近期做</x:v>
      </x:c>
      <x:c r="AB734" s="9" t="str">
        <x:f>IF(Y734&gt;=15,"先做合规/相关性复核，不建议直接商业导流",IF(L734="主站","建/优化主站商业页",IF(L734="博客A-知识教程","写知识教程/FAQ文章",IF(L734="博客B-场景人群","写场景需求/选购指南文章",IF(L734="博客C-对比评测","写对比评测/榜单文章","暂不做或人工复核")))))</x:f>
        <x:v>建/优化主站商业页</x:v>
      </x:c>
      <x:c r="AC734" s="9" t="str">
        <x:v>blow pop vape</x:v>
      </x:c>
      <x:c r="AD734" s="10" t="str">
        <x:v>48</x:v>
      </x:c>
    </x:row>
    <x:row r="735">
      <x:c r="A735" s="34" t="n">
        <x:v>735</x:v>
      </x:c>
      <x:c r="B735" s="9" t="str">
        <x:v>48</x:v>
      </x:c>
      <x:c r="C735" s="9" t="str">
        <x:v>vapes that come apart</x:v>
      </x:c>
      <x:c r="D735" s="9" t="str">
        <x:v>recommended</x:v>
      </x:c>
      <x:c r="E735" s="36" t="n">
        <x:v>70</x:v>
      </x:c>
      <x:c r="F735" s="36" t="n">
        <x:v>16</x:v>
      </x:c>
      <x:c r="G735" s="9" t="str">
        <x:v>informational</x:v>
      </x:c>
      <x:c r="H735" s="9" t="str">
        <x:v>General Vape</x:v>
      </x:c>
      <x:c r="I735" s="9" t="str">
        <x:v>知识/教程词</x:v>
      </x:c>
      <x:c r="J735" s="9" t="str">
        <x:v>博客A-知识教程</x:v>
      </x:c>
      <x:c r="K735" s="9" t="str"/>
      <x:c r="L735" s="9" t="str">
        <x:f>IF(K735="",J735,K735)</x:f>
        <x:v>博客A-知识教程</x:v>
      </x:c>
      <x:c r="M735" s="9" t="str">
        <x:v>百科/How-to/FAQ文章</x:v>
      </x:c>
      <x:c r="N735" s="9" t="str">
        <x:v>Guide angle: explain vapes that come apart, answer common questions, and avoid sales-first writing</x:v>
      </x:c>
      <x:c r="O735" s="9" t="str">
        <x:v>/collections/disposable-vapes</x:v>
      </x:c>
      <x:c r="P735" s="9" t="str">
        <x:v>谨慎</x:v>
      </x:c>
      <x:c r="Q735" s="9" t="str">
        <x:v>自然句/品牌词</x:v>
      </x:c>
      <x:c r="R735" s="9" t="str">
        <x:v>低中风险：先满足信息意图，导流要克制</x:v>
      </x:c>
      <x:c r="S735" s="9" t="str">
        <x:v>如果文章能自然回答下一步购买问题，再放 1 个主站内链；否则只做知识闭环。</x:v>
      </x:c>
      <x:c r="T735" s="38" t="n">
        <x:v>4</x:v>
      </x:c>
      <x:c r="U735" s="38" t="n">
        <x:v>12</x:v>
      </x:c>
      <x:c r="V735" s="38" t="n">
        <x:v>9</x:v>
      </x:c>
      <x:c r="W735" s="38" t="n">
        <x:v>14</x:v>
      </x:c>
      <x:c r="X735" s="38" t="n">
        <x:v>12</x:v>
      </x:c>
      <x:c r="Y735" s="38" t="n">
        <x:v>5</x:v>
      </x:c>
      <x:c r="Z735" s="38" t="n">
        <x:f>MAX(0,MIN(100,ROUND(((T735+U735+V735+W735+X735)-Y735)/85*100,0)))</x:f>
        <x:v>54</x:v>
      </x:c>
      <x:c r="AA735" s="9" t="str">
        <x:f>IF(L735="暂不做","P3 暂缓",IF(Z735&gt;=75,"P0 本周做",IF(Z735&gt;=60,"P1 近期做",IF(Z735&gt;=45,"P2 备选","P3 暂缓"))))</x:f>
        <x:v>P2 备选</x:v>
      </x:c>
      <x:c r="AB735" s="9" t="str">
        <x:f>IF(Y735&gt;=15,"先做合规/相关性复核，不建议直接商业导流",IF(L735="主站","建/优化主站商业页",IF(L735="博客A-知识教程","写知识教程/FAQ文章",IF(L735="博客B-场景人群","写场景需求/选购指南文章",IF(L735="博客C-对比评测","写对比评测/榜单文章","暂不做或人工复核")))))</x:f>
        <x:v>写知识教程/FAQ文章</x:v>
      </x:c>
      <x:c r="AC735" s="9" t="str">
        <x:v>vapes that come apart</x:v>
      </x:c>
      <x:c r="AD735" s="10" t="str">
        <x:v>48</x:v>
      </x:c>
    </x:row>
    <x:row r="736">
      <x:c r="A736" s="34" t="n">
        <x:v>736</x:v>
      </x:c>
      <x:c r="B736" s="9" t="str">
        <x:v>48</x:v>
      </x:c>
      <x:c r="C736" s="9" t="str">
        <x:v>vape pipe</x:v>
      </x:c>
      <x:c r="D736" s="9" t="str">
        <x:v>recommended</x:v>
      </x:c>
      <x:c r="E736" s="36" t="n">
        <x:v>2900</x:v>
      </x:c>
      <x:c r="F736" s="36" t="n">
        <x:v>17</x:v>
      </x:c>
      <x:c r="G736" s="9" t="str">
        <x:v>commercial</x:v>
      </x:c>
      <x:c r="H736" s="9" t="str">
        <x:v>General Vape</x:v>
      </x:c>
      <x:c r="I736" s="9" t="str">
        <x:v>品类承接词</x:v>
      </x:c>
      <x:c r="J736" s="9" t="str">
        <x:v>主站</x:v>
      </x:c>
      <x:c r="K736" s="9" t="str"/>
      <x:c r="L736" s="9" t="str">
        <x:f>IF(K736="",J736,K736)</x:f>
        <x:v>主站</x:v>
      </x:c>
      <x:c r="M736" s="9" t="str">
        <x:v>品类页/集合页 + FAQ内容块</x:v>
      </x:c>
      <x:c r="N736" s="9" t="str">
        <x:v>主站品类页：用产品集合 + 选购说明承接</x:v>
      </x:c>
      <x:c r="O736" s="9" t="str">
        <x:v>/collections/disposable-vapes</x:v>
      </x:c>
      <x:c r="P736" s="9" t="str">
        <x:v>不适用</x:v>
      </x:c>
      <x:c r="Q736" s="9" t="str">
        <x:v>主站页面自身承接</x:v>
      </x:c>
      <x:c r="R736" s="9" t="str">
        <x:v>核心品类词：主站优先，博客只做长尾解释，不直接抢同一词</x:v>
      </x:c>
      <x:c r="S736" s="9" t="str">
        <x:v>如果 Google 首页产品页和指南混合，主站页要加 FAQ、选购指南、对比模块。</x:v>
      </x:c>
      <x:c r="T736" s="38" t="n">
        <x:v>13</x:v>
      </x:c>
      <x:c r="U736" s="38" t="n">
        <x:v>12</x:v>
      </x:c>
      <x:c r="V736" s="38" t="n">
        <x:v>18</x:v>
      </x:c>
      <x:c r="W736" s="38" t="n">
        <x:v>8</x:v>
      </x:c>
      <x:c r="X736" s="38" t="n">
        <x:v>15</x:v>
      </x:c>
      <x:c r="Y736" s="38" t="n">
        <x:v>4</x:v>
      </x:c>
      <x:c r="Z736" s="38" t="n">
        <x:f>MAX(0,MIN(100,ROUND(((T736+U736+V736+W736+X736)-Y736)/85*100,0)))</x:f>
        <x:v>73</x:v>
      </x:c>
      <x:c r="AA736" s="9" t="str">
        <x:f>IF(L736="暂不做","P3 暂缓",IF(Z736&gt;=75,"P0 本周做",IF(Z736&gt;=60,"P1 近期做",IF(Z736&gt;=45,"P2 备选","P3 暂缓"))))</x:f>
        <x:v>P1 近期做</x:v>
      </x:c>
      <x:c r="AB736" s="9" t="str">
        <x:f>IF(Y736&gt;=15,"先做合规/相关性复核，不建议直接商业导流",IF(L736="主站","建/优化主站商业页",IF(L736="博客A-知识教程","写知识教程/FAQ文章",IF(L736="博客B-场景人群","写场景需求/选购指南文章",IF(L736="博客C-对比评测","写对比评测/榜单文章","暂不做或人工复核")))))</x:f>
        <x:v>建/优化主站商业页</x:v>
      </x:c>
      <x:c r="AC736" s="9" t="str">
        <x:v>vapes that come apart</x:v>
      </x:c>
      <x:c r="AD736" s="10" t="str">
        <x:v>48</x:v>
      </x:c>
    </x:row>
    <x:row r="737">
      <x:c r="A737" s="34" t="n">
        <x:v>737</x:v>
      </x:c>
      <x:c r="B737" s="9" t="str">
        <x:v>48</x:v>
      </x:c>
      <x:c r="C737" s="9" t="str">
        <x:v>digital vape</x:v>
      </x:c>
      <x:c r="D737" s="9" t="str">
        <x:v>recommended</x:v>
      </x:c>
      <x:c r="E737" s="36" t="n">
        <x:v>170</x:v>
      </x:c>
      <x:c r="F737" s="36" t="n">
        <x:v>50</x:v>
      </x:c>
      <x:c r="G737" s="9" t="str">
        <x:v>informational</x:v>
      </x:c>
      <x:c r="H737" s="9" t="str">
        <x:v>General Vape</x:v>
      </x:c>
      <x:c r="I737" s="9" t="str">
        <x:v>品类承接词</x:v>
      </x:c>
      <x:c r="J737" s="9" t="str">
        <x:v>主站</x:v>
      </x:c>
      <x:c r="K737" s="9" t="str"/>
      <x:c r="L737" s="9" t="str">
        <x:f>IF(K737="",J737,K737)</x:f>
        <x:v>主站</x:v>
      </x:c>
      <x:c r="M737" s="9" t="str">
        <x:v>品类页/集合页 + FAQ内容块</x:v>
      </x:c>
      <x:c r="N737" s="9" t="str">
        <x:v>主站品类页：用产品集合 + 选购说明承接</x:v>
      </x:c>
      <x:c r="O737" s="9" t="str">
        <x:v>/collections/disposable-vapes</x:v>
      </x:c>
      <x:c r="P737" s="9" t="str">
        <x:v>不适用</x:v>
      </x:c>
      <x:c r="Q737" s="9" t="str">
        <x:v>主站页面自身承接</x:v>
      </x:c>
      <x:c r="R737" s="9" t="str">
        <x:v>核心品类词：主站优先，博客只做长尾解释，不直接抢同一词</x:v>
      </x:c>
      <x:c r="S737" s="9" t="str">
        <x:v>如果 Google 首页产品页和指南混合，主站页要加 FAQ、选购指南、对比模块。</x:v>
      </x:c>
      <x:c r="T737" s="38" t="n">
        <x:v>7</x:v>
      </x:c>
      <x:c r="U737" s="38" t="n">
        <x:v>6</x:v>
      </x:c>
      <x:c r="V737" s="38" t="n">
        <x:v>16</x:v>
      </x:c>
      <x:c r="W737" s="38" t="n">
        <x:v>8</x:v>
      </x:c>
      <x:c r="X737" s="38" t="n">
        <x:v>15</x:v>
      </x:c>
      <x:c r="Y737" s="38" t="n">
        <x:v>4</x:v>
      </x:c>
      <x:c r="Z737" s="38" t="n">
        <x:f>MAX(0,MIN(100,ROUND(((T737+U737+V737+W737+X737)-Y737)/85*100,0)))</x:f>
        <x:v>56</x:v>
      </x:c>
      <x:c r="AA737" s="9" t="str">
        <x:f>IF(L737="暂不做","P3 暂缓",IF(Z737&gt;=75,"P0 本周做",IF(Z737&gt;=60,"P1 近期做",IF(Z737&gt;=45,"P2 备选","P3 暂缓"))))</x:f>
        <x:v>P2 备选</x:v>
      </x:c>
      <x:c r="AB737" s="9" t="str">
        <x:f>IF(Y737&gt;=15,"先做合规/相关性复核，不建议直接商业导流",IF(L737="主站","建/优化主站商业页",IF(L737="博客A-知识教程","写知识教程/FAQ文章",IF(L737="博客B-场景人群","写场景需求/选购指南文章",IF(L737="博客C-对比评测","写对比评测/榜单文章","暂不做或人工复核")))))</x:f>
        <x:v>建/优化主站商业页</x:v>
      </x:c>
      <x:c r="AC737" s="9" t="str">
        <x:v>vapes that come apart</x:v>
      </x:c>
      <x:c r="AD737" s="10" t="str">
        <x:v>48</x:v>
      </x:c>
    </x:row>
    <x:row r="738">
      <x:c r="A738" s="34" t="n">
        <x:v>738</x:v>
      </x:c>
      <x:c r="B738" s="9" t="str">
        <x:v>48</x:v>
      </x:c>
      <x:c r="C738" s="9" t="str">
        <x:v>vape case</x:v>
      </x:c>
      <x:c r="D738" s="9" t="str">
        <x:v>recommended</x:v>
      </x:c>
      <x:c r="E738" s="36" t="n">
        <x:v>1300</x:v>
      </x:c>
      <x:c r="F738" s="36" t="n">
        <x:v>13</x:v>
      </x:c>
      <x:c r="G738" s="9" t="str">
        <x:v>informational</x:v>
      </x:c>
      <x:c r="H738" s="9" t="str">
        <x:v>General Vape</x:v>
      </x:c>
      <x:c r="I738" s="9" t="str">
        <x:v>品类承接词</x:v>
      </x:c>
      <x:c r="J738" s="9" t="str">
        <x:v>主站</x:v>
      </x:c>
      <x:c r="K738" s="9" t="str"/>
      <x:c r="L738" s="9" t="str">
        <x:f>IF(K738="",J738,K738)</x:f>
        <x:v>主站</x:v>
      </x:c>
      <x:c r="M738" s="9" t="str">
        <x:v>品类页/集合页 + FAQ内容块</x:v>
      </x:c>
      <x:c r="N738" s="9" t="str">
        <x:v>主站品类页：用产品集合 + 选购说明承接</x:v>
      </x:c>
      <x:c r="O738" s="9" t="str">
        <x:v>/collections/disposable-vapes</x:v>
      </x:c>
      <x:c r="P738" s="9" t="str">
        <x:v>不适用</x:v>
      </x:c>
      <x:c r="Q738" s="9" t="str">
        <x:v>主站页面自身承接</x:v>
      </x:c>
      <x:c r="R738" s="9" t="str">
        <x:v>核心品类词：主站优先，博客只做长尾解释，不直接抢同一词</x:v>
      </x:c>
      <x:c r="S738" s="9" t="str">
        <x:v>如果 Google 首页产品页和指南混合，主站页要加 FAQ、选购指南、对比模块。</x:v>
      </x:c>
      <x:c r="T738" s="38" t="n">
        <x:v>13</x:v>
      </x:c>
      <x:c r="U738" s="38" t="n">
        <x:v>15</x:v>
      </x:c>
      <x:c r="V738" s="38" t="n">
        <x:v>16</x:v>
      </x:c>
      <x:c r="W738" s="38" t="n">
        <x:v>8</x:v>
      </x:c>
      <x:c r="X738" s="38" t="n">
        <x:v>15</x:v>
      </x:c>
      <x:c r="Y738" s="38" t="n">
        <x:v>4</x:v>
      </x:c>
      <x:c r="Z738" s="38" t="n">
        <x:f>MAX(0,MIN(100,ROUND(((T738+U738+V738+W738+X738)-Y738)/85*100,0)))</x:f>
        <x:v>74</x:v>
      </x:c>
      <x:c r="AA738" s="9" t="str">
        <x:f>IF(L738="暂不做","P3 暂缓",IF(Z738&gt;=75,"P0 本周做",IF(Z738&gt;=60,"P1 近期做",IF(Z738&gt;=45,"P2 备选","P3 暂缓"))))</x:f>
        <x:v>P1 近期做</x:v>
      </x:c>
      <x:c r="AB738" s="9" t="str">
        <x:f>IF(Y738&gt;=15,"先做合规/相关性复核，不建议直接商业导流",IF(L738="主站","建/优化主站商业页",IF(L738="博客A-知识教程","写知识教程/FAQ文章",IF(L738="博客B-场景人群","写场景需求/选购指南文章",IF(L738="博客C-对比评测","写对比评测/榜单文章","暂不做或人工复核")))))</x:f>
        <x:v>建/优化主站商业页</x:v>
      </x:c>
      <x:c r="AC738" s="9" t="str">
        <x:v>vapes that come apart</x:v>
      </x:c>
      <x:c r="AD738" s="10" t="str">
        <x:v>48</x:v>
      </x:c>
    </x:row>
    <x:row r="739">
      <x:c r="A739" s="34" t="n">
        <x:v>739</x:v>
      </x:c>
      <x:c r="B739" s="9" t="str">
        <x:v>48</x:v>
      </x:c>
      <x:c r="C739" s="9" t="str">
        <x:v>vape machines</x:v>
      </x:c>
      <x:c r="D739" s="9" t="str">
        <x:v>recommended</x:v>
      </x:c>
      <x:c r="E739" s="36" t="n">
        <x:v>140</x:v>
      </x:c>
      <x:c r="F739" s="36" t="n">
        <x:v>38</x:v>
      </x:c>
      <x:c r="G739" s="9" t="str">
        <x:v>commercial</x:v>
      </x:c>
      <x:c r="H739" s="9" t="str">
        <x:v>General Vape</x:v>
      </x:c>
      <x:c r="I739" s="9" t="str">
        <x:v>品类承接词</x:v>
      </x:c>
      <x:c r="J739" s="9" t="str">
        <x:v>主站</x:v>
      </x:c>
      <x:c r="K739" s="9" t="str"/>
      <x:c r="L739" s="9" t="str">
        <x:f>IF(K739="",J739,K739)</x:f>
        <x:v>主站</x:v>
      </x:c>
      <x:c r="M739" s="9" t="str">
        <x:v>品类页/集合页 + FAQ内容块</x:v>
      </x:c>
      <x:c r="N739" s="9" t="str">
        <x:v>主站品类页：用产品集合 + 选购说明承接</x:v>
      </x:c>
      <x:c r="O739" s="9" t="str">
        <x:v>/collections/disposable-vapes</x:v>
      </x:c>
      <x:c r="P739" s="9" t="str">
        <x:v>不适用</x:v>
      </x:c>
      <x:c r="Q739" s="9" t="str">
        <x:v>主站页面自身承接</x:v>
      </x:c>
      <x:c r="R739" s="9" t="str">
        <x:v>核心品类词：主站优先，博客只做长尾解释，不直接抢同一词</x:v>
      </x:c>
      <x:c r="S739" s="9" t="str">
        <x:v>如果 Google 首页产品页和指南混合，主站页要加 FAQ、选购指南、对比模块。</x:v>
      </x:c>
      <x:c r="T739" s="38" t="n">
        <x:v>7</x:v>
      </x:c>
      <x:c r="U739" s="38" t="n">
        <x:v>9</x:v>
      </x:c>
      <x:c r="V739" s="38" t="n">
        <x:v>18</x:v>
      </x:c>
      <x:c r="W739" s="38" t="n">
        <x:v>8</x:v>
      </x:c>
      <x:c r="X739" s="38" t="n">
        <x:v>15</x:v>
      </x:c>
      <x:c r="Y739" s="38" t="n">
        <x:v>4</x:v>
      </x:c>
      <x:c r="Z739" s="38" t="n">
        <x:f>MAX(0,MIN(100,ROUND(((T739+U739+V739+W739+X739)-Y739)/85*100,0)))</x:f>
        <x:v>62</x:v>
      </x:c>
      <x:c r="AA739" s="9" t="str">
        <x:f>IF(L739="暂不做","P3 暂缓",IF(Z739&gt;=75,"P0 本周做",IF(Z739&gt;=60,"P1 近期做",IF(Z739&gt;=45,"P2 备选","P3 暂缓"))))</x:f>
        <x:v>P1 近期做</x:v>
      </x:c>
      <x:c r="AB739" s="9" t="str">
        <x:f>IF(Y739&gt;=15,"先做合规/相关性复核，不建议直接商业导流",IF(L739="主站","建/优化主站商业页",IF(L739="博客A-知识教程","写知识教程/FAQ文章",IF(L739="博客B-场景人群","写场景需求/选购指南文章",IF(L739="博客C-对比评测","写对比评测/榜单文章","暂不做或人工复核")))))</x:f>
        <x:v>建/优化主站商业页</x:v>
      </x:c>
      <x:c r="AC739" s="9" t="str">
        <x:v>vapes that come apart</x:v>
      </x:c>
      <x:c r="AD739" s="10" t="str">
        <x:v>48</x:v>
      </x:c>
    </x:row>
    <x:row r="740">
      <x:c r="A740" s="34" t="n">
        <x:v>740</x:v>
      </x:c>
      <x:c r="B740" s="9" t="str">
        <x:v>48</x:v>
      </x:c>
      <x:c r="C740" s="9" t="str">
        <x:v>vuse vaping</x:v>
      </x:c>
      <x:c r="D740" s="9" t="str">
        <x:v>recommended</x:v>
      </x:c>
      <x:c r="E740" s="36" t="n">
        <x:v>2900</x:v>
      </x:c>
      <x:c r="F740" s="36" t="n">
        <x:v>40</x:v>
      </x:c>
      <x:c r="G740" s="9" t="str">
        <x:v>informational, transactional</x:v>
      </x:c>
      <x:c r="H740" s="9" t="str">
        <x:v>竞品/品牌词</x:v>
      </x:c>
      <x:c r="I740" s="9" t="str">
        <x:v>竞品品牌词</x:v>
      </x:c>
      <x:c r="J740" s="9" t="str">
        <x:v>暂不做</x:v>
      </x:c>
      <x:c r="K740" s="9" t="str"/>
      <x:c r="L740" s="9" t="str">
        <x:f>IF(K740="",J740,K740)</x:f>
        <x:v>暂不做</x:v>
      </x:c>
      <x:c r="M740" s="9" t="str">
        <x:v>人工确认后再决定</x:v>
      </x:c>
      <x:c r="N740" s="9" t="str">
        <x:v>人工确认是否可做客观对比</x:v>
      </x:c>
      <x:c r="O740" s="9" t="str">
        <x:v>无</x:v>
      </x:c>
      <x:c r="P740" s="9" t="str">
        <x:v>否</x:v>
      </x:c>
      <x:c r="Q740" s="9" t="str">
        <x:v>不导流</x:v>
      </x:c>
      <x:c r="R740" s="9" t="str">
        <x:v>中高风险：纯竞品品牌词容易产生商标/相关性问题</x:v>
      </x:c>
      <x:c r="S740" s="9" t="str">
        <x:v>只有带 alternative / vs / review / best 这类明确比较意图时，才考虑博客C。</x:v>
      </x:c>
      <x:c r="T740" s="38" t="n">
        <x:v>13</x:v>
      </x:c>
      <x:c r="U740" s="38" t="n">
        <x:v>9</x:v>
      </x:c>
      <x:c r="V740" s="38" t="n">
        <x:v>5</x:v>
      </x:c>
      <x:c r="W740" s="38" t="n">
        <x:v>7</x:v>
      </x:c>
      <x:c r="X740" s="38" t="n">
        <x:v>4</x:v>
      </x:c>
      <x:c r="Y740" s="38" t="n">
        <x:v>14</x:v>
      </x:c>
      <x:c r="Z740" s="38" t="n">
        <x:f>MAX(0,MIN(100,ROUND(((T740+U740+V740+W740+X740)-Y740)/85*100,0)))</x:f>
        <x:v>28</x:v>
      </x:c>
      <x:c r="AA740" s="9" t="str">
        <x:f>IF(L740="暂不做","P3 暂缓",IF(Z740&gt;=75,"P0 本周做",IF(Z740&gt;=60,"P1 近期做",IF(Z740&gt;=45,"P2 备选","P3 暂缓"))))</x:f>
        <x:v>P3 暂缓</x:v>
      </x:c>
      <x:c r="AB740" s="9" t="str">
        <x:f>IF(Y740&gt;=15,"先做合规/相关性复核，不建议直接商业导流",IF(L740="主站","建/优化主站商业页",IF(L740="博客A-知识教程","写知识教程/FAQ文章",IF(L740="博客B-场景人群","写场景需求/选购指南文章",IF(L740="博客C-对比评测","写对比评测/榜单文章","暂不做或人工复核")))))</x:f>
        <x:v>暂不做或人工复核</x:v>
      </x:c>
      <x:c r="AC740" s="9" t="str">
        <x:v>vapes that come apart</x:v>
      </x:c>
      <x:c r="AD740" s="10" t="str">
        <x:v>48</x:v>
      </x:c>
    </x:row>
    <x:row r="741">
      <x:c r="A741" s="34" t="n">
        <x:v>741</x:v>
      </x:c>
      <x:c r="B741" s="9" t="str">
        <x:v>48</x:v>
      </x:c>
      <x:c r="C741" s="9" t="str">
        <x:v>vapes for tricks</x:v>
      </x:c>
      <x:c r="D741" s="9" t="str">
        <x:v>recommended</x:v>
      </x:c>
      <x:c r="E741" s="36" t="n">
        <x:v>210</x:v>
      </x:c>
      <x:c r="F741" s="36" t="n">
        <x:v>7</x:v>
      </x:c>
      <x:c r="G741" s="9" t="str">
        <x:v>informational, commercial</x:v>
      </x:c>
      <x:c r="H741" s="9" t="str">
        <x:v>General Vape</x:v>
      </x:c>
      <x:c r="I741" s="9" t="str">
        <x:v>品类承接词</x:v>
      </x:c>
      <x:c r="J741" s="9" t="str">
        <x:v>主站</x:v>
      </x:c>
      <x:c r="K741" s="9" t="str"/>
      <x:c r="L741" s="9" t="str">
        <x:f>IF(K741="",J741,K741)</x:f>
        <x:v>主站</x:v>
      </x:c>
      <x:c r="M741" s="9" t="str">
        <x:v>品类页/集合页 + FAQ内容块</x:v>
      </x:c>
      <x:c r="N741" s="9" t="str">
        <x:v>主站品类页：用产品集合 + 选购说明承接</x:v>
      </x:c>
      <x:c r="O741" s="9" t="str">
        <x:v>/collections/disposable-vapes</x:v>
      </x:c>
      <x:c r="P741" s="9" t="str">
        <x:v>不适用</x:v>
      </x:c>
      <x:c r="Q741" s="9" t="str">
        <x:v>主站页面自身承接</x:v>
      </x:c>
      <x:c r="R741" s="9" t="str">
        <x:v>核心品类词：主站优先，博客只做长尾解释，不直接抢同一词</x:v>
      </x:c>
      <x:c r="S741" s="9" t="str">
        <x:v>如果 Google 首页产品页和指南混合，主站页要加 FAQ、选购指南、对比模块。</x:v>
      </x:c>
      <x:c r="T741" s="38" t="n">
        <x:v>7</x:v>
      </x:c>
      <x:c r="U741" s="38" t="n">
        <x:v>15</x:v>
      </x:c>
      <x:c r="V741" s="38" t="n">
        <x:v>18</x:v>
      </x:c>
      <x:c r="W741" s="38" t="n">
        <x:v>8</x:v>
      </x:c>
      <x:c r="X741" s="38" t="n">
        <x:v>15</x:v>
      </x:c>
      <x:c r="Y741" s="38" t="n">
        <x:v>4</x:v>
      </x:c>
      <x:c r="Z741" s="38" t="n">
        <x:f>MAX(0,MIN(100,ROUND(((T741+U741+V741+W741+X741)-Y741)/85*100,0)))</x:f>
        <x:v>69</x:v>
      </x:c>
      <x:c r="AA741" s="9" t="str">
        <x:f>IF(L741="暂不做","P3 暂缓",IF(Z741&gt;=75,"P0 本周做",IF(Z741&gt;=60,"P1 近期做",IF(Z741&gt;=45,"P2 备选","P3 暂缓"))))</x:f>
        <x:v>P1 近期做</x:v>
      </x:c>
      <x:c r="AB741" s="9" t="str">
        <x:f>IF(Y741&gt;=15,"先做合规/相关性复核，不建议直接商业导流",IF(L741="主站","建/优化主站商业页",IF(L741="博客A-知识教程","写知识教程/FAQ文章",IF(L741="博客B-场景人群","写场景需求/选购指南文章",IF(L741="博客C-对比评测","写对比评测/榜单文章","暂不做或人工复核")))))</x:f>
        <x:v>建/优化主站商业页</x:v>
      </x:c>
      <x:c r="AC741" s="9" t="str">
        <x:v>vapes for tricks</x:v>
      </x:c>
      <x:c r="AD741" s="10" t="str">
        <x:v>48</x:v>
      </x:c>
    </x:row>
    <x:row r="742">
      <x:c r="A742" s="34" t="n">
        <x:v>742</x:v>
      </x:c>
      <x:c r="B742" s="9" t="str">
        <x:v>48</x:v>
      </x:c>
      <x:c r="C742" s="9" t="str">
        <x:v>ecig tricks</x:v>
      </x:c>
      <x:c r="D742" s="9" t="str">
        <x:v>recommended</x:v>
      </x:c>
      <x:c r="E742" s="36" t="n">
        <x:v>1600</x:v>
      </x:c>
      <x:c r="F742" s="36" t="n">
        <x:v>4</x:v>
      </x:c>
      <x:c r="G742" s="9" t="str">
        <x:v>informational</x:v>
      </x:c>
      <x:c r="H742" s="9" t="str">
        <x:v>General Vape</x:v>
      </x:c>
      <x:c r="I742" s="9" t="str">
        <x:v>品类承接词</x:v>
      </x:c>
      <x:c r="J742" s="9" t="str">
        <x:v>主站</x:v>
      </x:c>
      <x:c r="K742" s="9" t="str"/>
      <x:c r="L742" s="9" t="str">
        <x:f>IF(K742="",J742,K742)</x:f>
        <x:v>主站</x:v>
      </x:c>
      <x:c r="M742" s="9" t="str">
        <x:v>品类页/集合页 + FAQ内容块</x:v>
      </x:c>
      <x:c r="N742" s="9" t="str">
        <x:v>主站品类页：用产品集合 + 选购说明承接</x:v>
      </x:c>
      <x:c r="O742" s="9" t="str">
        <x:v>/collections/disposable-vapes</x:v>
      </x:c>
      <x:c r="P742" s="9" t="str">
        <x:v>不适用</x:v>
      </x:c>
      <x:c r="Q742" s="9" t="str">
        <x:v>主站页面自身承接</x:v>
      </x:c>
      <x:c r="R742" s="9" t="str">
        <x:v>核心品类词：主站优先，博客只做长尾解释，不直接抢同一词</x:v>
      </x:c>
      <x:c r="S742" s="9" t="str">
        <x:v>如果 Google 首页产品页和指南混合，主站页要加 FAQ、选购指南、对比模块。</x:v>
      </x:c>
      <x:c r="T742" s="38" t="n">
        <x:v>13</x:v>
      </x:c>
      <x:c r="U742" s="38" t="n">
        <x:v>15</x:v>
      </x:c>
      <x:c r="V742" s="38" t="n">
        <x:v>16</x:v>
      </x:c>
      <x:c r="W742" s="38" t="n">
        <x:v>8</x:v>
      </x:c>
      <x:c r="X742" s="38" t="n">
        <x:v>15</x:v>
      </x:c>
      <x:c r="Y742" s="38" t="n">
        <x:v>4</x:v>
      </x:c>
      <x:c r="Z742" s="38" t="n">
        <x:f>MAX(0,MIN(100,ROUND(((T742+U742+V742+W742+X742)-Y742)/85*100,0)))</x:f>
        <x:v>74</x:v>
      </x:c>
      <x:c r="AA742" s="9" t="str">
        <x:f>IF(L742="暂不做","P3 暂缓",IF(Z742&gt;=75,"P0 本周做",IF(Z742&gt;=60,"P1 近期做",IF(Z742&gt;=45,"P2 备选","P3 暂缓"))))</x:f>
        <x:v>P1 近期做</x:v>
      </x:c>
      <x:c r="AB742" s="9" t="str">
        <x:f>IF(Y742&gt;=15,"先做合规/相关性复核，不建议直接商业导流",IF(L742="主站","建/优化主站商业页",IF(L742="博客A-知识教程","写知识教程/FAQ文章",IF(L742="博客B-场景人群","写场景需求/选购指南文章",IF(L742="博客C-对比评测","写对比评测/榜单文章","暂不做或人工复核")))))</x:f>
        <x:v>建/优化主站商业页</x:v>
      </x:c>
      <x:c r="AC742" s="9" t="str">
        <x:v>vapes for tricks</x:v>
      </x:c>
      <x:c r="AD742" s="10" t="str">
        <x:v>48</x:v>
      </x:c>
    </x:row>
    <x:row r="743">
      <x:c r="A743" s="34" t="n">
        <x:v>743</x:v>
      </x:c>
      <x:c r="B743" s="9" t="str">
        <x:v>48</x:v>
      </x:c>
      <x:c r="C743" s="9" t="str">
        <x:v>airfuze vape</x:v>
      </x:c>
      <x:c r="D743" s="9" t="str">
        <x:v>recommended</x:v>
      </x:c>
      <x:c r="E743" s="36" t="n">
        <x:v>2400</x:v>
      </x:c>
      <x:c r="F743" s="36" t="n">
        <x:v>6</x:v>
      </x:c>
      <x:c r="G743" s="9" t="str">
        <x:v>informational</x:v>
      </x:c>
      <x:c r="H743" s="9" t="str">
        <x:v>General Vape</x:v>
      </x:c>
      <x:c r="I743" s="9" t="str">
        <x:v>品类承接词</x:v>
      </x:c>
      <x:c r="J743" s="9" t="str">
        <x:v>主站</x:v>
      </x:c>
      <x:c r="K743" s="9" t="str"/>
      <x:c r="L743" s="9" t="str">
        <x:f>IF(K743="",J743,K743)</x:f>
        <x:v>主站</x:v>
      </x:c>
      <x:c r="M743" s="9" t="str">
        <x:v>品类页/集合页 + FAQ内容块</x:v>
      </x:c>
      <x:c r="N743" s="9" t="str">
        <x:v>主站品类页：用产品集合 + 选购说明承接</x:v>
      </x:c>
      <x:c r="O743" s="9" t="str">
        <x:v>/collections/disposable-vapes</x:v>
      </x:c>
      <x:c r="P743" s="9" t="str">
        <x:v>不适用</x:v>
      </x:c>
      <x:c r="Q743" s="9" t="str">
        <x:v>主站页面自身承接</x:v>
      </x:c>
      <x:c r="R743" s="9" t="str">
        <x:v>核心品类词：主站优先，博客只做长尾解释，不直接抢同一词</x:v>
      </x:c>
      <x:c r="S743" s="9" t="str">
        <x:v>如果 Google 首页产品页和指南混合，主站页要加 FAQ、选购指南、对比模块。</x:v>
      </x:c>
      <x:c r="T743" s="38" t="n">
        <x:v>13</x:v>
      </x:c>
      <x:c r="U743" s="38" t="n">
        <x:v>15</x:v>
      </x:c>
      <x:c r="V743" s="38" t="n">
        <x:v>16</x:v>
      </x:c>
      <x:c r="W743" s="38" t="n">
        <x:v>8</x:v>
      </x:c>
      <x:c r="X743" s="38" t="n">
        <x:v>15</x:v>
      </x:c>
      <x:c r="Y743" s="38" t="n">
        <x:v>4</x:v>
      </x:c>
      <x:c r="Z743" s="38" t="n">
        <x:f>MAX(0,MIN(100,ROUND(((T743+U743+V743+W743+X743)-Y743)/85*100,0)))</x:f>
        <x:v>74</x:v>
      </x:c>
      <x:c r="AA743" s="9" t="str">
        <x:f>IF(L743="暂不做","P3 暂缓",IF(Z743&gt;=75,"P0 本周做",IF(Z743&gt;=60,"P1 近期做",IF(Z743&gt;=45,"P2 备选","P3 暂缓"))))</x:f>
        <x:v>P1 近期做</x:v>
      </x:c>
      <x:c r="AB743" s="9" t="str">
        <x:f>IF(Y743&gt;=15,"先做合规/相关性复核，不建议直接商业导流",IF(L743="主站","建/优化主站商业页",IF(L743="博客A-知识教程","写知识教程/FAQ文章",IF(L743="博客B-场景人群","写场景需求/选购指南文章",IF(L743="博客C-对比评测","写对比评测/榜单文章","暂不做或人工复核")))))</x:f>
        <x:v>建/优化主站商业页</x:v>
      </x:c>
      <x:c r="AC743" s="9" t="str">
        <x:v>airfuze vape</x:v>
      </x:c>
      <x:c r="AD743" s="10" t="str">
        <x:v>48</x:v>
      </x:c>
    </x:row>
    <x:row r="744">
      <x:c r="A744" s="34" t="n">
        <x:v>744</x:v>
      </x:c>
      <x:c r="B744" s="9" t="str">
        <x:v>48</x:v>
      </x:c>
      <x:c r="C744" s="9" t="str">
        <x:v>airfuze vape addon 40000</x:v>
      </x:c>
      <x:c r="D744" s="9" t="str">
        <x:v>recommended</x:v>
      </x:c>
      <x:c r="E744" s="36" t="n">
        <x:v>50</x:v>
      </x:c>
      <x:c r="F744" s="36" t="n">
        <x:v>8</x:v>
      </x:c>
      <x:c r="G744" s="9" t="str">
        <x:v>informational, commercial</x:v>
      </x:c>
      <x:c r="H744" s="9" t="str">
        <x:v>知识教程</x:v>
      </x:c>
      <x:c r="I744" s="9" t="str">
        <x:v>品类承接词</x:v>
      </x:c>
      <x:c r="J744" s="9" t="str">
        <x:v>主站</x:v>
      </x:c>
      <x:c r="K744" s="9" t="str"/>
      <x:c r="L744" s="9" t="str">
        <x:f>IF(K744="",J744,K744)</x:f>
        <x:v>主站</x:v>
      </x:c>
      <x:c r="M744" s="9" t="str">
        <x:v>品类页/集合页 + FAQ内容块</x:v>
      </x:c>
      <x:c r="N744" s="9" t="str">
        <x:v>主站品类页：用产品集合 + 选购说明承接</x:v>
      </x:c>
      <x:c r="O744" s="9" t="str">
        <x:v>/collections/disposable-vapes</x:v>
      </x:c>
      <x:c r="P744" s="9" t="str">
        <x:v>不适用</x:v>
      </x:c>
      <x:c r="Q744" s="9" t="str">
        <x:v>主站页面自身承接</x:v>
      </x:c>
      <x:c r="R744" s="9" t="str">
        <x:v>核心品类词：主站优先，博客只做长尾解释，不直接抢同一词</x:v>
      </x:c>
      <x:c r="S744" s="9" t="str">
        <x:v>如果 Google 首页产品页和指南混合，主站页要加 FAQ、选购指南、对比模块。</x:v>
      </x:c>
      <x:c r="T744" s="38" t="n">
        <x:v>4</x:v>
      </x:c>
      <x:c r="U744" s="38" t="n">
        <x:v>15</x:v>
      </x:c>
      <x:c r="V744" s="38" t="n">
        <x:v>18</x:v>
      </x:c>
      <x:c r="W744" s="38" t="n">
        <x:v>8</x:v>
      </x:c>
      <x:c r="X744" s="38" t="n">
        <x:v>15</x:v>
      </x:c>
      <x:c r="Y744" s="38" t="n">
        <x:v>4</x:v>
      </x:c>
      <x:c r="Z744" s="38" t="n">
        <x:f>MAX(0,MIN(100,ROUND(((T744+U744+V744+W744+X744)-Y744)/85*100,0)))</x:f>
        <x:v>66</x:v>
      </x:c>
      <x:c r="AA744" s="9" t="str">
        <x:f>IF(L744="暂不做","P3 暂缓",IF(Z744&gt;=75,"P0 本周做",IF(Z744&gt;=60,"P1 近期做",IF(Z744&gt;=45,"P2 备选","P3 暂缓"))))</x:f>
        <x:v>P1 近期做</x:v>
      </x:c>
      <x:c r="AB744" s="9" t="str">
        <x:f>IF(Y744&gt;=15,"先做合规/相关性复核，不建议直接商业导流",IF(L744="主站","建/优化主站商业页",IF(L744="博客A-知识教程","写知识教程/FAQ文章",IF(L744="博客B-场景人群","写场景需求/选购指南文章",IF(L744="博客C-对比评测","写对比评测/榜单文章","暂不做或人工复核")))))</x:f>
        <x:v>建/优化主站商业页</x:v>
      </x:c>
      <x:c r="AC744" s="9" t="str">
        <x:v>airfuze vape</x:v>
      </x:c>
      <x:c r="AD744" s="10" t="str">
        <x:v>48</x:v>
      </x:c>
    </x:row>
    <x:row r="745">
      <x:c r="A745" s="34" t="n">
        <x:v>745</x:v>
      </x:c>
      <x:c r="B745" s="9" t="str">
        <x:v>48</x:v>
      </x:c>
      <x:c r="C745" s="9" t="str">
        <x:v>juul compatible pods</x:v>
      </x:c>
      <x:c r="D745" s="9" t="str">
        <x:v>recommended</x:v>
      </x:c>
      <x:c r="E745" s="36" t="n">
        <x:v>1900</x:v>
      </x:c>
      <x:c r="F745" s="36" t="n">
        <x:v>0</x:v>
      </x:c>
      <x:c r="G745" s="9" t="str">
        <x:v>informational</x:v>
      </x:c>
      <x:c r="H745" s="9" t="str">
        <x:v>竞品/品牌词</x:v>
      </x:c>
      <x:c r="I745" s="9" t="str">
        <x:v>竞品品牌词</x:v>
      </x:c>
      <x:c r="J745" s="9" t="str">
        <x:v>暂不做</x:v>
      </x:c>
      <x:c r="K745" s="9" t="str"/>
      <x:c r="L745" s="9" t="str">
        <x:f>IF(K745="",J745,K745)</x:f>
        <x:v>暂不做</x:v>
      </x:c>
      <x:c r="M745" s="9" t="str">
        <x:v>人工确认后再决定</x:v>
      </x:c>
      <x:c r="N745" s="9" t="str">
        <x:v>人工确认是否可做客观对比</x:v>
      </x:c>
      <x:c r="O745" s="9" t="str">
        <x:v>无</x:v>
      </x:c>
      <x:c r="P745" s="9" t="str">
        <x:v>否</x:v>
      </x:c>
      <x:c r="Q745" s="9" t="str">
        <x:v>不导流</x:v>
      </x:c>
      <x:c r="R745" s="9" t="str">
        <x:v>中高风险：纯竞品品牌词容易产生商标/相关性问题</x:v>
      </x:c>
      <x:c r="S745" s="9" t="str">
        <x:v>只有带 alternative / vs / review / best 这类明确比较意图时，才考虑博客C。</x:v>
      </x:c>
      <x:c r="T745" s="38" t="n">
        <x:v>13</x:v>
      </x:c>
      <x:c r="U745" s="38" t="n">
        <x:v>15</x:v>
      </x:c>
      <x:c r="V745" s="38" t="n">
        <x:v>5</x:v>
      </x:c>
      <x:c r="W745" s="38" t="n">
        <x:v>7</x:v>
      </x:c>
      <x:c r="X745" s="38" t="n">
        <x:v>4</x:v>
      </x:c>
      <x:c r="Y745" s="38" t="n">
        <x:v>14</x:v>
      </x:c>
      <x:c r="Z745" s="38" t="n">
        <x:f>MAX(0,MIN(100,ROUND(((T745+U745+V745+W745+X745)-Y745)/85*100,0)))</x:f>
        <x:v>35</x:v>
      </x:c>
      <x:c r="AA745" s="9" t="str">
        <x:f>IF(L745="暂不做","P3 暂缓",IF(Z745&gt;=75,"P0 本周做",IF(Z745&gt;=60,"P1 近期做",IF(Z745&gt;=45,"P2 备选","P3 暂缓"))))</x:f>
        <x:v>P3 暂缓</x:v>
      </x:c>
      <x:c r="AB745" s="9" t="str">
        <x:f>IF(Y745&gt;=15,"先做合规/相关性复核，不建议直接商业导流",IF(L745="主站","建/优化主站商业页",IF(L745="博客A-知识教程","写知识教程/FAQ文章",IF(L745="博客B-场景人群","写场景需求/选购指南文章",IF(L745="博客C-对比评测","写对比评测/榜单文章","暂不做或人工复核")))))</x:f>
        <x:v>暂不做或人工复核</x:v>
      </x:c>
      <x:c r="AC745" s="9" t="str">
        <x:v>juul compatible pods</x:v>
      </x:c>
      <x:c r="AD745" s="10" t="str">
        <x:v>48</x:v>
      </x:c>
    </x:row>
    <x:row r="746">
      <x:c r="A746" s="34" t="n">
        <x:v>746</x:v>
      </x:c>
      <x:c r="B746" s="9" t="str">
        <x:v>48</x:v>
      </x:c>
      <x:c r="C746" s="9" t="str">
        <x:v>jewel vape</x:v>
      </x:c>
      <x:c r="D746" s="9" t="str">
        <x:v>recommended</x:v>
      </x:c>
      <x:c r="E746" s="36" t="n">
        <x:v>1600</x:v>
      </x:c>
      <x:c r="F746" s="36" t="n">
        <x:v>54</x:v>
      </x:c>
      <x:c r="G746" s="9" t="str">
        <x:v>informational, commercial</x:v>
      </x:c>
      <x:c r="H746" s="9" t="str">
        <x:v>General Vape</x:v>
      </x:c>
      <x:c r="I746" s="9" t="str">
        <x:v>品类承接词</x:v>
      </x:c>
      <x:c r="J746" s="9" t="str">
        <x:v>主站</x:v>
      </x:c>
      <x:c r="K746" s="9" t="str"/>
      <x:c r="L746" s="9" t="str">
        <x:f>IF(K746="",J746,K746)</x:f>
        <x:v>主站</x:v>
      </x:c>
      <x:c r="M746" s="9" t="str">
        <x:v>品类页/集合页 + FAQ内容块</x:v>
      </x:c>
      <x:c r="N746" s="9" t="str">
        <x:v>主站品类页：用产品集合 + 选购说明承接</x:v>
      </x:c>
      <x:c r="O746" s="9" t="str">
        <x:v>/collections/disposable-vapes</x:v>
      </x:c>
      <x:c r="P746" s="9" t="str">
        <x:v>不适用</x:v>
      </x:c>
      <x:c r="Q746" s="9" t="str">
        <x:v>主站页面自身承接</x:v>
      </x:c>
      <x:c r="R746" s="9" t="str">
        <x:v>核心品类词：主站优先，博客只做长尾解释，不直接抢同一词</x:v>
      </x:c>
      <x:c r="S746" s="9" t="str">
        <x:v>如果 Google 首页产品页和指南混合，主站页要加 FAQ、选购指南、对比模块。</x:v>
      </x:c>
      <x:c r="T746" s="38" t="n">
        <x:v>13</x:v>
      </x:c>
      <x:c r="U746" s="38" t="n">
        <x:v>6</x:v>
      </x:c>
      <x:c r="V746" s="38" t="n">
        <x:v>18</x:v>
      </x:c>
      <x:c r="W746" s="38" t="n">
        <x:v>8</x:v>
      </x:c>
      <x:c r="X746" s="38" t="n">
        <x:v>15</x:v>
      </x:c>
      <x:c r="Y746" s="38" t="n">
        <x:v>4</x:v>
      </x:c>
      <x:c r="Z746" s="38" t="n">
        <x:f>MAX(0,MIN(100,ROUND(((T746+U746+V746+W746+X746)-Y746)/85*100,0)))</x:f>
        <x:v>66</x:v>
      </x:c>
      <x:c r="AA746" s="9" t="str">
        <x:f>IF(L746="暂不做","P3 暂缓",IF(Z746&gt;=75,"P0 本周做",IF(Z746&gt;=60,"P1 近期做",IF(Z746&gt;=45,"P2 备选","P3 暂缓"))))</x:f>
        <x:v>P1 近期做</x:v>
      </x:c>
      <x:c r="AB746" s="9" t="str">
        <x:f>IF(Y746&gt;=15,"先做合规/相关性复核，不建议直接商业导流",IF(L746="主站","建/优化主站商业页",IF(L746="博客A-知识教程","写知识教程/FAQ文章",IF(L746="博客B-场景人群","写场景需求/选购指南文章",IF(L746="博客C-对比评测","写对比评测/榜单文章","暂不做或人工复核")))))</x:f>
        <x:v>建/优化主站商业页</x:v>
      </x:c>
      <x:c r="AC746" s="9" t="str">
        <x:v>juul compatible pods</x:v>
      </x:c>
      <x:c r="AD746" s="10" t="str">
        <x:v>48</x:v>
      </x:c>
    </x:row>
    <x:row r="747">
      <x:c r="A747" s="34" t="n">
        <x:v>747</x:v>
      </x:c>
      <x:c r="B747" s="9" t="str">
        <x:v>48</x:v>
      </x:c>
      <x:c r="C747" s="9" t="str">
        <x:v>vaping images</x:v>
      </x:c>
      <x:c r="D747" s="9" t="str">
        <x:v>recommended</x:v>
      </x:c>
      <x:c r="E747" s="36" t="n">
        <x:v>1000</x:v>
      </x:c>
      <x:c r="F747" s="36" t="n">
        <x:v>26</x:v>
      </x:c>
      <x:c r="G747" s="9" t="str">
        <x:v>informational</x:v>
      </x:c>
      <x:c r="H747" s="9" t="str">
        <x:v>合规科普</x:v>
      </x:c>
      <x:c r="I747" s="9" t="str">
        <x:v>合规/YMYL科普词</x:v>
      </x:c>
      <x:c r="J747" s="9" t="str">
        <x:v>博客A-知识教程</x:v>
      </x:c>
      <x:c r="K747" s="9" t="str"/>
      <x:c r="L747" s="9" t="str">
        <x:f>IF(K747="",J747,K747)</x:f>
        <x:v>博客A-知识教程</x:v>
      </x:c>
      <x:c r="M747" s="9" t="str">
        <x:v>合规/健康风险科普文章</x:v>
      </x:c>
      <x:c r="N747" s="9" t="str">
        <x:v>Guide angle: explain vaping images, answer common questions, and avoid sales-first writing</x:v>
      </x:c>
      <x:c r="O747" s="9" t="str">
        <x:v>无商业内链</x:v>
      </x:c>
      <x:c r="P747" s="9" t="str">
        <x:v>否</x:v>
      </x:c>
      <x:c r="Q747" s="9" t="str">
        <x:v>不导流</x:v>
      </x:c>
      <x:c r="R747" s="9" t="str">
        <x:v>高风险：健康、戒烟、法律等 YMYL 主题，不写疗效承诺，不直接卖货</x:v>
      </x:c>
      <x:c r="S747" s="9" t="str">
        <x:v>需要引用权威资料，语气中立；如果不能做到合规审核，暂缓。</x:v>
      </x:c>
      <x:c r="T747" s="38" t="n">
        <x:v>13</x:v>
      </x:c>
      <x:c r="U747" s="38" t="n">
        <x:v>12</x:v>
      </x:c>
      <x:c r="V747" s="38" t="n">
        <x:v>4</x:v>
      </x:c>
      <x:c r="W747" s="38" t="n">
        <x:v>10</x:v>
      </x:c>
      <x:c r="X747" s="38" t="n">
        <x:v>8</x:v>
      </x:c>
      <x:c r="Y747" s="38" t="n">
        <x:v>15</x:v>
      </x:c>
      <x:c r="Z747" s="38" t="n">
        <x:f>MAX(0,MIN(100,ROUND(((T747+U747+V747+W747+X747)-Y747)/85*100,0)))</x:f>
        <x:v>38</x:v>
      </x:c>
      <x:c r="AA747" s="9" t="str">
        <x:f>IF(L747="暂不做","P3 暂缓",IF(Z747&gt;=75,"P0 本周做",IF(Z747&gt;=60,"P1 近期做",IF(Z747&gt;=45,"P2 备选","P3 暂缓"))))</x:f>
        <x:v>P3 暂缓</x:v>
      </x:c>
      <x:c r="AB747" s="9" t="str">
        <x:f>IF(Y747&gt;=15,"先做合规/相关性复核，不建议直接商业导流",IF(L747="主站","建/优化主站商业页",IF(L747="博客A-知识教程","写知识教程/FAQ文章",IF(L747="博客B-场景人群","写场景需求/选购指南文章",IF(L747="博客C-对比评测","写对比评测/榜单文章","暂不做或人工复核")))))</x:f>
        <x:v>先做合规/相关性复核，不建议直接商业导流</x:v>
      </x:c>
      <x:c r="AC747" s="9" t="str">
        <x:v>vaping images</x:v>
      </x:c>
      <x:c r="AD747" s="10" t="str">
        <x:v>48</x:v>
      </x:c>
    </x:row>
    <x:row r="748">
      <x:c r="A748" s="34" t="n">
        <x:v>748</x:v>
      </x:c>
      <x:c r="B748" s="9" t="str">
        <x:v>48</x:v>
      </x:c>
      <x:c r="C748" s="9" t="str">
        <x:v>vape images</x:v>
      </x:c>
      <x:c r="D748" s="9" t="str">
        <x:v>recommended</x:v>
      </x:c>
      <x:c r="E748" s="36" t="n">
        <x:v>880</x:v>
      </x:c>
      <x:c r="F748" s="36" t="n">
        <x:v>26</x:v>
      </x:c>
      <x:c r="G748" s="9" t="str">
        <x:v>informational</x:v>
      </x:c>
      <x:c r="H748" s="9" t="str">
        <x:v>合规科普</x:v>
      </x:c>
      <x:c r="I748" s="9" t="str">
        <x:v>合规/YMYL科普词</x:v>
      </x:c>
      <x:c r="J748" s="9" t="str">
        <x:v>博客A-知识教程</x:v>
      </x:c>
      <x:c r="K748" s="9" t="str"/>
      <x:c r="L748" s="9" t="str">
        <x:f>IF(K748="",J748,K748)</x:f>
        <x:v>博客A-知识教程</x:v>
      </x:c>
      <x:c r="M748" s="9" t="str">
        <x:v>合规/健康风险科普文章</x:v>
      </x:c>
      <x:c r="N748" s="9" t="str">
        <x:v>Guide angle: explain vape images, answer common questions, and avoid sales-first writing</x:v>
      </x:c>
      <x:c r="O748" s="9" t="str">
        <x:v>无商业内链</x:v>
      </x:c>
      <x:c r="P748" s="9" t="str">
        <x:v>否</x:v>
      </x:c>
      <x:c r="Q748" s="9" t="str">
        <x:v>不导流</x:v>
      </x:c>
      <x:c r="R748" s="9" t="str">
        <x:v>高风险：健康、戒烟、法律等 YMYL 主题，不写疗效承诺，不直接卖货</x:v>
      </x:c>
      <x:c r="S748" s="9" t="str">
        <x:v>需要引用权威资料，语气中立；如果不能做到合规审核，暂缓。</x:v>
      </x:c>
      <x:c r="T748" s="38" t="n">
        <x:v>10</x:v>
      </x:c>
      <x:c r="U748" s="38" t="n">
        <x:v>12</x:v>
      </x:c>
      <x:c r="V748" s="38" t="n">
        <x:v>4</x:v>
      </x:c>
      <x:c r="W748" s="38" t="n">
        <x:v>10</x:v>
      </x:c>
      <x:c r="X748" s="38" t="n">
        <x:v>8</x:v>
      </x:c>
      <x:c r="Y748" s="38" t="n">
        <x:v>15</x:v>
      </x:c>
      <x:c r="Z748" s="38" t="n">
        <x:f>MAX(0,MIN(100,ROUND(((T748+U748+V748+W748+X748)-Y748)/85*100,0)))</x:f>
        <x:v>34</x:v>
      </x:c>
      <x:c r="AA748" s="9" t="str">
        <x:f>IF(L748="暂不做","P3 暂缓",IF(Z748&gt;=75,"P0 本周做",IF(Z748&gt;=60,"P1 近期做",IF(Z748&gt;=45,"P2 备选","P3 暂缓"))))</x:f>
        <x:v>P3 暂缓</x:v>
      </x:c>
      <x:c r="AB748" s="9" t="str">
        <x:f>IF(Y748&gt;=15,"先做合规/相关性复核，不建议直接商业导流",IF(L748="主站","建/优化主站商业页",IF(L748="博客A-知识教程","写知识教程/FAQ文章",IF(L748="博客B-场景人群","写场景需求/选购指南文章",IF(L748="博客C-对比评测","写对比评测/榜单文章","暂不做或人工复核")))))</x:f>
        <x:v>先做合规/相关性复核，不建议直接商业导流</x:v>
      </x:c>
      <x:c r="AC748" s="9" t="str">
        <x:v>vaping images</x:v>
      </x:c>
      <x:c r="AD748" s="10" t="str">
        <x:v>48</x:v>
      </x:c>
    </x:row>
    <x:row r="749">
      <x:c r="A749" s="34" t="n">
        <x:v>749</x:v>
      </x:c>
      <x:c r="B749" s="9" t="str">
        <x:v>48</x:v>
      </x:c>
      <x:c r="C749" s="9" t="str">
        <x:v>pictures of vapes</x:v>
      </x:c>
      <x:c r="D749" s="9" t="str">
        <x:v>recommended</x:v>
      </x:c>
      <x:c r="E749" s="36" t="n">
        <x:v>590</x:v>
      </x:c>
      <x:c r="F749" s="36" t="n">
        <x:v>21</x:v>
      </x:c>
      <x:c r="G749" s="9" t="str">
        <x:v>informational</x:v>
      </x:c>
      <x:c r="H749" s="9" t="str">
        <x:v>General Vape</x:v>
      </x:c>
      <x:c r="I749" s="9" t="str">
        <x:v>品类承接词</x:v>
      </x:c>
      <x:c r="J749" s="9" t="str">
        <x:v>主站</x:v>
      </x:c>
      <x:c r="K749" s="9" t="str"/>
      <x:c r="L749" s="9" t="str">
        <x:f>IF(K749="",J749,K749)</x:f>
        <x:v>主站</x:v>
      </x:c>
      <x:c r="M749" s="9" t="str">
        <x:v>品类页/集合页 + FAQ内容块</x:v>
      </x:c>
      <x:c r="N749" s="9" t="str">
        <x:v>主站品类页：用产品集合 + 选购说明承接</x:v>
      </x:c>
      <x:c r="O749" s="9" t="str">
        <x:v>/collections/disposable-vapes</x:v>
      </x:c>
      <x:c r="P749" s="9" t="str">
        <x:v>不适用</x:v>
      </x:c>
      <x:c r="Q749" s="9" t="str">
        <x:v>主站页面自身承接</x:v>
      </x:c>
      <x:c r="R749" s="9" t="str">
        <x:v>核心品类词：主站优先，博客只做长尾解释，不直接抢同一词</x:v>
      </x:c>
      <x:c r="S749" s="9" t="str">
        <x:v>如果 Google 首页产品页和指南混合，主站页要加 FAQ、选购指南、对比模块。</x:v>
      </x:c>
      <x:c r="T749" s="38" t="n">
        <x:v>10</x:v>
      </x:c>
      <x:c r="U749" s="38" t="n">
        <x:v>12</x:v>
      </x:c>
      <x:c r="V749" s="38" t="n">
        <x:v>16</x:v>
      </x:c>
      <x:c r="W749" s="38" t="n">
        <x:v>8</x:v>
      </x:c>
      <x:c r="X749" s="38" t="n">
        <x:v>15</x:v>
      </x:c>
      <x:c r="Y749" s="38" t="n">
        <x:v>4</x:v>
      </x:c>
      <x:c r="Z749" s="38" t="n">
        <x:f>MAX(0,MIN(100,ROUND(((T749+U749+V749+W749+X749)-Y749)/85*100,0)))</x:f>
        <x:v>67</x:v>
      </x:c>
      <x:c r="AA749" s="9" t="str">
        <x:f>IF(L749="暂不做","P3 暂缓",IF(Z749&gt;=75,"P0 本周做",IF(Z749&gt;=60,"P1 近期做",IF(Z749&gt;=45,"P2 备选","P3 暂缓"))))</x:f>
        <x:v>P1 近期做</x:v>
      </x:c>
      <x:c r="AB749" s="9" t="str">
        <x:f>IF(Y749&gt;=15,"先做合规/相关性复核，不建议直接商业导流",IF(L749="主站","建/优化主站商业页",IF(L749="博客A-知识教程","写知识教程/FAQ文章",IF(L749="博客B-场景人群","写场景需求/选购指南文章",IF(L749="博客C-对比评测","写对比评测/榜单文章","暂不做或人工复核")))))</x:f>
        <x:v>建/优化主站商业页</x:v>
      </x:c>
      <x:c r="AC749" s="9" t="str">
        <x:v>vaping images</x:v>
      </x:c>
      <x:c r="AD749" s="10" t="str">
        <x:v>48</x:v>
      </x:c>
    </x:row>
    <x:row r="750">
      <x:c r="A750" s="34" t="n">
        <x:v>750</x:v>
      </x:c>
      <x:c r="B750" s="9" t="str">
        <x:v>48</x:v>
      </x:c>
      <x:c r="C750" s="9" t="str">
        <x:v>images of a vape</x:v>
      </x:c>
      <x:c r="D750" s="9" t="str">
        <x:v>recommended</x:v>
      </x:c>
      <x:c r="E750" s="36" t="n">
        <x:v>390</x:v>
      </x:c>
      <x:c r="F750" s="36" t="n">
        <x:v>24</x:v>
      </x:c>
      <x:c r="G750" s="9" t="str">
        <x:v>informational</x:v>
      </x:c>
      <x:c r="H750" s="9" t="str">
        <x:v>合规科普</x:v>
      </x:c>
      <x:c r="I750" s="9" t="str">
        <x:v>合规/YMYL科普词</x:v>
      </x:c>
      <x:c r="J750" s="9" t="str">
        <x:v>博客A-知识教程</x:v>
      </x:c>
      <x:c r="K750" s="9" t="str"/>
      <x:c r="L750" s="9" t="str">
        <x:f>IF(K750="",J750,K750)</x:f>
        <x:v>博客A-知识教程</x:v>
      </x:c>
      <x:c r="M750" s="9" t="str">
        <x:v>合规/健康风险科普文章</x:v>
      </x:c>
      <x:c r="N750" s="9" t="str">
        <x:v>Guide angle: explain images of a vape, answer common questions, and avoid sales-first writing</x:v>
      </x:c>
      <x:c r="O750" s="9" t="str">
        <x:v>无商业内链</x:v>
      </x:c>
      <x:c r="P750" s="9" t="str">
        <x:v>否</x:v>
      </x:c>
      <x:c r="Q750" s="9" t="str">
        <x:v>不导流</x:v>
      </x:c>
      <x:c r="R750" s="9" t="str">
        <x:v>高风险：健康、戒烟、法律等 YMYL 主题，不写疗效承诺，不直接卖货</x:v>
      </x:c>
      <x:c r="S750" s="9" t="str">
        <x:v>需要引用权威资料，语气中立；如果不能做到合规审核，暂缓。</x:v>
      </x:c>
      <x:c r="T750" s="38" t="n">
        <x:v>7</x:v>
      </x:c>
      <x:c r="U750" s="38" t="n">
        <x:v>12</x:v>
      </x:c>
      <x:c r="V750" s="38" t="n">
        <x:v>4</x:v>
      </x:c>
      <x:c r="W750" s="38" t="n">
        <x:v>10</x:v>
      </x:c>
      <x:c r="X750" s="38" t="n">
        <x:v>8</x:v>
      </x:c>
      <x:c r="Y750" s="38" t="n">
        <x:v>15</x:v>
      </x:c>
      <x:c r="Z750" s="38" t="n">
        <x:f>MAX(0,MIN(100,ROUND(((T750+U750+V750+W750+X750)-Y750)/85*100,0)))</x:f>
        <x:v>31</x:v>
      </x:c>
      <x:c r="AA750" s="9" t="str">
        <x:f>IF(L750="暂不做","P3 暂缓",IF(Z750&gt;=75,"P0 本周做",IF(Z750&gt;=60,"P1 近期做",IF(Z750&gt;=45,"P2 备选","P3 暂缓"))))</x:f>
        <x:v>P3 暂缓</x:v>
      </x:c>
      <x:c r="AB750" s="9" t="str">
        <x:f>IF(Y750&gt;=15,"先做合规/相关性复核，不建议直接商业导流",IF(L750="主站","建/优化主站商业页",IF(L750="博客A-知识教程","写知识教程/FAQ文章",IF(L750="博客B-场景人群","写场景需求/选购指南文章",IF(L750="博客C-对比评测","写对比评测/榜单文章","暂不做或人工复核")))))</x:f>
        <x:v>先做合规/相关性复核，不建议直接商业导流</x:v>
      </x:c>
      <x:c r="AC750" s="9" t="str">
        <x:v>vaping images</x:v>
      </x:c>
      <x:c r="AD750" s="10" t="str">
        <x:v>48</x:v>
      </x:c>
    </x:row>
    <x:row r="751">
      <x:c r="A751" s="34" t="n">
        <x:v>751</x:v>
      </x:c>
      <x:c r="B751" s="9" t="str">
        <x:v>48</x:v>
      </x:c>
      <x:c r="C751" s="9" t="str">
        <x:v>vape image</x:v>
      </x:c>
      <x:c r="D751" s="9" t="str">
        <x:v>recommended</x:v>
      </x:c>
      <x:c r="E751" s="36" t="n">
        <x:v>320</x:v>
      </x:c>
      <x:c r="F751" s="36" t="n">
        <x:v>22</x:v>
      </x:c>
      <x:c r="G751" s="9" t="str">
        <x:v>informational</x:v>
      </x:c>
      <x:c r="H751" s="9" t="str">
        <x:v>合规科普</x:v>
      </x:c>
      <x:c r="I751" s="9" t="str">
        <x:v>合规/YMYL科普词</x:v>
      </x:c>
      <x:c r="J751" s="9" t="str">
        <x:v>博客A-知识教程</x:v>
      </x:c>
      <x:c r="K751" s="9" t="str"/>
      <x:c r="L751" s="9" t="str">
        <x:f>IF(K751="",J751,K751)</x:f>
        <x:v>博客A-知识教程</x:v>
      </x:c>
      <x:c r="M751" s="9" t="str">
        <x:v>合规/健康风险科普文章</x:v>
      </x:c>
      <x:c r="N751" s="9" t="str">
        <x:v>Guide angle: explain vape image, answer common questions, and avoid sales-first writing</x:v>
      </x:c>
      <x:c r="O751" s="9" t="str">
        <x:v>无商业内链</x:v>
      </x:c>
      <x:c r="P751" s="9" t="str">
        <x:v>否</x:v>
      </x:c>
      <x:c r="Q751" s="9" t="str">
        <x:v>不导流</x:v>
      </x:c>
      <x:c r="R751" s="9" t="str">
        <x:v>高风险：健康、戒烟、法律等 YMYL 主题，不写疗效承诺，不直接卖货</x:v>
      </x:c>
      <x:c r="S751" s="9" t="str">
        <x:v>需要引用权威资料，语气中立；如果不能做到合规审核，暂缓。</x:v>
      </x:c>
      <x:c r="T751" s="38" t="n">
        <x:v>7</x:v>
      </x:c>
      <x:c r="U751" s="38" t="n">
        <x:v>12</x:v>
      </x:c>
      <x:c r="V751" s="38" t="n">
        <x:v>4</x:v>
      </x:c>
      <x:c r="W751" s="38" t="n">
        <x:v>10</x:v>
      </x:c>
      <x:c r="X751" s="38" t="n">
        <x:v>8</x:v>
      </x:c>
      <x:c r="Y751" s="38" t="n">
        <x:v>15</x:v>
      </x:c>
      <x:c r="Z751" s="38" t="n">
        <x:f>MAX(0,MIN(100,ROUND(((T751+U751+V751+W751+X751)-Y751)/85*100,0)))</x:f>
        <x:v>31</x:v>
      </x:c>
      <x:c r="AA751" s="9" t="str">
        <x:f>IF(L751="暂不做","P3 暂缓",IF(Z751&gt;=75,"P0 本周做",IF(Z751&gt;=60,"P1 近期做",IF(Z751&gt;=45,"P2 备选","P3 暂缓"))))</x:f>
        <x:v>P3 暂缓</x:v>
      </x:c>
      <x:c r="AB751" s="9" t="str">
        <x:f>IF(Y751&gt;=15,"先做合规/相关性复核，不建议直接商业导流",IF(L751="主站","建/优化主站商业页",IF(L751="博客A-知识教程","写知识教程/FAQ文章",IF(L751="博客B-场景人群","写场景需求/选购指南文章",IF(L751="博客C-对比评测","写对比评测/榜单文章","暂不做或人工复核")))))</x:f>
        <x:v>先做合规/相关性复核，不建议直接商业导流</x:v>
      </x:c>
      <x:c r="AC751" s="9" t="str">
        <x:v>vaping images</x:v>
      </x:c>
      <x:c r="AD751" s="10" t="str">
        <x:v>48</x:v>
      </x:c>
    </x:row>
    <x:row r="752">
      <x:c r="A752" s="34" t="n">
        <x:v>752</x:v>
      </x:c>
      <x:c r="B752" s="9" t="str">
        <x:v>48</x:v>
      </x:c>
      <x:c r="C752" s="9" t="str">
        <x:v>vape pic</x:v>
      </x:c>
      <x:c r="D752" s="9" t="str">
        <x:v>recommended</x:v>
      </x:c>
      <x:c r="E752" s="36" t="n">
        <x:v>260</x:v>
      </x:c>
      <x:c r="F752" s="36" t="n">
        <x:v>25</x:v>
      </x:c>
      <x:c r="G752" s="9" t="str">
        <x:v>informational</x:v>
      </x:c>
      <x:c r="H752" s="9" t="str">
        <x:v>General Vape</x:v>
      </x:c>
      <x:c r="I752" s="9" t="str">
        <x:v>品类承接词</x:v>
      </x:c>
      <x:c r="J752" s="9" t="str">
        <x:v>主站</x:v>
      </x:c>
      <x:c r="K752" s="9" t="str"/>
      <x:c r="L752" s="9" t="str">
        <x:f>IF(K752="",J752,K752)</x:f>
        <x:v>主站</x:v>
      </x:c>
      <x:c r="M752" s="9" t="str">
        <x:v>品类页/集合页 + FAQ内容块</x:v>
      </x:c>
      <x:c r="N752" s="9" t="str">
        <x:v>主站品类页：用产品集合 + 选购说明承接</x:v>
      </x:c>
      <x:c r="O752" s="9" t="str">
        <x:v>/collections/disposable-vapes</x:v>
      </x:c>
      <x:c r="P752" s="9" t="str">
        <x:v>不适用</x:v>
      </x:c>
      <x:c r="Q752" s="9" t="str">
        <x:v>主站页面自身承接</x:v>
      </x:c>
      <x:c r="R752" s="9" t="str">
        <x:v>核心品类词：主站优先，博客只做长尾解释，不直接抢同一词</x:v>
      </x:c>
      <x:c r="S752" s="9" t="str">
        <x:v>如果 Google 首页产品页和指南混合，主站页要加 FAQ、选购指南、对比模块。</x:v>
      </x:c>
      <x:c r="T752" s="38" t="n">
        <x:v>7</x:v>
      </x:c>
      <x:c r="U752" s="38" t="n">
        <x:v>12</x:v>
      </x:c>
      <x:c r="V752" s="38" t="n">
        <x:v>16</x:v>
      </x:c>
      <x:c r="W752" s="38" t="n">
        <x:v>8</x:v>
      </x:c>
      <x:c r="X752" s="38" t="n">
        <x:v>15</x:v>
      </x:c>
      <x:c r="Y752" s="38" t="n">
        <x:v>4</x:v>
      </x:c>
      <x:c r="Z752" s="38" t="n">
        <x:f>MAX(0,MIN(100,ROUND(((T752+U752+V752+W752+X752)-Y752)/85*100,0)))</x:f>
        <x:v>64</x:v>
      </x:c>
      <x:c r="AA752" s="9" t="str">
        <x:f>IF(L752="暂不做","P3 暂缓",IF(Z752&gt;=75,"P0 本周做",IF(Z752&gt;=60,"P1 近期做",IF(Z752&gt;=45,"P2 备选","P3 暂缓"))))</x:f>
        <x:v>P1 近期做</x:v>
      </x:c>
      <x:c r="AB752" s="9" t="str">
        <x:f>IF(Y752&gt;=15,"先做合规/相关性复核，不建议直接商业导流",IF(L752="主站","建/优化主站商业页",IF(L752="博客A-知识教程","写知识教程/FAQ文章",IF(L752="博客B-场景人群","写场景需求/选购指南文章",IF(L752="博客C-对比评测","写对比评测/榜单文章","暂不做或人工复核")))))</x:f>
        <x:v>建/优化主站商业页</x:v>
      </x:c>
      <x:c r="AC752" s="9" t="str">
        <x:v>vaping images</x:v>
      </x:c>
      <x:c r="AD752" s="10" t="str">
        <x:v>48</x:v>
      </x:c>
    </x:row>
    <x:row r="753">
      <x:c r="A753" s="34" t="n">
        <x:v>753</x:v>
      </x:c>
      <x:c r="B753" s="9" t="str">
        <x:v>48</x:v>
      </x:c>
      <x:c r="C753" s="9" t="str">
        <x:v>vape pics</x:v>
      </x:c>
      <x:c r="D753" s="9" t="str">
        <x:v>recommended</x:v>
      </x:c>
      <x:c r="E753" s="36" t="n">
        <x:v>40</x:v>
      </x:c>
      <x:c r="F753" s="36" t="n">
        <x:v>24</x:v>
      </x:c>
      <x:c r="G753" s="9" t="str">
        <x:v>informational</x:v>
      </x:c>
      <x:c r="H753" s="9" t="str">
        <x:v>General Vape</x:v>
      </x:c>
      <x:c r="I753" s="9" t="str">
        <x:v>品类承接词</x:v>
      </x:c>
      <x:c r="J753" s="9" t="str">
        <x:v>主站</x:v>
      </x:c>
      <x:c r="K753" s="9" t="str"/>
      <x:c r="L753" s="9" t="str">
        <x:f>IF(K753="",J753,K753)</x:f>
        <x:v>主站</x:v>
      </x:c>
      <x:c r="M753" s="9" t="str">
        <x:v>品类页/集合页 + FAQ内容块</x:v>
      </x:c>
      <x:c r="N753" s="9" t="str">
        <x:v>主站品类页：用产品集合 + 选购说明承接</x:v>
      </x:c>
      <x:c r="O753" s="9" t="str">
        <x:v>/collections/disposable-vapes</x:v>
      </x:c>
      <x:c r="P753" s="9" t="str">
        <x:v>不适用</x:v>
      </x:c>
      <x:c r="Q753" s="9" t="str">
        <x:v>主站页面自身承接</x:v>
      </x:c>
      <x:c r="R753" s="9" t="str">
        <x:v>核心品类词：主站优先，博客只做长尾解释，不直接抢同一词</x:v>
      </x:c>
      <x:c r="S753" s="9" t="str">
        <x:v>如果 Google 首页产品页和指南混合，主站页要加 FAQ、选购指南、对比模块。</x:v>
      </x:c>
      <x:c r="T753" s="38" t="n">
        <x:v>4</x:v>
      </x:c>
      <x:c r="U753" s="38" t="n">
        <x:v>12</x:v>
      </x:c>
      <x:c r="V753" s="38" t="n">
        <x:v>16</x:v>
      </x:c>
      <x:c r="W753" s="38" t="n">
        <x:v>8</x:v>
      </x:c>
      <x:c r="X753" s="38" t="n">
        <x:v>15</x:v>
      </x:c>
      <x:c r="Y753" s="38" t="n">
        <x:v>4</x:v>
      </x:c>
      <x:c r="Z753" s="38" t="n">
        <x:f>MAX(0,MIN(100,ROUND(((T753+U753+V753+W753+X753)-Y753)/85*100,0)))</x:f>
        <x:v>60</x:v>
      </x:c>
      <x:c r="AA753" s="9" t="str">
        <x:f>IF(L753="暂不做","P3 暂缓",IF(Z753&gt;=75,"P0 本周做",IF(Z753&gt;=60,"P1 近期做",IF(Z753&gt;=45,"P2 备选","P3 暂缓"))))</x:f>
        <x:v>P1 近期做</x:v>
      </x:c>
      <x:c r="AB753" s="9" t="str">
        <x:f>IF(Y753&gt;=15,"先做合规/相关性复核，不建议直接商业导流",IF(L753="主站","建/优化主站商业页",IF(L753="博客A-知识教程","写知识教程/FAQ文章",IF(L753="博客B-场景人群","写场景需求/选购指南文章",IF(L753="博客C-对比评测","写对比评测/榜单文章","暂不做或人工复核")))))</x:f>
        <x:v>建/优化主站商业页</x:v>
      </x:c>
      <x:c r="AC753" s="9" t="str">
        <x:v>vaping images</x:v>
      </x:c>
      <x:c r="AD753" s="10" t="str">
        <x:v>48</x:v>
      </x:c>
    </x:row>
    <x:row r="754">
      <x:c r="A754" s="34" t="n">
        <x:v>754</x:v>
      </x:c>
      <x:c r="B754" s="9" t="str">
        <x:v>48</x:v>
      </x:c>
      <x:c r="C754" s="9" t="str">
        <x:v>vape photos</x:v>
      </x:c>
      <x:c r="D754" s="9" t="str">
        <x:v>recommended</x:v>
      </x:c>
      <x:c r="E754" s="36" t="n">
        <x:v>40</x:v>
      </x:c>
      <x:c r="F754" s="36" t="n">
        <x:v>26</x:v>
      </x:c>
      <x:c r="G754" s="9" t="str">
        <x:v>informational</x:v>
      </x:c>
      <x:c r="H754" s="9" t="str">
        <x:v>General Vape</x:v>
      </x:c>
      <x:c r="I754" s="9" t="str">
        <x:v>品类承接词</x:v>
      </x:c>
      <x:c r="J754" s="9" t="str">
        <x:v>主站</x:v>
      </x:c>
      <x:c r="K754" s="9" t="str"/>
      <x:c r="L754" s="9" t="str">
        <x:f>IF(K754="",J754,K754)</x:f>
        <x:v>主站</x:v>
      </x:c>
      <x:c r="M754" s="9" t="str">
        <x:v>品类页/集合页 + FAQ内容块</x:v>
      </x:c>
      <x:c r="N754" s="9" t="str">
        <x:v>主站品类页：用产品集合 + 选购说明承接</x:v>
      </x:c>
      <x:c r="O754" s="9" t="str">
        <x:v>/collections/disposable-vapes</x:v>
      </x:c>
      <x:c r="P754" s="9" t="str">
        <x:v>不适用</x:v>
      </x:c>
      <x:c r="Q754" s="9" t="str">
        <x:v>主站页面自身承接</x:v>
      </x:c>
      <x:c r="R754" s="9" t="str">
        <x:v>核心品类词：主站优先，博客只做长尾解释，不直接抢同一词</x:v>
      </x:c>
      <x:c r="S754" s="9" t="str">
        <x:v>如果 Google 首页产品页和指南混合，主站页要加 FAQ、选购指南、对比模块。</x:v>
      </x:c>
      <x:c r="T754" s="38" t="n">
        <x:v>4</x:v>
      </x:c>
      <x:c r="U754" s="38" t="n">
        <x:v>12</x:v>
      </x:c>
      <x:c r="V754" s="38" t="n">
        <x:v>16</x:v>
      </x:c>
      <x:c r="W754" s="38" t="n">
        <x:v>8</x:v>
      </x:c>
      <x:c r="X754" s="38" t="n">
        <x:v>15</x:v>
      </x:c>
      <x:c r="Y754" s="38" t="n">
        <x:v>4</x:v>
      </x:c>
      <x:c r="Z754" s="38" t="n">
        <x:f>MAX(0,MIN(100,ROUND(((T754+U754+V754+W754+X754)-Y754)/85*100,0)))</x:f>
        <x:v>60</x:v>
      </x:c>
      <x:c r="AA754" s="9" t="str">
        <x:f>IF(L754="暂不做","P3 暂缓",IF(Z754&gt;=75,"P0 本周做",IF(Z754&gt;=60,"P1 近期做",IF(Z754&gt;=45,"P2 备选","P3 暂缓"))))</x:f>
        <x:v>P1 近期做</x:v>
      </x:c>
      <x:c r="AB754" s="9" t="str">
        <x:f>IF(Y754&gt;=15,"先做合规/相关性复核，不建议直接商业导流",IF(L754="主站","建/优化主站商业页",IF(L754="博客A-知识教程","写知识教程/FAQ文章",IF(L754="博客B-场景人群","写场景需求/选购指南文章",IF(L754="博客C-对比评测","写对比评测/榜单文章","暂不做或人工复核")))))</x:f>
        <x:v>建/优化主站商业页</x:v>
      </x:c>
      <x:c r="AC754" s="9" t="str">
        <x:v>vaping images</x:v>
      </x:c>
      <x:c r="AD754" s="10" t="str">
        <x:v>48</x:v>
      </x:c>
    </x:row>
    <x:row r="755">
      <x:c r="A755" s="34" t="n">
        <x:v>755</x:v>
      </x:c>
      <x:c r="B755" s="9" t="str">
        <x:v>48</x:v>
      </x:c>
      <x:c r="C755" s="9" t="str">
        <x:v>best tobacco vape juice</x:v>
      </x:c>
      <x:c r="D755" s="9" t="str">
        <x:v>recommended</x:v>
      </x:c>
      <x:c r="E755" s="36" t="n">
        <x:v>170</x:v>
      </x:c>
      <x:c r="F755" s="36" t="n">
        <x:v>14</x:v>
      </x:c>
      <x:c r="G755" s="9" t="str">
        <x:v>commercial</x:v>
      </x:c>
      <x:c r="H755" s="9" t="str">
        <x:v>对比评测</x:v>
      </x:c>
      <x:c r="I755" s="9" t="str">
        <x:v>商业调查词</x:v>
      </x:c>
      <x:c r="J755" s="9" t="str">
        <x:v>博客C-对比评测</x:v>
      </x:c>
      <x:c r="K755" s="9" t="str"/>
      <x:c r="L755" s="9" t="str">
        <x:f>IF(K755="",J755,K755)</x:f>
        <x:v>博客C-对比评测</x:v>
      </x:c>
      <x:c r="M755" s="9" t="str">
        <x:v>Best/Top/Review/VS/替代方案文章</x:v>
      </x:c>
      <x:c r="N755" s="9" t="str">
        <x:v>Best angle: best tobacco vape juice - comparison, pros/cons, and which option fits different buyers</x:v>
      </x:c>
      <x:c r="O755" s="9" t="str">
        <x:v>/collections/disposable-vapes</x:v>
      </x:c>
      <x:c r="P755" s="9" t="str">
        <x:v>是</x:v>
      </x:c>
      <x:c r="Q755" s="9" t="str">
        <x:v>自然句/品类词/品牌词</x:v>
      </x:c>
      <x:c r="R755" s="9" t="str">
        <x:v>中风险：榜单和评测必须真实、中立，避免夸大</x:v>
      </x:c>
      <x:c r="S755" s="9" t="str">
        <x:v>这类词不直接给主站，先用博客C教育和比较，再导流到最相关集合页。</x:v>
      </x:c>
      <x:c r="T755" s="38" t="n">
        <x:v>7</x:v>
      </x:c>
      <x:c r="U755" s="38" t="n">
        <x:v>15</x:v>
      </x:c>
      <x:c r="V755" s="38" t="n">
        <x:v>16</x:v>
      </x:c>
      <x:c r="W755" s="38" t="n">
        <x:v>15</x:v>
      </x:c>
      <x:c r="X755" s="38" t="n">
        <x:v>13</x:v>
      </x:c>
      <x:c r="Y755" s="38" t="n">
        <x:v>6</x:v>
      </x:c>
      <x:c r="Z755" s="38" t="n">
        <x:f>MAX(0,MIN(100,ROUND(((T755+U755+V755+W755+X755)-Y755)/85*100,0)))</x:f>
        <x:v>71</x:v>
      </x:c>
      <x:c r="AA755" s="9" t="str">
        <x:f>IF(L755="暂不做","P3 暂缓",IF(Z755&gt;=75,"P0 本周做",IF(Z755&gt;=60,"P1 近期做",IF(Z755&gt;=45,"P2 备选","P3 暂缓"))))</x:f>
        <x:v>P1 近期做</x:v>
      </x:c>
      <x:c r="AB755" s="9" t="str">
        <x:f>IF(Y755&gt;=15,"先做合规/相关性复核，不建议直接商业导流",IF(L755="主站","建/优化主站商业页",IF(L755="博客A-知识教程","写知识教程/FAQ文章",IF(L755="博客B-场景人群","写场景需求/选购指南文章",IF(L755="博客C-对比评测","写对比评测/榜单文章","暂不做或人工复核")))))</x:f>
        <x:v>写对比评测/榜单文章</x:v>
      </x:c>
      <x:c r="AC755" s="9" t="str">
        <x:v>best tobacco vape juice</x:v>
      </x:c>
      <x:c r="AD755" s="10" t="str">
        <x:v>48</x:v>
      </x:c>
    </x:row>
    <x:row r="756">
      <x:c r="A756" s="34" t="n">
        <x:v>756</x:v>
      </x:c>
      <x:c r="B756" s="9" t="str">
        <x:v>48</x:v>
      </x:c>
      <x:c r="C756" s="9" t="str">
        <x:v>vape tobacco flavor</x:v>
      </x:c>
      <x:c r="D756" s="9" t="str">
        <x:v>recommended</x:v>
      </x:c>
      <x:c r="E756" s="36" t="n">
        <x:v>110</x:v>
      </x:c>
      <x:c r="F756" s="36" t="n">
        <x:v>5</x:v>
      </x:c>
      <x:c r="G756" s="9" t="str">
        <x:v>informational, commercial</x:v>
      </x:c>
      <x:c r="H756" s="9" t="str">
        <x:v>Flavor / 口味</x:v>
      </x:c>
      <x:c r="I756" s="9" t="str">
        <x:v>品类承接词</x:v>
      </x:c>
      <x:c r="J756" s="9" t="str">
        <x:v>主站</x:v>
      </x:c>
      <x:c r="K756" s="9" t="str"/>
      <x:c r="L756" s="9" t="str">
        <x:f>IF(K756="",J756,K756)</x:f>
        <x:v>主站</x:v>
      </x:c>
      <x:c r="M756" s="9" t="str">
        <x:v>品类页/集合页 + FAQ内容块</x:v>
      </x:c>
      <x:c r="N756" s="9" t="str">
        <x:v>主站品类页：用产品集合 + 选购说明承接</x:v>
      </x:c>
      <x:c r="O756" s="9" t="str">
        <x:v>/collections/flavored-disposable-vapes</x:v>
      </x:c>
      <x:c r="P756" s="9" t="str">
        <x:v>不适用</x:v>
      </x:c>
      <x:c r="Q756" s="9" t="str">
        <x:v>主站页面自身承接</x:v>
      </x:c>
      <x:c r="R756" s="9" t="str">
        <x:v>核心品类词：主站优先，博客只做长尾解释，不直接抢同一词</x:v>
      </x:c>
      <x:c r="S756" s="9" t="str">
        <x:v>如果 Google 首页产品页和指南混合，主站页要加 FAQ、选购指南、对比模块。</x:v>
      </x:c>
      <x:c r="T756" s="38" t="n">
        <x:v>7</x:v>
      </x:c>
      <x:c r="U756" s="38" t="n">
        <x:v>15</x:v>
      </x:c>
      <x:c r="V756" s="38" t="n">
        <x:v>18</x:v>
      </x:c>
      <x:c r="W756" s="38" t="n">
        <x:v>8</x:v>
      </x:c>
      <x:c r="X756" s="38" t="n">
        <x:v>15</x:v>
      </x:c>
      <x:c r="Y756" s="38" t="n">
        <x:v>4</x:v>
      </x:c>
      <x:c r="Z756" s="38" t="n">
        <x:f>MAX(0,MIN(100,ROUND(((T756+U756+V756+W756+X756)-Y756)/85*100,0)))</x:f>
        <x:v>69</x:v>
      </x:c>
      <x:c r="AA756" s="9" t="str">
        <x:f>IF(L756="暂不做","P3 暂缓",IF(Z756&gt;=75,"P0 本周做",IF(Z756&gt;=60,"P1 近期做",IF(Z756&gt;=45,"P2 备选","P3 暂缓"))))</x:f>
        <x:v>P1 近期做</x:v>
      </x:c>
      <x:c r="AB756" s="9" t="str">
        <x:f>IF(Y756&gt;=15,"先做合规/相关性复核，不建议直接商业导流",IF(L756="主站","建/优化主站商业页",IF(L756="博客A-知识教程","写知识教程/FAQ文章",IF(L756="博客B-场景人群","写场景需求/选购指南文章",IF(L756="博客C-对比评测","写对比评测/榜单文章","暂不做或人工复核")))))</x:f>
        <x:v>建/优化主站商业页</x:v>
      </x:c>
      <x:c r="AC756" s="9" t="str">
        <x:v>best tobacco vape juice</x:v>
      </x:c>
      <x:c r="AD756" s="10" t="str">
        <x:v>48</x:v>
      </x:c>
    </x:row>
    <x:row r="757">
      <x:c r="A757" s="34" t="n">
        <x:v>757</x:v>
      </x:c>
      <x:c r="B757" s="9" t="str">
        <x:v>48</x:v>
      </x:c>
      <x:c r="C757" s="9" t="str">
        <x:v>tobacco flavour vape</x:v>
      </x:c>
      <x:c r="D757" s="9" t="str">
        <x:v>recommended</x:v>
      </x:c>
      <x:c r="E757" s="36" t="n">
        <x:v>50</x:v>
      </x:c>
      <x:c r="F757" s="36" t="n">
        <x:v>9</x:v>
      </x:c>
      <x:c r="G757" s="9" t="str">
        <x:v>informational</x:v>
      </x:c>
      <x:c r="H757" s="9" t="str">
        <x:v>General Vape</x:v>
      </x:c>
      <x:c r="I757" s="9" t="str">
        <x:v>品类承接词</x:v>
      </x:c>
      <x:c r="J757" s="9" t="str">
        <x:v>主站</x:v>
      </x:c>
      <x:c r="K757" s="9" t="str"/>
      <x:c r="L757" s="9" t="str">
        <x:f>IF(K757="",J757,K757)</x:f>
        <x:v>主站</x:v>
      </x:c>
      <x:c r="M757" s="9" t="str">
        <x:v>品类页/集合页 + FAQ内容块</x:v>
      </x:c>
      <x:c r="N757" s="9" t="str">
        <x:v>主站品类页：用产品集合 + 选购说明承接</x:v>
      </x:c>
      <x:c r="O757" s="9" t="str">
        <x:v>/collections/disposable-vapes</x:v>
      </x:c>
      <x:c r="P757" s="9" t="str">
        <x:v>不适用</x:v>
      </x:c>
      <x:c r="Q757" s="9" t="str">
        <x:v>主站页面自身承接</x:v>
      </x:c>
      <x:c r="R757" s="9" t="str">
        <x:v>核心品类词：主站优先，博客只做长尾解释，不直接抢同一词</x:v>
      </x:c>
      <x:c r="S757" s="9" t="str">
        <x:v>如果 Google 首页产品页和指南混合，主站页要加 FAQ、选购指南、对比模块。</x:v>
      </x:c>
      <x:c r="T757" s="38" t="n">
        <x:v>4</x:v>
      </x:c>
      <x:c r="U757" s="38" t="n">
        <x:v>15</x:v>
      </x:c>
      <x:c r="V757" s="38" t="n">
        <x:v>16</x:v>
      </x:c>
      <x:c r="W757" s="38" t="n">
        <x:v>8</x:v>
      </x:c>
      <x:c r="X757" s="38" t="n">
        <x:v>15</x:v>
      </x:c>
      <x:c r="Y757" s="38" t="n">
        <x:v>4</x:v>
      </x:c>
      <x:c r="Z757" s="38" t="n">
        <x:f>MAX(0,MIN(100,ROUND(((T757+U757+V757+W757+X757)-Y757)/85*100,0)))</x:f>
        <x:v>64</x:v>
      </x:c>
      <x:c r="AA757" s="9" t="str">
        <x:f>IF(L757="暂不做","P3 暂缓",IF(Z757&gt;=75,"P0 本周做",IF(Z757&gt;=60,"P1 近期做",IF(Z757&gt;=45,"P2 备选","P3 暂缓"))))</x:f>
        <x:v>P1 近期做</x:v>
      </x:c>
      <x:c r="AB757" s="9" t="str">
        <x:f>IF(Y757&gt;=15,"先做合规/相关性复核，不建议直接商业导流",IF(L757="主站","建/优化主站商业页",IF(L757="博客A-知识教程","写知识教程/FAQ文章",IF(L757="博客B-场景人群","写场景需求/选购指南文章",IF(L757="博客C-对比评测","写对比评测/榜单文章","暂不做或人工复核")))))</x:f>
        <x:v>建/优化主站商业页</x:v>
      </x:c>
      <x:c r="AC757" s="9" t="str">
        <x:v>best tobacco vape juice</x:v>
      </x:c>
      <x:c r="AD757" s="10" t="str">
        <x:v>48</x:v>
      </x:c>
    </x:row>
    <x:row r="758">
      <x:c r="A758" s="34" t="n">
        <x:v>758</x:v>
      </x:c>
      <x:c r="B758" s="9" t="str">
        <x:v>48</x:v>
      </x:c>
      <x:c r="C758" s="9" t="str">
        <x:v>e liquid vape juice</x:v>
      </x:c>
      <x:c r="D758" s="9" t="str">
        <x:v>recommended</x:v>
      </x:c>
      <x:c r="E758" s="36" t="n">
        <x:v>170</x:v>
      </x:c>
      <x:c r="F758" s="36" t="n">
        <x:v>52</x:v>
      </x:c>
      <x:c r="G758" s="9" t="str">
        <x:v>commercial</x:v>
      </x:c>
      <x:c r="H758" s="9" t="str">
        <x:v>General Vape</x:v>
      </x:c>
      <x:c r="I758" s="9" t="str">
        <x:v>品类承接词</x:v>
      </x:c>
      <x:c r="J758" s="9" t="str">
        <x:v>主站</x:v>
      </x:c>
      <x:c r="K758" s="9" t="str"/>
      <x:c r="L758" s="9" t="str">
        <x:f>IF(K758="",J758,K758)</x:f>
        <x:v>主站</x:v>
      </x:c>
      <x:c r="M758" s="9" t="str">
        <x:v>品类页/集合页 + FAQ内容块</x:v>
      </x:c>
      <x:c r="N758" s="9" t="str">
        <x:v>主站品类页：用产品集合 + 选购说明承接</x:v>
      </x:c>
      <x:c r="O758" s="9" t="str">
        <x:v>/collections/disposable-vapes</x:v>
      </x:c>
      <x:c r="P758" s="9" t="str">
        <x:v>不适用</x:v>
      </x:c>
      <x:c r="Q758" s="9" t="str">
        <x:v>主站页面自身承接</x:v>
      </x:c>
      <x:c r="R758" s="9" t="str">
        <x:v>核心品类词：主站优先，博客只做长尾解释，不直接抢同一词</x:v>
      </x:c>
      <x:c r="S758" s="9" t="str">
        <x:v>如果 Google 首页产品页和指南混合，主站页要加 FAQ、选购指南、对比模块。</x:v>
      </x:c>
      <x:c r="T758" s="38" t="n">
        <x:v>7</x:v>
      </x:c>
      <x:c r="U758" s="38" t="n">
        <x:v>6</x:v>
      </x:c>
      <x:c r="V758" s="38" t="n">
        <x:v>18</x:v>
      </x:c>
      <x:c r="W758" s="38" t="n">
        <x:v>8</x:v>
      </x:c>
      <x:c r="X758" s="38" t="n">
        <x:v>15</x:v>
      </x:c>
      <x:c r="Y758" s="38" t="n">
        <x:v>4</x:v>
      </x:c>
      <x:c r="Z758" s="38" t="n">
        <x:f>MAX(0,MIN(100,ROUND(((T758+U758+V758+W758+X758)-Y758)/85*100,0)))</x:f>
        <x:v>59</x:v>
      </x:c>
      <x:c r="AA758" s="9" t="str">
        <x:f>IF(L758="暂不做","P3 暂缓",IF(Z758&gt;=75,"P0 本周做",IF(Z758&gt;=60,"P1 近期做",IF(Z758&gt;=45,"P2 备选","P3 暂缓"))))</x:f>
        <x:v>P2 备选</x:v>
      </x:c>
      <x:c r="AB758" s="9" t="str">
        <x:f>IF(Y758&gt;=15,"先做合规/相关性复核，不建议直接商业导流",IF(L758="主站","建/优化主站商业页",IF(L758="博客A-知识教程","写知识教程/FAQ文章",IF(L758="博客B-场景人群","写场景需求/选购指南文章",IF(L758="博客C-对比评测","写对比评测/榜单文章","暂不做或人工复核")))))</x:f>
        <x:v>建/优化主站商业页</x:v>
      </x:c>
      <x:c r="AC758" s="9" t="str">
        <x:v>best tobacco vape juice</x:v>
      </x:c>
      <x:c r="AD758" s="10" t="str">
        <x:v>48</x:v>
      </x:c>
    </x:row>
    <x:row r="759">
      <x:c r="A759" s="34" t="n">
        <x:v>759</x:v>
      </x:c>
      <x:c r="B759" s="9" t="str">
        <x:v>48</x:v>
      </x:c>
      <x:c r="C759" s="9" t="str">
        <x:v>puff disposable</x:v>
      </x:c>
      <x:c r="D759" s="9" t="str">
        <x:v>recommended</x:v>
      </x:c>
      <x:c r="E759" s="36" t="n">
        <x:v>70</x:v>
      </x:c>
      <x:c r="F759" s="36" t="n">
        <x:v>11</x:v>
      </x:c>
      <x:c r="G759" s="9" t="str">
        <x:v>commercial</x:v>
      </x:c>
      <x:c r="H759" s="9" t="str">
        <x:v>Disposable Vape</x:v>
      </x:c>
      <x:c r="I759" s="9" t="str">
        <x:v>品类承接词</x:v>
      </x:c>
      <x:c r="J759" s="9" t="str">
        <x:v>主站</x:v>
      </x:c>
      <x:c r="K759" s="9" t="str"/>
      <x:c r="L759" s="9" t="str">
        <x:f>IF(K759="",J759,K759)</x:f>
        <x:v>主站</x:v>
      </x:c>
      <x:c r="M759" s="9" t="str">
        <x:v>品类页/集合页 + FAQ内容块</x:v>
      </x:c>
      <x:c r="N759" s="9" t="str">
        <x:v>主站品类页：用产品集合 + 选购说明承接</x:v>
      </x:c>
      <x:c r="O759" s="9" t="str">
        <x:v>/collections/disposable-vapes</x:v>
      </x:c>
      <x:c r="P759" s="9" t="str">
        <x:v>不适用</x:v>
      </x:c>
      <x:c r="Q759" s="9" t="str">
        <x:v>主站页面自身承接</x:v>
      </x:c>
      <x:c r="R759" s="9" t="str">
        <x:v>核心品类词：主站优先，博客只做长尾解释，不直接抢同一词</x:v>
      </x:c>
      <x:c r="S759" s="9" t="str">
        <x:v>如果 Google 首页产品页和指南混合，主站页要加 FAQ、选购指南、对比模块。</x:v>
      </x:c>
      <x:c r="T759" s="38" t="n">
        <x:v>4</x:v>
      </x:c>
      <x:c r="U759" s="38" t="n">
        <x:v>15</x:v>
      </x:c>
      <x:c r="V759" s="38" t="n">
        <x:v>18</x:v>
      </x:c>
      <x:c r="W759" s="38" t="n">
        <x:v>8</x:v>
      </x:c>
      <x:c r="X759" s="38" t="n">
        <x:v>15</x:v>
      </x:c>
      <x:c r="Y759" s="38" t="n">
        <x:v>4</x:v>
      </x:c>
      <x:c r="Z759" s="38" t="n">
        <x:f>MAX(0,MIN(100,ROUND(((T759+U759+V759+W759+X759)-Y759)/85*100,0)))</x:f>
        <x:v>66</x:v>
      </x:c>
      <x:c r="AA759" s="9" t="str">
        <x:f>IF(L759="暂不做","P3 暂缓",IF(Z759&gt;=75,"P0 本周做",IF(Z759&gt;=60,"P1 近期做",IF(Z759&gt;=45,"P2 备选","P3 暂缓"))))</x:f>
        <x:v>P1 近期做</x:v>
      </x:c>
      <x:c r="AB759" s="9" t="str">
        <x:f>IF(Y759&gt;=15,"先做合规/相关性复核，不建议直接商业导流",IF(L759="主站","建/优化主站商业页",IF(L759="博客A-知识教程","写知识教程/FAQ文章",IF(L759="博客B-场景人群","写场景需求/选购指南文章",IF(L759="博客C-对比评测","写对比评测/榜单文章","暂不做或人工复核")))))</x:f>
        <x:v>建/优化主站商业页</x:v>
      </x:c>
      <x:c r="AC759" s="9" t="str">
        <x:v>puff disposable</x:v>
      </x:c>
      <x:c r="AD759" s="10" t="str">
        <x:v>48</x:v>
      </x:c>
    </x:row>
    <x:row r="760">
      <x:c r="A760" s="34" t="n">
        <x:v>760</x:v>
      </x:c>
      <x:c r="B760" s="9" t="str">
        <x:v>48</x:v>
      </x:c>
      <x:c r="C760" s="9" t="str">
        <x:v>puff vape pen</x:v>
      </x:c>
      <x:c r="D760" s="9" t="str">
        <x:v>recommended</x:v>
      </x:c>
      <x:c r="E760" s="36" t="n">
        <x:v>40</x:v>
      </x:c>
      <x:c r="F760" s="36" t="n">
        <x:v>30</x:v>
      </x:c>
      <x:c r="G760" s="9" t="str">
        <x:v>informational, transactional</x:v>
      </x:c>
      <x:c r="H760" s="9" t="str">
        <x:v>General Vape</x:v>
      </x:c>
      <x:c r="I760" s="9" t="str">
        <x:v>交易词</x:v>
      </x:c>
      <x:c r="J760" s="9" t="str">
        <x:v>主站</x:v>
      </x:c>
      <x:c r="K760" s="9" t="str"/>
      <x:c r="L760" s="9" t="str">
        <x:f>IF(K760="",J760,K760)</x:f>
        <x:v>主站</x:v>
      </x:c>
      <x:c r="M760" s="9" t="str">
        <x:v>产品集合页/分类页/购买页</x:v>
      </x:c>
      <x:c r="N760" s="9" t="str">
        <x:v>主站商业页：标题围绕购买意图 + 品类 + 关键卖点</x:v>
      </x:c>
      <x:c r="O760" s="9" t="str">
        <x:v>/collections/disposable-vapes</x:v>
      </x:c>
      <x:c r="P760" s="9" t="str">
        <x:v>不适用</x:v>
      </x:c>
      <x:c r="Q760" s="9" t="str">
        <x:v>主站页面自身承接</x:v>
      </x:c>
      <x:c r="R760" s="9" t="str">
        <x:v>商业词：优先给主站，避免博客抢主站排名</x:v>
      </x:c>
      <x:c r="S760" s="9" t="str">
        <x:v>SERP 如为商品列表/品牌站/电商集合页，就建主站页面；若 SERP 全是教程，再拆支持文章。</x:v>
      </x:c>
      <x:c r="T760" s="38" t="n">
        <x:v>4</x:v>
      </x:c>
      <x:c r="U760" s="38" t="n">
        <x:v>12</x:v>
      </x:c>
      <x:c r="V760" s="38" t="n">
        <x:v>20</x:v>
      </x:c>
      <x:c r="W760" s="38" t="n">
        <x:v>7</x:v>
      </x:c>
      <x:c r="X760" s="38" t="n">
        <x:v>15</x:v>
      </x:c>
      <x:c r="Y760" s="38" t="n">
        <x:v>4</x:v>
      </x:c>
      <x:c r="Z760" s="38" t="n">
        <x:f>MAX(0,MIN(100,ROUND(((T760+U760+V760+W760+X760)-Y760)/85*100,0)))</x:f>
        <x:v>64</x:v>
      </x:c>
      <x:c r="AA760" s="9" t="str">
        <x:f>IF(L760="暂不做","P3 暂缓",IF(Z760&gt;=75,"P0 本周做",IF(Z760&gt;=60,"P1 近期做",IF(Z760&gt;=45,"P2 备选","P3 暂缓"))))</x:f>
        <x:v>P1 近期做</x:v>
      </x:c>
      <x:c r="AB760" s="9" t="str">
        <x:f>IF(Y760&gt;=15,"先做合规/相关性复核，不建议直接商业导流",IF(L760="主站","建/优化主站商业页",IF(L760="博客A-知识教程","写知识教程/FAQ文章",IF(L760="博客B-场景人群","写场景需求/选购指南文章",IF(L760="博客C-对比评测","写对比评测/榜单文章","暂不做或人工复核")))))</x:f>
        <x:v>建/优化主站商业页</x:v>
      </x:c>
      <x:c r="AC760" s="9" t="str">
        <x:v>puff disposable</x:v>
      </x:c>
      <x:c r="AD760" s="10" t="str">
        <x:v>48</x:v>
      </x:c>
    </x:row>
    <x:row r="761">
      <x:c r="A761" s="34" t="n">
        <x:v>761</x:v>
      </x:c>
      <x:c r="B761" s="9" t="str">
        <x:v>48</x:v>
      </x:c>
      <x:c r="C761" s="9" t="str">
        <x:v>spaceman vape near me</x:v>
      </x:c>
      <x:c r="D761" s="9" t="str">
        <x:v>recommended</x:v>
      </x:c>
      <x:c r="E761" s="36" t="n">
        <x:v>70</x:v>
      </x:c>
      <x:c r="F761" s="36" t="n">
        <x:v>4</x:v>
      </x:c>
      <x:c r="G761" s="9" t="str">
        <x:v>transactional</x:v>
      </x:c>
      <x:c r="H761" s="9" t="str">
        <x:v>购买交易</x:v>
      </x:c>
      <x:c r="I761" s="9" t="str">
        <x:v>本地交易词</x:v>
      </x:c>
      <x:c r="J761" s="9" t="str">
        <x:v>暂不做</x:v>
      </x:c>
      <x:c r="K761" s="9" t="str"/>
      <x:c r="L761" s="9" t="str">
        <x:f>IF(K761="",J761,K761)</x:f>
        <x:v>暂不做</x:v>
      </x:c>
      <x:c r="M761" s="9" t="str">
        <x:v>除非有门店页，否则暂不做</x:v>
      </x:c>
      <x:c r="N761" s="9" t="str">
        <x:v>暂不进入博客生产</x:v>
      </x:c>
      <x:c r="O761" s="9" t="str">
        <x:v>门店/经销商页（若有）</x:v>
      </x:c>
      <x:c r="P761" s="9" t="str">
        <x:v>否</x:v>
      </x:c>
      <x:c r="Q761" s="9" t="str">
        <x:v>不导流</x:v>
      </x:c>
      <x:c r="R761" s="9" t="str">
        <x:v>匹配风险：near me 通常需要本地门店/地图结果，独立站难承接</x:v>
      </x:c>
      <x:c r="S761" s="9" t="str">
        <x:v>如果未来有经销商/门店查询页，可改为主站门店页。</x:v>
      </x:c>
      <x:c r="T761" s="38" t="n">
        <x:v>4</x:v>
      </x:c>
      <x:c r="U761" s="38" t="n">
        <x:v>15</x:v>
      </x:c>
      <x:c r="V761" s="38" t="n">
        <x:v>8</x:v>
      </x:c>
      <x:c r="W761" s="38" t="n">
        <x:v>4</x:v>
      </x:c>
      <x:c r="X761" s="38" t="n">
        <x:v>5</x:v>
      </x:c>
      <x:c r="Y761" s="38" t="n">
        <x:v>12</x:v>
      </x:c>
      <x:c r="Z761" s="38" t="n">
        <x:f>MAX(0,MIN(100,ROUND(((T761+U761+V761+W761+X761)-Y761)/85*100,0)))</x:f>
        <x:v>28</x:v>
      </x:c>
      <x:c r="AA761" s="9" t="str">
        <x:f>IF(L761="暂不做","P3 暂缓",IF(Z761&gt;=75,"P0 本周做",IF(Z761&gt;=60,"P1 近期做",IF(Z761&gt;=45,"P2 备选","P3 暂缓"))))</x:f>
        <x:v>P3 暂缓</x:v>
      </x:c>
      <x:c r="AB761" s="9" t="str">
        <x:f>IF(Y761&gt;=15,"先做合规/相关性复核，不建议直接商业导流",IF(L761="主站","建/优化主站商业页",IF(L761="博客A-知识教程","写知识教程/FAQ文章",IF(L761="博客B-场景人群","写场景需求/选购指南文章",IF(L761="博客C-对比评测","写对比评测/榜单文章","暂不做或人工复核")))))</x:f>
        <x:v>暂不做或人工复核</x:v>
      </x:c>
      <x:c r="AC761" s="9" t="str">
        <x:v>puff disposable</x:v>
      </x:c>
      <x:c r="AD761" s="10" t="str">
        <x:v>48</x:v>
      </x:c>
    </x:row>
    <x:row r="762">
      <x:c r="A762" s="34" t="n">
        <x:v>762</x:v>
      </x:c>
      <x:c r="B762" s="9" t="str">
        <x:v>48</x:v>
      </x:c>
      <x:c r="C762" s="9" t="str">
        <x:v>berry menthol vape review</x:v>
      </x:c>
      <x:c r="D762" s="9" t="str">
        <x:v>recommended</x:v>
      </x:c>
      <x:c r="E762" s="36" t="n">
        <x:v>0</x:v>
      </x:c>
      <x:c r="F762" s="36" t="n">
        <x:v>0</x:v>
      </x:c>
      <x:c r="G762" s="9" t="str">
        <x:v>48</x:v>
      </x:c>
      <x:c r="H762" s="9" t="str">
        <x:v>对比评测</x:v>
      </x:c>
      <x:c r="I762" s="9" t="str">
        <x:v>商业调查词</x:v>
      </x:c>
      <x:c r="J762" s="9" t="str">
        <x:v>博客C-对比评测</x:v>
      </x:c>
      <x:c r="K762" s="9" t="str"/>
      <x:c r="L762" s="9" t="str">
        <x:f>IF(K762="",J762,K762)</x:f>
        <x:v>博客C-对比评测</x:v>
      </x:c>
      <x:c r="M762" s="9" t="str">
        <x:v>Best/Top/Review/VS/替代方案文章</x:v>
      </x:c>
      <x:c r="N762" s="9" t="str">
        <x:v>Best angle: berry menthol vape review - comparison, pros/cons, and which option fits different buyers</x:v>
      </x:c>
      <x:c r="O762" s="9" t="str">
        <x:v>/collections/disposable-vapes</x:v>
      </x:c>
      <x:c r="P762" s="9" t="str">
        <x:v>是</x:v>
      </x:c>
      <x:c r="Q762" s="9" t="str">
        <x:v>自然句/品类词/品牌词</x:v>
      </x:c>
      <x:c r="R762" s="9" t="str">
        <x:v>中风险：榜单和评测必须真实、中立，避免夸大</x:v>
      </x:c>
      <x:c r="S762" s="9" t="str">
        <x:v>这类词不直接给主站，先用博客C教育和比较，再导流到最相关集合页。</x:v>
      </x:c>
      <x:c r="T762" s="38" t="n">
        <x:v>1</x:v>
      </x:c>
      <x:c r="U762" s="38" t="n">
        <x:v>15</x:v>
      </x:c>
      <x:c r="V762" s="38" t="n">
        <x:v>16</x:v>
      </x:c>
      <x:c r="W762" s="38" t="n">
        <x:v>15</x:v>
      </x:c>
      <x:c r="X762" s="38" t="n">
        <x:v>13</x:v>
      </x:c>
      <x:c r="Y762" s="38" t="n">
        <x:v>6</x:v>
      </x:c>
      <x:c r="Z762" s="38" t="n">
        <x:f>MAX(0,MIN(100,ROUND(((T762+U762+V762+W762+X762)-Y762)/85*100,0)))</x:f>
        <x:v>64</x:v>
      </x:c>
      <x:c r="AA762" s="9" t="str">
        <x:f>IF(L762="暂不做","P3 暂缓",IF(Z762&gt;=75,"P0 本周做",IF(Z762&gt;=60,"P1 近期做",IF(Z762&gt;=45,"P2 备选","P3 暂缓"))))</x:f>
        <x:v>P1 近期做</x:v>
      </x:c>
      <x:c r="AB762" s="9" t="str">
        <x:f>IF(Y762&gt;=15,"先做合规/相关性复核，不建议直接商业导流",IF(L762="主站","建/优化主站商业页",IF(L762="博客A-知识教程","写知识教程/FAQ文章",IF(L762="博客B-场景人群","写场景需求/选购指南文章",IF(L762="博客C-对比评测","写对比评测/榜单文章","暂不做或人工复核")))))</x:f>
        <x:v>写对比评测/榜单文章</x:v>
      </x:c>
      <x:c r="AC762" s="9" t="str">
        <x:v>berry menthol vape review</x:v>
      </x:c>
      <x:c r="AD762" s="10" t="str">
        <x:v>48</x:v>
      </x:c>
    </x:row>
    <x:row r="763">
      <x:c r="A763" s="34" t="n">
        <x:v>763</x:v>
      </x:c>
      <x:c r="B763" s="9" t="str">
        <x:v>48</x:v>
      </x:c>
      <x:c r="C763" s="9" t="str">
        <x:v>berry vape flavor review</x:v>
      </x:c>
      <x:c r="D763" s="9" t="str">
        <x:v>recommended</x:v>
      </x:c>
      <x:c r="E763" s="36" t="n">
        <x:v>0</x:v>
      </x:c>
      <x:c r="F763" s="36" t="n">
        <x:v>0</x:v>
      </x:c>
      <x:c r="G763" s="9" t="str">
        <x:v>48</x:v>
      </x:c>
      <x:c r="H763" s="9" t="str">
        <x:v>Flavor / 口味</x:v>
      </x:c>
      <x:c r="I763" s="9" t="str">
        <x:v>商业调查词</x:v>
      </x:c>
      <x:c r="J763" s="9" t="str">
        <x:v>博客C-对比评测</x:v>
      </x:c>
      <x:c r="K763" s="9" t="str"/>
      <x:c r="L763" s="9" t="str">
        <x:f>IF(K763="",J763,K763)</x:f>
        <x:v>博客C-对比评测</x:v>
      </x:c>
      <x:c r="M763" s="9" t="str">
        <x:v>Best/Top/Review/VS/替代方案文章</x:v>
      </x:c>
      <x:c r="N763" s="9" t="str">
        <x:v>Best angle: berry vape flavor review - comparison, pros/cons, and which option fits different buyers</x:v>
      </x:c>
      <x:c r="O763" s="9" t="str">
        <x:v>/collections/flavored-disposable-vapes</x:v>
      </x:c>
      <x:c r="P763" s="9" t="str">
        <x:v>是</x:v>
      </x:c>
      <x:c r="Q763" s="9" t="str">
        <x:v>自然句/品类词/品牌词</x:v>
      </x:c>
      <x:c r="R763" s="9" t="str">
        <x:v>中风险：榜单和评测必须真实、中立，避免夸大</x:v>
      </x:c>
      <x:c r="S763" s="9" t="str">
        <x:v>这类词不直接给主站，先用博客C教育和比较，再导流到最相关集合页。</x:v>
      </x:c>
      <x:c r="T763" s="38" t="n">
        <x:v>1</x:v>
      </x:c>
      <x:c r="U763" s="38" t="n">
        <x:v>15</x:v>
      </x:c>
      <x:c r="V763" s="38" t="n">
        <x:v>16</x:v>
      </x:c>
      <x:c r="W763" s="38" t="n">
        <x:v>15</x:v>
      </x:c>
      <x:c r="X763" s="38" t="n">
        <x:v>13</x:v>
      </x:c>
      <x:c r="Y763" s="38" t="n">
        <x:v>6</x:v>
      </x:c>
      <x:c r="Z763" s="38" t="n">
        <x:f>MAX(0,MIN(100,ROUND(((T763+U763+V763+W763+X763)-Y763)/85*100,0)))</x:f>
        <x:v>64</x:v>
      </x:c>
      <x:c r="AA763" s="9" t="str">
        <x:f>IF(L763="暂不做","P3 暂缓",IF(Z763&gt;=75,"P0 本周做",IF(Z763&gt;=60,"P1 近期做",IF(Z763&gt;=45,"P2 备选","P3 暂缓"))))</x:f>
        <x:v>P1 近期做</x:v>
      </x:c>
      <x:c r="AB763" s="9" t="str">
        <x:f>IF(Y763&gt;=15,"先做合规/相关性复核，不建议直接商业导流",IF(L763="主站","建/优化主站商业页",IF(L763="博客A-知识教程","写知识教程/FAQ文章",IF(L763="博客B-场景人群","写场景需求/选购指南文章",IF(L763="博客C-对比评测","写对比评测/榜单文章","暂不做或人工复核")))))</x:f>
        <x:v>写对比评测/榜单文章</x:v>
      </x:c>
      <x:c r="AC763" s="9" t="str">
        <x:v>berry menthol vape review</x:v>
      </x:c>
      <x:c r="AD763" s="10" t="str">
        <x:v>48</x:v>
      </x:c>
    </x:row>
    <x:row r="764">
      <x:c r="A764" s="34" t="n">
        <x:v>764</x:v>
      </x:c>
      <x:c r="B764" s="9" t="str">
        <x:v>48</x:v>
      </x:c>
      <x:c r="C764" s="9" t="str">
        <x:v>exdivo kuz 25k strawberry watermelon review</x:v>
      </x:c>
      <x:c r="D764" s="9" t="str">
        <x:v>recommended</x:v>
      </x:c>
      <x:c r="E764" s="36" t="n">
        <x:v>0</x:v>
      </x:c>
      <x:c r="F764" s="36" t="n">
        <x:v>0</x:v>
      </x:c>
      <x:c r="G764" s="9" t="str">
        <x:v>48</x:v>
      </x:c>
      <x:c r="H764" s="9" t="str">
        <x:v>对比评测</x:v>
      </x:c>
      <x:c r="I764" s="9" t="str">
        <x:v>商业调查词</x:v>
      </x:c>
      <x:c r="J764" s="9" t="str">
        <x:v>博客C-对比评测</x:v>
      </x:c>
      <x:c r="K764" s="9" t="str"/>
      <x:c r="L764" s="9" t="str">
        <x:f>IF(K764="",J764,K764)</x:f>
        <x:v>博客C-对比评测</x:v>
      </x:c>
      <x:c r="M764" s="9" t="str">
        <x:v>Best/Top/Review/VS/替代方案文章</x:v>
      </x:c>
      <x:c r="N764" s="9" t="str">
        <x:v>Best angle: exdivo kuz 25k strawberry watermelon review - comparison, pros/cons, and which option fits different buyers</x:v>
      </x:c>
      <x:c r="O764" s="9" t="str">
        <x:v>/collections/disposable-vapes</x:v>
      </x:c>
      <x:c r="P764" s="9" t="str">
        <x:v>是</x:v>
      </x:c>
      <x:c r="Q764" s="9" t="str">
        <x:v>自然句/品类词/品牌词</x:v>
      </x:c>
      <x:c r="R764" s="9" t="str">
        <x:v>中风险：榜单和评测必须真实、中立，避免夸大</x:v>
      </x:c>
      <x:c r="S764" s="9" t="str">
        <x:v>这类词不直接给主站，先用博客C教育和比较，再导流到最相关集合页。</x:v>
      </x:c>
      <x:c r="T764" s="38" t="n">
        <x:v>1</x:v>
      </x:c>
      <x:c r="U764" s="38" t="n">
        <x:v>15</x:v>
      </x:c>
      <x:c r="V764" s="38" t="n">
        <x:v>16</x:v>
      </x:c>
      <x:c r="W764" s="38" t="n">
        <x:v>15</x:v>
      </x:c>
      <x:c r="X764" s="38" t="n">
        <x:v>13</x:v>
      </x:c>
      <x:c r="Y764" s="38" t="n">
        <x:v>6</x:v>
      </x:c>
      <x:c r="Z764" s="38" t="n">
        <x:f>MAX(0,MIN(100,ROUND(((T764+U764+V764+W764+X764)-Y764)/85*100,0)))</x:f>
        <x:v>64</x:v>
      </x:c>
      <x:c r="AA764" s="9" t="str">
        <x:f>IF(L764="暂不做","P3 暂缓",IF(Z764&gt;=75,"P0 本周做",IF(Z764&gt;=60,"P1 近期做",IF(Z764&gt;=45,"P2 备选","P3 暂缓"))))</x:f>
        <x:v>P1 近期做</x:v>
      </x:c>
      <x:c r="AB764" s="9" t="str">
        <x:f>IF(Y764&gt;=15,"先做合规/相关性复核，不建议直接商业导流",IF(L764="主站","建/优化主站商业页",IF(L764="博客A-知识教程","写知识教程/FAQ文章",IF(L764="博客B-场景人群","写场景需求/选购指南文章",IF(L764="博客C-对比评测","写对比评测/榜单文章","暂不做或人工复核")))))</x:f>
        <x:v>写对比评测/榜单文章</x:v>
      </x:c>
      <x:c r="AC764" s="9" t="str">
        <x:v>exdivo flora 40k watermelon ice review</x:v>
      </x:c>
      <x:c r="AD764" s="10" t="str">
        <x:v>48</x:v>
      </x:c>
    </x:row>
    <x:row r="765">
      <x:c r="A765" s="34" t="n">
        <x:v>765</x:v>
      </x:c>
      <x:c r="B765" s="9" t="str">
        <x:v>48</x:v>
      </x:c>
      <x:c r="C765" s="9" t="str">
        <x:v>exdivo flora 40k watermelon ice review</x:v>
      </x:c>
      <x:c r="D765" s="9" t="str">
        <x:v>recommended</x:v>
      </x:c>
      <x:c r="E765" s="36" t="n">
        <x:v>0</x:v>
      </x:c>
      <x:c r="F765" s="36" t="n">
        <x:v>0</x:v>
      </x:c>
      <x:c r="G765" s="9" t="str">
        <x:v>48</x:v>
      </x:c>
      <x:c r="H765" s="9" t="str">
        <x:v>对比评测</x:v>
      </x:c>
      <x:c r="I765" s="9" t="str">
        <x:v>商业调查词</x:v>
      </x:c>
      <x:c r="J765" s="9" t="str">
        <x:v>博客C-对比评测</x:v>
      </x:c>
      <x:c r="K765" s="9" t="str"/>
      <x:c r="L765" s="9" t="str">
        <x:f>IF(K765="",J765,K765)</x:f>
        <x:v>博客C-对比评测</x:v>
      </x:c>
      <x:c r="M765" s="9" t="str">
        <x:v>Best/Top/Review/VS/替代方案文章</x:v>
      </x:c>
      <x:c r="N765" s="9" t="str">
        <x:v>Best angle: exdivo flora 40k watermelon ice review - comparison, pros/cons, and which option fits different buyers</x:v>
      </x:c>
      <x:c r="O765" s="9" t="str">
        <x:v>/collections/disposable-vapes</x:v>
      </x:c>
      <x:c r="P765" s="9" t="str">
        <x:v>是</x:v>
      </x:c>
      <x:c r="Q765" s="9" t="str">
        <x:v>自然句/品类词/品牌词</x:v>
      </x:c>
      <x:c r="R765" s="9" t="str">
        <x:v>中风险：榜单和评测必须真实、中立，避免夸大</x:v>
      </x:c>
      <x:c r="S765" s="9" t="str">
        <x:v>这类词不直接给主站，先用博客C教育和比较，再导流到最相关集合页。</x:v>
      </x:c>
      <x:c r="T765" s="38" t="n">
        <x:v>1</x:v>
      </x:c>
      <x:c r="U765" s="38" t="n">
        <x:v>15</x:v>
      </x:c>
      <x:c r="V765" s="38" t="n">
        <x:v>16</x:v>
      </x:c>
      <x:c r="W765" s="38" t="n">
        <x:v>15</x:v>
      </x:c>
      <x:c r="X765" s="38" t="n">
        <x:v>13</x:v>
      </x:c>
      <x:c r="Y765" s="38" t="n">
        <x:v>6</x:v>
      </x:c>
      <x:c r="Z765" s="38" t="n">
        <x:f>MAX(0,MIN(100,ROUND(((T765+U765+V765+W765+X765)-Y765)/85*100,0)))</x:f>
        <x:v>64</x:v>
      </x:c>
      <x:c r="AA765" s="9" t="str">
        <x:f>IF(L765="暂不做","P3 暂缓",IF(Z765&gt;=75,"P0 本周做",IF(Z765&gt;=60,"P1 近期做",IF(Z765&gt;=45,"P2 备选","P3 暂缓"))))</x:f>
        <x:v>P1 近期做</x:v>
      </x:c>
      <x:c r="AB765" s="9" t="str">
        <x:f>IF(Y765&gt;=15,"先做合规/相关性复核，不建议直接商业导流",IF(L765="主站","建/优化主站商业页",IF(L765="博客A-知识教程","写知识教程/FAQ文章",IF(L765="博客B-场景人群","写场景需求/选购指南文章",IF(L765="博客C-对比评测","写对比评测/榜单文章","暂不做或人工复核")))))</x:f>
        <x:v>写对比评测/榜单文章</x:v>
      </x:c>
      <x:c r="AC765" s="9" t="str">
        <x:v>exdivo flora 40k watermelon ice review</x:v>
      </x:c>
      <x:c r="AD765" s="10" t="str">
        <x:v>48</x:v>
      </x:c>
    </x:row>
    <x:row r="766">
      <x:c r="A766" s="34" t="n">
        <x:v>766</x:v>
      </x:c>
      <x:c r="B766" s="9" t="str">
        <x:v>48</x:v>
      </x:c>
      <x:c r="C766" s="9" t="str">
        <x:v>exdivo kuz flavor reviews</x:v>
      </x:c>
      <x:c r="D766" s="9" t="str">
        <x:v>recommended</x:v>
      </x:c>
      <x:c r="E766" s="36" t="n">
        <x:v>0</x:v>
      </x:c>
      <x:c r="F766" s="36" t="n">
        <x:v>0</x:v>
      </x:c>
      <x:c r="G766" s="9" t="str">
        <x:v>48</x:v>
      </x:c>
      <x:c r="H766" s="9" t="str">
        <x:v>Flavor / 口味</x:v>
      </x:c>
      <x:c r="I766" s="9" t="str">
        <x:v>商业调查词</x:v>
      </x:c>
      <x:c r="J766" s="9" t="str">
        <x:v>博客C-对比评测</x:v>
      </x:c>
      <x:c r="K766" s="9" t="str"/>
      <x:c r="L766" s="9" t="str">
        <x:f>IF(K766="",J766,K766)</x:f>
        <x:v>博客C-对比评测</x:v>
      </x:c>
      <x:c r="M766" s="9" t="str">
        <x:v>Best/Top/Review/VS/替代方案文章</x:v>
      </x:c>
      <x:c r="N766" s="9" t="str">
        <x:v>Best angle: exdivo kuz flavor reviews - comparison, pros/cons, and which option fits different buyers</x:v>
      </x:c>
      <x:c r="O766" s="9" t="str">
        <x:v>/collections/flavored-disposable-vapes</x:v>
      </x:c>
      <x:c r="P766" s="9" t="str">
        <x:v>是</x:v>
      </x:c>
      <x:c r="Q766" s="9" t="str">
        <x:v>自然句/品类词/品牌词</x:v>
      </x:c>
      <x:c r="R766" s="9" t="str">
        <x:v>中风险：榜单和评测必须真实、中立，避免夸大</x:v>
      </x:c>
      <x:c r="S766" s="9" t="str">
        <x:v>这类词不直接给主站，先用博客C教育和比较，再导流到最相关集合页。</x:v>
      </x:c>
      <x:c r="T766" s="38" t="n">
        <x:v>1</x:v>
      </x:c>
      <x:c r="U766" s="38" t="n">
        <x:v>15</x:v>
      </x:c>
      <x:c r="V766" s="38" t="n">
        <x:v>16</x:v>
      </x:c>
      <x:c r="W766" s="38" t="n">
        <x:v>15</x:v>
      </x:c>
      <x:c r="X766" s="38" t="n">
        <x:v>13</x:v>
      </x:c>
      <x:c r="Y766" s="38" t="n">
        <x:v>6</x:v>
      </x:c>
      <x:c r="Z766" s="38" t="n">
        <x:f>MAX(0,MIN(100,ROUND(((T766+U766+V766+W766+X766)-Y766)/85*100,0)))</x:f>
        <x:v>64</x:v>
      </x:c>
      <x:c r="AA766" s="9" t="str">
        <x:f>IF(L766="暂不做","P3 暂缓",IF(Z766&gt;=75,"P0 本周做",IF(Z766&gt;=60,"P1 近期做",IF(Z766&gt;=45,"P2 备选","P3 暂缓"))))</x:f>
        <x:v>P1 近期做</x:v>
      </x:c>
      <x:c r="AB766" s="9" t="str">
        <x:f>IF(Y766&gt;=15,"先做合规/相关性复核，不建议直接商业导流",IF(L766="主站","建/优化主站商业页",IF(L766="博客A-知识教程","写知识教程/FAQ文章",IF(L766="博客B-场景人群","写场景需求/选购指南文章",IF(L766="博客C-对比评测","写对比评测/榜单文章","暂不做或人工复核")))))</x:f>
        <x:v>写对比评测/榜单文章</x:v>
      </x:c>
      <x:c r="AC766" s="9" t="str">
        <x:v>exdivo flora 40k watermelon ice review</x:v>
      </x:c>
      <x:c r="AD766" s="10" t="str">
        <x:v>48</x:v>
      </x:c>
    </x:row>
    <x:row r="767">
      <x:c r="A767" s="34" t="n">
        <x:v>767</x:v>
      </x:c>
      <x:c r="B767" s="9" t="str">
        <x:v>48</x:v>
      </x:c>
      <x:c r="C767" s="9" t="str">
        <x:v>exdivo kuz lemon lime</x:v>
      </x:c>
      <x:c r="D767" s="9" t="str">
        <x:v>recommended</x:v>
      </x:c>
      <x:c r="E767" s="36" t="n">
        <x:v>0</x:v>
      </x:c>
      <x:c r="F767" s="36" t="n">
        <x:v>0</x:v>
      </x:c>
      <x:c r="G767" s="9" t="str">
        <x:v>48</x:v>
      </x:c>
      <x:c r="H767" s="9" t="str">
        <x:v>General Vape</x:v>
      </x:c>
      <x:c r="I767" s="9" t="str">
        <x:v>弱相关词</x:v>
      </x:c>
      <x:c r="J767" s="9" t="str">
        <x:v>暂不做</x:v>
      </x:c>
      <x:c r="K767" s="9" t="str"/>
      <x:c r="L767" s="9" t="str">
        <x:f>IF(K767="",J767,K767)</x:f>
        <x:v>暂不做</x:v>
      </x:c>
      <x:c r="M767" s="9" t="str">
        <x:v>不建议建页</x:v>
      </x:c>
      <x:c r="N767" s="9" t="str">
        <x:v>不进入内容生产</x:v>
      </x:c>
      <x:c r="O767" s="9" t="str">
        <x:v>无</x:v>
      </x:c>
      <x:c r="P767" s="9" t="str">
        <x:v>否</x:v>
      </x:c>
      <x:c r="Q767" s="9" t="str">
        <x:v>不导流</x:v>
      </x:c>
      <x:c r="R767" s="9" t="str">
        <x:v>相关性弱：可能带来无效流量或偏离产品定位</x:v>
      </x:c>
      <x:c r="S767" s="9" t="str">
        <x:v>除非人工确认与核心产品强相关，否则不要进入内容排期。</x:v>
      </x:c>
      <x:c r="T767" s="38" t="n">
        <x:v>1</x:v>
      </x:c>
      <x:c r="U767" s="38" t="n">
        <x:v>15</x:v>
      </x:c>
      <x:c r="V767" s="38" t="n">
        <x:v>2</x:v>
      </x:c>
      <x:c r="W767" s="38" t="n">
        <x:v>3</x:v>
      </x:c>
      <x:c r="X767" s="38" t="n">
        <x:v>2</x:v>
      </x:c>
      <x:c r="Y767" s="38" t="n">
        <x:v>16</x:v>
      </x:c>
      <x:c r="Z767" s="38" t="n">
        <x:f>MAX(0,MIN(100,ROUND(((T767+U767+V767+W767+X767)-Y767)/85*100,0)))</x:f>
        <x:v>8</x:v>
      </x:c>
      <x:c r="AA767" s="9" t="str">
        <x:f>IF(L767="暂不做","P3 暂缓",IF(Z767&gt;=75,"P0 本周做",IF(Z767&gt;=60,"P1 近期做",IF(Z767&gt;=45,"P2 备选","P3 暂缓"))))</x:f>
        <x:v>P3 暂缓</x:v>
      </x:c>
      <x:c r="AB767" s="9" t="str">
        <x:f>IF(Y767&gt;=15,"先做合规/相关性复核，不建议直接商业导流",IF(L767="主站","建/优化主站商业页",IF(L767="博客A-知识教程","写知识教程/FAQ文章",IF(L767="博客B-场景人群","写场景需求/选购指南文章",IF(L767="博客C-对比评测","写对比评测/榜单文章","暂不做或人工复核")))))</x:f>
        <x:v>先做合规/相关性复核，不建议直接商业导流</x:v>
      </x:c>
      <x:c r="AC767" s="9" t="str">
        <x:v>exdivo flora 40k watermelon ice review</x:v>
      </x:c>
      <x:c r="AD767" s="10" t="str">
        <x:v>48</x:v>
      </x:c>
    </x:row>
    <x:row r="768">
      <x:c r="A768" s="34" t="n">
        <x:v>768</x:v>
      </x:c>
      <x:c r="B768" s="9" t="str">
        <x:v>48</x:v>
      </x:c>
      <x:c r="C768" s="9" t="str">
        <x:v>exdivo flora flavor review</x:v>
      </x:c>
      <x:c r="D768" s="9" t="str">
        <x:v>recommended</x:v>
      </x:c>
      <x:c r="E768" s="36" t="n">
        <x:v>0</x:v>
      </x:c>
      <x:c r="F768" s="36" t="n">
        <x:v>0</x:v>
      </x:c>
      <x:c r="G768" s="9" t="str">
        <x:v>48</x:v>
      </x:c>
      <x:c r="H768" s="9" t="str">
        <x:v>Flavor / 口味</x:v>
      </x:c>
      <x:c r="I768" s="9" t="str">
        <x:v>商业调查词</x:v>
      </x:c>
      <x:c r="J768" s="9" t="str">
        <x:v>博客C-对比评测</x:v>
      </x:c>
      <x:c r="K768" s="9" t="str"/>
      <x:c r="L768" s="9" t="str">
        <x:f>IF(K768="",J768,K768)</x:f>
        <x:v>博客C-对比评测</x:v>
      </x:c>
      <x:c r="M768" s="9" t="str">
        <x:v>Best/Top/Review/VS/替代方案文章</x:v>
      </x:c>
      <x:c r="N768" s="9" t="str">
        <x:v>Best angle: exdivo flora flavor review - comparison, pros/cons, and which option fits different buyers</x:v>
      </x:c>
      <x:c r="O768" s="9" t="str">
        <x:v>/collections/flavored-disposable-vapes</x:v>
      </x:c>
      <x:c r="P768" s="9" t="str">
        <x:v>是</x:v>
      </x:c>
      <x:c r="Q768" s="9" t="str">
        <x:v>自然句/品类词/品牌词</x:v>
      </x:c>
      <x:c r="R768" s="9" t="str">
        <x:v>中风险：榜单和评测必须真实、中立，避免夸大</x:v>
      </x:c>
      <x:c r="S768" s="9" t="str">
        <x:v>这类词不直接给主站，先用博客C教育和比较，再导流到最相关集合页。</x:v>
      </x:c>
      <x:c r="T768" s="38" t="n">
        <x:v>1</x:v>
      </x:c>
      <x:c r="U768" s="38" t="n">
        <x:v>15</x:v>
      </x:c>
      <x:c r="V768" s="38" t="n">
        <x:v>16</x:v>
      </x:c>
      <x:c r="W768" s="38" t="n">
        <x:v>15</x:v>
      </x:c>
      <x:c r="X768" s="38" t="n">
        <x:v>13</x:v>
      </x:c>
      <x:c r="Y768" s="38" t="n">
        <x:v>6</x:v>
      </x:c>
      <x:c r="Z768" s="38" t="n">
        <x:f>MAX(0,MIN(100,ROUND(((T768+U768+V768+W768+X768)-Y768)/85*100,0)))</x:f>
        <x:v>64</x:v>
      </x:c>
      <x:c r="AA768" s="9" t="str">
        <x:f>IF(L768="暂不做","P3 暂缓",IF(Z768&gt;=75,"P0 本周做",IF(Z768&gt;=60,"P1 近期做",IF(Z768&gt;=45,"P2 备选","P3 暂缓"))))</x:f>
        <x:v>P1 近期做</x:v>
      </x:c>
      <x:c r="AB768" s="9" t="str">
        <x:f>IF(Y768&gt;=15,"先做合规/相关性复核，不建议直接商业导流",IF(L768="主站","建/优化主站商业页",IF(L768="博客A-知识教程","写知识教程/FAQ文章",IF(L768="博客B-场景人群","写场景需求/选购指南文章",IF(L768="博客C-对比评测","写对比评测/榜单文章","暂不做或人工复核")))))</x:f>
        <x:v>写对比评测/榜单文章</x:v>
      </x:c>
      <x:c r="AC768" s="9" t="str">
        <x:v>exdivo flora 40k watermelon ice review</x:v>
      </x:c>
      <x:c r="AD768" s="10" t="str">
        <x:v>48</x:v>
      </x:c>
    </x:row>
    <x:row r="769">
      <x:c r="A769" s="34" t="n">
        <x:v>769</x:v>
      </x:c>
      <x:c r="B769" s="9" t="str">
        <x:v>48</x:v>
      </x:c>
      <x:c r="C769" s="9" t="str">
        <x:v>how much are vapes</x:v>
      </x:c>
      <x:c r="D769" s="9" t="str">
        <x:v>recommended</x:v>
      </x:c>
      <x:c r="E769" s="36" t="n">
        <x:v>1600</x:v>
      </x:c>
      <x:c r="F769" s="36" t="n">
        <x:v>19</x:v>
      </x:c>
      <x:c r="G769" s="9" t="str">
        <x:v>informational</x:v>
      </x:c>
      <x:c r="H769" s="9" t="str">
        <x:v>知识教程</x:v>
      </x:c>
      <x:c r="I769" s="9" t="str">
        <x:v>知识/教程词</x:v>
      </x:c>
      <x:c r="J769" s="9" t="str">
        <x:v>博客A-知识教程</x:v>
      </x:c>
      <x:c r="K769" s="9" t="str"/>
      <x:c r="L769" s="9" t="str">
        <x:f>IF(K769="",J769,K769)</x:f>
        <x:v>博客A-知识教程</x:v>
      </x:c>
      <x:c r="M769" s="9" t="str">
        <x:v>百科/How-to/FAQ文章</x:v>
      </x:c>
      <x:c r="N769" s="9" t="str">
        <x:v>Guide angle: explain how much are vapes, answer common questions, and avoid sales-first writing</x:v>
      </x:c>
      <x:c r="O769" s="9" t="str">
        <x:v>/collections/disposable-vapes</x:v>
      </x:c>
      <x:c r="P769" s="9" t="str">
        <x:v>谨慎</x:v>
      </x:c>
      <x:c r="Q769" s="9" t="str">
        <x:v>自然句/品牌词</x:v>
      </x:c>
      <x:c r="R769" s="9" t="str">
        <x:v>低中风险：先满足信息意图，导流要克制</x:v>
      </x:c>
      <x:c r="S769" s="9" t="str">
        <x:v>如果文章能自然回答下一步购买问题，再放 1 个主站内链；否则只做知识闭环。</x:v>
      </x:c>
      <x:c r="T769" s="38" t="n">
        <x:v>13</x:v>
      </x:c>
      <x:c r="U769" s="38" t="n">
        <x:v>12</x:v>
      </x:c>
      <x:c r="V769" s="38" t="n">
        <x:v>9</x:v>
      </x:c>
      <x:c r="W769" s="38" t="n">
        <x:v>14</x:v>
      </x:c>
      <x:c r="X769" s="38" t="n">
        <x:v>12</x:v>
      </x:c>
      <x:c r="Y769" s="38" t="n">
        <x:v>5</x:v>
      </x:c>
      <x:c r="Z769" s="38" t="n">
        <x:f>MAX(0,MIN(100,ROUND(((T769+U769+V769+W769+X769)-Y769)/85*100,0)))</x:f>
        <x:v>65</x:v>
      </x:c>
      <x:c r="AA769" s="9" t="str">
        <x:f>IF(L769="暂不做","P3 暂缓",IF(Z769&gt;=75,"P0 本周做",IF(Z769&gt;=60,"P1 近期做",IF(Z769&gt;=45,"P2 备选","P3 暂缓"))))</x:f>
        <x:v>P1 近期做</x:v>
      </x:c>
      <x:c r="AB769" s="9" t="str">
        <x:f>IF(Y769&gt;=15,"先做合规/相关性复核，不建议直接商业导流",IF(L769="主站","建/优化主站商业页",IF(L769="博客A-知识教程","写知识教程/FAQ文章",IF(L769="博客B-场景人群","写场景需求/选购指南文章",IF(L769="博客C-对比评测","写对比评测/榜单文章","暂不做或人工复核")))))</x:f>
        <x:v>写知识教程/FAQ文章</x:v>
      </x:c>
      <x:c r="AC769" s="9" t="str">
        <x:v>tobacco vape</x:v>
      </x:c>
      <x:c r="AD769" s="10" t="str">
        <x:v>48</x:v>
      </x:c>
    </x:row>
    <x:row r="770">
      <x:c r="A770" s="34" t="n">
        <x:v>770</x:v>
      </x:c>
      <x:c r="B770" s="9" t="str">
        <x:v>48</x:v>
      </x:c>
      <x:c r="C770" s="9" t="str">
        <x:v>what is the best vape brand</x:v>
      </x:c>
      <x:c r="D770" s="9" t="str">
        <x:v>recommended</x:v>
      </x:c>
      <x:c r="E770" s="36" t="n">
        <x:v>170</x:v>
      </x:c>
      <x:c r="F770" s="36" t="n">
        <x:v>15</x:v>
      </x:c>
      <x:c r="G770" s="9" t="str">
        <x:v>commercial</x:v>
      </x:c>
      <x:c r="H770" s="9" t="str">
        <x:v>对比评测</x:v>
      </x:c>
      <x:c r="I770" s="9" t="str">
        <x:v>商业调查词</x:v>
      </x:c>
      <x:c r="J770" s="9" t="str">
        <x:v>博客C-对比评测</x:v>
      </x:c>
      <x:c r="K770" s="9" t="str"/>
      <x:c r="L770" s="9" t="str">
        <x:f>IF(K770="",J770,K770)</x:f>
        <x:v>博客C-对比评测</x:v>
      </x:c>
      <x:c r="M770" s="9" t="str">
        <x:v>Best/Top/Review/VS/替代方案文章</x:v>
      </x:c>
      <x:c r="N770" s="9" t="str">
        <x:v>Best angle: what is the best vape brand - comparison, pros/cons, and which option fits different buyers</x:v>
      </x:c>
      <x:c r="O770" s="9" t="str">
        <x:v>/collections/disposable-vapes</x:v>
      </x:c>
      <x:c r="P770" s="9" t="str">
        <x:v>是</x:v>
      </x:c>
      <x:c r="Q770" s="9" t="str">
        <x:v>自然句/品类词/品牌词</x:v>
      </x:c>
      <x:c r="R770" s="9" t="str">
        <x:v>中风险：榜单和评测必须真实、中立，避免夸大</x:v>
      </x:c>
      <x:c r="S770" s="9" t="str">
        <x:v>这类词不直接给主站，先用博客C教育和比较，再导流到最相关集合页。</x:v>
      </x:c>
      <x:c r="T770" s="38" t="n">
        <x:v>7</x:v>
      </x:c>
      <x:c r="U770" s="38" t="n">
        <x:v>15</x:v>
      </x:c>
      <x:c r="V770" s="38" t="n">
        <x:v>16</x:v>
      </x:c>
      <x:c r="W770" s="38" t="n">
        <x:v>15</x:v>
      </x:c>
      <x:c r="X770" s="38" t="n">
        <x:v>13</x:v>
      </x:c>
      <x:c r="Y770" s="38" t="n">
        <x:v>6</x:v>
      </x:c>
      <x:c r="Z770" s="38" t="n">
        <x:f>MAX(0,MIN(100,ROUND(((T770+U770+V770+W770+X770)-Y770)/85*100,0)))</x:f>
        <x:v>71</x:v>
      </x:c>
      <x:c r="AA770" s="9" t="str">
        <x:f>IF(L770="暂不做","P3 暂缓",IF(Z770&gt;=75,"P0 本周做",IF(Z770&gt;=60,"P1 近期做",IF(Z770&gt;=45,"P2 备选","P3 暂缓"))))</x:f>
        <x:v>P1 近期做</x:v>
      </x:c>
      <x:c r="AB770" s="9" t="str">
        <x:f>IF(Y770&gt;=15,"先做合规/相关性复核，不建议直接商业导流",IF(L770="主站","建/优化主站商业页",IF(L770="博客A-知识教程","写知识教程/FAQ文章",IF(L770="博客B-场景人群","写场景需求/选购指南文章",IF(L770="博客C-对比评测","写对比评测/榜单文章","暂不做或人工复核")))))</x:f>
        <x:v>写对比评测/榜单文章</x:v>
      </x:c>
      <x:c r="AC770" s="9" t="str">
        <x:v>tobacco vape</x:v>
      </x:c>
      <x:c r="AD770" s="10" t="str">
        <x:v>48</x:v>
      </x:c>
    </x:row>
    <x:row r="771">
      <x:c r="A771" s="34" t="n">
        <x:v>771</x:v>
      </x:c>
      <x:c r="B771" s="9" t="str">
        <x:v>48</x:v>
      </x:c>
      <x:c r="C771" s="9" t="str">
        <x:v>how much does a disposable vape cost</x:v>
      </x:c>
      <x:c r="D771" s="9" t="str">
        <x:v>recommended</x:v>
      </x:c>
      <x:c r="E771" s="36" t="n">
        <x:v>70</x:v>
      </x:c>
      <x:c r="F771" s="36" t="n">
        <x:v>15</x:v>
      </x:c>
      <x:c r="G771" s="9" t="str">
        <x:v>informational</x:v>
      </x:c>
      <x:c r="H771" s="9" t="str">
        <x:v>Disposable Vape</x:v>
      </x:c>
      <x:c r="I771" s="9" t="str">
        <x:v>知识/教程词</x:v>
      </x:c>
      <x:c r="J771" s="9" t="str">
        <x:v>博客A-知识教程</x:v>
      </x:c>
      <x:c r="K771" s="9" t="str"/>
      <x:c r="L771" s="9" t="str">
        <x:f>IF(K771="",J771,K771)</x:f>
        <x:v>博客A-知识教程</x:v>
      </x:c>
      <x:c r="M771" s="9" t="str">
        <x:v>百科/How-to/FAQ文章</x:v>
      </x:c>
      <x:c r="N771" s="9" t="str">
        <x:v>Guide angle: explain how much does a disposable vape cost, answer common questions, and avoid sales-first writing</x:v>
      </x:c>
      <x:c r="O771" s="9" t="str">
        <x:v>/collections/disposable-vapes</x:v>
      </x:c>
      <x:c r="P771" s="9" t="str">
        <x:v>谨慎</x:v>
      </x:c>
      <x:c r="Q771" s="9" t="str">
        <x:v>自然句/品牌词</x:v>
      </x:c>
      <x:c r="R771" s="9" t="str">
        <x:v>低中风险：先满足信息意图，导流要克制</x:v>
      </x:c>
      <x:c r="S771" s="9" t="str">
        <x:v>如果文章能自然回答下一步购买问题，再放 1 个主站内链；否则只做知识闭环。</x:v>
      </x:c>
      <x:c r="T771" s="38" t="n">
        <x:v>4</x:v>
      </x:c>
      <x:c r="U771" s="38" t="n">
        <x:v>15</x:v>
      </x:c>
      <x:c r="V771" s="38" t="n">
        <x:v>9</x:v>
      </x:c>
      <x:c r="W771" s="38" t="n">
        <x:v>14</x:v>
      </x:c>
      <x:c r="X771" s="38" t="n">
        <x:v>12</x:v>
      </x:c>
      <x:c r="Y771" s="38" t="n">
        <x:v>5</x:v>
      </x:c>
      <x:c r="Z771" s="38" t="n">
        <x:f>MAX(0,MIN(100,ROUND(((T771+U771+V771+W771+X771)-Y771)/85*100,0)))</x:f>
        <x:v>58</x:v>
      </x:c>
      <x:c r="AA771" s="9" t="str">
        <x:f>IF(L771="暂不做","P3 暂缓",IF(Z771&gt;=75,"P0 本周做",IF(Z771&gt;=60,"P1 近期做",IF(Z771&gt;=45,"P2 备选","P3 暂缓"))))</x:f>
        <x:v>P2 备选</x:v>
      </x:c>
      <x:c r="AB771" s="9" t="str">
        <x:f>IF(Y771&gt;=15,"先做合规/相关性复核，不建议直接商业导流",IF(L771="主站","建/优化主站商业页",IF(L771="博客A-知识教程","写知识教程/FAQ文章",IF(L771="博客B-场景人群","写场景需求/选购指南文章",IF(L771="博客C-对比评测","写对比评测/榜单文章","暂不做或人工复核")))))</x:f>
        <x:v>写知识教程/FAQ文章</x:v>
      </x:c>
      <x:c r="AC771" s="9" t="str">
        <x:v>tobacco vape</x:v>
      </x:c>
      <x:c r="AD771" s="10" t="str">
        <x:v>48</x:v>
      </x:c>
    </x:row>
    <x:row r="772">
      <x:c r="A772" s="34" t="n">
        <x:v>772</x:v>
      </x:c>
      <x:c r="B772" s="9" t="str">
        <x:v>48</x:v>
      </x:c>
      <x:c r="C772" s="9" t="str">
        <x:v>which vape is the best</x:v>
      </x:c>
      <x:c r="D772" s="9" t="str">
        <x:v>recommended</x:v>
      </x:c>
      <x:c r="E772" s="36" t="n">
        <x:v>70</x:v>
      </x:c>
      <x:c r="F772" s="36" t="n">
        <x:v>18</x:v>
      </x:c>
      <x:c r="G772" s="9" t="str">
        <x:v>commercial</x:v>
      </x:c>
      <x:c r="H772" s="9" t="str">
        <x:v>对比评测</x:v>
      </x:c>
      <x:c r="I772" s="9" t="str">
        <x:v>商业调查词</x:v>
      </x:c>
      <x:c r="J772" s="9" t="str">
        <x:v>博客C-对比评测</x:v>
      </x:c>
      <x:c r="K772" s="9" t="str"/>
      <x:c r="L772" s="9" t="str">
        <x:f>IF(K772="",J772,K772)</x:f>
        <x:v>博客C-对比评测</x:v>
      </x:c>
      <x:c r="M772" s="9" t="str">
        <x:v>Best/Top/Review/VS/替代方案文章</x:v>
      </x:c>
      <x:c r="N772" s="9" t="str">
        <x:v>Best angle: which vape is the best - comparison, pros/cons, and which option fits different buyers</x:v>
      </x:c>
      <x:c r="O772" s="9" t="str">
        <x:v>/collections/disposable-vapes</x:v>
      </x:c>
      <x:c r="P772" s="9" t="str">
        <x:v>是</x:v>
      </x:c>
      <x:c r="Q772" s="9" t="str">
        <x:v>自然句/品类词/品牌词</x:v>
      </x:c>
      <x:c r="R772" s="9" t="str">
        <x:v>中风险：榜单和评测必须真实、中立，避免夸大</x:v>
      </x:c>
      <x:c r="S772" s="9" t="str">
        <x:v>这类词不直接给主站，先用博客C教育和比较，再导流到最相关集合页。</x:v>
      </x:c>
      <x:c r="T772" s="38" t="n">
        <x:v>4</x:v>
      </x:c>
      <x:c r="U772" s="38" t="n">
        <x:v>12</x:v>
      </x:c>
      <x:c r="V772" s="38" t="n">
        <x:v>16</x:v>
      </x:c>
      <x:c r="W772" s="38" t="n">
        <x:v>15</x:v>
      </x:c>
      <x:c r="X772" s="38" t="n">
        <x:v>13</x:v>
      </x:c>
      <x:c r="Y772" s="38" t="n">
        <x:v>6</x:v>
      </x:c>
      <x:c r="Z772" s="38" t="n">
        <x:f>MAX(0,MIN(100,ROUND(((T772+U772+V772+W772+X772)-Y772)/85*100,0)))</x:f>
        <x:v>64</x:v>
      </x:c>
      <x:c r="AA772" s="9" t="str">
        <x:f>IF(L772="暂不做","P3 暂缓",IF(Z772&gt;=75,"P0 本周做",IF(Z772&gt;=60,"P1 近期做",IF(Z772&gt;=45,"P2 备选","P3 暂缓"))))</x:f>
        <x:v>P1 近期做</x:v>
      </x:c>
      <x:c r="AB772" s="9" t="str">
        <x:f>IF(Y772&gt;=15,"先做合规/相关性复核，不建议直接商业导流",IF(L772="主站","建/优化主站商业页",IF(L772="博客A-知识教程","写知识教程/FAQ文章",IF(L772="博客B-场景人群","写场景需求/选购指南文章",IF(L772="博客C-对比评测","写对比评测/榜单文章","暂不做或人工复核")))))</x:f>
        <x:v>写对比评测/榜单文章</x:v>
      </x:c>
      <x:c r="AC772" s="9" t="str">
        <x:v>tobacco vape</x:v>
      </x:c>
      <x:c r="AD772" s="10" t="str">
        <x:v>48</x:v>
      </x:c>
    </x:row>
    <x:row r="773">
      <x:c r="A773" s="34" t="n">
        <x:v>773</x:v>
      </x:c>
      <x:c r="B773" s="9" t="str">
        <x:v>48</x:v>
      </x:c>
      <x:c r="C773" s="9" t="str">
        <x:v>how much is a vape disposable</x:v>
      </x:c>
      <x:c r="D773" s="9" t="str">
        <x:v>recommended</x:v>
      </x:c>
      <x:c r="E773" s="36" t="n">
        <x:v>70</x:v>
      </x:c>
      <x:c r="F773" s="36" t="n">
        <x:v>32</x:v>
      </x:c>
      <x:c r="G773" s="9" t="str">
        <x:v>informational</x:v>
      </x:c>
      <x:c r="H773" s="9" t="str">
        <x:v>Disposable Vape</x:v>
      </x:c>
      <x:c r="I773" s="9" t="str">
        <x:v>知识/教程词</x:v>
      </x:c>
      <x:c r="J773" s="9" t="str">
        <x:v>博客A-知识教程</x:v>
      </x:c>
      <x:c r="K773" s="9" t="str"/>
      <x:c r="L773" s="9" t="str">
        <x:f>IF(K773="",J773,K773)</x:f>
        <x:v>博客A-知识教程</x:v>
      </x:c>
      <x:c r="M773" s="9" t="str">
        <x:v>百科/How-to/FAQ文章</x:v>
      </x:c>
      <x:c r="N773" s="9" t="str">
        <x:v>Guide angle: explain how much is a vape disposable, answer common questions, and avoid sales-first writing</x:v>
      </x:c>
      <x:c r="O773" s="9" t="str">
        <x:v>/collections/disposable-vapes</x:v>
      </x:c>
      <x:c r="P773" s="9" t="str">
        <x:v>谨慎</x:v>
      </x:c>
      <x:c r="Q773" s="9" t="str">
        <x:v>自然句/品牌词</x:v>
      </x:c>
      <x:c r="R773" s="9" t="str">
        <x:v>低中风险：先满足信息意图，导流要克制</x:v>
      </x:c>
      <x:c r="S773" s="9" t="str">
        <x:v>如果文章能自然回答下一步购买问题，再放 1 个主站内链；否则只做知识闭环。</x:v>
      </x:c>
      <x:c r="T773" s="38" t="n">
        <x:v>4</x:v>
      </x:c>
      <x:c r="U773" s="38" t="n">
        <x:v>9</x:v>
      </x:c>
      <x:c r="V773" s="38" t="n">
        <x:v>9</x:v>
      </x:c>
      <x:c r="W773" s="38" t="n">
        <x:v>14</x:v>
      </x:c>
      <x:c r="X773" s="38" t="n">
        <x:v>12</x:v>
      </x:c>
      <x:c r="Y773" s="38" t="n">
        <x:v>5</x:v>
      </x:c>
      <x:c r="Z773" s="38" t="n">
        <x:f>MAX(0,MIN(100,ROUND(((T773+U773+V773+W773+X773)-Y773)/85*100,0)))</x:f>
        <x:v>51</x:v>
      </x:c>
      <x:c r="AA773" s="9" t="str">
        <x:f>IF(L773="暂不做","P3 暂缓",IF(Z773&gt;=75,"P0 本周做",IF(Z773&gt;=60,"P1 近期做",IF(Z773&gt;=45,"P2 备选","P3 暂缓"))))</x:f>
        <x:v>P2 备选</x:v>
      </x:c>
      <x:c r="AB773" s="9" t="str">
        <x:f>IF(Y773&gt;=15,"先做合规/相关性复核，不建议直接商业导流",IF(L773="主站","建/优化主站商业页",IF(L773="博客A-知识教程","写知识教程/FAQ文章",IF(L773="博客B-场景人群","写场景需求/选购指南文章",IF(L773="博客C-对比评测","写对比评测/榜单文章","暂不做或人工复核")))))</x:f>
        <x:v>写知识教程/FAQ文章</x:v>
      </x:c>
      <x:c r="AC773" s="9" t="str">
        <x:v>tobacco vape</x:v>
      </x:c>
      <x:c r="AD773" s="10" t="str">
        <x:v>48</x:v>
      </x:c>
    </x:row>
    <x:row r="774">
      <x:c r="A774" s="34" t="n">
        <x:v>774</x:v>
      </x:c>
      <x:c r="B774" s="9" t="str">
        <x:v>48</x:v>
      </x:c>
      <x:c r="C774" s="9" t="str">
        <x:v>which vape to buy</x:v>
      </x:c>
      <x:c r="D774" s="9" t="str">
        <x:v>recommended</x:v>
      </x:c>
      <x:c r="E774" s="36" t="n">
        <x:v>50</x:v>
      </x:c>
      <x:c r="F774" s="36" t="n">
        <x:v>22</x:v>
      </x:c>
      <x:c r="G774" s="9" t="str">
        <x:v>commercial</x:v>
      </x:c>
      <x:c r="H774" s="9" t="str">
        <x:v>购买交易</x:v>
      </x:c>
      <x:c r="I774" s="9" t="str">
        <x:v>交易词</x:v>
      </x:c>
      <x:c r="J774" s="9" t="str">
        <x:v>主站</x:v>
      </x:c>
      <x:c r="K774" s="9" t="str"/>
      <x:c r="L774" s="9" t="str">
        <x:f>IF(K774="",J774,K774)</x:f>
        <x:v>主站</x:v>
      </x:c>
      <x:c r="M774" s="9" t="str">
        <x:v>产品集合页/分类页/购买页</x:v>
      </x:c>
      <x:c r="N774" s="9" t="str">
        <x:v>主站商业页：标题围绕购买意图 + 品类 + 关键卖点</x:v>
      </x:c>
      <x:c r="O774" s="9" t="str">
        <x:v>/collections/disposable-vapes</x:v>
      </x:c>
      <x:c r="P774" s="9" t="str">
        <x:v>不适用</x:v>
      </x:c>
      <x:c r="Q774" s="9" t="str">
        <x:v>主站页面自身承接</x:v>
      </x:c>
      <x:c r="R774" s="9" t="str">
        <x:v>商业词：优先给主站，避免博客抢主站排名</x:v>
      </x:c>
      <x:c r="S774" s="9" t="str">
        <x:v>SERP 如为商品列表/品牌站/电商集合页，就建主站页面；若 SERP 全是教程，再拆支持文章。</x:v>
      </x:c>
      <x:c r="T774" s="38" t="n">
        <x:v>4</x:v>
      </x:c>
      <x:c r="U774" s="38" t="n">
        <x:v>12</x:v>
      </x:c>
      <x:c r="V774" s="38" t="n">
        <x:v>20</x:v>
      </x:c>
      <x:c r="W774" s="38" t="n">
        <x:v>7</x:v>
      </x:c>
      <x:c r="X774" s="38" t="n">
        <x:v>15</x:v>
      </x:c>
      <x:c r="Y774" s="38" t="n">
        <x:v>4</x:v>
      </x:c>
      <x:c r="Z774" s="38" t="n">
        <x:f>MAX(0,MIN(100,ROUND(((T774+U774+V774+W774+X774)-Y774)/85*100,0)))</x:f>
        <x:v>64</x:v>
      </x:c>
      <x:c r="AA774" s="9" t="str">
        <x:f>IF(L774="暂不做","P3 暂缓",IF(Z774&gt;=75,"P0 本周做",IF(Z774&gt;=60,"P1 近期做",IF(Z774&gt;=45,"P2 备选","P3 暂缓"))))</x:f>
        <x:v>P1 近期做</x:v>
      </x:c>
      <x:c r="AB774" s="9" t="str">
        <x:f>IF(Y774&gt;=15,"先做合规/相关性复核，不建议直接商业导流",IF(L774="主站","建/优化主站商业页",IF(L774="博客A-知识教程","写知识教程/FAQ文章",IF(L774="博客B-场景人群","写场景需求/选购指南文章",IF(L774="博客C-对比评测","写对比评测/榜单文章","暂不做或人工复核")))))</x:f>
        <x:v>建/优化主站商业页</x:v>
      </x:c>
      <x:c r="AC774" s="9" t="str">
        <x:v>tobacco vape</x:v>
      </x:c>
      <x:c r="AD774" s="10" t="str">
        <x:v>48</x:v>
      </x:c>
    </x:row>
    <x:row r="775">
      <x:c r="A775" s="34" t="n">
        <x:v>775</x:v>
      </x:c>
      <x:c r="B775" s="9" t="str">
        <x:v>48</x:v>
      </x:c>
      <x:c r="C775" s="9" t="str">
        <x:v>what is the best nicotine vape</x:v>
      </x:c>
      <x:c r="D775" s="9" t="str">
        <x:v>recommended</x:v>
      </x:c>
      <x:c r="E775" s="36" t="n">
        <x:v>50</x:v>
      </x:c>
      <x:c r="F775" s="36" t="n">
        <x:v>26</x:v>
      </x:c>
      <x:c r="G775" s="9" t="str">
        <x:v>commercial</x:v>
      </x:c>
      <x:c r="H775" s="9" t="str">
        <x:v>Nicotine / 尼古丁</x:v>
      </x:c>
      <x:c r="I775" s="9" t="str">
        <x:v>商业调查词</x:v>
      </x:c>
      <x:c r="J775" s="9" t="str">
        <x:v>博客C-对比评测</x:v>
      </x:c>
      <x:c r="K775" s="9" t="str"/>
      <x:c r="L775" s="9" t="str">
        <x:f>IF(K775="",J775,K775)</x:f>
        <x:v>博客C-对比评测</x:v>
      </x:c>
      <x:c r="M775" s="9" t="str">
        <x:v>Best/Top/Review/VS/替代方案文章</x:v>
      </x:c>
      <x:c r="N775" s="9" t="str">
        <x:v>Best angle: what is the best nicotine vape - comparison, pros/cons, and which option fits different buyers</x:v>
      </x:c>
      <x:c r="O775" s="9" t="str">
        <x:v>/collections/disposable-vapes</x:v>
      </x:c>
      <x:c r="P775" s="9" t="str">
        <x:v>是</x:v>
      </x:c>
      <x:c r="Q775" s="9" t="str">
        <x:v>自然句/品类词/品牌词</x:v>
      </x:c>
      <x:c r="R775" s="9" t="str">
        <x:v>中风险：榜单和评测必须真实、中立，避免夸大</x:v>
      </x:c>
      <x:c r="S775" s="9" t="str">
        <x:v>这类词不直接给主站，先用博客C教育和比较，再导流到最相关集合页。</x:v>
      </x:c>
      <x:c r="T775" s="38" t="n">
        <x:v>4</x:v>
      </x:c>
      <x:c r="U775" s="38" t="n">
        <x:v>12</x:v>
      </x:c>
      <x:c r="V775" s="38" t="n">
        <x:v>16</x:v>
      </x:c>
      <x:c r="W775" s="38" t="n">
        <x:v>15</x:v>
      </x:c>
      <x:c r="X775" s="38" t="n">
        <x:v>13</x:v>
      </x:c>
      <x:c r="Y775" s="38" t="n">
        <x:v>6</x:v>
      </x:c>
      <x:c r="Z775" s="38" t="n">
        <x:f>MAX(0,MIN(100,ROUND(((T775+U775+V775+W775+X775)-Y775)/85*100,0)))</x:f>
        <x:v>64</x:v>
      </x:c>
      <x:c r="AA775" s="9" t="str">
        <x:f>IF(L775="暂不做","P3 暂缓",IF(Z775&gt;=75,"P0 本周做",IF(Z775&gt;=60,"P1 近期做",IF(Z775&gt;=45,"P2 备选","P3 暂缓"))))</x:f>
        <x:v>P1 近期做</x:v>
      </x:c>
      <x:c r="AB775" s="9" t="str">
        <x:f>IF(Y775&gt;=15,"先做合规/相关性复核，不建议直接商业导流",IF(L775="主站","建/优化主站商业页",IF(L775="博客A-知识教程","写知识教程/FAQ文章",IF(L775="博客B-场景人群","写场景需求/选购指南文章",IF(L775="博客C-对比评测","写对比评测/榜单文章","暂不做或人工复核")))))</x:f>
        <x:v>写对比评测/榜单文章</x:v>
      </x:c>
      <x:c r="AC775" s="9" t="str">
        <x:v>tobacco vape</x:v>
      </x:c>
      <x:c r="AD775" s="10" t="str">
        <x:v>48</x:v>
      </x:c>
    </x:row>
    <x:row r="776">
      <x:c r="A776" s="34" t="n">
        <x:v>776</x:v>
      </x:c>
      <x:c r="B776" s="9" t="str">
        <x:v>48</x:v>
      </x:c>
      <x:c r="C776" s="9" t="str">
        <x:v>how to get a vape</x:v>
      </x:c>
      <x:c r="D776" s="9" t="str">
        <x:v>recommended</x:v>
      </x:c>
      <x:c r="E776" s="36" t="n">
        <x:v>170</x:v>
      </x:c>
      <x:c r="F776" s="36" t="n">
        <x:v>66</x:v>
      </x:c>
      <x:c r="G776" s="9" t="str">
        <x:v>informational</x:v>
      </x:c>
      <x:c r="H776" s="9" t="str">
        <x:v>知识教程</x:v>
      </x:c>
      <x:c r="I776" s="9" t="str">
        <x:v>知识/教程词</x:v>
      </x:c>
      <x:c r="J776" s="9" t="str">
        <x:v>博客A-知识教程</x:v>
      </x:c>
      <x:c r="K776" s="9" t="str"/>
      <x:c r="L776" s="9" t="str">
        <x:f>IF(K776="",J776,K776)</x:f>
        <x:v>博客A-知识教程</x:v>
      </x:c>
      <x:c r="M776" s="9" t="str">
        <x:v>百科/How-to/FAQ文章</x:v>
      </x:c>
      <x:c r="N776" s="9" t="str">
        <x:v>Guide angle: explain how to get a vape, answer common questions, and avoid sales-first writing</x:v>
      </x:c>
      <x:c r="O776" s="9" t="str">
        <x:v>/collections/disposable-vapes</x:v>
      </x:c>
      <x:c r="P776" s="9" t="str">
        <x:v>谨慎</x:v>
      </x:c>
      <x:c r="Q776" s="9" t="str">
        <x:v>自然句/品牌词</x:v>
      </x:c>
      <x:c r="R776" s="9" t="str">
        <x:v>低中风险：先满足信息意图，导流要克制</x:v>
      </x:c>
      <x:c r="S776" s="9" t="str">
        <x:v>如果文章能自然回答下一步购买问题，再放 1 个主站内链；否则只做知识闭环。</x:v>
      </x:c>
      <x:c r="T776" s="38" t="n">
        <x:v>7</x:v>
      </x:c>
      <x:c r="U776" s="38" t="n">
        <x:v>3</x:v>
      </x:c>
      <x:c r="V776" s="38" t="n">
        <x:v>9</x:v>
      </x:c>
      <x:c r="W776" s="38" t="n">
        <x:v>14</x:v>
      </x:c>
      <x:c r="X776" s="38" t="n">
        <x:v>12</x:v>
      </x:c>
      <x:c r="Y776" s="38" t="n">
        <x:v>5</x:v>
      </x:c>
      <x:c r="Z776" s="38" t="n">
        <x:f>MAX(0,MIN(100,ROUND(((T776+U776+V776+W776+X776)-Y776)/85*100,0)))</x:f>
        <x:v>47</x:v>
      </x:c>
      <x:c r="AA776" s="9" t="str">
        <x:f>IF(L776="暂不做","P3 暂缓",IF(Z776&gt;=75,"P0 本周做",IF(Z776&gt;=60,"P1 近期做",IF(Z776&gt;=45,"P2 备选","P3 暂缓"))))</x:f>
        <x:v>P2 备选</x:v>
      </x:c>
      <x:c r="AB776" s="9" t="str">
        <x:f>IF(Y776&gt;=15,"先做合规/相关性复核，不建议直接商业导流",IF(L776="主站","建/优化主站商业页",IF(L776="博客A-知识教程","写知识教程/FAQ文章",IF(L776="博客B-场景人群","写场景需求/选购指南文章",IF(L776="博客C-对比评测","写对比评测/榜单文章","暂不做或人工复核")))))</x:f>
        <x:v>写知识教程/FAQ文章</x:v>
      </x:c>
      <x:c r="AC776" s="9" t="str">
        <x:v>tobacco vape</x:v>
      </x:c>
      <x:c r="AD776" s="10" t="str">
        <x:v>48</x:v>
      </x:c>
    </x:row>
    <x:row r="777">
      <x:c r="A777" s="34" t="n">
        <x:v>777</x:v>
      </x:c>
      <x:c r="B777" s="9" t="str">
        <x:v>48</x:v>
      </x:c>
      <x:c r="C777" s="9" t="str">
        <x:v>where to buy a vape online</x:v>
      </x:c>
      <x:c r="D777" s="9" t="str">
        <x:v>recommended</x:v>
      </x:c>
      <x:c r="E777" s="36" t="n">
        <x:v>260</x:v>
      </x:c>
      <x:c r="F777" s="36" t="n">
        <x:v>79</x:v>
      </x:c>
      <x:c r="G777" s="9" t="str">
        <x:v>transactional</x:v>
      </x:c>
      <x:c r="H777" s="9" t="str">
        <x:v>购买交易</x:v>
      </x:c>
      <x:c r="I777" s="9" t="str">
        <x:v>交易词</x:v>
      </x:c>
      <x:c r="J777" s="9" t="str">
        <x:v>主站</x:v>
      </x:c>
      <x:c r="K777" s="9" t="str"/>
      <x:c r="L777" s="9" t="str">
        <x:f>IF(K777="",J777,K777)</x:f>
        <x:v>主站</x:v>
      </x:c>
      <x:c r="M777" s="9" t="str">
        <x:v>产品集合页/分类页/购买页</x:v>
      </x:c>
      <x:c r="N777" s="9" t="str">
        <x:v>主站商业页：标题围绕购买意图 + 品类 + 关键卖点</x:v>
      </x:c>
      <x:c r="O777" s="9" t="str">
        <x:v>/collections/disposable-vapes</x:v>
      </x:c>
      <x:c r="P777" s="9" t="str">
        <x:v>不适用</x:v>
      </x:c>
      <x:c r="Q777" s="9" t="str">
        <x:v>主站页面自身承接</x:v>
      </x:c>
      <x:c r="R777" s="9" t="str">
        <x:v>商业词：优先给主站，避免博客抢主站排名</x:v>
      </x:c>
      <x:c r="S777" s="9" t="str">
        <x:v>SERP 如为商品列表/品牌站/电商集合页，就建主站页面；若 SERP 全是教程，再拆支持文章。</x:v>
      </x:c>
      <x:c r="T777" s="38" t="n">
        <x:v>7</x:v>
      </x:c>
      <x:c r="U777" s="38" t="n">
        <x:v>1</x:v>
      </x:c>
      <x:c r="V777" s="38" t="n">
        <x:v>20</x:v>
      </x:c>
      <x:c r="W777" s="38" t="n">
        <x:v>7</x:v>
      </x:c>
      <x:c r="X777" s="38" t="n">
        <x:v>15</x:v>
      </x:c>
      <x:c r="Y777" s="38" t="n">
        <x:v>4</x:v>
      </x:c>
      <x:c r="Z777" s="38" t="n">
        <x:f>MAX(0,MIN(100,ROUND(((T777+U777+V777+W777+X777)-Y777)/85*100,0)))</x:f>
        <x:v>54</x:v>
      </x:c>
      <x:c r="AA777" s="9" t="str">
        <x:f>IF(L777="暂不做","P3 暂缓",IF(Z777&gt;=75,"P0 本周做",IF(Z777&gt;=60,"P1 近期做",IF(Z777&gt;=45,"P2 备选","P3 暂缓"))))</x:f>
        <x:v>P2 备选</x:v>
      </x:c>
      <x:c r="AB777" s="9" t="str">
        <x:f>IF(Y777&gt;=15,"先做合规/相关性复核，不建议直接商业导流",IF(L777="主站","建/优化主站商业页",IF(L777="博客A-知识教程","写知识教程/FAQ文章",IF(L777="博客B-场景人群","写场景需求/选购指南文章",IF(L777="博客C-对比评测","写对比评测/榜单文章","暂不做或人工复核")))))</x:f>
        <x:v>建/优化主站商业页</x:v>
      </x:c>
      <x:c r="AC777" s="9" t="str">
        <x:v>tobacco vape</x:v>
      </x:c>
      <x:c r="AD777" s="10" t="str">
        <x:v>48</x:v>
      </x:c>
    </x:row>
    <x:row r="778">
      <x:c r="A778" s="34" t="n">
        <x:v>778</x:v>
      </x:c>
      <x:c r="B778" s="9" t="str">
        <x:v>48</x:v>
      </x:c>
      <x:c r="C778" s="9" t="str">
        <x:v>can you buy disposable vapes online</x:v>
      </x:c>
      <x:c r="D778" s="9" t="str">
        <x:v>recommended</x:v>
      </x:c>
      <x:c r="E778" s="36" t="n">
        <x:v>90</x:v>
      </x:c>
      <x:c r="F778" s="36" t="n">
        <x:v>50</x:v>
      </x:c>
      <x:c r="G778" s="9" t="str">
        <x:v>informational</x:v>
      </x:c>
      <x:c r="H778" s="9" t="str">
        <x:v>Disposable Vape</x:v>
      </x:c>
      <x:c r="I778" s="9" t="str">
        <x:v>交易词</x:v>
      </x:c>
      <x:c r="J778" s="9" t="str">
        <x:v>主站</x:v>
      </x:c>
      <x:c r="K778" s="9" t="str"/>
      <x:c r="L778" s="9" t="str">
        <x:f>IF(K778="",J778,K778)</x:f>
        <x:v>主站</x:v>
      </x:c>
      <x:c r="M778" s="9" t="str">
        <x:v>产品集合页/分类页/购买页</x:v>
      </x:c>
      <x:c r="N778" s="9" t="str">
        <x:v>主站商业页：标题围绕购买意图 + 品类 + 关键卖点</x:v>
      </x:c>
      <x:c r="O778" s="9" t="str">
        <x:v>/collections/disposable-vapes</x:v>
      </x:c>
      <x:c r="P778" s="9" t="str">
        <x:v>不适用</x:v>
      </x:c>
      <x:c r="Q778" s="9" t="str">
        <x:v>主站页面自身承接</x:v>
      </x:c>
      <x:c r="R778" s="9" t="str">
        <x:v>商业词：优先给主站，避免博客抢主站排名</x:v>
      </x:c>
      <x:c r="S778" s="9" t="str">
        <x:v>SERP 如为商品列表/品牌站/电商集合页，就建主站页面；若 SERP 全是教程，再拆支持文章。</x:v>
      </x:c>
      <x:c r="T778" s="38" t="n">
        <x:v>4</x:v>
      </x:c>
      <x:c r="U778" s="38" t="n">
        <x:v>6</x:v>
      </x:c>
      <x:c r="V778" s="38" t="n">
        <x:v>20</x:v>
      </x:c>
      <x:c r="W778" s="38" t="n">
        <x:v>7</x:v>
      </x:c>
      <x:c r="X778" s="38" t="n">
        <x:v>15</x:v>
      </x:c>
      <x:c r="Y778" s="38" t="n">
        <x:v>4</x:v>
      </x:c>
      <x:c r="Z778" s="38" t="n">
        <x:f>MAX(0,MIN(100,ROUND(((T778+U778+V778+W778+X778)-Y778)/85*100,0)))</x:f>
        <x:v>56</x:v>
      </x:c>
      <x:c r="AA778" s="9" t="str">
        <x:f>IF(L778="暂不做","P3 暂缓",IF(Z778&gt;=75,"P0 本周做",IF(Z778&gt;=60,"P1 近期做",IF(Z778&gt;=45,"P2 备选","P3 暂缓"))))</x:f>
        <x:v>P2 备选</x:v>
      </x:c>
      <x:c r="AB778" s="9" t="str">
        <x:f>IF(Y778&gt;=15,"先做合规/相关性复核，不建议直接商业导流",IF(L778="主站","建/优化主站商业页",IF(L778="博客A-知识教程","写知识教程/FAQ文章",IF(L778="博客B-场景人群","写场景需求/选购指南文章",IF(L778="博客C-对比评测","写对比评测/榜单文章","暂不做或人工复核")))))</x:f>
        <x:v>建/优化主站商业页</x:v>
      </x:c>
      <x:c r="AC778" s="9" t="str">
        <x:v>tobacco vape</x:v>
      </x:c>
      <x:c r="AD778" s="10" t="str">
        <x:v>48</x:v>
      </x:c>
    </x:row>
    <x:row r="779">
      <x:c r="A779" s="34" t="n">
        <x:v>779</x:v>
      </x:c>
      <x:c r="B779" s="9" t="str">
        <x:v>48</x:v>
      </x:c>
      <x:c r="C779" s="9" t="str">
        <x:v>can you order disposable vapes online</x:v>
      </x:c>
      <x:c r="D779" s="9" t="str">
        <x:v>recommended</x:v>
      </x:c>
      <x:c r="E779" s="36" t="n">
        <x:v>70</x:v>
      </x:c>
      <x:c r="F779" s="36" t="n">
        <x:v>58</x:v>
      </x:c>
      <x:c r="G779" s="9" t="str">
        <x:v>informational, transactional</x:v>
      </x:c>
      <x:c r="H779" s="9" t="str">
        <x:v>Disposable Vape</x:v>
      </x:c>
      <x:c r="I779" s="9" t="str">
        <x:v>交易词</x:v>
      </x:c>
      <x:c r="J779" s="9" t="str">
        <x:v>主站</x:v>
      </x:c>
      <x:c r="K779" s="9" t="str"/>
      <x:c r="L779" s="9" t="str">
        <x:f>IF(K779="",J779,K779)</x:f>
        <x:v>主站</x:v>
      </x:c>
      <x:c r="M779" s="9" t="str">
        <x:v>产品集合页/分类页/购买页</x:v>
      </x:c>
      <x:c r="N779" s="9" t="str">
        <x:v>主站商业页：标题围绕购买意图 + 品类 + 关键卖点</x:v>
      </x:c>
      <x:c r="O779" s="9" t="str">
        <x:v>/collections/disposable-vapes</x:v>
      </x:c>
      <x:c r="P779" s="9" t="str">
        <x:v>不适用</x:v>
      </x:c>
      <x:c r="Q779" s="9" t="str">
        <x:v>主站页面自身承接</x:v>
      </x:c>
      <x:c r="R779" s="9" t="str">
        <x:v>商业词：优先给主站，避免博客抢主站排名</x:v>
      </x:c>
      <x:c r="S779" s="9" t="str">
        <x:v>SERP 如为商品列表/品牌站/电商集合页，就建主站页面；若 SERP 全是教程，再拆支持文章。</x:v>
      </x:c>
      <x:c r="T779" s="38" t="n">
        <x:v>4</x:v>
      </x:c>
      <x:c r="U779" s="38" t="n">
        <x:v>6</x:v>
      </x:c>
      <x:c r="V779" s="38" t="n">
        <x:v>20</x:v>
      </x:c>
      <x:c r="W779" s="38" t="n">
        <x:v>7</x:v>
      </x:c>
      <x:c r="X779" s="38" t="n">
        <x:v>15</x:v>
      </x:c>
      <x:c r="Y779" s="38" t="n">
        <x:v>4</x:v>
      </x:c>
      <x:c r="Z779" s="38" t="n">
        <x:f>MAX(0,MIN(100,ROUND(((T779+U779+V779+W779+X779)-Y779)/85*100,0)))</x:f>
        <x:v>56</x:v>
      </x:c>
      <x:c r="AA779" s="9" t="str">
        <x:f>IF(L779="暂不做","P3 暂缓",IF(Z779&gt;=75,"P0 本周做",IF(Z779&gt;=60,"P1 近期做",IF(Z779&gt;=45,"P2 备选","P3 暂缓"))))</x:f>
        <x:v>P2 备选</x:v>
      </x:c>
      <x:c r="AB779" s="9" t="str">
        <x:f>IF(Y779&gt;=15,"先做合规/相关性复核，不建议直接商业导流",IF(L779="主站","建/优化主站商业页",IF(L779="博客A-知识教程","写知识教程/FAQ文章",IF(L779="博客B-场景人群","写场景需求/选购指南文章",IF(L779="博客C-对比评测","写对比评测/榜单文章","暂不做或人工复核")))))</x:f>
        <x:v>建/优化主站商业页</x:v>
      </x:c>
      <x:c r="AC779" s="9" t="str">
        <x:v>tobacco vape</x:v>
      </x:c>
      <x:c r="AD779" s="10" t="str">
        <x:v>48</x:v>
      </x:c>
    </x:row>
    <x:row r="780">
      <x:c r="A780" s="34" t="n">
        <x:v>780</x:v>
      </x:c>
      <x:c r="B780" s="9" t="str">
        <x:v>48</x:v>
      </x:c>
      <x:c r="C780" s="9" t="str">
        <x:v>where to get vapes</x:v>
      </x:c>
      <x:c r="D780" s="9" t="str">
        <x:v>recommended</x:v>
      </x:c>
      <x:c r="E780" s="36" t="n">
        <x:v>110</x:v>
      </x:c>
      <x:c r="F780" s="36" t="n">
        <x:v>76</x:v>
      </x:c>
      <x:c r="G780" s="9" t="str">
        <x:v>transactional</x:v>
      </x:c>
      <x:c r="H780" s="9" t="str">
        <x:v>General Vape</x:v>
      </x:c>
      <x:c r="I780" s="9" t="str">
        <x:v>交易词</x:v>
      </x:c>
      <x:c r="J780" s="9" t="str">
        <x:v>主站</x:v>
      </x:c>
      <x:c r="K780" s="9" t="str"/>
      <x:c r="L780" s="9" t="str">
        <x:f>IF(K780="",J780,K780)</x:f>
        <x:v>主站</x:v>
      </x:c>
      <x:c r="M780" s="9" t="str">
        <x:v>产品集合页/分类页/购买页</x:v>
      </x:c>
      <x:c r="N780" s="9" t="str">
        <x:v>主站商业页：标题围绕购买意图 + 品类 + 关键卖点</x:v>
      </x:c>
      <x:c r="O780" s="9" t="str">
        <x:v>/collections/disposable-vapes</x:v>
      </x:c>
      <x:c r="P780" s="9" t="str">
        <x:v>不适用</x:v>
      </x:c>
      <x:c r="Q780" s="9" t="str">
        <x:v>主站页面自身承接</x:v>
      </x:c>
      <x:c r="R780" s="9" t="str">
        <x:v>商业词：优先给主站，避免博客抢主站排名</x:v>
      </x:c>
      <x:c r="S780" s="9" t="str">
        <x:v>SERP 如为商品列表/品牌站/电商集合页，就建主站页面；若 SERP 全是教程，再拆支持文章。</x:v>
      </x:c>
      <x:c r="T780" s="38" t="n">
        <x:v>7</x:v>
      </x:c>
      <x:c r="U780" s="38" t="n">
        <x:v>1</x:v>
      </x:c>
      <x:c r="V780" s="38" t="n">
        <x:v>20</x:v>
      </x:c>
      <x:c r="W780" s="38" t="n">
        <x:v>7</x:v>
      </x:c>
      <x:c r="X780" s="38" t="n">
        <x:v>15</x:v>
      </x:c>
      <x:c r="Y780" s="38" t="n">
        <x:v>4</x:v>
      </x:c>
      <x:c r="Z780" s="38" t="n">
        <x:f>MAX(0,MIN(100,ROUND(((T780+U780+V780+W780+X780)-Y780)/85*100,0)))</x:f>
        <x:v>54</x:v>
      </x:c>
      <x:c r="AA780" s="9" t="str">
        <x:f>IF(L780="暂不做","P3 暂缓",IF(Z780&gt;=75,"P0 本周做",IF(Z780&gt;=60,"P1 近期做",IF(Z780&gt;=45,"P2 备选","P3 暂缓"))))</x:f>
        <x:v>P2 备选</x:v>
      </x:c>
      <x:c r="AB780" s="9" t="str">
        <x:f>IF(Y780&gt;=15,"先做合规/相关性复核，不建议直接商业导流",IF(L780="主站","建/优化主站商业页",IF(L780="博客A-知识教程","写知识教程/FAQ文章",IF(L780="博客B-场景人群","写场景需求/选购指南文章",IF(L780="博客C-对比评测","写对比评测/榜单文章","暂不做或人工复核")))))</x:f>
        <x:v>建/优化主站商业页</x:v>
      </x:c>
      <x:c r="AC780" s="9" t="str">
        <x:v>tobacco vape</x:v>
      </x:c>
      <x:c r="AD780" s="10" t="str">
        <x:v>48</x:v>
      </x:c>
    </x:row>
    <x:row r="781">
      <x:c r="A781" s="34" t="n">
        <x:v>781</x:v>
      </x:c>
      <x:c r="B781" s="9" t="str">
        <x:v>48</x:v>
      </x:c>
      <x:c r="C781" s="9" t="str">
        <x:v>how to buy a vape online</x:v>
      </x:c>
      <x:c r="D781" s="9" t="str">
        <x:v>recommended</x:v>
      </x:c>
      <x:c r="E781" s="36" t="n">
        <x:v>90</x:v>
      </x:c>
      <x:c r="F781" s="36" t="n">
        <x:v>71</x:v>
      </x:c>
      <x:c r="G781" s="9" t="str">
        <x:v>informational</x:v>
      </x:c>
      <x:c r="H781" s="9" t="str">
        <x:v>知识教程</x:v>
      </x:c>
      <x:c r="I781" s="9" t="str">
        <x:v>交易词</x:v>
      </x:c>
      <x:c r="J781" s="9" t="str">
        <x:v>主站</x:v>
      </x:c>
      <x:c r="K781" s="9" t="str"/>
      <x:c r="L781" s="9" t="str">
        <x:f>IF(K781="",J781,K781)</x:f>
        <x:v>主站</x:v>
      </x:c>
      <x:c r="M781" s="9" t="str">
        <x:v>产品集合页/分类页/购买页</x:v>
      </x:c>
      <x:c r="N781" s="9" t="str">
        <x:v>主站商业页：标题围绕购买意图 + 品类 + 关键卖点</x:v>
      </x:c>
      <x:c r="O781" s="9" t="str">
        <x:v>/collections/disposable-vapes</x:v>
      </x:c>
      <x:c r="P781" s="9" t="str">
        <x:v>不适用</x:v>
      </x:c>
      <x:c r="Q781" s="9" t="str">
        <x:v>主站页面自身承接</x:v>
      </x:c>
      <x:c r="R781" s="9" t="str">
        <x:v>商业词：优先给主站，避免博客抢主站排名</x:v>
      </x:c>
      <x:c r="S781" s="9" t="str">
        <x:v>SERP 如为商品列表/品牌站/电商集合页，就建主站页面；若 SERP 全是教程，再拆支持文章。</x:v>
      </x:c>
      <x:c r="T781" s="38" t="n">
        <x:v>4</x:v>
      </x:c>
      <x:c r="U781" s="38" t="n">
        <x:v>3</x:v>
      </x:c>
      <x:c r="V781" s="38" t="n">
        <x:v>20</x:v>
      </x:c>
      <x:c r="W781" s="38" t="n">
        <x:v>7</x:v>
      </x:c>
      <x:c r="X781" s="38" t="n">
        <x:v>15</x:v>
      </x:c>
      <x:c r="Y781" s="38" t="n">
        <x:v>4</x:v>
      </x:c>
      <x:c r="Z781" s="38" t="n">
        <x:f>MAX(0,MIN(100,ROUND(((T781+U781+V781+W781+X781)-Y781)/85*100,0)))</x:f>
        <x:v>53</x:v>
      </x:c>
      <x:c r="AA781" s="9" t="str">
        <x:f>IF(L781="暂不做","P3 暂缓",IF(Z781&gt;=75,"P0 本周做",IF(Z781&gt;=60,"P1 近期做",IF(Z781&gt;=45,"P2 备选","P3 暂缓"))))</x:f>
        <x:v>P2 备选</x:v>
      </x:c>
      <x:c r="AB781" s="9" t="str">
        <x:f>IF(Y781&gt;=15,"先做合规/相关性复核，不建议直接商业导流",IF(L781="主站","建/优化主站商业页",IF(L781="博客A-知识教程","写知识教程/FAQ文章",IF(L781="博客B-场景人群","写场景需求/选购指南文章",IF(L781="博客C-对比评测","写对比评测/榜单文章","暂不做或人工复核")))))</x:f>
        <x:v>建/优化主站商业页</x:v>
      </x:c>
      <x:c r="AC781" s="9" t="str">
        <x:v>tobacco vape</x:v>
      </x:c>
      <x:c r="AD781" s="10" t="str">
        <x:v>48</x:v>
      </x:c>
    </x:row>
    <x:row r="782">
      <x:c r="A782" s="34" t="n">
        <x:v>782</x:v>
      </x:c>
      <x:c r="B782" s="9" t="str">
        <x:v>48</x:v>
      </x:c>
      <x:c r="C782" s="9" t="str">
        <x:v>where to get vapes online</x:v>
      </x:c>
      <x:c r="D782" s="9" t="str">
        <x:v>recommended</x:v>
      </x:c>
      <x:c r="E782" s="36" t="n">
        <x:v>40</x:v>
      </x:c>
      <x:c r="F782" s="36" t="n">
        <x:v>74</x:v>
      </x:c>
      <x:c r="G782" s="9" t="str">
        <x:v>transactional</x:v>
      </x:c>
      <x:c r="H782" s="9" t="str">
        <x:v>购买交易</x:v>
      </x:c>
      <x:c r="I782" s="9" t="str">
        <x:v>交易词</x:v>
      </x:c>
      <x:c r="J782" s="9" t="str">
        <x:v>主站</x:v>
      </x:c>
      <x:c r="K782" s="9" t="str"/>
      <x:c r="L782" s="9" t="str">
        <x:f>IF(K782="",J782,K782)</x:f>
        <x:v>主站</x:v>
      </x:c>
      <x:c r="M782" s="9" t="str">
        <x:v>产品集合页/分类页/购买页</x:v>
      </x:c>
      <x:c r="N782" s="9" t="str">
        <x:v>主站商业页：标题围绕购买意图 + 品类 + 关键卖点</x:v>
      </x:c>
      <x:c r="O782" s="9" t="str">
        <x:v>/collections/disposable-vapes</x:v>
      </x:c>
      <x:c r="P782" s="9" t="str">
        <x:v>不适用</x:v>
      </x:c>
      <x:c r="Q782" s="9" t="str">
        <x:v>主站页面自身承接</x:v>
      </x:c>
      <x:c r="R782" s="9" t="str">
        <x:v>商业词：优先给主站，避免博客抢主站排名</x:v>
      </x:c>
      <x:c r="S782" s="9" t="str">
        <x:v>SERP 如为商品列表/品牌站/电商集合页，就建主站页面；若 SERP 全是教程，再拆支持文章。</x:v>
      </x:c>
      <x:c r="T782" s="38" t="n">
        <x:v>4</x:v>
      </x:c>
      <x:c r="U782" s="38" t="n">
        <x:v>3</x:v>
      </x:c>
      <x:c r="V782" s="38" t="n">
        <x:v>20</x:v>
      </x:c>
      <x:c r="W782" s="38" t="n">
        <x:v>7</x:v>
      </x:c>
      <x:c r="X782" s="38" t="n">
        <x:v>15</x:v>
      </x:c>
      <x:c r="Y782" s="38" t="n">
        <x:v>4</x:v>
      </x:c>
      <x:c r="Z782" s="38" t="n">
        <x:f>MAX(0,MIN(100,ROUND(((T782+U782+V782+W782+X782)-Y782)/85*100,0)))</x:f>
        <x:v>53</x:v>
      </x:c>
      <x:c r="AA782" s="9" t="str">
        <x:f>IF(L782="暂不做","P3 暂缓",IF(Z782&gt;=75,"P0 本周做",IF(Z782&gt;=60,"P1 近期做",IF(Z782&gt;=45,"P2 备选","P3 暂缓"))))</x:f>
        <x:v>P2 备选</x:v>
      </x:c>
      <x:c r="AB782" s="9" t="str">
        <x:f>IF(Y782&gt;=15,"先做合规/相关性复核，不建议直接商业导流",IF(L782="主站","建/优化主站商业页",IF(L782="博客A-知识教程","写知识教程/FAQ文章",IF(L782="博客B-场景人群","写场景需求/选购指南文章",IF(L782="博客C-对比评测","写对比评测/榜单文章","暂不做或人工复核")))))</x:f>
        <x:v>建/优化主站商业页</x:v>
      </x:c>
      <x:c r="AC782" s="9" t="str">
        <x:v>tobacco vape</x:v>
      </x:c>
      <x:c r="AD782" s="10" t="str">
        <x:v>48</x:v>
      </x:c>
    </x:row>
    <x:row r="783">
      <x:c r="A783" s="34" t="n">
        <x:v>783</x:v>
      </x:c>
      <x:c r="B783" s="9" t="str">
        <x:v>48</x:v>
      </x:c>
      <x:c r="C783" s="9" t="str">
        <x:v>tobacco vape</x:v>
      </x:c>
      <x:c r="D783" s="9" t="str">
        <x:v>recommended</x:v>
      </x:c>
      <x:c r="E783" s="36" t="n">
        <x:v>2900</x:v>
      </x:c>
      <x:c r="F783" s="36" t="n">
        <x:v>23</x:v>
      </x:c>
      <x:c r="G783" s="9" t="str">
        <x:v>commercial</x:v>
      </x:c>
      <x:c r="H783" s="9" t="str">
        <x:v>General Vape</x:v>
      </x:c>
      <x:c r="I783" s="9" t="str">
        <x:v>品类承接词</x:v>
      </x:c>
      <x:c r="J783" s="9" t="str">
        <x:v>主站</x:v>
      </x:c>
      <x:c r="K783" s="9" t="str"/>
      <x:c r="L783" s="9" t="str">
        <x:f>IF(K783="",J783,K783)</x:f>
        <x:v>主站</x:v>
      </x:c>
      <x:c r="M783" s="9" t="str">
        <x:v>品类页/集合页 + FAQ内容块</x:v>
      </x:c>
      <x:c r="N783" s="9" t="str">
        <x:v>主站品类页：用产品集合 + 选购说明承接</x:v>
      </x:c>
      <x:c r="O783" s="9" t="str">
        <x:v>/collections/disposable-vapes</x:v>
      </x:c>
      <x:c r="P783" s="9" t="str">
        <x:v>不适用</x:v>
      </x:c>
      <x:c r="Q783" s="9" t="str">
        <x:v>主站页面自身承接</x:v>
      </x:c>
      <x:c r="R783" s="9" t="str">
        <x:v>核心品类词：主站优先，博客只做长尾解释，不直接抢同一词</x:v>
      </x:c>
      <x:c r="S783" s="9" t="str">
        <x:v>如果 Google 首页产品页和指南混合，主站页要加 FAQ、选购指南、对比模块。</x:v>
      </x:c>
      <x:c r="T783" s="38" t="n">
        <x:v>13</x:v>
      </x:c>
      <x:c r="U783" s="38" t="n">
        <x:v>12</x:v>
      </x:c>
      <x:c r="V783" s="38" t="n">
        <x:v>18</x:v>
      </x:c>
      <x:c r="W783" s="38" t="n">
        <x:v>8</x:v>
      </x:c>
      <x:c r="X783" s="38" t="n">
        <x:v>15</x:v>
      </x:c>
      <x:c r="Y783" s="38" t="n">
        <x:v>4</x:v>
      </x:c>
      <x:c r="Z783" s="38" t="n">
        <x:f>MAX(0,MIN(100,ROUND(((T783+U783+V783+W783+X783)-Y783)/85*100,0)))</x:f>
        <x:v>73</x:v>
      </x:c>
      <x:c r="AA783" s="9" t="str">
        <x:f>IF(L783="暂不做","P3 暂缓",IF(Z783&gt;=75,"P0 本周做",IF(Z783&gt;=60,"P1 近期做",IF(Z783&gt;=45,"P2 备选","P3 暂缓"))))</x:f>
        <x:v>P1 近期做</x:v>
      </x:c>
      <x:c r="AB783" s="9" t="str">
        <x:f>IF(Y783&gt;=15,"先做合规/相关性复核，不建议直接商业导流",IF(L783="主站","建/优化主站商业页",IF(L783="博客A-知识教程","写知识教程/FAQ文章",IF(L783="博客B-场景人群","写场景需求/选购指南文章",IF(L783="博客C-对比评测","写对比评测/榜单文章","暂不做或人工复核")))))</x:f>
        <x:v>建/优化主站商业页</x:v>
      </x:c>
      <x:c r="AC783" s="9" t="str">
        <x:v>tobacco vape</x:v>
      </x:c>
      <x:c r="AD783" s="10" t="str">
        <x:v>48</x:v>
      </x:c>
    </x:row>
    <x:row r="784">
      <x:c r="A784" s="34" t="n">
        <x:v>784</x:v>
      </x:c>
      <x:c r="B784" s="9" t="str">
        <x:v>48</x:v>
      </x:c>
      <x:c r="C784" s="9" t="str">
        <x:v>vapes made in usa</x:v>
      </x:c>
      <x:c r="D784" s="9" t="str">
        <x:v>recommended</x:v>
      </x:c>
      <x:c r="E784" s="36" t="n">
        <x:v>1300</x:v>
      </x:c>
      <x:c r="F784" s="36" t="n">
        <x:v>3</x:v>
      </x:c>
      <x:c r="G784" s="9" t="str">
        <x:v>informational</x:v>
      </x:c>
      <x:c r="H784" s="9" t="str">
        <x:v>General Vape</x:v>
      </x:c>
      <x:c r="I784" s="9" t="str">
        <x:v>知识/教程词</x:v>
      </x:c>
      <x:c r="J784" s="9" t="str">
        <x:v>博客A-知识教程</x:v>
      </x:c>
      <x:c r="K784" s="9" t="str"/>
      <x:c r="L784" s="9" t="str">
        <x:f>IF(K784="",J784,K784)</x:f>
        <x:v>博客A-知识教程</x:v>
      </x:c>
      <x:c r="M784" s="9" t="str">
        <x:v>百科/How-to/FAQ文章</x:v>
      </x:c>
      <x:c r="N784" s="9" t="str">
        <x:v>Guide angle: explain vapes made in usa, answer common questions, and avoid sales-first writing</x:v>
      </x:c>
      <x:c r="O784" s="9" t="str">
        <x:v>/collections/disposable-vapes</x:v>
      </x:c>
      <x:c r="P784" s="9" t="str">
        <x:v>谨慎</x:v>
      </x:c>
      <x:c r="Q784" s="9" t="str">
        <x:v>自然句/品牌词</x:v>
      </x:c>
      <x:c r="R784" s="9" t="str">
        <x:v>低中风险：先满足信息意图，导流要克制</x:v>
      </x:c>
      <x:c r="S784" s="9" t="str">
        <x:v>如果文章能自然回答下一步购买问题，再放 1 个主站内链；否则只做知识闭环。</x:v>
      </x:c>
      <x:c r="T784" s="38" t="n">
        <x:v>13</x:v>
      </x:c>
      <x:c r="U784" s="38" t="n">
        <x:v>15</x:v>
      </x:c>
      <x:c r="V784" s="38" t="n">
        <x:v>9</x:v>
      </x:c>
      <x:c r="W784" s="38" t="n">
        <x:v>14</x:v>
      </x:c>
      <x:c r="X784" s="38" t="n">
        <x:v>12</x:v>
      </x:c>
      <x:c r="Y784" s="38" t="n">
        <x:v>5</x:v>
      </x:c>
      <x:c r="Z784" s="38" t="n">
        <x:f>MAX(0,MIN(100,ROUND(((T784+U784+V784+W784+X784)-Y784)/85*100,0)))</x:f>
        <x:v>68</x:v>
      </x:c>
      <x:c r="AA784" s="9" t="str">
        <x:f>IF(L784="暂不做","P3 暂缓",IF(Z784&gt;=75,"P0 本周做",IF(Z784&gt;=60,"P1 近期做",IF(Z784&gt;=45,"P2 备选","P3 暂缓"))))</x:f>
        <x:v>P1 近期做</x:v>
      </x:c>
      <x:c r="AB784" s="9" t="str">
        <x:f>IF(Y784&gt;=15,"先做合规/相关性复核，不建议直接商业导流",IF(L784="主站","建/优化主站商业页",IF(L784="博客A-知识教程","写知识教程/FAQ文章",IF(L784="博客B-场景人群","写场景需求/选购指南文章",IF(L784="博客C-对比评测","写对比评测/榜单文章","暂不做或人工复核")))))</x:f>
        <x:v>写知识教程/FAQ文章</x:v>
      </x:c>
      <x:c r="AC784" s="9" t="str">
        <x:v>tobacco vape</x:v>
      </x:c>
      <x:c r="AD784" s="10" t="str">
        <x:v>48</x:v>
      </x:c>
    </x:row>
    <x:row r="785">
      <x:c r="A785" s="34" t="n">
        <x:v>785</x:v>
      </x:c>
      <x:c r="B785" s="9" t="str">
        <x:v>48</x:v>
      </x:c>
      <x:c r="C785" s="9" t="str">
        <x:v>vape mod</x:v>
      </x:c>
      <x:c r="D785" s="9" t="str">
        <x:v>recommended</x:v>
      </x:c>
      <x:c r="E785" s="36" t="n">
        <x:v>3600</x:v>
      </x:c>
      <x:c r="F785" s="36" t="n">
        <x:v>30</x:v>
      </x:c>
      <x:c r="G785" s="9" t="str">
        <x:v>informational, commercial</x:v>
      </x:c>
      <x:c r="H785" s="9" t="str">
        <x:v>General Vape</x:v>
      </x:c>
      <x:c r="I785" s="9" t="str">
        <x:v>品类承接词</x:v>
      </x:c>
      <x:c r="J785" s="9" t="str">
        <x:v>主站</x:v>
      </x:c>
      <x:c r="K785" s="9" t="str"/>
      <x:c r="L785" s="9" t="str">
        <x:f>IF(K785="",J785,K785)</x:f>
        <x:v>主站</x:v>
      </x:c>
      <x:c r="M785" s="9" t="str">
        <x:v>品类页/集合页 + FAQ内容块</x:v>
      </x:c>
      <x:c r="N785" s="9" t="str">
        <x:v>主站品类页：用产品集合 + 选购说明承接</x:v>
      </x:c>
      <x:c r="O785" s="9" t="str">
        <x:v>/collections/disposable-vapes</x:v>
      </x:c>
      <x:c r="P785" s="9" t="str">
        <x:v>不适用</x:v>
      </x:c>
      <x:c r="Q785" s="9" t="str">
        <x:v>主站页面自身承接</x:v>
      </x:c>
      <x:c r="R785" s="9" t="str">
        <x:v>核心品类词：主站优先，博客只做长尾解释，不直接抢同一词</x:v>
      </x:c>
      <x:c r="S785" s="9" t="str">
        <x:v>如果 Google 首页产品页和指南混合，主站页要加 FAQ、选购指南、对比模块。</x:v>
      </x:c>
      <x:c r="T785" s="38" t="n">
        <x:v>13</x:v>
      </x:c>
      <x:c r="U785" s="38" t="n">
        <x:v>12</x:v>
      </x:c>
      <x:c r="V785" s="38" t="n">
        <x:v>18</x:v>
      </x:c>
      <x:c r="W785" s="38" t="n">
        <x:v>8</x:v>
      </x:c>
      <x:c r="X785" s="38" t="n">
        <x:v>15</x:v>
      </x:c>
      <x:c r="Y785" s="38" t="n">
        <x:v>4</x:v>
      </x:c>
      <x:c r="Z785" s="38" t="n">
        <x:f>MAX(0,MIN(100,ROUND(((T785+U785+V785+W785+X785)-Y785)/85*100,0)))</x:f>
        <x:v>73</x:v>
      </x:c>
      <x:c r="AA785" s="9" t="str">
        <x:f>IF(L785="暂不做","P3 暂缓",IF(Z785&gt;=75,"P0 本周做",IF(Z785&gt;=60,"P1 近期做",IF(Z785&gt;=45,"P2 备选","P3 暂缓"))))</x:f>
        <x:v>P1 近期做</x:v>
      </x:c>
      <x:c r="AB785" s="9" t="str">
        <x:f>IF(Y785&gt;=15,"先做合规/相关性复核，不建议直接商业导流",IF(L785="主站","建/优化主站商业页",IF(L785="博客A-知识教程","写知识教程/FAQ文章",IF(L785="博客B-场景人群","写场景需求/选购指南文章",IF(L785="博客C-对比评测","写对比评测/榜单文章","暂不做或人工复核")))))</x:f>
        <x:v>建/优化主站商业页</x:v>
      </x:c>
      <x:c r="AC785" s="9" t="str">
        <x:v>tobacco vape</x:v>
      </x:c>
      <x:c r="AD785" s="10" t="str">
        <x:v>48</x:v>
      </x:c>
    </x:row>
    <x:row r="786">
      <x:c r="A786" s="34" t="n">
        <x:v>786</x:v>
      </x:c>
      <x:c r="B786" s="9" t="str">
        <x:v>48</x:v>
      </x:c>
      <x:c r="C786" s="9" t="str">
        <x:v>modded vapes</x:v>
      </x:c>
      <x:c r="D786" s="9" t="str">
        <x:v>recommended</x:v>
      </x:c>
      <x:c r="E786" s="36" t="n">
        <x:v>4400</x:v>
      </x:c>
      <x:c r="F786" s="36" t="n">
        <x:v>35</x:v>
      </x:c>
      <x:c r="G786" s="9" t="str">
        <x:v>commercial</x:v>
      </x:c>
      <x:c r="H786" s="9" t="str">
        <x:v>General Vape</x:v>
      </x:c>
      <x:c r="I786" s="9" t="str">
        <x:v>品类承接词</x:v>
      </x:c>
      <x:c r="J786" s="9" t="str">
        <x:v>主站</x:v>
      </x:c>
      <x:c r="K786" s="9" t="str"/>
      <x:c r="L786" s="9" t="str">
        <x:f>IF(K786="",J786,K786)</x:f>
        <x:v>主站</x:v>
      </x:c>
      <x:c r="M786" s="9" t="str">
        <x:v>品类页/集合页 + FAQ内容块</x:v>
      </x:c>
      <x:c r="N786" s="9" t="str">
        <x:v>主站品类页：用产品集合 + 选购说明承接</x:v>
      </x:c>
      <x:c r="O786" s="9" t="str">
        <x:v>/collections/disposable-vapes</x:v>
      </x:c>
      <x:c r="P786" s="9" t="str">
        <x:v>不适用</x:v>
      </x:c>
      <x:c r="Q786" s="9" t="str">
        <x:v>主站页面自身承接</x:v>
      </x:c>
      <x:c r="R786" s="9" t="str">
        <x:v>核心品类词：主站优先，博客只做长尾解释，不直接抢同一词</x:v>
      </x:c>
      <x:c r="S786" s="9" t="str">
        <x:v>如果 Google 首页产品页和指南混合，主站页要加 FAQ、选购指南、对比模块。</x:v>
      </x:c>
      <x:c r="T786" s="38" t="n">
        <x:v>13</x:v>
      </x:c>
      <x:c r="U786" s="38" t="n">
        <x:v>9</x:v>
      </x:c>
      <x:c r="V786" s="38" t="n">
        <x:v>18</x:v>
      </x:c>
      <x:c r="W786" s="38" t="n">
        <x:v>8</x:v>
      </x:c>
      <x:c r="X786" s="38" t="n">
        <x:v>15</x:v>
      </x:c>
      <x:c r="Y786" s="38" t="n">
        <x:v>4</x:v>
      </x:c>
      <x:c r="Z786" s="38" t="n">
        <x:f>MAX(0,MIN(100,ROUND(((T786+U786+V786+W786+X786)-Y786)/85*100,0)))</x:f>
        <x:v>69</x:v>
      </x:c>
      <x:c r="AA786" s="9" t="str">
        <x:f>IF(L786="暂不做","P3 暂缓",IF(Z786&gt;=75,"P0 本周做",IF(Z786&gt;=60,"P1 近期做",IF(Z786&gt;=45,"P2 备选","P3 暂缓"))))</x:f>
        <x:v>P1 近期做</x:v>
      </x:c>
      <x:c r="AB786" s="9" t="str">
        <x:f>IF(Y786&gt;=15,"先做合规/相关性复核，不建议直接商业导流",IF(L786="主站","建/优化主站商业页",IF(L786="博客A-知识教程","写知识教程/FAQ文章",IF(L786="博客B-场景人群","写场景需求/选购指南文章",IF(L786="博客C-对比评测","写对比评测/榜单文章","暂不做或人工复核")))))</x:f>
        <x:v>建/优化主站商业页</x:v>
      </x:c>
      <x:c r="AC786" s="9" t="str">
        <x:v>tobacco vape</x:v>
      </x:c>
      <x:c r="AD786" s="10" t="str">
        <x:v>48</x:v>
      </x:c>
    </x:row>
    <x:row r="787">
      <x:c r="A787" s="34" t="n">
        <x:v>787</x:v>
      </x:c>
      <x:c r="B787" s="9" t="str">
        <x:v>48</x:v>
      </x:c>
      <x:c r="C787" s="9" t="str">
        <x:v>nicotine vape</x:v>
      </x:c>
      <x:c r="D787" s="9" t="str">
        <x:v>recommended</x:v>
      </x:c>
      <x:c r="E787" s="36" t="n">
        <x:v>9900</x:v>
      </x:c>
      <x:c r="F787" s="36" t="n">
        <x:v>66</x:v>
      </x:c>
      <x:c r="G787" s="9" t="str">
        <x:v>informational</x:v>
      </x:c>
      <x:c r="H787" s="9" t="str">
        <x:v>Nicotine / 尼古丁</x:v>
      </x:c>
      <x:c r="I787" s="9" t="str">
        <x:v>品类承接词</x:v>
      </x:c>
      <x:c r="J787" s="9" t="str">
        <x:v>主站</x:v>
      </x:c>
      <x:c r="K787" s="9" t="str"/>
      <x:c r="L787" s="9" t="str">
        <x:f>IF(K787="",J787,K787)</x:f>
        <x:v>主站</x:v>
      </x:c>
      <x:c r="M787" s="9" t="str">
        <x:v>品类页/集合页 + FAQ内容块</x:v>
      </x:c>
      <x:c r="N787" s="9" t="str">
        <x:v>主站品类页：用产品集合 + 选购说明承接</x:v>
      </x:c>
      <x:c r="O787" s="9" t="str">
        <x:v>/collections/disposable-vapes</x:v>
      </x:c>
      <x:c r="P787" s="9" t="str">
        <x:v>不适用</x:v>
      </x:c>
      <x:c r="Q787" s="9" t="str">
        <x:v>主站页面自身承接</x:v>
      </x:c>
      <x:c r="R787" s="9" t="str">
        <x:v>核心品类词：主站优先，博客只做长尾解释，不直接抢同一词</x:v>
      </x:c>
      <x:c r="S787" s="9" t="str">
        <x:v>如果 Google 首页产品页和指南混合，主站页要加 FAQ、选购指南、对比模块。</x:v>
      </x:c>
      <x:c r="T787" s="38" t="n">
        <x:v>16</x:v>
      </x:c>
      <x:c r="U787" s="38" t="n">
        <x:v>3</x:v>
      </x:c>
      <x:c r="V787" s="38" t="n">
        <x:v>16</x:v>
      </x:c>
      <x:c r="W787" s="38" t="n">
        <x:v>8</x:v>
      </x:c>
      <x:c r="X787" s="38" t="n">
        <x:v>15</x:v>
      </x:c>
      <x:c r="Y787" s="38" t="n">
        <x:v>4</x:v>
      </x:c>
      <x:c r="Z787" s="38" t="n">
        <x:f>MAX(0,MIN(100,ROUND(((T787+U787+V787+W787+X787)-Y787)/85*100,0)))</x:f>
        <x:v>64</x:v>
      </x:c>
      <x:c r="AA787" s="9" t="str">
        <x:f>IF(L787="暂不做","P3 暂缓",IF(Z787&gt;=75,"P0 本周做",IF(Z787&gt;=60,"P1 近期做",IF(Z787&gt;=45,"P2 备选","P3 暂缓"))))</x:f>
        <x:v>P1 近期做</x:v>
      </x:c>
      <x:c r="AB787" s="9" t="str">
        <x:f>IF(Y787&gt;=15,"先做合规/相关性复核，不建议直接商业导流",IF(L787="主站","建/优化主站商业页",IF(L787="博客A-知识教程","写知识教程/FAQ文章",IF(L787="博客B-场景人群","写场景需求/选购指南文章",IF(L787="博客C-对比评测","写对比评测/榜单文章","暂不做或人工复核")))))</x:f>
        <x:v>建/优化主站商业页</x:v>
      </x:c>
      <x:c r="AC787" s="9" t="str">
        <x:v>tobacco vape</x:v>
      </x:c>
      <x:c r="AD787" s="10" t="str">
        <x:v>48</x:v>
      </x:c>
    </x:row>
    <x:row r="788">
      <x:c r="A788" s="34" t="n">
        <x:v>788</x:v>
      </x:c>
      <x:c r="B788" s="9" t="str">
        <x:v>48</x:v>
      </x:c>
      <x:c r="C788" s="9" t="str">
        <x:v>best vape mods</x:v>
      </x:c>
      <x:c r="D788" s="9" t="str">
        <x:v>recommended</x:v>
      </x:c>
      <x:c r="E788" s="36" t="n">
        <x:v>1300</x:v>
      </x:c>
      <x:c r="F788" s="36" t="n">
        <x:v>23</x:v>
      </x:c>
      <x:c r="G788" s="9" t="str">
        <x:v>commercial</x:v>
      </x:c>
      <x:c r="H788" s="9" t="str">
        <x:v>对比评测</x:v>
      </x:c>
      <x:c r="I788" s="9" t="str">
        <x:v>商业调查词</x:v>
      </x:c>
      <x:c r="J788" s="9" t="str">
        <x:v>博客C-对比评测</x:v>
      </x:c>
      <x:c r="K788" s="9" t="str"/>
      <x:c r="L788" s="9" t="str">
        <x:f>IF(K788="",J788,K788)</x:f>
        <x:v>博客C-对比评测</x:v>
      </x:c>
      <x:c r="M788" s="9" t="str">
        <x:v>Best/Top/Review/VS/替代方案文章</x:v>
      </x:c>
      <x:c r="N788" s="9" t="str">
        <x:v>Best angle: best vape mods - comparison, pros/cons, and which option fits different buyers</x:v>
      </x:c>
      <x:c r="O788" s="9" t="str">
        <x:v>/collections/disposable-vapes</x:v>
      </x:c>
      <x:c r="P788" s="9" t="str">
        <x:v>是</x:v>
      </x:c>
      <x:c r="Q788" s="9" t="str">
        <x:v>自然句/品类词/品牌词</x:v>
      </x:c>
      <x:c r="R788" s="9" t="str">
        <x:v>中风险：榜单和评测必须真实、中立，避免夸大</x:v>
      </x:c>
      <x:c r="S788" s="9" t="str">
        <x:v>这类词不直接给主站，先用博客C教育和比较，再导流到最相关集合页。</x:v>
      </x:c>
      <x:c r="T788" s="38" t="n">
        <x:v>13</x:v>
      </x:c>
      <x:c r="U788" s="38" t="n">
        <x:v>12</x:v>
      </x:c>
      <x:c r="V788" s="38" t="n">
        <x:v>16</x:v>
      </x:c>
      <x:c r="W788" s="38" t="n">
        <x:v>15</x:v>
      </x:c>
      <x:c r="X788" s="38" t="n">
        <x:v>13</x:v>
      </x:c>
      <x:c r="Y788" s="38" t="n">
        <x:v>6</x:v>
      </x:c>
      <x:c r="Z788" s="38" t="n">
        <x:f>MAX(0,MIN(100,ROUND(((T788+U788+V788+W788+X788)-Y788)/85*100,0)))</x:f>
        <x:v>74</x:v>
      </x:c>
      <x:c r="AA788" s="9" t="str">
        <x:f>IF(L788="暂不做","P3 暂缓",IF(Z788&gt;=75,"P0 本周做",IF(Z788&gt;=60,"P1 近期做",IF(Z788&gt;=45,"P2 备选","P3 暂缓"))))</x:f>
        <x:v>P1 近期做</x:v>
      </x:c>
      <x:c r="AB788" s="9" t="str">
        <x:f>IF(Y788&gt;=15,"先做合规/相关性复核，不建议直接商业导流",IF(L788="主站","建/优化主站商业页",IF(L788="博客A-知识教程","写知识教程/FAQ文章",IF(L788="博客B-场景人群","写场景需求/选购指南文章",IF(L788="博客C-对比评测","写对比评测/榜单文章","暂不做或人工复核")))))</x:f>
        <x:v>写对比评测/榜单文章</x:v>
      </x:c>
      <x:c r="AC788" s="9" t="str">
        <x:v>tobacco vape</x:v>
      </x:c>
      <x:c r="AD788" s="10" t="str">
        <x:v>48</x:v>
      </x:c>
    </x:row>
    <x:row r="789">
      <x:c r="A789" s="34" t="n">
        <x:v>789</x:v>
      </x:c>
      <x:c r="B789" s="9" t="str">
        <x:v>48</x:v>
      </x:c>
      <x:c r="C789" s="9" t="str">
        <x:v>vape store</x:v>
      </x:c>
      <x:c r="D789" s="9" t="str">
        <x:v>recommended</x:v>
      </x:c>
      <x:c r="E789" s="36" t="n">
        <x:v>60500</x:v>
      </x:c>
      <x:c r="F789" s="36" t="n">
        <x:v>88</x:v>
      </x:c>
      <x:c r="G789" s="9" t="str">
        <x:v>commercial</x:v>
      </x:c>
      <x:c r="H789" s="9" t="str">
        <x:v>购买交易</x:v>
      </x:c>
      <x:c r="I789" s="9" t="str">
        <x:v>交易词</x:v>
      </x:c>
      <x:c r="J789" s="9" t="str">
        <x:v>主站</x:v>
      </x:c>
      <x:c r="K789" s="9" t="str"/>
      <x:c r="L789" s="9" t="str">
        <x:f>IF(K789="",J789,K789)</x:f>
        <x:v>主站</x:v>
      </x:c>
      <x:c r="M789" s="9" t="str">
        <x:v>产品集合页/分类页/购买页</x:v>
      </x:c>
      <x:c r="N789" s="9" t="str">
        <x:v>主站商业页：标题围绕购买意图 + 品类 + 关键卖点</x:v>
      </x:c>
      <x:c r="O789" s="9" t="str">
        <x:v>/collections/disposable-vapes</x:v>
      </x:c>
      <x:c r="P789" s="9" t="str">
        <x:v>不适用</x:v>
      </x:c>
      <x:c r="Q789" s="9" t="str">
        <x:v>主站页面自身承接</x:v>
      </x:c>
      <x:c r="R789" s="9" t="str">
        <x:v>商业词：优先给主站，避免博客抢主站排名</x:v>
      </x:c>
      <x:c r="S789" s="9" t="str">
        <x:v>SERP 如为商品列表/品牌站/电商集合页，就建主站页面；若 SERP 全是教程，再拆支持文章。</x:v>
      </x:c>
      <x:c r="T789" s="38" t="n">
        <x:v>20</x:v>
      </x:c>
      <x:c r="U789" s="38" t="n">
        <x:v>1</x:v>
      </x:c>
      <x:c r="V789" s="38" t="n">
        <x:v>20</x:v>
      </x:c>
      <x:c r="W789" s="38" t="n">
        <x:v>7</x:v>
      </x:c>
      <x:c r="X789" s="38" t="n">
        <x:v>15</x:v>
      </x:c>
      <x:c r="Y789" s="38" t="n">
        <x:v>4</x:v>
      </x:c>
      <x:c r="Z789" s="38" t="n">
        <x:f>MAX(0,MIN(100,ROUND(((T789+U789+V789+W789+X789)-Y789)/85*100,0)))</x:f>
        <x:v>69</x:v>
      </x:c>
      <x:c r="AA789" s="9" t="str">
        <x:f>IF(L789="暂不做","P3 暂缓",IF(Z789&gt;=75,"P0 本周做",IF(Z789&gt;=60,"P1 近期做",IF(Z789&gt;=45,"P2 备选","P3 暂缓"))))</x:f>
        <x:v>P1 近期做</x:v>
      </x:c>
      <x:c r="AB789" s="9" t="str">
        <x:f>IF(Y789&gt;=15,"先做合规/相关性复核，不建议直接商业导流",IF(L789="主站","建/优化主站商业页",IF(L789="博客A-知识教程","写知识教程/FAQ文章",IF(L789="博客B-场景人群","写场景需求/选购指南文章",IF(L789="博客C-对比评测","写对比评测/榜单文章","暂不做或人工复核")))))</x:f>
        <x:v>建/优化主站商业页</x:v>
      </x:c>
      <x:c r="AC789" s="9" t="str">
        <x:v>tobacco vape</x:v>
      </x:c>
      <x:c r="AD789" s="10" t="str">
        <x:v>48</x:v>
      </x:c>
    </x:row>
    <x:row r="790">
      <x:c r="A790" s="34" t="n">
        <x:v>790</x:v>
      </x:c>
      <x:c r="B790" s="9" t="str">
        <x:v>48</x:v>
      </x:c>
      <x:c r="C790" s="9" t="str">
        <x:v>geek vape disposable</x:v>
      </x:c>
      <x:c r="D790" s="9" t="str">
        <x:v>recommended</x:v>
      </x:c>
      <x:c r="E790" s="36" t="n">
        <x:v>1000</x:v>
      </x:c>
      <x:c r="F790" s="36" t="n">
        <x:v>21</x:v>
      </x:c>
      <x:c r="G790" s="9" t="str">
        <x:v>informational</x:v>
      </x:c>
      <x:c r="H790" s="9" t="str">
        <x:v>Disposable Vape</x:v>
      </x:c>
      <x:c r="I790" s="9" t="str">
        <x:v>品类承接词</x:v>
      </x:c>
      <x:c r="J790" s="9" t="str">
        <x:v>主站</x:v>
      </x:c>
      <x:c r="K790" s="9" t="str"/>
      <x:c r="L790" s="9" t="str">
        <x:f>IF(K790="",J790,K790)</x:f>
        <x:v>主站</x:v>
      </x:c>
      <x:c r="M790" s="9" t="str">
        <x:v>品类页/集合页 + FAQ内容块</x:v>
      </x:c>
      <x:c r="N790" s="9" t="str">
        <x:v>主站品类页：用产品集合 + 选购说明承接</x:v>
      </x:c>
      <x:c r="O790" s="9" t="str">
        <x:v>/collections/disposable-vapes</x:v>
      </x:c>
      <x:c r="P790" s="9" t="str">
        <x:v>不适用</x:v>
      </x:c>
      <x:c r="Q790" s="9" t="str">
        <x:v>主站页面自身承接</x:v>
      </x:c>
      <x:c r="R790" s="9" t="str">
        <x:v>核心品类词：主站优先，博客只做长尾解释，不直接抢同一词</x:v>
      </x:c>
      <x:c r="S790" s="9" t="str">
        <x:v>如果 Google 首页产品页和指南混合，主站页要加 FAQ、选购指南、对比模块。</x:v>
      </x:c>
      <x:c r="T790" s="38" t="n">
        <x:v>13</x:v>
      </x:c>
      <x:c r="U790" s="38" t="n">
        <x:v>12</x:v>
      </x:c>
      <x:c r="V790" s="38" t="n">
        <x:v>16</x:v>
      </x:c>
      <x:c r="W790" s="38" t="n">
        <x:v>8</x:v>
      </x:c>
      <x:c r="X790" s="38" t="n">
        <x:v>15</x:v>
      </x:c>
      <x:c r="Y790" s="38" t="n">
        <x:v>4</x:v>
      </x:c>
      <x:c r="Z790" s="38" t="n">
        <x:f>MAX(0,MIN(100,ROUND(((T790+U790+V790+W790+X790)-Y790)/85*100,0)))</x:f>
        <x:v>71</x:v>
      </x:c>
      <x:c r="AA790" s="9" t="str">
        <x:f>IF(L790="暂不做","P3 暂缓",IF(Z790&gt;=75,"P0 本周做",IF(Z790&gt;=60,"P1 近期做",IF(Z790&gt;=45,"P2 备选","P3 暂缓"))))</x:f>
        <x:v>P1 近期做</x:v>
      </x:c>
      <x:c r="AB790" s="9" t="str">
        <x:f>IF(Y790&gt;=15,"先做合规/相关性复核，不建议直接商业导流",IF(L790="主站","建/优化主站商业页",IF(L790="博客A-知识教程","写知识教程/FAQ文章",IF(L790="博客B-场景人群","写场景需求/选购指南文章",IF(L790="博客C-对比评测","写对比评测/榜单文章","暂不做或人工复核")))))</x:f>
        <x:v>建/优化主站商业页</x:v>
      </x:c>
      <x:c r="AC790" s="9" t="str">
        <x:v>tobacco vape</x:v>
      </x:c>
      <x:c r="AD790" s="10" t="str">
        <x:v>48</x:v>
      </x:c>
    </x:row>
    <x:row r="791">
      <x:c r="A791" s="34" t="n">
        <x:v>791</x:v>
      </x:c>
      <x:c r="B791" s="9" t="str">
        <x:v>48</x:v>
      </x:c>
      <x:c r="C791" s="9" t="str">
        <x:v>best nicotine vape</x:v>
      </x:c>
      <x:c r="D791" s="9" t="str">
        <x:v>recommended</x:v>
      </x:c>
      <x:c r="E791" s="36" t="n">
        <x:v>1600</x:v>
      </x:c>
      <x:c r="F791" s="36" t="n">
        <x:v>32</x:v>
      </x:c>
      <x:c r="G791" s="9" t="str">
        <x:v>commercial</x:v>
      </x:c>
      <x:c r="H791" s="9" t="str">
        <x:v>Nicotine / 尼古丁</x:v>
      </x:c>
      <x:c r="I791" s="9" t="str">
        <x:v>商业调查词</x:v>
      </x:c>
      <x:c r="J791" s="9" t="str">
        <x:v>博客C-对比评测</x:v>
      </x:c>
      <x:c r="K791" s="9" t="str"/>
      <x:c r="L791" s="9" t="str">
        <x:f>IF(K791="",J791,K791)</x:f>
        <x:v>博客C-对比评测</x:v>
      </x:c>
      <x:c r="M791" s="9" t="str">
        <x:v>Best/Top/Review/VS/替代方案文章</x:v>
      </x:c>
      <x:c r="N791" s="9" t="str">
        <x:v>Best angle: best nicotine vape - comparison, pros/cons, and which option fits different buyers</x:v>
      </x:c>
      <x:c r="O791" s="9" t="str">
        <x:v>/collections/disposable-vapes</x:v>
      </x:c>
      <x:c r="P791" s="9" t="str">
        <x:v>是</x:v>
      </x:c>
      <x:c r="Q791" s="9" t="str">
        <x:v>自然句/品类词/品牌词</x:v>
      </x:c>
      <x:c r="R791" s="9" t="str">
        <x:v>中风险：榜单和评测必须真实、中立，避免夸大</x:v>
      </x:c>
      <x:c r="S791" s="9" t="str">
        <x:v>这类词不直接给主站，先用博客C教育和比较，再导流到最相关集合页。</x:v>
      </x:c>
      <x:c r="T791" s="38" t="n">
        <x:v>13</x:v>
      </x:c>
      <x:c r="U791" s="38" t="n">
        <x:v>9</x:v>
      </x:c>
      <x:c r="V791" s="38" t="n">
        <x:v>16</x:v>
      </x:c>
      <x:c r="W791" s="38" t="n">
        <x:v>15</x:v>
      </x:c>
      <x:c r="X791" s="38" t="n">
        <x:v>13</x:v>
      </x:c>
      <x:c r="Y791" s="38" t="n">
        <x:v>6</x:v>
      </x:c>
      <x:c r="Z791" s="38" t="n">
        <x:f>MAX(0,MIN(100,ROUND(((T791+U791+V791+W791+X791)-Y791)/85*100,0)))</x:f>
        <x:v>71</x:v>
      </x:c>
      <x:c r="AA791" s="9" t="str">
        <x:f>IF(L791="暂不做","P3 暂缓",IF(Z791&gt;=75,"P0 本周做",IF(Z791&gt;=60,"P1 近期做",IF(Z791&gt;=45,"P2 备选","P3 暂缓"))))</x:f>
        <x:v>P1 近期做</x:v>
      </x:c>
      <x:c r="AB791" s="9" t="str">
        <x:f>IF(Y791&gt;=15,"先做合规/相关性复核，不建议直接商业导流",IF(L791="主站","建/优化主站商业页",IF(L791="博客A-知识教程","写知识教程/FAQ文章",IF(L791="博客B-场景人群","写场景需求/选购指南文章",IF(L791="博客C-对比评测","写对比评测/榜单文章","暂不做或人工复核")))))</x:f>
        <x:v>写对比评测/榜单文章</x:v>
      </x:c>
      <x:c r="AC791" s="9" t="str">
        <x:v>tobacco vape</x:v>
      </x:c>
      <x:c r="AD791" s="10" t="str">
        <x:v>48</x:v>
      </x:c>
    </x:row>
    <x:row r="792">
      <x:c r="A792" s="34" t="n">
        <x:v>792</x:v>
      </x:c>
      <x:c r="B792" s="9" t="str">
        <x:v>48</x:v>
      </x:c>
      <x:c r="C792" s="9" t="str">
        <x:v>online vape shop</x:v>
      </x:c>
      <x:c r="D792" s="9" t="str">
        <x:v>recommended</x:v>
      </x:c>
      <x:c r="E792" s="36" t="n">
        <x:v>12100</x:v>
      </x:c>
      <x:c r="F792" s="36" t="n">
        <x:v>86</x:v>
      </x:c>
      <x:c r="G792" s="9" t="str">
        <x:v>informational</x:v>
      </x:c>
      <x:c r="H792" s="9" t="str">
        <x:v>购买交易</x:v>
      </x:c>
      <x:c r="I792" s="9" t="str">
        <x:v>交易词</x:v>
      </x:c>
      <x:c r="J792" s="9" t="str">
        <x:v>主站</x:v>
      </x:c>
      <x:c r="K792" s="9" t="str"/>
      <x:c r="L792" s="9" t="str">
        <x:f>IF(K792="",J792,K792)</x:f>
        <x:v>主站</x:v>
      </x:c>
      <x:c r="M792" s="9" t="str">
        <x:v>产品集合页/分类页/购买页</x:v>
      </x:c>
      <x:c r="N792" s="9" t="str">
        <x:v>主站商业页：标题围绕购买意图 + 品类 + 关键卖点</x:v>
      </x:c>
      <x:c r="O792" s="9" t="str">
        <x:v>/collections/disposable-vapes</x:v>
      </x:c>
      <x:c r="P792" s="9" t="str">
        <x:v>不适用</x:v>
      </x:c>
      <x:c r="Q792" s="9" t="str">
        <x:v>主站页面自身承接</x:v>
      </x:c>
      <x:c r="R792" s="9" t="str">
        <x:v>商业词：优先给主站，避免博客抢主站排名</x:v>
      </x:c>
      <x:c r="S792" s="9" t="str">
        <x:v>SERP 如为商品列表/品牌站/电商集合页，就建主站页面；若 SERP 全是教程，再拆支持文章。</x:v>
      </x:c>
      <x:c r="T792" s="38" t="n">
        <x:v>18</x:v>
      </x:c>
      <x:c r="U792" s="38" t="n">
        <x:v>1</x:v>
      </x:c>
      <x:c r="V792" s="38" t="n">
        <x:v>20</x:v>
      </x:c>
      <x:c r="W792" s="38" t="n">
        <x:v>7</x:v>
      </x:c>
      <x:c r="X792" s="38" t="n">
        <x:v>15</x:v>
      </x:c>
      <x:c r="Y792" s="38" t="n">
        <x:v>4</x:v>
      </x:c>
      <x:c r="Z792" s="38" t="n">
        <x:f>MAX(0,MIN(100,ROUND(((T792+U792+V792+W792+X792)-Y792)/85*100,0)))</x:f>
        <x:v>67</x:v>
      </x:c>
      <x:c r="AA792" s="9" t="str">
        <x:f>IF(L792="暂不做","P3 暂缓",IF(Z792&gt;=75,"P0 本周做",IF(Z792&gt;=60,"P1 近期做",IF(Z792&gt;=45,"P2 备选","P3 暂缓"))))</x:f>
        <x:v>P1 近期做</x:v>
      </x:c>
      <x:c r="AB792" s="9" t="str">
        <x:f>IF(Y792&gt;=15,"先做合规/相关性复核，不建议直接商业导流",IF(L792="主站","建/优化主站商业页",IF(L792="博客A-知识教程","写知识教程/FAQ文章",IF(L792="博客B-场景人群","写场景需求/选购指南文章",IF(L792="博客C-对比评测","写对比评测/榜单文章","暂不做或人工复核")))))</x:f>
        <x:v>建/优化主站商业页</x:v>
      </x:c>
      <x:c r="AC792" s="9" t="str">
        <x:v>tobacco vape</x:v>
      </x:c>
      <x:c r="AD792" s="10" t="str">
        <x:v>48</x:v>
      </x:c>
    </x:row>
    <x:row r="793">
      <x:c r="A793" s="34" t="n">
        <x:v>793</x:v>
      </x:c>
      <x:c r="B793" s="9" t="str">
        <x:v>48</x:v>
      </x:c>
      <x:c r="C793" s="9" t="str">
        <x:v>vapid vapes</x:v>
      </x:c>
      <x:c r="D793" s="9" t="str">
        <x:v>recommended</x:v>
      </x:c>
      <x:c r="E793" s="36" t="n">
        <x:v>1300</x:v>
      </x:c>
      <x:c r="F793" s="36" t="n">
        <x:v>31</x:v>
      </x:c>
      <x:c r="G793" s="9" t="str">
        <x:v>informational</x:v>
      </x:c>
      <x:c r="H793" s="9" t="str">
        <x:v>General Vape</x:v>
      </x:c>
      <x:c r="I793" s="9" t="str">
        <x:v>品类承接词</x:v>
      </x:c>
      <x:c r="J793" s="9" t="str">
        <x:v>主站</x:v>
      </x:c>
      <x:c r="K793" s="9" t="str"/>
      <x:c r="L793" s="9" t="str">
        <x:f>IF(K793="",J793,K793)</x:f>
        <x:v>主站</x:v>
      </x:c>
      <x:c r="M793" s="9" t="str">
        <x:v>品类页/集合页 + FAQ内容块</x:v>
      </x:c>
      <x:c r="N793" s="9" t="str">
        <x:v>主站品类页：用产品集合 + 选购说明承接</x:v>
      </x:c>
      <x:c r="O793" s="9" t="str">
        <x:v>/collections/disposable-vapes</x:v>
      </x:c>
      <x:c r="P793" s="9" t="str">
        <x:v>不适用</x:v>
      </x:c>
      <x:c r="Q793" s="9" t="str">
        <x:v>主站页面自身承接</x:v>
      </x:c>
      <x:c r="R793" s="9" t="str">
        <x:v>核心品类词：主站优先，博客只做长尾解释，不直接抢同一词</x:v>
      </x:c>
      <x:c r="S793" s="9" t="str">
        <x:v>如果 Google 首页产品页和指南混合，主站页要加 FAQ、选购指南、对比模块。</x:v>
      </x:c>
      <x:c r="T793" s="38" t="n">
        <x:v>13</x:v>
      </x:c>
      <x:c r="U793" s="38" t="n">
        <x:v>9</x:v>
      </x:c>
      <x:c r="V793" s="38" t="n">
        <x:v>16</x:v>
      </x:c>
      <x:c r="W793" s="38" t="n">
        <x:v>8</x:v>
      </x:c>
      <x:c r="X793" s="38" t="n">
        <x:v>15</x:v>
      </x:c>
      <x:c r="Y793" s="38" t="n">
        <x:v>4</x:v>
      </x:c>
      <x:c r="Z793" s="38" t="n">
        <x:f>MAX(0,MIN(100,ROUND(((T793+U793+V793+W793+X793)-Y793)/85*100,0)))</x:f>
        <x:v>67</x:v>
      </x:c>
      <x:c r="AA793" s="9" t="str">
        <x:f>IF(L793="暂不做","P3 暂缓",IF(Z793&gt;=75,"P0 本周做",IF(Z793&gt;=60,"P1 近期做",IF(Z793&gt;=45,"P2 备选","P3 暂缓"))))</x:f>
        <x:v>P1 近期做</x:v>
      </x:c>
      <x:c r="AB793" s="9" t="str">
        <x:f>IF(Y793&gt;=15,"先做合规/相关性复核，不建议直接商业导流",IF(L793="主站","建/优化主站商业页",IF(L793="博客A-知识教程","写知识教程/FAQ文章",IF(L793="博客B-场景人群","写场景需求/选购指南文章",IF(L793="博客C-对比评测","写对比评测/榜单文章","暂不做或人工复核")))))</x:f>
        <x:v>建/优化主站商业页</x:v>
      </x:c>
      <x:c r="AC793" s="9" t="str">
        <x:v>tobacco vape</x:v>
      </x:c>
      <x:c r="AD793" s="10" t="str">
        <x:v>48</x:v>
      </x:c>
    </x:row>
    <x:row r="794">
      <x:c r="A794" s="34" t="n">
        <x:v>794</x:v>
      </x:c>
      <x:c r="B794" s="9" t="str">
        <x:v>48</x:v>
      </x:c>
      <x:c r="C794" s="9" t="str">
        <x:v>good e cigarettes</x:v>
      </x:c>
      <x:c r="D794" s="9" t="str">
        <x:v>recommended</x:v>
      </x:c>
      <x:c r="E794" s="36" t="n">
        <x:v>1000</x:v>
      </x:c>
      <x:c r="F794" s="36" t="n">
        <x:v>25</x:v>
      </x:c>
      <x:c r="G794" s="9" t="str">
        <x:v>informational, commercial</x:v>
      </x:c>
      <x:c r="H794" s="9" t="str">
        <x:v>E-Cigarette</x:v>
      </x:c>
      <x:c r="I794" s="9" t="str">
        <x:v>品类承接词</x:v>
      </x:c>
      <x:c r="J794" s="9" t="str">
        <x:v>主站</x:v>
      </x:c>
      <x:c r="K794" s="9" t="str"/>
      <x:c r="L794" s="9" t="str">
        <x:f>IF(K794="",J794,K794)</x:f>
        <x:v>主站</x:v>
      </x:c>
      <x:c r="M794" s="9" t="str">
        <x:v>品类页/集合页 + FAQ内容块</x:v>
      </x:c>
      <x:c r="N794" s="9" t="str">
        <x:v>主站品类页：用产品集合 + 选购说明承接</x:v>
      </x:c>
      <x:c r="O794" s="9" t="str">
        <x:v>/collections/e-cigarettes</x:v>
      </x:c>
      <x:c r="P794" s="9" t="str">
        <x:v>不适用</x:v>
      </x:c>
      <x:c r="Q794" s="9" t="str">
        <x:v>主站页面自身承接</x:v>
      </x:c>
      <x:c r="R794" s="9" t="str">
        <x:v>核心品类词：主站优先，博客只做长尾解释，不直接抢同一词</x:v>
      </x:c>
      <x:c r="S794" s="9" t="str">
        <x:v>如果 Google 首页产品页和指南混合，主站页要加 FAQ、选购指南、对比模块。</x:v>
      </x:c>
      <x:c r="T794" s="38" t="n">
        <x:v>13</x:v>
      </x:c>
      <x:c r="U794" s="38" t="n">
        <x:v>12</x:v>
      </x:c>
      <x:c r="V794" s="38" t="n">
        <x:v>18</x:v>
      </x:c>
      <x:c r="W794" s="38" t="n">
        <x:v>8</x:v>
      </x:c>
      <x:c r="X794" s="38" t="n">
        <x:v>15</x:v>
      </x:c>
      <x:c r="Y794" s="38" t="n">
        <x:v>4</x:v>
      </x:c>
      <x:c r="Z794" s="38" t="n">
        <x:f>MAX(0,MIN(100,ROUND(((T794+U794+V794+W794+X794)-Y794)/85*100,0)))</x:f>
        <x:v>73</x:v>
      </x:c>
      <x:c r="AA794" s="9" t="str">
        <x:f>IF(L794="暂不做","P3 暂缓",IF(Z794&gt;=75,"P0 本周做",IF(Z794&gt;=60,"P1 近期做",IF(Z794&gt;=45,"P2 备选","P3 暂缓"))))</x:f>
        <x:v>P1 近期做</x:v>
      </x:c>
      <x:c r="AB794" s="9" t="str">
        <x:f>IF(Y794&gt;=15,"先做合规/相关性复核，不建议直接商业导流",IF(L794="主站","建/优化主站商业页",IF(L794="博客A-知识教程","写知识教程/FAQ文章",IF(L794="博客B-场景人群","写场景需求/选购指南文章",IF(L794="博客C-对比评测","写对比评测/榜单文章","暂不做或人工复核")))))</x:f>
        <x:v>建/优化主站商业页</x:v>
      </x:c>
      <x:c r="AC794" s="9" t="str">
        <x:v>tobacco vape</x:v>
      </x:c>
      <x:c r="AD794" s="10" t="str">
        <x:v>48</x:v>
      </x:c>
    </x:row>
    <x:row r="795">
      <x:c r="A795" s="34" t="n">
        <x:v>795</x:v>
      </x:c>
      <x:c r="B795" s="9" t="str">
        <x:v>48</x:v>
      </x:c>
      <x:c r="C795" s="9" t="str">
        <x:v>e cigarette brands</x:v>
      </x:c>
      <x:c r="D795" s="9" t="str">
        <x:v>recommended</x:v>
      </x:c>
      <x:c r="E795" s="36" t="n">
        <x:v>1000</x:v>
      </x:c>
      <x:c r="F795" s="36" t="n">
        <x:v>32</x:v>
      </x:c>
      <x:c r="G795" s="9" t="str">
        <x:v>informational, commercial</x:v>
      </x:c>
      <x:c r="H795" s="9" t="str">
        <x:v>E-Cigarette</x:v>
      </x:c>
      <x:c r="I795" s="9" t="str">
        <x:v>商业调查词</x:v>
      </x:c>
      <x:c r="J795" s="9" t="str">
        <x:v>博客C-对比评测</x:v>
      </x:c>
      <x:c r="K795" s="9" t="str"/>
      <x:c r="L795" s="9" t="str">
        <x:f>IF(K795="",J795,K795)</x:f>
        <x:v>博客C-对比评测</x:v>
      </x:c>
      <x:c r="M795" s="9" t="str">
        <x:v>Best/Top/Review/VS/替代方案文章</x:v>
      </x:c>
      <x:c r="N795" s="9" t="str">
        <x:v>Best angle: e cigarette brands - comparison, pros/cons, and which option fits different buyers</x:v>
      </x:c>
      <x:c r="O795" s="9" t="str">
        <x:v>/collections/e-cigarettes</x:v>
      </x:c>
      <x:c r="P795" s="9" t="str">
        <x:v>是</x:v>
      </x:c>
      <x:c r="Q795" s="9" t="str">
        <x:v>自然句/品类词/品牌词</x:v>
      </x:c>
      <x:c r="R795" s="9" t="str">
        <x:v>中风险：榜单和评测必须真实、中立，避免夸大</x:v>
      </x:c>
      <x:c r="S795" s="9" t="str">
        <x:v>这类词不直接给主站，先用博客C教育和比较，再导流到最相关集合页。</x:v>
      </x:c>
      <x:c r="T795" s="38" t="n">
        <x:v>13</x:v>
      </x:c>
      <x:c r="U795" s="38" t="n">
        <x:v>9</x:v>
      </x:c>
      <x:c r="V795" s="38" t="n">
        <x:v>16</x:v>
      </x:c>
      <x:c r="W795" s="38" t="n">
        <x:v>15</x:v>
      </x:c>
      <x:c r="X795" s="38" t="n">
        <x:v>13</x:v>
      </x:c>
      <x:c r="Y795" s="38" t="n">
        <x:v>6</x:v>
      </x:c>
      <x:c r="Z795" s="38" t="n">
        <x:f>MAX(0,MIN(100,ROUND(((T795+U795+V795+W795+X795)-Y795)/85*100,0)))</x:f>
        <x:v>71</x:v>
      </x:c>
      <x:c r="AA795" s="9" t="str">
        <x:f>IF(L795="暂不做","P3 暂缓",IF(Z795&gt;=75,"P0 本周做",IF(Z795&gt;=60,"P1 近期做",IF(Z795&gt;=45,"P2 备选","P3 暂缓"))))</x:f>
        <x:v>P1 近期做</x:v>
      </x:c>
      <x:c r="AB795" s="9" t="str">
        <x:f>IF(Y795&gt;=15,"先做合规/相关性复核，不建议直接商业导流",IF(L795="主站","建/优化主站商业页",IF(L795="博客A-知识教程","写知识教程/FAQ文章",IF(L795="博客B-场景人群","写场景需求/选购指南文章",IF(L795="博客C-对比评测","写对比评测/榜单文章","暂不做或人工复核")))))</x:f>
        <x:v>写对比评测/榜单文章</x:v>
      </x:c>
      <x:c r="AC795" s="9" t="str">
        <x:v>tobacco vape</x:v>
      </x:c>
      <x:c r="AD795" s="10" t="str">
        <x:v>48</x:v>
      </x:c>
    </x:row>
    <x:row r="796">
      <x:c r="A796" s="34" t="n">
        <x:v>796</x:v>
      </x:c>
      <x:c r="B796" s="9" t="str">
        <x:v>48</x:v>
      </x:c>
      <x:c r="C796" s="9" t="str">
        <x:v>vape tank</x:v>
      </x:c>
      <x:c r="D796" s="9" t="str">
        <x:v>recommended</x:v>
      </x:c>
      <x:c r="E796" s="36" t="n">
        <x:v>1600</x:v>
      </x:c>
      <x:c r="F796" s="36" t="n">
        <x:v>39</x:v>
      </x:c>
      <x:c r="G796" s="9" t="str">
        <x:v>commercial</x:v>
      </x:c>
      <x:c r="H796" s="9" t="str">
        <x:v>General Vape</x:v>
      </x:c>
      <x:c r="I796" s="9" t="str">
        <x:v>品类承接词</x:v>
      </x:c>
      <x:c r="J796" s="9" t="str">
        <x:v>主站</x:v>
      </x:c>
      <x:c r="K796" s="9" t="str"/>
      <x:c r="L796" s="9" t="str">
        <x:f>IF(K796="",J796,K796)</x:f>
        <x:v>主站</x:v>
      </x:c>
      <x:c r="M796" s="9" t="str">
        <x:v>品类页/集合页 + FAQ内容块</x:v>
      </x:c>
      <x:c r="N796" s="9" t="str">
        <x:v>主站品类页：用产品集合 + 选购说明承接</x:v>
      </x:c>
      <x:c r="O796" s="9" t="str">
        <x:v>/collections/disposable-vapes</x:v>
      </x:c>
      <x:c r="P796" s="9" t="str">
        <x:v>不适用</x:v>
      </x:c>
      <x:c r="Q796" s="9" t="str">
        <x:v>主站页面自身承接</x:v>
      </x:c>
      <x:c r="R796" s="9" t="str">
        <x:v>核心品类词：主站优先，博客只做长尾解释，不直接抢同一词</x:v>
      </x:c>
      <x:c r="S796" s="9" t="str">
        <x:v>如果 Google 首页产品页和指南混合，主站页要加 FAQ、选购指南、对比模块。</x:v>
      </x:c>
      <x:c r="T796" s="38" t="n">
        <x:v>13</x:v>
      </x:c>
      <x:c r="U796" s="38" t="n">
        <x:v>9</x:v>
      </x:c>
      <x:c r="V796" s="38" t="n">
        <x:v>18</x:v>
      </x:c>
      <x:c r="W796" s="38" t="n">
        <x:v>8</x:v>
      </x:c>
      <x:c r="X796" s="38" t="n">
        <x:v>15</x:v>
      </x:c>
      <x:c r="Y796" s="38" t="n">
        <x:v>4</x:v>
      </x:c>
      <x:c r="Z796" s="38" t="n">
        <x:f>MAX(0,MIN(100,ROUND(((T796+U796+V796+W796+X796)-Y796)/85*100,0)))</x:f>
        <x:v>69</x:v>
      </x:c>
      <x:c r="AA796" s="9" t="str">
        <x:f>IF(L796="暂不做","P3 暂缓",IF(Z796&gt;=75,"P0 本周做",IF(Z796&gt;=60,"P1 近期做",IF(Z796&gt;=45,"P2 备选","P3 暂缓"))))</x:f>
        <x:v>P1 近期做</x:v>
      </x:c>
      <x:c r="AB796" s="9" t="str">
        <x:f>IF(Y796&gt;=15,"先做合规/相关性复核，不建议直接商业导流",IF(L796="主站","建/优化主站商业页",IF(L796="博客A-知识教程","写知识教程/FAQ文章",IF(L796="博客B-场景人群","写场景需求/选购指南文章",IF(L796="博客C-对比评测","写对比评测/榜单文章","暂不做或人工复核")))))</x:f>
        <x:v>建/优化主站商业页</x:v>
      </x:c>
      <x:c r="AC796" s="9" t="str">
        <x:v>tobacco vape</x:v>
      </x:c>
      <x:c r="AD796" s="10" t="str">
        <x:v>48</x:v>
      </x:c>
    </x:row>
    <x:row r="797">
      <x:c r="A797" s="34" t="n">
        <x:v>797</x:v>
      </x:c>
      <x:c r="B797" s="9" t="str">
        <x:v>48</x:v>
      </x:c>
      <x:c r="C797" s="9" t="str">
        <x:v>rechargeable vape</x:v>
      </x:c>
      <x:c r="D797" s="9" t="str">
        <x:v>recommended</x:v>
      </x:c>
      <x:c r="E797" s="36" t="n">
        <x:v>720</x:v>
      </x:c>
      <x:c r="F797" s="36" t="n">
        <x:v>33</x:v>
      </x:c>
      <x:c r="G797" s="9" t="str">
        <x:v>informational</x:v>
      </x:c>
      <x:c r="H797" s="9" t="str">
        <x:v>Reusable / Rechargeable</x:v>
      </x:c>
      <x:c r="I797" s="9" t="str">
        <x:v>场景/需求词</x:v>
      </x:c>
      <x:c r="J797" s="9" t="str">
        <x:v>博客B-场景人群</x:v>
      </x:c>
      <x:c r="K797" s="9" t="str"/>
      <x:c r="L797" s="9" t="str">
        <x:f>IF(K797="",J797,K797)</x:f>
        <x:v>博客B-场景人群</x:v>
      </x:c>
      <x:c r="M797" s="9" t="str">
        <x:v>场景解决方案/选购指南文章</x:v>
      </x:c>
      <x:c r="N797" s="9" t="str">
        <x:v>Scenario angle: how to choose rechargeable vape based on use case, flavor, nicotine, and budget</x:v>
      </x:c>
      <x:c r="O797" s="9" t="str">
        <x:v>/collections/rechargeable-vapes</x:v>
      </x:c>
      <x:c r="P797" s="9" t="str">
        <x:v>是</x:v>
      </x:c>
      <x:c r="Q797" s="9" t="str">
        <x:v>自然句/品类词</x:v>
      </x:c>
      <x:c r="R797" s="9" t="str">
        <x:v>低中风险：适合软性导流，但不要夸大效果或触碰健康疗效</x:v>
      </x:c>
      <x:c r="S797" s="9" t="str">
        <x:v>围绕使用场景、口味、尼古丁需求、便携性等写，不和主站品类页抢词。</x:v>
      </x:c>
      <x:c r="T797" s="38" t="n">
        <x:v>10</x:v>
      </x:c>
      <x:c r="U797" s="38" t="n">
        <x:v>9</x:v>
      </x:c>
      <x:c r="V797" s="38" t="n">
        <x:v>13</x:v>
      </x:c>
      <x:c r="W797" s="38" t="n">
        <x:v>14</x:v>
      </x:c>
      <x:c r="X797" s="38" t="n">
        <x:v>13</x:v>
      </x:c>
      <x:c r="Y797" s="38" t="n">
        <x:v>5</x:v>
      </x:c>
      <x:c r="Z797" s="38" t="n">
        <x:f>MAX(0,MIN(100,ROUND(((T797+U797+V797+W797+X797)-Y797)/85*100,0)))</x:f>
        <x:v>64</x:v>
      </x:c>
      <x:c r="AA797" s="9" t="str">
        <x:f>IF(L797="暂不做","P3 暂缓",IF(Z797&gt;=75,"P0 本周做",IF(Z797&gt;=60,"P1 近期做",IF(Z797&gt;=45,"P2 备选","P3 暂缓"))))</x:f>
        <x:v>P1 近期做</x:v>
      </x:c>
      <x:c r="AB797" s="9" t="str">
        <x:f>IF(Y797&gt;=15,"先做合规/相关性复核，不建议直接商业导流",IF(L797="主站","建/优化主站商业页",IF(L797="博客A-知识教程","写知识教程/FAQ文章",IF(L797="博客B-场景人群","写场景需求/选购指南文章",IF(L797="博客C-对比评测","写对比评测/榜单文章","暂不做或人工复核")))))</x:f>
        <x:v>写场景需求/选购指南文章</x:v>
      </x:c>
      <x:c r="AC797" s="9" t="str">
        <x:v>tobacco vape</x:v>
      </x:c>
      <x:c r="AD797" s="10" t="str">
        <x:v>48</x:v>
      </x:c>
    </x:row>
    <x:row r="798">
      <x:c r="A798" s="34" t="n">
        <x:v>798</x:v>
      </x:c>
      <x:c r="B798" s="9" t="str">
        <x:v>48</x:v>
      </x:c>
      <x:c r="C798" s="9" t="str">
        <x:v>cheapest disposable vapes</x:v>
      </x:c>
      <x:c r="D798" s="9" t="str">
        <x:v>recommended</x:v>
      </x:c>
      <x:c r="E798" s="36" t="n">
        <x:v>390</x:v>
      </x:c>
      <x:c r="F798" s="36" t="n">
        <x:v>17</x:v>
      </x:c>
      <x:c r="G798" s="9" t="str">
        <x:v>informational, commercial</x:v>
      </x:c>
      <x:c r="H798" s="9" t="str">
        <x:v>Disposable Vape</x:v>
      </x:c>
      <x:c r="I798" s="9" t="str">
        <x:v>交易词</x:v>
      </x:c>
      <x:c r="J798" s="9" t="str">
        <x:v>主站</x:v>
      </x:c>
      <x:c r="K798" s="9" t="str"/>
      <x:c r="L798" s="9" t="str">
        <x:f>IF(K798="",J798,K798)</x:f>
        <x:v>主站</x:v>
      </x:c>
      <x:c r="M798" s="9" t="str">
        <x:v>产品集合页/分类页/购买页</x:v>
      </x:c>
      <x:c r="N798" s="9" t="str">
        <x:v>主站商业页：标题围绕购买意图 + 品类 + 关键卖点</x:v>
      </x:c>
      <x:c r="O798" s="9" t="str">
        <x:v>/collections/disposable-vapes</x:v>
      </x:c>
      <x:c r="P798" s="9" t="str">
        <x:v>不适用</x:v>
      </x:c>
      <x:c r="Q798" s="9" t="str">
        <x:v>主站页面自身承接</x:v>
      </x:c>
      <x:c r="R798" s="9" t="str">
        <x:v>商业词：优先给主站，避免博客抢主站排名</x:v>
      </x:c>
      <x:c r="S798" s="9" t="str">
        <x:v>SERP 如为商品列表/品牌站/电商集合页，就建主站页面；若 SERP 全是教程，再拆支持文章。</x:v>
      </x:c>
      <x:c r="T798" s="38" t="n">
        <x:v>7</x:v>
      </x:c>
      <x:c r="U798" s="38" t="n">
        <x:v>12</x:v>
      </x:c>
      <x:c r="V798" s="38" t="n">
        <x:v>20</x:v>
      </x:c>
      <x:c r="W798" s="38" t="n">
        <x:v>7</x:v>
      </x:c>
      <x:c r="X798" s="38" t="n">
        <x:v>15</x:v>
      </x:c>
      <x:c r="Y798" s="38" t="n">
        <x:v>4</x:v>
      </x:c>
      <x:c r="Z798" s="38" t="n">
        <x:f>MAX(0,MIN(100,ROUND(((T798+U798+V798+W798+X798)-Y798)/85*100,0)))</x:f>
        <x:v>67</x:v>
      </x:c>
      <x:c r="AA798" s="9" t="str">
        <x:f>IF(L798="暂不做","P3 暂缓",IF(Z798&gt;=75,"P0 本周做",IF(Z798&gt;=60,"P1 近期做",IF(Z798&gt;=45,"P2 备选","P3 暂缓"))))</x:f>
        <x:v>P1 近期做</x:v>
      </x:c>
      <x:c r="AB798" s="9" t="str">
        <x:f>IF(Y798&gt;=15,"先做合规/相关性复核，不建议直接商业导流",IF(L798="主站","建/优化主站商业页",IF(L798="博客A-知识教程","写知识教程/FAQ文章",IF(L798="博客B-场景人群","写场景需求/选购指南文章",IF(L798="博客C-对比评测","写对比评测/榜单文章","暂不做或人工复核")))))</x:f>
        <x:v>建/优化主站商业页</x:v>
      </x:c>
      <x:c r="AC798" s="9" t="str">
        <x:v>tobacco vape</x:v>
      </x:c>
      <x:c r="AD798" s="10" t="str">
        <x:v>48</x:v>
      </x:c>
    </x:row>
    <x:row r="799">
      <x:c r="A799" s="34" t="n">
        <x:v>799</x:v>
      </x:c>
      <x:c r="B799" s="9" t="str">
        <x:v>48</x:v>
      </x:c>
      <x:c r="C799" s="9" t="str">
        <x:v>razz vape flavors</x:v>
      </x:c>
      <x:c r="D799" s="9" t="str">
        <x:v>recommended</x:v>
      </x:c>
      <x:c r="E799" s="36" t="n">
        <x:v>1000</x:v>
      </x:c>
      <x:c r="F799" s="36" t="n">
        <x:v>15</x:v>
      </x:c>
      <x:c r="G799" s="9" t="str">
        <x:v>informational, commercial</x:v>
      </x:c>
      <x:c r="H799" s="9" t="str">
        <x:v>竞品/品牌词</x:v>
      </x:c>
      <x:c r="I799" s="9" t="str">
        <x:v>竞品品牌词</x:v>
      </x:c>
      <x:c r="J799" s="9" t="str">
        <x:v>暂不做</x:v>
      </x:c>
      <x:c r="K799" s="9" t="str"/>
      <x:c r="L799" s="9" t="str">
        <x:f>IF(K799="",J799,K799)</x:f>
        <x:v>暂不做</x:v>
      </x:c>
      <x:c r="M799" s="9" t="str">
        <x:v>人工确认后再决定</x:v>
      </x:c>
      <x:c r="N799" s="9" t="str">
        <x:v>人工确认是否可做客观对比</x:v>
      </x:c>
      <x:c r="O799" s="9" t="str">
        <x:v>无</x:v>
      </x:c>
      <x:c r="P799" s="9" t="str">
        <x:v>否</x:v>
      </x:c>
      <x:c r="Q799" s="9" t="str">
        <x:v>不导流</x:v>
      </x:c>
      <x:c r="R799" s="9" t="str">
        <x:v>中高风险：纯竞品品牌词容易产生商标/相关性问题</x:v>
      </x:c>
      <x:c r="S799" s="9" t="str">
        <x:v>只有带 alternative / vs / review / best 这类明确比较意图时，才考虑博客C。</x:v>
      </x:c>
      <x:c r="T799" s="38" t="n">
        <x:v>13</x:v>
      </x:c>
      <x:c r="U799" s="38" t="n">
        <x:v>15</x:v>
      </x:c>
      <x:c r="V799" s="38" t="n">
        <x:v>5</x:v>
      </x:c>
      <x:c r="W799" s="38" t="n">
        <x:v>7</x:v>
      </x:c>
      <x:c r="X799" s="38" t="n">
        <x:v>4</x:v>
      </x:c>
      <x:c r="Y799" s="38" t="n">
        <x:v>14</x:v>
      </x:c>
      <x:c r="Z799" s="38" t="n">
        <x:f>MAX(0,MIN(100,ROUND(((T799+U799+V799+W799+X799)-Y799)/85*100,0)))</x:f>
        <x:v>35</x:v>
      </x:c>
      <x:c r="AA799" s="9" t="str">
        <x:f>IF(L799="暂不做","P3 暂缓",IF(Z799&gt;=75,"P0 本周做",IF(Z799&gt;=60,"P1 近期做",IF(Z799&gt;=45,"P2 备选","P3 暂缓"))))</x:f>
        <x:v>P3 暂缓</x:v>
      </x:c>
      <x:c r="AB799" s="9" t="str">
        <x:f>IF(Y799&gt;=15,"先做合规/相关性复核，不建议直接商业导流",IF(L799="主站","建/优化主站商业页",IF(L799="博客A-知识教程","写知识教程/FAQ文章",IF(L799="博客B-场景人群","写场景需求/选购指南文章",IF(L799="博客C-对比评测","写对比评测/榜单文章","暂不做或人工复核")))))</x:f>
        <x:v>暂不做或人工复核</x:v>
      </x:c>
      <x:c r="AC799" s="9" t="str">
        <x:v>razz vape flavors</x:v>
      </x:c>
      <x:c r="AD799" s="10" t="str">
        <x:v>48</x:v>
      </x:c>
    </x:row>
    <x:row r="800">
      <x:c r="A800" s="34" t="n">
        <x:v>800</x:v>
      </x:c>
      <x:c r="B800" s="9" t="str">
        <x:v>48</x:v>
      </x:c>
      <x:c r="C800" s="9" t="str">
        <x:v>raz disposable vape</x:v>
      </x:c>
      <x:c r="D800" s="9" t="str">
        <x:v>recommended</x:v>
      </x:c>
      <x:c r="E800" s="36" t="n">
        <x:v>1600</x:v>
      </x:c>
      <x:c r="F800" s="36" t="n">
        <x:v>14</x:v>
      </x:c>
      <x:c r="G800" s="9" t="str">
        <x:v>commercial</x:v>
      </x:c>
      <x:c r="H800" s="9" t="str">
        <x:v>竞品/品牌词</x:v>
      </x:c>
      <x:c r="I800" s="9" t="str">
        <x:v>竞品品牌词</x:v>
      </x:c>
      <x:c r="J800" s="9" t="str">
        <x:v>暂不做</x:v>
      </x:c>
      <x:c r="K800" s="9" t="str"/>
      <x:c r="L800" s="9" t="str">
        <x:f>IF(K800="",J800,K800)</x:f>
        <x:v>暂不做</x:v>
      </x:c>
      <x:c r="M800" s="9" t="str">
        <x:v>人工确认后再决定</x:v>
      </x:c>
      <x:c r="N800" s="9" t="str">
        <x:v>人工确认是否可做客观对比</x:v>
      </x:c>
      <x:c r="O800" s="9" t="str">
        <x:v>无</x:v>
      </x:c>
      <x:c r="P800" s="9" t="str">
        <x:v>否</x:v>
      </x:c>
      <x:c r="Q800" s="9" t="str">
        <x:v>不导流</x:v>
      </x:c>
      <x:c r="R800" s="9" t="str">
        <x:v>中高风险：纯竞品品牌词容易产生商标/相关性问题</x:v>
      </x:c>
      <x:c r="S800" s="9" t="str">
        <x:v>只有带 alternative / vs / review / best 这类明确比较意图时，才考虑博客C。</x:v>
      </x:c>
      <x:c r="T800" s="38" t="n">
        <x:v>13</x:v>
      </x:c>
      <x:c r="U800" s="38" t="n">
        <x:v>15</x:v>
      </x:c>
      <x:c r="V800" s="38" t="n">
        <x:v>5</x:v>
      </x:c>
      <x:c r="W800" s="38" t="n">
        <x:v>7</x:v>
      </x:c>
      <x:c r="X800" s="38" t="n">
        <x:v>4</x:v>
      </x:c>
      <x:c r="Y800" s="38" t="n">
        <x:v>14</x:v>
      </x:c>
      <x:c r="Z800" s="38" t="n">
        <x:f>MAX(0,MIN(100,ROUND(((T800+U800+V800+W800+X800)-Y800)/85*100,0)))</x:f>
        <x:v>35</x:v>
      </x:c>
      <x:c r="AA800" s="9" t="str">
        <x:f>IF(L800="暂不做","P3 暂缓",IF(Z800&gt;=75,"P0 本周做",IF(Z800&gt;=60,"P1 近期做",IF(Z800&gt;=45,"P2 备选","P3 暂缓"))))</x:f>
        <x:v>P3 暂缓</x:v>
      </x:c>
      <x:c r="AB800" s="9" t="str">
        <x:f>IF(Y800&gt;=15,"先做合规/相关性复核，不建议直接商业导流",IF(L800="主站","建/优化主站商业页",IF(L800="博客A-知识教程","写知识教程/FAQ文章",IF(L800="博客B-场景人群","写场景需求/选购指南文章",IF(L800="博客C-对比评测","写对比评测/榜单文章","暂不做或人工复核")))))</x:f>
        <x:v>暂不做或人工复核</x:v>
      </x:c>
      <x:c r="AC800" s="9" t="str">
        <x:v>razz vape flavors</x:v>
      </x:c>
      <x:c r="AD800" s="10" t="str">
        <x:v>48</x:v>
      </x:c>
    </x:row>
    <x:row r="801">
      <x:c r="A801" s="34" t="n">
        <x:v>801</x:v>
      </x:c>
      <x:c r="B801" s="9" t="str">
        <x:v>48</x:v>
      </x:c>
      <x:c r="C801" s="9" t="str">
        <x:v>mint raz vape</x:v>
      </x:c>
      <x:c r="D801" s="9" t="str">
        <x:v>recommended</x:v>
      </x:c>
      <x:c r="E801" s="36" t="n">
        <x:v>140</x:v>
      </x:c>
      <x:c r="F801" s="36" t="n">
        <x:v>0</x:v>
      </x:c>
      <x:c r="G801" s="9" t="str">
        <x:v>informational</x:v>
      </x:c>
      <x:c r="H801" s="9" t="str">
        <x:v>竞品/品牌词</x:v>
      </x:c>
      <x:c r="I801" s="9" t="str">
        <x:v>竞品品牌词</x:v>
      </x:c>
      <x:c r="J801" s="9" t="str">
        <x:v>暂不做</x:v>
      </x:c>
      <x:c r="K801" s="9" t="str"/>
      <x:c r="L801" s="9" t="str">
        <x:f>IF(K801="",J801,K801)</x:f>
        <x:v>暂不做</x:v>
      </x:c>
      <x:c r="M801" s="9" t="str">
        <x:v>人工确认后再决定</x:v>
      </x:c>
      <x:c r="N801" s="9" t="str">
        <x:v>人工确认是否可做客观对比</x:v>
      </x:c>
      <x:c r="O801" s="9" t="str">
        <x:v>无</x:v>
      </x:c>
      <x:c r="P801" s="9" t="str">
        <x:v>否</x:v>
      </x:c>
      <x:c r="Q801" s="9" t="str">
        <x:v>不导流</x:v>
      </x:c>
      <x:c r="R801" s="9" t="str">
        <x:v>中高风险：纯竞品品牌词容易产生商标/相关性问题</x:v>
      </x:c>
      <x:c r="S801" s="9" t="str">
        <x:v>只有带 alternative / vs / review / best 这类明确比较意图时，才考虑博客C。</x:v>
      </x:c>
      <x:c r="T801" s="38" t="n">
        <x:v>7</x:v>
      </x:c>
      <x:c r="U801" s="38" t="n">
        <x:v>15</x:v>
      </x:c>
      <x:c r="V801" s="38" t="n">
        <x:v>5</x:v>
      </x:c>
      <x:c r="W801" s="38" t="n">
        <x:v>7</x:v>
      </x:c>
      <x:c r="X801" s="38" t="n">
        <x:v>4</x:v>
      </x:c>
      <x:c r="Y801" s="38" t="n">
        <x:v>14</x:v>
      </x:c>
      <x:c r="Z801" s="38" t="n">
        <x:f>MAX(0,MIN(100,ROUND(((T801+U801+V801+W801+X801)-Y801)/85*100,0)))</x:f>
        <x:v>28</x:v>
      </x:c>
      <x:c r="AA801" s="9" t="str">
        <x:f>IF(L801="暂不做","P3 暂缓",IF(Z801&gt;=75,"P0 本周做",IF(Z801&gt;=60,"P1 近期做",IF(Z801&gt;=45,"P2 备选","P3 暂缓"))))</x:f>
        <x:v>P3 暂缓</x:v>
      </x:c>
      <x:c r="AB801" s="9" t="str">
        <x:f>IF(Y801&gt;=15,"先做合规/相关性复核，不建议直接商业导流",IF(L801="主站","建/优化主站商业页",IF(L801="博客A-知识教程","写知识教程/FAQ文章",IF(L801="博客B-场景人群","写场景需求/选购指南文章",IF(L801="博客C-对比评测","写对比评测/榜单文章","暂不做或人工复核")))))</x:f>
        <x:v>暂不做或人工复核</x:v>
      </x:c>
      <x:c r="AC801" s="9" t="str">
        <x:v>razz vape flavors</x:v>
      </x:c>
      <x:c r="AD801" s="10" t="str">
        <x:v>48</x:v>
      </x:c>
    </x:row>
    <x:row r="802">
      <x:c r="A802" s="34" t="n">
        <x:v>802</x:v>
      </x:c>
      <x:c r="B802" s="9" t="str">
        <x:v>48</x:v>
      </x:c>
      <x:c r="C802" s="9" t="str">
        <x:v>vapes raz</x:v>
      </x:c>
      <x:c r="D802" s="9" t="str">
        <x:v>recommended</x:v>
      </x:c>
      <x:c r="E802" s="36" t="n">
        <x:v>320</x:v>
      </x:c>
      <x:c r="F802" s="36" t="n">
        <x:v>20</x:v>
      </x:c>
      <x:c r="G802" s="9" t="str">
        <x:v>commercial</x:v>
      </x:c>
      <x:c r="H802" s="9" t="str">
        <x:v>竞品/品牌词</x:v>
      </x:c>
      <x:c r="I802" s="9" t="str">
        <x:v>竞品品牌词</x:v>
      </x:c>
      <x:c r="J802" s="9" t="str">
        <x:v>暂不做</x:v>
      </x:c>
      <x:c r="K802" s="9" t="str"/>
      <x:c r="L802" s="9" t="str">
        <x:f>IF(K802="",J802,K802)</x:f>
        <x:v>暂不做</x:v>
      </x:c>
      <x:c r="M802" s="9" t="str">
        <x:v>人工确认后再决定</x:v>
      </x:c>
      <x:c r="N802" s="9" t="str">
        <x:v>人工确认是否可做客观对比</x:v>
      </x:c>
      <x:c r="O802" s="9" t="str">
        <x:v>无</x:v>
      </x:c>
      <x:c r="P802" s="9" t="str">
        <x:v>否</x:v>
      </x:c>
      <x:c r="Q802" s="9" t="str">
        <x:v>不导流</x:v>
      </x:c>
      <x:c r="R802" s="9" t="str">
        <x:v>中高风险：纯竞品品牌词容易产生商标/相关性问题</x:v>
      </x:c>
      <x:c r="S802" s="9" t="str">
        <x:v>只有带 alternative / vs / review / best 这类明确比较意图时，才考虑博客C。</x:v>
      </x:c>
      <x:c r="T802" s="38" t="n">
        <x:v>7</x:v>
      </x:c>
      <x:c r="U802" s="38" t="n">
        <x:v>12</x:v>
      </x:c>
      <x:c r="V802" s="38" t="n">
        <x:v>5</x:v>
      </x:c>
      <x:c r="W802" s="38" t="n">
        <x:v>7</x:v>
      </x:c>
      <x:c r="X802" s="38" t="n">
        <x:v>4</x:v>
      </x:c>
      <x:c r="Y802" s="38" t="n">
        <x:v>14</x:v>
      </x:c>
      <x:c r="Z802" s="38" t="n">
        <x:f>MAX(0,MIN(100,ROUND(((T802+U802+V802+W802+X802)-Y802)/85*100,0)))</x:f>
        <x:v>25</x:v>
      </x:c>
      <x:c r="AA802" s="9" t="str">
        <x:f>IF(L802="暂不做","P3 暂缓",IF(Z802&gt;=75,"P0 本周做",IF(Z802&gt;=60,"P1 近期做",IF(Z802&gt;=45,"P2 备选","P3 暂缓"))))</x:f>
        <x:v>P3 暂缓</x:v>
      </x:c>
      <x:c r="AB802" s="9" t="str">
        <x:f>IF(Y802&gt;=15,"先做合规/相关性复核，不建议直接商业导流",IF(L802="主站","建/优化主站商业页",IF(L802="博客A-知识教程","写知识教程/FAQ文章",IF(L802="博客B-场景人群","写场景需求/选购指南文章",IF(L802="博客C-对比评测","写对比评测/榜单文章","暂不做或人工复核")))))</x:f>
        <x:v>暂不做或人工复核</x:v>
      </x:c>
      <x:c r="AC802" s="9" t="str">
        <x:v>razz vape flavors</x:v>
      </x:c>
      <x:c r="AD802" s="10" t="str">
        <x:v>48</x:v>
      </x:c>
    </x:row>
    <x:row r="803">
      <x:c r="A803" s="34" t="n">
        <x:v>803</x:v>
      </x:c>
      <x:c r="B803" s="9" t="str">
        <x:v>48</x:v>
      </x:c>
      <x:c r="C803" s="9" t="str">
        <x:v>blueberry razz vape</x:v>
      </x:c>
      <x:c r="D803" s="9" t="str">
        <x:v>recommended</x:v>
      </x:c>
      <x:c r="E803" s="36" t="n">
        <x:v>140</x:v>
      </x:c>
      <x:c r="F803" s="36" t="n">
        <x:v>1</x:v>
      </x:c>
      <x:c r="G803" s="9" t="str">
        <x:v>informational</x:v>
      </x:c>
      <x:c r="H803" s="9" t="str">
        <x:v>竞品/品牌词</x:v>
      </x:c>
      <x:c r="I803" s="9" t="str">
        <x:v>竞品品牌词</x:v>
      </x:c>
      <x:c r="J803" s="9" t="str">
        <x:v>暂不做</x:v>
      </x:c>
      <x:c r="K803" s="9" t="str"/>
      <x:c r="L803" s="9" t="str">
        <x:f>IF(K803="",J803,K803)</x:f>
        <x:v>暂不做</x:v>
      </x:c>
      <x:c r="M803" s="9" t="str">
        <x:v>人工确认后再决定</x:v>
      </x:c>
      <x:c r="N803" s="9" t="str">
        <x:v>人工确认是否可做客观对比</x:v>
      </x:c>
      <x:c r="O803" s="9" t="str">
        <x:v>无</x:v>
      </x:c>
      <x:c r="P803" s="9" t="str">
        <x:v>否</x:v>
      </x:c>
      <x:c r="Q803" s="9" t="str">
        <x:v>不导流</x:v>
      </x:c>
      <x:c r="R803" s="9" t="str">
        <x:v>中高风险：纯竞品品牌词容易产生商标/相关性问题</x:v>
      </x:c>
      <x:c r="S803" s="9" t="str">
        <x:v>只有带 alternative / vs / review / best 这类明确比较意图时，才考虑博客C。</x:v>
      </x:c>
      <x:c r="T803" s="38" t="n">
        <x:v>7</x:v>
      </x:c>
      <x:c r="U803" s="38" t="n">
        <x:v>15</x:v>
      </x:c>
      <x:c r="V803" s="38" t="n">
        <x:v>5</x:v>
      </x:c>
      <x:c r="W803" s="38" t="n">
        <x:v>7</x:v>
      </x:c>
      <x:c r="X803" s="38" t="n">
        <x:v>4</x:v>
      </x:c>
      <x:c r="Y803" s="38" t="n">
        <x:v>14</x:v>
      </x:c>
      <x:c r="Z803" s="38" t="n">
        <x:f>MAX(0,MIN(100,ROUND(((T803+U803+V803+W803+X803)-Y803)/85*100,0)))</x:f>
        <x:v>28</x:v>
      </x:c>
      <x:c r="AA803" s="9" t="str">
        <x:f>IF(L803="暂不做","P3 暂缓",IF(Z803&gt;=75,"P0 本周做",IF(Z803&gt;=60,"P1 近期做",IF(Z803&gt;=45,"P2 备选","P3 暂缓"))))</x:f>
        <x:v>P3 暂缓</x:v>
      </x:c>
      <x:c r="AB803" s="9" t="str">
        <x:f>IF(Y803&gt;=15,"先做合规/相关性复核，不建议直接商业导流",IF(L803="主站","建/优化主站商业页",IF(L803="博客A-知识教程","写知识教程/FAQ文章",IF(L803="博客B-场景人群","写场景需求/选购指南文章",IF(L803="博客C-对比评测","写对比评测/榜单文章","暂不做或人工复核")))))</x:f>
        <x:v>暂不做或人工复核</x:v>
      </x:c>
      <x:c r="AC803" s="9" t="str">
        <x:v>razz vape flavors</x:v>
      </x:c>
      <x:c r="AD803" s="10" t="str">
        <x:v>48</x:v>
      </x:c>
    </x:row>
    <x:row r="804">
      <x:c r="A804" s="34" t="n">
        <x:v>804</x:v>
      </x:c>
      <x:c r="B804" s="9" t="str">
        <x:v>48</x:v>
      </x:c>
      <x:c r="C804" s="9" t="str">
        <x:v>raz 25000 puff</x:v>
      </x:c>
      <x:c r="D804" s="9" t="str">
        <x:v>recommended</x:v>
      </x:c>
      <x:c r="E804" s="36" t="n">
        <x:v>90</x:v>
      </x:c>
      <x:c r="F804" s="36" t="n">
        <x:v>4</x:v>
      </x:c>
      <x:c r="G804" s="9" t="str">
        <x:v>commercial</x:v>
      </x:c>
      <x:c r="H804" s="9" t="str">
        <x:v>竞品/品牌词</x:v>
      </x:c>
      <x:c r="I804" s="9" t="str">
        <x:v>竞品品牌词</x:v>
      </x:c>
      <x:c r="J804" s="9" t="str">
        <x:v>暂不做</x:v>
      </x:c>
      <x:c r="K804" s="9" t="str"/>
      <x:c r="L804" s="9" t="str">
        <x:f>IF(K804="",J804,K804)</x:f>
        <x:v>暂不做</x:v>
      </x:c>
      <x:c r="M804" s="9" t="str">
        <x:v>人工确认后再决定</x:v>
      </x:c>
      <x:c r="N804" s="9" t="str">
        <x:v>人工确认是否可做客观对比</x:v>
      </x:c>
      <x:c r="O804" s="9" t="str">
        <x:v>无</x:v>
      </x:c>
      <x:c r="P804" s="9" t="str">
        <x:v>否</x:v>
      </x:c>
      <x:c r="Q804" s="9" t="str">
        <x:v>不导流</x:v>
      </x:c>
      <x:c r="R804" s="9" t="str">
        <x:v>中高风险：纯竞品品牌词容易产生商标/相关性问题</x:v>
      </x:c>
      <x:c r="S804" s="9" t="str">
        <x:v>只有带 alternative / vs / review / best 这类明确比较意图时，才考虑博客C。</x:v>
      </x:c>
      <x:c r="T804" s="38" t="n">
        <x:v>4</x:v>
      </x:c>
      <x:c r="U804" s="38" t="n">
        <x:v>15</x:v>
      </x:c>
      <x:c r="V804" s="38" t="n">
        <x:v>5</x:v>
      </x:c>
      <x:c r="W804" s="38" t="n">
        <x:v>7</x:v>
      </x:c>
      <x:c r="X804" s="38" t="n">
        <x:v>4</x:v>
      </x:c>
      <x:c r="Y804" s="38" t="n">
        <x:v>14</x:v>
      </x:c>
      <x:c r="Z804" s="38" t="n">
        <x:f>MAX(0,MIN(100,ROUND(((T804+U804+V804+W804+X804)-Y804)/85*100,0)))</x:f>
        <x:v>25</x:v>
      </x:c>
      <x:c r="AA804" s="9" t="str">
        <x:f>IF(L804="暂不做","P3 暂缓",IF(Z804&gt;=75,"P0 本周做",IF(Z804&gt;=60,"P1 近期做",IF(Z804&gt;=45,"P2 备选","P3 暂缓"))))</x:f>
        <x:v>P3 暂缓</x:v>
      </x:c>
      <x:c r="AB804" s="9" t="str">
        <x:f>IF(Y804&gt;=15,"先做合规/相关性复核，不建议直接商业导流",IF(L804="主站","建/优化主站商业页",IF(L804="博客A-知识教程","写知识教程/FAQ文章",IF(L804="博客B-场景人群","写场景需求/选购指南文章",IF(L804="博客C-对比评测","写对比评测/榜单文章","暂不做或人工复核")))))</x:f>
        <x:v>暂不做或人工复核</x:v>
      </x:c>
      <x:c r="AC804" s="9" t="str">
        <x:v>razz vape flavors</x:v>
      </x:c>
      <x:c r="AD804" s="10" t="str">
        <x:v>48</x:v>
      </x:c>
    </x:row>
    <x:row r="805">
      <x:c r="A805" s="34" t="n">
        <x:v>805</x:v>
      </x:c>
      <x:c r="B805" s="9" t="str">
        <x:v>48</x:v>
      </x:c>
      <x:c r="C805" s="9" t="str">
        <x:v>raz tobacco vape 25000</x:v>
      </x:c>
      <x:c r="D805" s="9" t="str">
        <x:v>recommended</x:v>
      </x:c>
      <x:c r="E805" s="36" t="n">
        <x:v>90</x:v>
      </x:c>
      <x:c r="F805" s="36" t="n">
        <x:v>7</x:v>
      </x:c>
      <x:c r="G805" s="9" t="str">
        <x:v>informational</x:v>
      </x:c>
      <x:c r="H805" s="9" t="str">
        <x:v>竞品/品牌词</x:v>
      </x:c>
      <x:c r="I805" s="9" t="str">
        <x:v>竞品品牌词</x:v>
      </x:c>
      <x:c r="J805" s="9" t="str">
        <x:v>暂不做</x:v>
      </x:c>
      <x:c r="K805" s="9" t="str"/>
      <x:c r="L805" s="9" t="str">
        <x:f>IF(K805="",J805,K805)</x:f>
        <x:v>暂不做</x:v>
      </x:c>
      <x:c r="M805" s="9" t="str">
        <x:v>人工确认后再决定</x:v>
      </x:c>
      <x:c r="N805" s="9" t="str">
        <x:v>人工确认是否可做客观对比</x:v>
      </x:c>
      <x:c r="O805" s="9" t="str">
        <x:v>无</x:v>
      </x:c>
      <x:c r="P805" s="9" t="str">
        <x:v>否</x:v>
      </x:c>
      <x:c r="Q805" s="9" t="str">
        <x:v>不导流</x:v>
      </x:c>
      <x:c r="R805" s="9" t="str">
        <x:v>中高风险：纯竞品品牌词容易产生商标/相关性问题</x:v>
      </x:c>
      <x:c r="S805" s="9" t="str">
        <x:v>只有带 alternative / vs / review / best 这类明确比较意图时，才考虑博客C。</x:v>
      </x:c>
      <x:c r="T805" s="38" t="n">
        <x:v>4</x:v>
      </x:c>
      <x:c r="U805" s="38" t="n">
        <x:v>15</x:v>
      </x:c>
      <x:c r="V805" s="38" t="n">
        <x:v>5</x:v>
      </x:c>
      <x:c r="W805" s="38" t="n">
        <x:v>7</x:v>
      </x:c>
      <x:c r="X805" s="38" t="n">
        <x:v>4</x:v>
      </x:c>
      <x:c r="Y805" s="38" t="n">
        <x:v>14</x:v>
      </x:c>
      <x:c r="Z805" s="38" t="n">
        <x:f>MAX(0,MIN(100,ROUND(((T805+U805+V805+W805+X805)-Y805)/85*100,0)))</x:f>
        <x:v>25</x:v>
      </x:c>
      <x:c r="AA805" s="9" t="str">
        <x:f>IF(L805="暂不做","P3 暂缓",IF(Z805&gt;=75,"P0 本周做",IF(Z805&gt;=60,"P1 近期做",IF(Z805&gt;=45,"P2 备选","P3 暂缓"))))</x:f>
        <x:v>P3 暂缓</x:v>
      </x:c>
      <x:c r="AB805" s="9" t="str">
        <x:f>IF(Y805&gt;=15,"先做合规/相关性复核，不建议直接商业导流",IF(L805="主站","建/优化主站商业页",IF(L805="博客A-知识教程","写知识教程/FAQ文章",IF(L805="博客B-场景人群","写场景需求/选购指南文章",IF(L805="博客C-对比评测","写对比评测/榜单文章","暂不做或人工复核")))))</x:f>
        <x:v>暂不做或人工复核</x:v>
      </x:c>
      <x:c r="AC805" s="9" t="str">
        <x:v>razz vape flavors</x:v>
      </x:c>
      <x:c r="AD805" s="10" t="str">
        <x:v>48</x:v>
      </x:c>
    </x:row>
    <x:row r="806">
      <x:c r="A806" s="34" t="n">
        <x:v>806</x:v>
      </x:c>
      <x:c r="B806" s="9" t="str">
        <x:v>48</x:v>
      </x:c>
      <x:c r="C806" s="9" t="str">
        <x:v>raz dc25000 disposable vape</x:v>
      </x:c>
      <x:c r="D806" s="9" t="str">
        <x:v>recommended</x:v>
      </x:c>
      <x:c r="E806" s="36" t="n">
        <x:v>90</x:v>
      </x:c>
      <x:c r="F806" s="36" t="n">
        <x:v>1</x:v>
      </x:c>
      <x:c r="G806" s="9" t="str">
        <x:v>informational, commercial</x:v>
      </x:c>
      <x:c r="H806" s="9" t="str">
        <x:v>竞品/品牌词</x:v>
      </x:c>
      <x:c r="I806" s="9" t="str">
        <x:v>竞品品牌词</x:v>
      </x:c>
      <x:c r="J806" s="9" t="str">
        <x:v>暂不做</x:v>
      </x:c>
      <x:c r="K806" s="9" t="str"/>
      <x:c r="L806" s="9" t="str">
        <x:f>IF(K806="",J806,K806)</x:f>
        <x:v>暂不做</x:v>
      </x:c>
      <x:c r="M806" s="9" t="str">
        <x:v>人工确认后再决定</x:v>
      </x:c>
      <x:c r="N806" s="9" t="str">
        <x:v>人工确认是否可做客观对比</x:v>
      </x:c>
      <x:c r="O806" s="9" t="str">
        <x:v>无</x:v>
      </x:c>
      <x:c r="P806" s="9" t="str">
        <x:v>否</x:v>
      </x:c>
      <x:c r="Q806" s="9" t="str">
        <x:v>不导流</x:v>
      </x:c>
      <x:c r="R806" s="9" t="str">
        <x:v>中高风险：纯竞品品牌词容易产生商标/相关性问题</x:v>
      </x:c>
      <x:c r="S806" s="9" t="str">
        <x:v>只有带 alternative / vs / review / best 这类明确比较意图时，才考虑博客C。</x:v>
      </x:c>
      <x:c r="T806" s="38" t="n">
        <x:v>4</x:v>
      </x:c>
      <x:c r="U806" s="38" t="n">
        <x:v>15</x:v>
      </x:c>
      <x:c r="V806" s="38" t="n">
        <x:v>5</x:v>
      </x:c>
      <x:c r="W806" s="38" t="n">
        <x:v>7</x:v>
      </x:c>
      <x:c r="X806" s="38" t="n">
        <x:v>4</x:v>
      </x:c>
      <x:c r="Y806" s="38" t="n">
        <x:v>14</x:v>
      </x:c>
      <x:c r="Z806" s="38" t="n">
        <x:f>MAX(0,MIN(100,ROUND(((T806+U806+V806+W806+X806)-Y806)/85*100,0)))</x:f>
        <x:v>25</x:v>
      </x:c>
      <x:c r="AA806" s="9" t="str">
        <x:f>IF(L806="暂不做","P3 暂缓",IF(Z806&gt;=75,"P0 本周做",IF(Z806&gt;=60,"P1 近期做",IF(Z806&gt;=45,"P2 备选","P3 暂缓"))))</x:f>
        <x:v>P3 暂缓</x:v>
      </x:c>
      <x:c r="AB806" s="9" t="str">
        <x:f>IF(Y806&gt;=15,"先做合规/相关性复核，不建议直接商业导流",IF(L806="主站","建/优化主站商业页",IF(L806="博客A-知识教程","写知识教程/FAQ文章",IF(L806="博客B-场景人群","写场景需求/选购指南文章",IF(L806="博客C-对比评测","写对比评测/榜单文章","暂不做或人工复核")))))</x:f>
        <x:v>暂不做或人工复核</x:v>
      </x:c>
      <x:c r="AC806" s="9" t="str">
        <x:v>razz vape flavors</x:v>
      </x:c>
      <x:c r="AD806" s="10" t="str">
        <x:v>48</x:v>
      </x:c>
    </x:row>
    <x:row r="807">
      <x:c r="A807" s="34" t="n">
        <x:v>807</x:v>
      </x:c>
      <x:c r="B807" s="9" t="str">
        <x:v>48</x:v>
      </x:c>
      <x:c r="C807" s="9" t="str">
        <x:v>blueberry watermelon raz vape</x:v>
      </x:c>
      <x:c r="D807" s="9" t="str">
        <x:v>recommended</x:v>
      </x:c>
      <x:c r="E807" s="36" t="n">
        <x:v>170</x:v>
      </x:c>
      <x:c r="F807" s="36" t="n">
        <x:v>3</x:v>
      </x:c>
      <x:c r="G807" s="9" t="str">
        <x:v>informational</x:v>
      </x:c>
      <x:c r="H807" s="9" t="str">
        <x:v>竞品/品牌词</x:v>
      </x:c>
      <x:c r="I807" s="9" t="str">
        <x:v>竞品品牌词</x:v>
      </x:c>
      <x:c r="J807" s="9" t="str">
        <x:v>暂不做</x:v>
      </x:c>
      <x:c r="K807" s="9" t="str"/>
      <x:c r="L807" s="9" t="str">
        <x:f>IF(K807="",J807,K807)</x:f>
        <x:v>暂不做</x:v>
      </x:c>
      <x:c r="M807" s="9" t="str">
        <x:v>人工确认后再决定</x:v>
      </x:c>
      <x:c r="N807" s="9" t="str">
        <x:v>人工确认是否可做客观对比</x:v>
      </x:c>
      <x:c r="O807" s="9" t="str">
        <x:v>无</x:v>
      </x:c>
      <x:c r="P807" s="9" t="str">
        <x:v>否</x:v>
      </x:c>
      <x:c r="Q807" s="9" t="str">
        <x:v>不导流</x:v>
      </x:c>
      <x:c r="R807" s="9" t="str">
        <x:v>中高风险：纯竞品品牌词容易产生商标/相关性问题</x:v>
      </x:c>
      <x:c r="S807" s="9" t="str">
        <x:v>只有带 alternative / vs / review / best 这类明确比较意图时，才考虑博客C。</x:v>
      </x:c>
      <x:c r="T807" s="38" t="n">
        <x:v>7</x:v>
      </x:c>
      <x:c r="U807" s="38" t="n">
        <x:v>15</x:v>
      </x:c>
      <x:c r="V807" s="38" t="n">
        <x:v>5</x:v>
      </x:c>
      <x:c r="W807" s="38" t="n">
        <x:v>7</x:v>
      </x:c>
      <x:c r="X807" s="38" t="n">
        <x:v>4</x:v>
      </x:c>
      <x:c r="Y807" s="38" t="n">
        <x:v>14</x:v>
      </x:c>
      <x:c r="Z807" s="38" t="n">
        <x:f>MAX(0,MIN(100,ROUND(((T807+U807+V807+W807+X807)-Y807)/85*100,0)))</x:f>
        <x:v>28</x:v>
      </x:c>
      <x:c r="AA807" s="9" t="str">
        <x:f>IF(L807="暂不做","P3 暂缓",IF(Z807&gt;=75,"P0 本周做",IF(Z807&gt;=60,"P1 近期做",IF(Z807&gt;=45,"P2 备选","P3 暂缓"))))</x:f>
        <x:v>P3 暂缓</x:v>
      </x:c>
      <x:c r="AB807" s="9" t="str">
        <x:f>IF(Y807&gt;=15,"先做合规/相关性复核，不建议直接商业导流",IF(L807="主站","建/优化主站商业页",IF(L807="博客A-知识教程","写知识教程/FAQ文章",IF(L807="博客B-场景人群","写场景需求/选购指南文章",IF(L807="博客C-对比评测","写对比评测/榜单文章","暂不做或人工复核")))))</x:f>
        <x:v>暂不做或人工复核</x:v>
      </x:c>
      <x:c r="AC807" s="9" t="str">
        <x:v>razz vape flavors</x:v>
      </x:c>
      <x:c r="AD807" s="10" t="str">
        <x:v>48</x:v>
      </x:c>
    </x:row>
    <x:row r="808">
      <x:c r="A808" s="34" t="n">
        <x:v>808</x:v>
      </x:c>
      <x:c r="B808" s="9" t="str">
        <x:v>48</x:v>
      </x:c>
      <x:c r="C808" s="9" t="str">
        <x:v>raz disposable vape 25000</x:v>
      </x:c>
      <x:c r="D808" s="9" t="str">
        <x:v>recommended</x:v>
      </x:c>
      <x:c r="E808" s="36" t="n">
        <x:v>70</x:v>
      </x:c>
      <x:c r="F808" s="36" t="n">
        <x:v>8</x:v>
      </x:c>
      <x:c r="G808" s="9" t="str">
        <x:v>informational</x:v>
      </x:c>
      <x:c r="H808" s="9" t="str">
        <x:v>竞品/品牌词</x:v>
      </x:c>
      <x:c r="I808" s="9" t="str">
        <x:v>竞品品牌词</x:v>
      </x:c>
      <x:c r="J808" s="9" t="str">
        <x:v>暂不做</x:v>
      </x:c>
      <x:c r="K808" s="9" t="str"/>
      <x:c r="L808" s="9" t="str">
        <x:f>IF(K808="",J808,K808)</x:f>
        <x:v>暂不做</x:v>
      </x:c>
      <x:c r="M808" s="9" t="str">
        <x:v>人工确认后再决定</x:v>
      </x:c>
      <x:c r="N808" s="9" t="str">
        <x:v>人工确认是否可做客观对比</x:v>
      </x:c>
      <x:c r="O808" s="9" t="str">
        <x:v>无</x:v>
      </x:c>
      <x:c r="P808" s="9" t="str">
        <x:v>否</x:v>
      </x:c>
      <x:c r="Q808" s="9" t="str">
        <x:v>不导流</x:v>
      </x:c>
      <x:c r="R808" s="9" t="str">
        <x:v>中高风险：纯竞品品牌词容易产生商标/相关性问题</x:v>
      </x:c>
      <x:c r="S808" s="9" t="str">
        <x:v>只有带 alternative / vs / review / best 这类明确比较意图时，才考虑博客C。</x:v>
      </x:c>
      <x:c r="T808" s="38" t="n">
        <x:v>4</x:v>
      </x:c>
      <x:c r="U808" s="38" t="n">
        <x:v>15</x:v>
      </x:c>
      <x:c r="V808" s="38" t="n">
        <x:v>5</x:v>
      </x:c>
      <x:c r="W808" s="38" t="n">
        <x:v>7</x:v>
      </x:c>
      <x:c r="X808" s="38" t="n">
        <x:v>4</x:v>
      </x:c>
      <x:c r="Y808" s="38" t="n">
        <x:v>14</x:v>
      </x:c>
      <x:c r="Z808" s="38" t="n">
        <x:f>MAX(0,MIN(100,ROUND(((T808+U808+V808+W808+X808)-Y808)/85*100,0)))</x:f>
        <x:v>25</x:v>
      </x:c>
      <x:c r="AA808" s="9" t="str">
        <x:f>IF(L808="暂不做","P3 暂缓",IF(Z808&gt;=75,"P0 本周做",IF(Z808&gt;=60,"P1 近期做",IF(Z808&gt;=45,"P2 备选","P3 暂缓"))))</x:f>
        <x:v>P3 暂缓</x:v>
      </x:c>
      <x:c r="AB808" s="9" t="str">
        <x:f>IF(Y808&gt;=15,"先做合规/相关性复核，不建议直接商业导流",IF(L808="主站","建/优化主站商业页",IF(L808="博客A-知识教程","写知识教程/FAQ文章",IF(L808="博客B-场景人群","写场景需求/选购指南文章",IF(L808="博客C-对比评测","写对比评测/榜单文章","暂不做或人工复核")))))</x:f>
        <x:v>暂不做或人工复核</x:v>
      </x:c>
      <x:c r="AC808" s="9" t="str">
        <x:v>razz vape flavors</x:v>
      </x:c>
      <x:c r="AD808" s="10" t="str">
        <x:v>48</x:v>
      </x:c>
    </x:row>
    <x:row r="809">
      <x:c r="A809" s="34" t="n">
        <x:v>809</x:v>
      </x:c>
      <x:c r="B809" s="9" t="str">
        <x:v>48</x:v>
      </x:c>
      <x:c r="C809" s="9" t="str">
        <x:v>blueberry raz vape</x:v>
      </x:c>
      <x:c r="D809" s="9" t="str">
        <x:v>recommended</x:v>
      </x:c>
      <x:c r="E809" s="36" t="n">
        <x:v>50</x:v>
      </x:c>
      <x:c r="F809" s="36" t="n">
        <x:v>0</x:v>
      </x:c>
      <x:c r="G809" s="9" t="str">
        <x:v>informational, commercial</x:v>
      </x:c>
      <x:c r="H809" s="9" t="str">
        <x:v>竞品/品牌词</x:v>
      </x:c>
      <x:c r="I809" s="9" t="str">
        <x:v>竞品品牌词</x:v>
      </x:c>
      <x:c r="J809" s="9" t="str">
        <x:v>暂不做</x:v>
      </x:c>
      <x:c r="K809" s="9" t="str"/>
      <x:c r="L809" s="9" t="str">
        <x:f>IF(K809="",J809,K809)</x:f>
        <x:v>暂不做</x:v>
      </x:c>
      <x:c r="M809" s="9" t="str">
        <x:v>人工确认后再决定</x:v>
      </x:c>
      <x:c r="N809" s="9" t="str">
        <x:v>人工确认是否可做客观对比</x:v>
      </x:c>
      <x:c r="O809" s="9" t="str">
        <x:v>无</x:v>
      </x:c>
      <x:c r="P809" s="9" t="str">
        <x:v>否</x:v>
      </x:c>
      <x:c r="Q809" s="9" t="str">
        <x:v>不导流</x:v>
      </x:c>
      <x:c r="R809" s="9" t="str">
        <x:v>中高风险：纯竞品品牌词容易产生商标/相关性问题</x:v>
      </x:c>
      <x:c r="S809" s="9" t="str">
        <x:v>只有带 alternative / vs / review / best 这类明确比较意图时，才考虑博客C。</x:v>
      </x:c>
      <x:c r="T809" s="38" t="n">
        <x:v>4</x:v>
      </x:c>
      <x:c r="U809" s="38" t="n">
        <x:v>15</x:v>
      </x:c>
      <x:c r="V809" s="38" t="n">
        <x:v>5</x:v>
      </x:c>
      <x:c r="W809" s="38" t="n">
        <x:v>7</x:v>
      </x:c>
      <x:c r="X809" s="38" t="n">
        <x:v>4</x:v>
      </x:c>
      <x:c r="Y809" s="38" t="n">
        <x:v>14</x:v>
      </x:c>
      <x:c r="Z809" s="38" t="n">
        <x:f>MAX(0,MIN(100,ROUND(((T809+U809+V809+W809+X809)-Y809)/85*100,0)))</x:f>
        <x:v>25</x:v>
      </x:c>
      <x:c r="AA809" s="9" t="str">
        <x:f>IF(L809="暂不做","P3 暂缓",IF(Z809&gt;=75,"P0 本周做",IF(Z809&gt;=60,"P1 近期做",IF(Z809&gt;=45,"P2 备选","P3 暂缓"))))</x:f>
        <x:v>P3 暂缓</x:v>
      </x:c>
      <x:c r="AB809" s="9" t="str">
        <x:f>IF(Y809&gt;=15,"先做合规/相关性复核，不建议直接商业导流",IF(L809="主站","建/优化主站商业页",IF(L809="博客A-知识教程","写知识教程/FAQ文章",IF(L809="博客B-场景人群","写场景需求/选购指南文章",IF(L809="博客C-对比评测","写对比评测/榜单文章","暂不做或人工复核")))))</x:f>
        <x:v>暂不做或人工复核</x:v>
      </x:c>
      <x:c r="AC809" s="9" t="str">
        <x:v>razz vape flavors</x:v>
      </x:c>
      <x:c r="AD809" s="10" t="str">
        <x:v>48</x:v>
      </x:c>
    </x:row>
    <x:row r="810">
      <x:c r="A810" s="34" t="n">
        <x:v>810</x:v>
      </x:c>
      <x:c r="B810" s="9" t="str">
        <x:v>48</x:v>
      </x:c>
      <x:c r="C810" s="9" t="str">
        <x:v>razz disposable vape</x:v>
      </x:c>
      <x:c r="D810" s="9" t="str">
        <x:v>recommended</x:v>
      </x:c>
      <x:c r="E810" s="36" t="n">
        <x:v>90</x:v>
      </x:c>
      <x:c r="F810" s="36" t="n">
        <x:v>18</x:v>
      </x:c>
      <x:c r="G810" s="9" t="str">
        <x:v>commercial</x:v>
      </x:c>
      <x:c r="H810" s="9" t="str">
        <x:v>竞品/品牌词</x:v>
      </x:c>
      <x:c r="I810" s="9" t="str">
        <x:v>竞品品牌词</x:v>
      </x:c>
      <x:c r="J810" s="9" t="str">
        <x:v>暂不做</x:v>
      </x:c>
      <x:c r="K810" s="9" t="str"/>
      <x:c r="L810" s="9" t="str">
        <x:f>IF(K810="",J810,K810)</x:f>
        <x:v>暂不做</x:v>
      </x:c>
      <x:c r="M810" s="9" t="str">
        <x:v>人工确认后再决定</x:v>
      </x:c>
      <x:c r="N810" s="9" t="str">
        <x:v>人工确认是否可做客观对比</x:v>
      </x:c>
      <x:c r="O810" s="9" t="str">
        <x:v>无</x:v>
      </x:c>
      <x:c r="P810" s="9" t="str">
        <x:v>否</x:v>
      </x:c>
      <x:c r="Q810" s="9" t="str">
        <x:v>不导流</x:v>
      </x:c>
      <x:c r="R810" s="9" t="str">
        <x:v>中高风险：纯竞品品牌词容易产生商标/相关性问题</x:v>
      </x:c>
      <x:c r="S810" s="9" t="str">
        <x:v>只有带 alternative / vs / review / best 这类明确比较意图时，才考虑博客C。</x:v>
      </x:c>
      <x:c r="T810" s="38" t="n">
        <x:v>4</x:v>
      </x:c>
      <x:c r="U810" s="38" t="n">
        <x:v>12</x:v>
      </x:c>
      <x:c r="V810" s="38" t="n">
        <x:v>5</x:v>
      </x:c>
      <x:c r="W810" s="38" t="n">
        <x:v>7</x:v>
      </x:c>
      <x:c r="X810" s="38" t="n">
        <x:v>4</x:v>
      </x:c>
      <x:c r="Y810" s="38" t="n">
        <x:v>14</x:v>
      </x:c>
      <x:c r="Z810" s="38" t="n">
        <x:f>MAX(0,MIN(100,ROUND(((T810+U810+V810+W810+X810)-Y810)/85*100,0)))</x:f>
        <x:v>21</x:v>
      </x:c>
      <x:c r="AA810" s="9" t="str">
        <x:f>IF(L810="暂不做","P3 暂缓",IF(Z810&gt;=75,"P0 本周做",IF(Z810&gt;=60,"P1 近期做",IF(Z810&gt;=45,"P2 备选","P3 暂缓"))))</x:f>
        <x:v>P3 暂缓</x:v>
      </x:c>
      <x:c r="AB810" s="9" t="str">
        <x:f>IF(Y810&gt;=15,"先做合规/相关性复核，不建议直接商业导流",IF(L810="主站","建/优化主站商业页",IF(L810="博客A-知识教程","写知识教程/FAQ文章",IF(L810="博客B-场景人群","写场景需求/选购指南文章",IF(L810="博客C-对比评测","写对比评测/榜单文章","暂不做或人工复核")))))</x:f>
        <x:v>暂不做或人工复核</x:v>
      </x:c>
      <x:c r="AC810" s="9" t="str">
        <x:v>razz vape flavors</x:v>
      </x:c>
      <x:c r="AD810" s="10" t="str">
        <x:v>48</x:v>
      </x:c>
    </x:row>
    <x:row r="811">
      <x:c r="A811" s="34" t="n">
        <x:v>811</x:v>
      </x:c>
      <x:c r="B811" s="9" t="str">
        <x:v>48</x:v>
      </x:c>
      <x:c r="C811" s="9" t="str">
        <x:v>raz brand vapes</x:v>
      </x:c>
      <x:c r="D811" s="9" t="str">
        <x:v>recommended</x:v>
      </x:c>
      <x:c r="E811" s="36" t="n">
        <x:v>40</x:v>
      </x:c>
      <x:c r="F811" s="36" t="n">
        <x:v>12</x:v>
      </x:c>
      <x:c r="G811" s="9" t="str">
        <x:v>commercial</x:v>
      </x:c>
      <x:c r="H811" s="9" t="str">
        <x:v>竞品/品牌词</x:v>
      </x:c>
      <x:c r="I811" s="9" t="str">
        <x:v>竞品对比词</x:v>
      </x:c>
      <x:c r="J811" s="9" t="str">
        <x:v>博客C-对比评测</x:v>
      </x:c>
      <x:c r="K811" s="9" t="str"/>
      <x:c r="L811" s="9" t="str">
        <x:f>IF(K811="",J811,K811)</x:f>
        <x:v>博客C-对比评测</x:v>
      </x:c>
      <x:c r="M811" s="9" t="str">
        <x:v>对比/替代/榜单文章</x:v>
      </x:c>
      <x:c r="N811" s="9" t="str">
        <x:v>Best angle: raz brand vapes - comparison, pros/cons, and which option fits different buyers</x:v>
      </x:c>
      <x:c r="O811" s="9" t="str">
        <x:v>/collections/disposable-vapes 或对应替代产品集合页</x:v>
      </x:c>
      <x:c r="P811" s="9" t="str">
        <x:v>谨慎</x:v>
      </x:c>
      <x:c r="Q811" s="9" t="str">
        <x:v>自然句/品牌词/品类词</x:v>
      </x:c>
      <x:c r="R811" s="9" t="str">
        <x:v>中风险：涉及竞品品牌，避免商标误导、贬低竞品和虚假对比</x:v>
      </x:c>
      <x:c r="S811" s="9" t="str">
        <x:v>适合做客观对比或替代方案，但不要把竞品词直接做主站商业页。</x:v>
      </x:c>
      <x:c r="T811" s="38" t="n">
        <x:v>4</x:v>
      </x:c>
      <x:c r="U811" s="38" t="n">
        <x:v>15</x:v>
      </x:c>
      <x:c r="V811" s="38" t="n">
        <x:v>14</x:v>
      </x:c>
      <x:c r="W811" s="38" t="n">
        <x:v>14</x:v>
      </x:c>
      <x:c r="X811" s="38" t="n">
        <x:v>11</x:v>
      </x:c>
      <x:c r="Y811" s="38" t="n">
        <x:v>10</x:v>
      </x:c>
      <x:c r="Z811" s="38" t="n">
        <x:f>MAX(0,MIN(100,ROUND(((T811+U811+V811+W811+X811)-Y811)/85*100,0)))</x:f>
        <x:v>56</x:v>
      </x:c>
      <x:c r="AA811" s="9" t="str">
        <x:f>IF(L811="暂不做","P3 暂缓",IF(Z811&gt;=75,"P0 本周做",IF(Z811&gt;=60,"P1 近期做",IF(Z811&gt;=45,"P2 备选","P3 暂缓"))))</x:f>
        <x:v>P2 备选</x:v>
      </x:c>
      <x:c r="AB811" s="9" t="str">
        <x:f>IF(Y811&gt;=15,"先做合规/相关性复核，不建议直接商业导流",IF(L811="主站","建/优化主站商业页",IF(L811="博客A-知识教程","写知识教程/FAQ文章",IF(L811="博客B-场景人群","写场景需求/选购指南文章",IF(L811="博客C-对比评测","写对比评测/榜单文章","暂不做或人工复核")))))</x:f>
        <x:v>写对比评测/榜单文章</x:v>
      </x:c>
      <x:c r="AC811" s="9" t="str">
        <x:v>razz vape flavors</x:v>
      </x:c>
      <x:c r="AD811" s="10" t="str">
        <x:v>48</x:v>
      </x:c>
    </x:row>
    <x:row r="812">
      <x:c r="A812" s="34" t="n">
        <x:v>812</x:v>
      </x:c>
      <x:c r="B812" s="9" t="str">
        <x:v>48</x:v>
      </x:c>
      <x:c r="C812" s="9" t="str">
        <x:v>raz vape</x:v>
      </x:c>
      <x:c r="D812" s="9" t="str">
        <x:v>recommended</x:v>
      </x:c>
      <x:c r="E812" s="36" t="n">
        <x:v>74000</x:v>
      </x:c>
      <x:c r="F812" s="36" t="n">
        <x:v>29</x:v>
      </x:c>
      <x:c r="G812" s="9" t="str">
        <x:v>informational, commercial</x:v>
      </x:c>
      <x:c r="H812" s="9" t="str">
        <x:v>竞品/品牌词</x:v>
      </x:c>
      <x:c r="I812" s="9" t="str">
        <x:v>竞品品牌词</x:v>
      </x:c>
      <x:c r="J812" s="9" t="str">
        <x:v>暂不做</x:v>
      </x:c>
      <x:c r="K812" s="9" t="str"/>
      <x:c r="L812" s="9" t="str">
        <x:f>IF(K812="",J812,K812)</x:f>
        <x:v>暂不做</x:v>
      </x:c>
      <x:c r="M812" s="9" t="str">
        <x:v>人工确认后再决定</x:v>
      </x:c>
      <x:c r="N812" s="9" t="str">
        <x:v>人工确认是否可做客观对比</x:v>
      </x:c>
      <x:c r="O812" s="9" t="str">
        <x:v>无</x:v>
      </x:c>
      <x:c r="P812" s="9" t="str">
        <x:v>否</x:v>
      </x:c>
      <x:c r="Q812" s="9" t="str">
        <x:v>不导流</x:v>
      </x:c>
      <x:c r="R812" s="9" t="str">
        <x:v>中高风险：纯竞品品牌词容易产生商标/相关性问题</x:v>
      </x:c>
      <x:c r="S812" s="9" t="str">
        <x:v>只有带 alternative / vs / review / best 这类明确比较意图时，才考虑博客C。</x:v>
      </x:c>
      <x:c r="T812" s="38" t="n">
        <x:v>20</x:v>
      </x:c>
      <x:c r="U812" s="38" t="n">
        <x:v>12</x:v>
      </x:c>
      <x:c r="V812" s="38" t="n">
        <x:v>5</x:v>
      </x:c>
      <x:c r="W812" s="38" t="n">
        <x:v>7</x:v>
      </x:c>
      <x:c r="X812" s="38" t="n">
        <x:v>4</x:v>
      </x:c>
      <x:c r="Y812" s="38" t="n">
        <x:v>14</x:v>
      </x:c>
      <x:c r="Z812" s="38" t="n">
        <x:f>MAX(0,MIN(100,ROUND(((T812+U812+V812+W812+X812)-Y812)/85*100,0)))</x:f>
        <x:v>40</x:v>
      </x:c>
      <x:c r="AA812" s="9" t="str">
        <x:f>IF(L812="暂不做","P3 暂缓",IF(Z812&gt;=75,"P0 本周做",IF(Z812&gt;=60,"P1 近期做",IF(Z812&gt;=45,"P2 备选","P3 暂缓"))))</x:f>
        <x:v>P3 暂缓</x:v>
      </x:c>
      <x:c r="AB812" s="9" t="str">
        <x:f>IF(Y812&gt;=15,"先做合规/相关性复核，不建议直接商业导流",IF(L812="主站","建/优化主站商业页",IF(L812="博客A-知识教程","写知识教程/FAQ文章",IF(L812="博客B-场景人群","写场景需求/选购指南文章",IF(L812="博客C-对比评测","写对比评测/榜单文章","暂不做或人工复核")))))</x:f>
        <x:v>暂不做或人工复核</x:v>
      </x:c>
      <x:c r="AC812" s="9" t="str">
        <x:v>razz vape flavors</x:v>
      </x:c>
      <x:c r="AD812" s="10" t="str">
        <x:v>48</x:v>
      </x:c>
    </x:row>
    <x:row r="813">
      <x:c r="A813" s="34" t="n">
        <x:v>813</x:v>
      </x:c>
      <x:c r="B813" s="9" t="str">
        <x:v>48</x:v>
      </x:c>
      <x:c r="C813" s="9" t="str">
        <x:v>blue razz vape</x:v>
      </x:c>
      <x:c r="D813" s="9" t="str">
        <x:v>recommended</x:v>
      </x:c>
      <x:c r="E813" s="36" t="n">
        <x:v>1900</x:v>
      </x:c>
      <x:c r="F813" s="36" t="n">
        <x:v>8</x:v>
      </x:c>
      <x:c r="G813" s="9" t="str">
        <x:v>informational</x:v>
      </x:c>
      <x:c r="H813" s="9" t="str">
        <x:v>竞品/品牌词</x:v>
      </x:c>
      <x:c r="I813" s="9" t="str">
        <x:v>竞品品牌词</x:v>
      </x:c>
      <x:c r="J813" s="9" t="str">
        <x:v>暂不做</x:v>
      </x:c>
      <x:c r="K813" s="9" t="str"/>
      <x:c r="L813" s="9" t="str">
        <x:f>IF(K813="",J813,K813)</x:f>
        <x:v>暂不做</x:v>
      </x:c>
      <x:c r="M813" s="9" t="str">
        <x:v>人工确认后再决定</x:v>
      </x:c>
      <x:c r="N813" s="9" t="str">
        <x:v>人工确认是否可做客观对比</x:v>
      </x:c>
      <x:c r="O813" s="9" t="str">
        <x:v>无</x:v>
      </x:c>
      <x:c r="P813" s="9" t="str">
        <x:v>否</x:v>
      </x:c>
      <x:c r="Q813" s="9" t="str">
        <x:v>不导流</x:v>
      </x:c>
      <x:c r="R813" s="9" t="str">
        <x:v>中高风险：纯竞品品牌词容易产生商标/相关性问题</x:v>
      </x:c>
      <x:c r="S813" s="9" t="str">
        <x:v>只有带 alternative / vs / review / best 这类明确比较意图时，才考虑博客C。</x:v>
      </x:c>
      <x:c r="T813" s="38" t="n">
        <x:v>13</x:v>
      </x:c>
      <x:c r="U813" s="38" t="n">
        <x:v>15</x:v>
      </x:c>
      <x:c r="V813" s="38" t="n">
        <x:v>5</x:v>
      </x:c>
      <x:c r="W813" s="38" t="n">
        <x:v>7</x:v>
      </x:c>
      <x:c r="X813" s="38" t="n">
        <x:v>4</x:v>
      </x:c>
      <x:c r="Y813" s="38" t="n">
        <x:v>14</x:v>
      </x:c>
      <x:c r="Z813" s="38" t="n">
        <x:f>MAX(0,MIN(100,ROUND(((T813+U813+V813+W813+X813)-Y813)/85*100,0)))</x:f>
        <x:v>35</x:v>
      </x:c>
      <x:c r="AA813" s="9" t="str">
        <x:f>IF(L813="暂不做","P3 暂缓",IF(Z813&gt;=75,"P0 本周做",IF(Z813&gt;=60,"P1 近期做",IF(Z813&gt;=45,"P2 备选","P3 暂缓"))))</x:f>
        <x:v>P3 暂缓</x:v>
      </x:c>
      <x:c r="AB813" s="9" t="str">
        <x:f>IF(Y813&gt;=15,"先做合规/相关性复核，不建议直接商业导流",IF(L813="主站","建/优化主站商业页",IF(L813="博客A-知识教程","写知识教程/FAQ文章",IF(L813="博客B-场景人群","写场景需求/选购指南文章",IF(L813="博客C-对比评测","写对比评测/榜单文章","暂不做或人工复核")))))</x:f>
        <x:v>暂不做或人工复核</x:v>
      </x:c>
      <x:c r="AC813" s="9" t="str">
        <x:v>razz vape flavors</x:v>
      </x:c>
      <x:c r="AD813" s="10" t="str">
        <x:v>48</x:v>
      </x:c>
    </x:row>
    <x:row r="814">
      <x:c r="A814" s="34" t="n">
        <x:v>814</x:v>
      </x:c>
      <x:c r="B814" s="9" t="str">
        <x:v>48</x:v>
      </x:c>
      <x:c r="C814" s="9" t="str">
        <x:v>raz vape 25000</x:v>
      </x:c>
      <x:c r="D814" s="9" t="str">
        <x:v>recommended</x:v>
      </x:c>
      <x:c r="E814" s="36" t="n">
        <x:v>2400</x:v>
      </x:c>
      <x:c r="F814" s="36" t="n">
        <x:v>12</x:v>
      </x:c>
      <x:c r="G814" s="9" t="str">
        <x:v>informational</x:v>
      </x:c>
      <x:c r="H814" s="9" t="str">
        <x:v>竞品/品牌词</x:v>
      </x:c>
      <x:c r="I814" s="9" t="str">
        <x:v>竞品品牌词</x:v>
      </x:c>
      <x:c r="J814" s="9" t="str">
        <x:v>暂不做</x:v>
      </x:c>
      <x:c r="K814" s="9" t="str"/>
      <x:c r="L814" s="9" t="str">
        <x:f>IF(K814="",J814,K814)</x:f>
        <x:v>暂不做</x:v>
      </x:c>
      <x:c r="M814" s="9" t="str">
        <x:v>人工确认后再决定</x:v>
      </x:c>
      <x:c r="N814" s="9" t="str">
        <x:v>人工确认是否可做客观对比</x:v>
      </x:c>
      <x:c r="O814" s="9" t="str">
        <x:v>无</x:v>
      </x:c>
      <x:c r="P814" s="9" t="str">
        <x:v>否</x:v>
      </x:c>
      <x:c r="Q814" s="9" t="str">
        <x:v>不导流</x:v>
      </x:c>
      <x:c r="R814" s="9" t="str">
        <x:v>中高风险：纯竞品品牌词容易产生商标/相关性问题</x:v>
      </x:c>
      <x:c r="S814" s="9" t="str">
        <x:v>只有带 alternative / vs / review / best 这类明确比较意图时，才考虑博客C。</x:v>
      </x:c>
      <x:c r="T814" s="38" t="n">
        <x:v>13</x:v>
      </x:c>
      <x:c r="U814" s="38" t="n">
        <x:v>15</x:v>
      </x:c>
      <x:c r="V814" s="38" t="n">
        <x:v>5</x:v>
      </x:c>
      <x:c r="W814" s="38" t="n">
        <x:v>7</x:v>
      </x:c>
      <x:c r="X814" s="38" t="n">
        <x:v>4</x:v>
      </x:c>
      <x:c r="Y814" s="38" t="n">
        <x:v>14</x:v>
      </x:c>
      <x:c r="Z814" s="38" t="n">
        <x:f>MAX(0,MIN(100,ROUND(((T814+U814+V814+W814+X814)-Y814)/85*100,0)))</x:f>
        <x:v>35</x:v>
      </x:c>
      <x:c r="AA814" s="9" t="str">
        <x:f>IF(L814="暂不做","P3 暂缓",IF(Z814&gt;=75,"P0 本周做",IF(Z814&gt;=60,"P1 近期做",IF(Z814&gt;=45,"P2 备选","P3 暂缓"))))</x:f>
        <x:v>P3 暂缓</x:v>
      </x:c>
      <x:c r="AB814" s="9" t="str">
        <x:f>IF(Y814&gt;=15,"先做合规/相关性复核，不建议直接商业导流",IF(L814="主站","建/优化主站商业页",IF(L814="博客A-知识教程","写知识教程/FAQ文章",IF(L814="博客B-场景人群","写场景需求/选购指南文章",IF(L814="博客C-对比评测","写对比评测/榜单文章","暂不做或人工复核")))))</x:f>
        <x:v>暂不做或人工复核</x:v>
      </x:c>
      <x:c r="AC814" s="9" t="str">
        <x:v>razz vape flavors</x:v>
      </x:c>
      <x:c r="AD814" s="10" t="str">
        <x:v>48</x:v>
      </x:c>
    </x:row>
    <x:row r="815">
      <x:c r="A815" s="34" t="n">
        <x:v>815</x:v>
      </x:c>
      <x:c r="B815" s="9" t="str">
        <x:v>48</x:v>
      </x:c>
      <x:c r="C815" s="9" t="str">
        <x:v>raz vape flavors 25000</x:v>
      </x:c>
      <x:c r="D815" s="9" t="str">
        <x:v>recommended</x:v>
      </x:c>
      <x:c r="E815" s="36" t="n">
        <x:v>2400</x:v>
      </x:c>
      <x:c r="F815" s="36" t="n">
        <x:v>15</x:v>
      </x:c>
      <x:c r="G815" s="9" t="str">
        <x:v>commercial</x:v>
      </x:c>
      <x:c r="H815" s="9" t="str">
        <x:v>竞品/品牌词</x:v>
      </x:c>
      <x:c r="I815" s="9" t="str">
        <x:v>竞品品牌词</x:v>
      </x:c>
      <x:c r="J815" s="9" t="str">
        <x:v>暂不做</x:v>
      </x:c>
      <x:c r="K815" s="9" t="str"/>
      <x:c r="L815" s="9" t="str">
        <x:f>IF(K815="",J815,K815)</x:f>
        <x:v>暂不做</x:v>
      </x:c>
      <x:c r="M815" s="9" t="str">
        <x:v>人工确认后再决定</x:v>
      </x:c>
      <x:c r="N815" s="9" t="str">
        <x:v>人工确认是否可做客观对比</x:v>
      </x:c>
      <x:c r="O815" s="9" t="str">
        <x:v>无</x:v>
      </x:c>
      <x:c r="P815" s="9" t="str">
        <x:v>否</x:v>
      </x:c>
      <x:c r="Q815" s="9" t="str">
        <x:v>不导流</x:v>
      </x:c>
      <x:c r="R815" s="9" t="str">
        <x:v>中高风险：纯竞品品牌词容易产生商标/相关性问题</x:v>
      </x:c>
      <x:c r="S815" s="9" t="str">
        <x:v>只有带 alternative / vs / review / best 这类明确比较意图时，才考虑博客C。</x:v>
      </x:c>
      <x:c r="T815" s="38" t="n">
        <x:v>13</x:v>
      </x:c>
      <x:c r="U815" s="38" t="n">
        <x:v>15</x:v>
      </x:c>
      <x:c r="V815" s="38" t="n">
        <x:v>5</x:v>
      </x:c>
      <x:c r="W815" s="38" t="n">
        <x:v>7</x:v>
      </x:c>
      <x:c r="X815" s="38" t="n">
        <x:v>4</x:v>
      </x:c>
      <x:c r="Y815" s="38" t="n">
        <x:v>14</x:v>
      </x:c>
      <x:c r="Z815" s="38" t="n">
        <x:f>MAX(0,MIN(100,ROUND(((T815+U815+V815+W815+X815)-Y815)/85*100,0)))</x:f>
        <x:v>35</x:v>
      </x:c>
      <x:c r="AA815" s="9" t="str">
        <x:f>IF(L815="暂不做","P3 暂缓",IF(Z815&gt;=75,"P0 本周做",IF(Z815&gt;=60,"P1 近期做",IF(Z815&gt;=45,"P2 备选","P3 暂缓"))))</x:f>
        <x:v>P3 暂缓</x:v>
      </x:c>
      <x:c r="AB815" s="9" t="str">
        <x:f>IF(Y815&gt;=15,"先做合规/相关性复核，不建议直接商业导流",IF(L815="主站","建/优化主站商业页",IF(L815="博客A-知识教程","写知识教程/FAQ文章",IF(L815="博客B-场景人群","写场景需求/选购指南文章",IF(L815="博客C-对比评测","写对比评测/榜单文章","暂不做或人工复核")))))</x:f>
        <x:v>暂不做或人工复核</x:v>
      </x:c>
      <x:c r="AC815" s="9" t="str">
        <x:v>razz vape flavors</x:v>
      </x:c>
      <x:c r="AD815" s="10" t="str">
        <x:v>48</x:v>
      </x:c>
    </x:row>
    <x:row r="816">
      <x:c r="A816" s="34" t="n">
        <x:v>816</x:v>
      </x:c>
      <x:c r="B816" s="9" t="str">
        <x:v>48</x:v>
      </x:c>
      <x:c r="C816" s="9" t="str">
        <x:v>razz vape</x:v>
      </x:c>
      <x:c r="D816" s="9" t="str">
        <x:v>recommended</x:v>
      </x:c>
      <x:c r="E816" s="36" t="n">
        <x:v>8100</x:v>
      </x:c>
      <x:c r="F816" s="36" t="n">
        <x:v>31</x:v>
      </x:c>
      <x:c r="G816" s="9" t="str">
        <x:v>informational</x:v>
      </x:c>
      <x:c r="H816" s="9" t="str">
        <x:v>竞品/品牌词</x:v>
      </x:c>
      <x:c r="I816" s="9" t="str">
        <x:v>竞品品牌词</x:v>
      </x:c>
      <x:c r="J816" s="9" t="str">
        <x:v>暂不做</x:v>
      </x:c>
      <x:c r="K816" s="9" t="str"/>
      <x:c r="L816" s="9" t="str">
        <x:f>IF(K816="",J816,K816)</x:f>
        <x:v>暂不做</x:v>
      </x:c>
      <x:c r="M816" s="9" t="str">
        <x:v>人工确认后再决定</x:v>
      </x:c>
      <x:c r="N816" s="9" t="str">
        <x:v>人工确认是否可做客观对比</x:v>
      </x:c>
      <x:c r="O816" s="9" t="str">
        <x:v>无</x:v>
      </x:c>
      <x:c r="P816" s="9" t="str">
        <x:v>否</x:v>
      </x:c>
      <x:c r="Q816" s="9" t="str">
        <x:v>不导流</x:v>
      </x:c>
      <x:c r="R816" s="9" t="str">
        <x:v>中高风险：纯竞品品牌词容易产生商标/相关性问题</x:v>
      </x:c>
      <x:c r="S816" s="9" t="str">
        <x:v>只有带 alternative / vs / review / best 这类明确比较意图时，才考虑博客C。</x:v>
      </x:c>
      <x:c r="T816" s="38" t="n">
        <x:v>16</x:v>
      </x:c>
      <x:c r="U816" s="38" t="n">
        <x:v>9</x:v>
      </x:c>
      <x:c r="V816" s="38" t="n">
        <x:v>5</x:v>
      </x:c>
      <x:c r="W816" s="38" t="n">
        <x:v>7</x:v>
      </x:c>
      <x:c r="X816" s="38" t="n">
        <x:v>4</x:v>
      </x:c>
      <x:c r="Y816" s="38" t="n">
        <x:v>14</x:v>
      </x:c>
      <x:c r="Z816" s="38" t="n">
        <x:f>MAX(0,MIN(100,ROUND(((T816+U816+V816+W816+X816)-Y816)/85*100,0)))</x:f>
        <x:v>32</x:v>
      </x:c>
      <x:c r="AA816" s="9" t="str">
        <x:f>IF(L816="暂不做","P3 暂缓",IF(Z816&gt;=75,"P0 本周做",IF(Z816&gt;=60,"P1 近期做",IF(Z816&gt;=45,"P2 备选","P3 暂缓"))))</x:f>
        <x:v>P3 暂缓</x:v>
      </x:c>
      <x:c r="AB816" s="9" t="str">
        <x:f>IF(Y816&gt;=15,"先做合规/相关性复核，不建议直接商业导流",IF(L816="主站","建/优化主站商业页",IF(L816="博客A-知识教程","写知识教程/FAQ文章",IF(L816="博客B-场景人群","写场景需求/选购指南文章",IF(L816="博客C-对比评测","写对比评测/榜单文章","暂不做或人工复核")))))</x:f>
        <x:v>暂不做或人工复核</x:v>
      </x:c>
      <x:c r="AC816" s="9" t="str">
        <x:v>razz vape flavors</x:v>
      </x:c>
      <x:c r="AD816" s="10" t="str">
        <x:v>48</x:v>
      </x:c>
    </x:row>
    <x:row r="817">
      <x:c r="A817" s="34" t="n">
        <x:v>817</x:v>
      </x:c>
      <x:c r="B817" s="9" t="str">
        <x:v>48</x:v>
      </x:c>
      <x:c r="C817" s="9" t="str">
        <x:v>best fruity vape juice</x:v>
      </x:c>
      <x:c r="D817" s="9" t="str">
        <x:v>recommended</x:v>
      </x:c>
      <x:c r="E817" s="36" t="n">
        <x:v>70</x:v>
      </x:c>
      <x:c r="F817" s="36" t="n">
        <x:v>1</x:v>
      </x:c>
      <x:c r="G817" s="9" t="str">
        <x:v>commercial</x:v>
      </x:c>
      <x:c r="H817" s="9" t="str">
        <x:v>对比评测</x:v>
      </x:c>
      <x:c r="I817" s="9" t="str">
        <x:v>商业调查词</x:v>
      </x:c>
      <x:c r="J817" s="9" t="str">
        <x:v>博客C-对比评测</x:v>
      </x:c>
      <x:c r="K817" s="9" t="str"/>
      <x:c r="L817" s="9" t="str">
        <x:f>IF(K817="",J817,K817)</x:f>
        <x:v>博客C-对比评测</x:v>
      </x:c>
      <x:c r="M817" s="9" t="str">
        <x:v>Best/Top/Review/VS/替代方案文章</x:v>
      </x:c>
      <x:c r="N817" s="9" t="str">
        <x:v>Best angle: best fruity vape juice - comparison, pros/cons, and which option fits different buyers</x:v>
      </x:c>
      <x:c r="O817" s="9" t="str">
        <x:v>/collections/disposable-vapes</x:v>
      </x:c>
      <x:c r="P817" s="9" t="str">
        <x:v>是</x:v>
      </x:c>
      <x:c r="Q817" s="9" t="str">
        <x:v>自然句/品类词/品牌词</x:v>
      </x:c>
      <x:c r="R817" s="9" t="str">
        <x:v>中风险：榜单和评测必须真实、中立，避免夸大</x:v>
      </x:c>
      <x:c r="S817" s="9" t="str">
        <x:v>这类词不直接给主站，先用博客C教育和比较，再导流到最相关集合页。</x:v>
      </x:c>
      <x:c r="T817" s="38" t="n">
        <x:v>4</x:v>
      </x:c>
      <x:c r="U817" s="38" t="n">
        <x:v>15</x:v>
      </x:c>
      <x:c r="V817" s="38" t="n">
        <x:v>16</x:v>
      </x:c>
      <x:c r="W817" s="38" t="n">
        <x:v>15</x:v>
      </x:c>
      <x:c r="X817" s="38" t="n">
        <x:v>13</x:v>
      </x:c>
      <x:c r="Y817" s="38" t="n">
        <x:v>6</x:v>
      </x:c>
      <x:c r="Z817" s="38" t="n">
        <x:f>MAX(0,MIN(100,ROUND(((T817+U817+V817+W817+X817)-Y817)/85*100,0)))</x:f>
        <x:v>67</x:v>
      </x:c>
      <x:c r="AA817" s="9" t="str">
        <x:f>IF(L817="暂不做","P3 暂缓",IF(Z817&gt;=75,"P0 本周做",IF(Z817&gt;=60,"P1 近期做",IF(Z817&gt;=45,"P2 备选","P3 暂缓"))))</x:f>
        <x:v>P1 近期做</x:v>
      </x:c>
      <x:c r="AB817" s="9" t="str">
        <x:f>IF(Y817&gt;=15,"先做合规/相关性复核，不建议直接商业导流",IF(L817="主站","建/优化主站商业页",IF(L817="博客A-知识教程","写知识教程/FAQ文章",IF(L817="博客B-场景人群","写场景需求/选购指南文章",IF(L817="博客C-对比评测","写对比评测/榜单文章","暂不做或人工复核")))))</x:f>
        <x:v>写对比评测/榜单文章</x:v>
      </x:c>
      <x:c r="AC817" s="9" t="str">
        <x:v>best fruity vape juice</x:v>
      </x:c>
      <x:c r="AD817" s="10" t="str">
        <x:v>48</x:v>
      </x:c>
    </x:row>
    <x:row r="818">
      <x:c r="A818" s="34" t="n">
        <x:v>818</x:v>
      </x:c>
      <x:c r="B818" s="9" t="str">
        <x:v>48</x:v>
      </x:c>
      <x:c r="C818" s="9" t="str">
        <x:v>fruity vape juice</x:v>
      </x:c>
      <x:c r="D818" s="9" t="str">
        <x:v>recommended</x:v>
      </x:c>
      <x:c r="E818" s="36" t="n">
        <x:v>70</x:v>
      </x:c>
      <x:c r="F818" s="36" t="n">
        <x:v>6</x:v>
      </x:c>
      <x:c r="G818" s="9" t="str">
        <x:v>commercial</x:v>
      </x:c>
      <x:c r="H818" s="9" t="str">
        <x:v>General Vape</x:v>
      </x:c>
      <x:c r="I818" s="9" t="str">
        <x:v>品类承接词</x:v>
      </x:c>
      <x:c r="J818" s="9" t="str">
        <x:v>主站</x:v>
      </x:c>
      <x:c r="K818" s="9" t="str"/>
      <x:c r="L818" s="9" t="str">
        <x:f>IF(K818="",J818,K818)</x:f>
        <x:v>主站</x:v>
      </x:c>
      <x:c r="M818" s="9" t="str">
        <x:v>品类页/集合页 + FAQ内容块</x:v>
      </x:c>
      <x:c r="N818" s="9" t="str">
        <x:v>主站品类页：用产品集合 + 选购说明承接</x:v>
      </x:c>
      <x:c r="O818" s="9" t="str">
        <x:v>/collections/disposable-vapes</x:v>
      </x:c>
      <x:c r="P818" s="9" t="str">
        <x:v>不适用</x:v>
      </x:c>
      <x:c r="Q818" s="9" t="str">
        <x:v>主站页面自身承接</x:v>
      </x:c>
      <x:c r="R818" s="9" t="str">
        <x:v>核心品类词：主站优先，博客只做长尾解释，不直接抢同一词</x:v>
      </x:c>
      <x:c r="S818" s="9" t="str">
        <x:v>如果 Google 首页产品页和指南混合，主站页要加 FAQ、选购指南、对比模块。</x:v>
      </x:c>
      <x:c r="T818" s="38" t="n">
        <x:v>4</x:v>
      </x:c>
      <x:c r="U818" s="38" t="n">
        <x:v>15</x:v>
      </x:c>
      <x:c r="V818" s="38" t="n">
        <x:v>18</x:v>
      </x:c>
      <x:c r="W818" s="38" t="n">
        <x:v>8</x:v>
      </x:c>
      <x:c r="X818" s="38" t="n">
        <x:v>15</x:v>
      </x:c>
      <x:c r="Y818" s="38" t="n">
        <x:v>4</x:v>
      </x:c>
      <x:c r="Z818" s="38" t="n">
        <x:f>MAX(0,MIN(100,ROUND(((T818+U818+V818+W818+X818)-Y818)/85*100,0)))</x:f>
        <x:v>66</x:v>
      </x:c>
      <x:c r="AA818" s="9" t="str">
        <x:f>IF(L818="暂不做","P3 暂缓",IF(Z818&gt;=75,"P0 本周做",IF(Z818&gt;=60,"P1 近期做",IF(Z818&gt;=45,"P2 备选","P3 暂缓"))))</x:f>
        <x:v>P1 近期做</x:v>
      </x:c>
      <x:c r="AB818" s="9" t="str">
        <x:f>IF(Y818&gt;=15,"先做合规/相关性复核，不建议直接商业导流",IF(L818="主站","建/优化主站商业页",IF(L818="博客A-知识教程","写知识教程/FAQ文章",IF(L818="博客B-场景人群","写场景需求/选购指南文章",IF(L818="博客C-对比评测","写对比评测/榜单文章","暂不做或人工复核")))))</x:f>
        <x:v>建/优化主站商业页</x:v>
      </x:c>
      <x:c r="AC818" s="9" t="str">
        <x:v>best fruity vape juice</x:v>
      </x:c>
      <x:c r="AD818" s="10" t="str">
        <x:v>48</x:v>
      </x:c>
    </x:row>
    <x:row r="819">
      <x:c r="A819" s="34" t="n">
        <x:v>819</x:v>
      </x:c>
      <x:c r="B819" s="9" t="str">
        <x:v>48</x:v>
      </x:c>
      <x:c r="C819" s="9" t="str">
        <x:v>fruits flavor vape liquid</x:v>
      </x:c>
      <x:c r="D819" s="9" t="str">
        <x:v>recommended</x:v>
      </x:c>
      <x:c r="E819" s="36" t="n">
        <x:v>50</x:v>
      </x:c>
      <x:c r="F819" s="36" t="n">
        <x:v>0</x:v>
      </x:c>
      <x:c r="G819" s="9" t="str">
        <x:v>commercial</x:v>
      </x:c>
      <x:c r="H819" s="9" t="str">
        <x:v>Flavor / 口味</x:v>
      </x:c>
      <x:c r="I819" s="9" t="str">
        <x:v>品类承接词</x:v>
      </x:c>
      <x:c r="J819" s="9" t="str">
        <x:v>主站</x:v>
      </x:c>
      <x:c r="K819" s="9" t="str"/>
      <x:c r="L819" s="9" t="str">
        <x:f>IF(K819="",J819,K819)</x:f>
        <x:v>主站</x:v>
      </x:c>
      <x:c r="M819" s="9" t="str">
        <x:v>品类页/集合页 + FAQ内容块</x:v>
      </x:c>
      <x:c r="N819" s="9" t="str">
        <x:v>主站品类页：用产品集合 + 选购说明承接</x:v>
      </x:c>
      <x:c r="O819" s="9" t="str">
        <x:v>/collections/flavored-disposable-vapes</x:v>
      </x:c>
      <x:c r="P819" s="9" t="str">
        <x:v>不适用</x:v>
      </x:c>
      <x:c r="Q819" s="9" t="str">
        <x:v>主站页面自身承接</x:v>
      </x:c>
      <x:c r="R819" s="9" t="str">
        <x:v>核心品类词：主站优先，博客只做长尾解释，不直接抢同一词</x:v>
      </x:c>
      <x:c r="S819" s="9" t="str">
        <x:v>如果 Google 首页产品页和指南混合，主站页要加 FAQ、选购指南、对比模块。</x:v>
      </x:c>
      <x:c r="T819" s="38" t="n">
        <x:v>4</x:v>
      </x:c>
      <x:c r="U819" s="38" t="n">
        <x:v>15</x:v>
      </x:c>
      <x:c r="V819" s="38" t="n">
        <x:v>18</x:v>
      </x:c>
      <x:c r="W819" s="38" t="n">
        <x:v>8</x:v>
      </x:c>
      <x:c r="X819" s="38" t="n">
        <x:v>15</x:v>
      </x:c>
      <x:c r="Y819" s="38" t="n">
        <x:v>4</x:v>
      </x:c>
      <x:c r="Z819" s="38" t="n">
        <x:f>MAX(0,MIN(100,ROUND(((T819+U819+V819+W819+X819)-Y819)/85*100,0)))</x:f>
        <x:v>66</x:v>
      </x:c>
      <x:c r="AA819" s="9" t="str">
        <x:f>IF(L819="暂不做","P3 暂缓",IF(Z819&gt;=75,"P0 本周做",IF(Z819&gt;=60,"P1 近期做",IF(Z819&gt;=45,"P2 备选","P3 暂缓"))))</x:f>
        <x:v>P1 近期做</x:v>
      </x:c>
      <x:c r="AB819" s="9" t="str">
        <x:f>IF(Y819&gt;=15,"先做合规/相关性复核，不建议直接商业导流",IF(L819="主站","建/优化主站商业页",IF(L819="博客A-知识教程","写知识教程/FAQ文章",IF(L819="博客B-场景人群","写场景需求/选购指南文章",IF(L819="博客C-对比评测","写对比评测/榜单文章","暂不做或人工复核")))))</x:f>
        <x:v>建/优化主站商业页</x:v>
      </x:c>
      <x:c r="AC819" s="9" t="str">
        <x:v>best fruity vape juice</x:v>
      </x:c>
      <x:c r="AD819" s="10" t="str">
        <x:v>48</x:v>
      </x:c>
    </x:row>
    <x:row r="820">
      <x:c r="A820" s="34" t="n">
        <x:v>820</x:v>
      </x:c>
      <x:c r="B820" s="9" t="str">
        <x:v>48</x:v>
      </x:c>
      <x:c r="C820" s="9" t="str">
        <x:v>vape juice ingredients</x:v>
      </x:c>
      <x:c r="D820" s="9" t="str">
        <x:v>recommended</x:v>
      </x:c>
      <x:c r="E820" s="36" t="n">
        <x:v>1300</x:v>
      </x:c>
      <x:c r="F820" s="36" t="n">
        <x:v>21</x:v>
      </x:c>
      <x:c r="G820" s="9" t="str">
        <x:v>informational</x:v>
      </x:c>
      <x:c r="H820" s="9" t="str">
        <x:v>General Vape</x:v>
      </x:c>
      <x:c r="I820" s="9" t="str">
        <x:v>品类承接词</x:v>
      </x:c>
      <x:c r="J820" s="9" t="str">
        <x:v>主站</x:v>
      </x:c>
      <x:c r="K820" s="9" t="str"/>
      <x:c r="L820" s="9" t="str">
        <x:f>IF(K820="",J820,K820)</x:f>
        <x:v>主站</x:v>
      </x:c>
      <x:c r="M820" s="9" t="str">
        <x:v>品类页/集合页 + FAQ内容块</x:v>
      </x:c>
      <x:c r="N820" s="9" t="str">
        <x:v>主站品类页：用产品集合 + 选购说明承接</x:v>
      </x:c>
      <x:c r="O820" s="9" t="str">
        <x:v>/collections/disposable-vapes</x:v>
      </x:c>
      <x:c r="P820" s="9" t="str">
        <x:v>不适用</x:v>
      </x:c>
      <x:c r="Q820" s="9" t="str">
        <x:v>主站页面自身承接</x:v>
      </x:c>
      <x:c r="R820" s="9" t="str">
        <x:v>核心品类词：主站优先，博客只做长尾解释，不直接抢同一词</x:v>
      </x:c>
      <x:c r="S820" s="9" t="str">
        <x:v>如果 Google 首页产品页和指南混合，主站页要加 FAQ、选购指南、对比模块。</x:v>
      </x:c>
      <x:c r="T820" s="38" t="n">
        <x:v>13</x:v>
      </x:c>
      <x:c r="U820" s="38" t="n">
        <x:v>12</x:v>
      </x:c>
      <x:c r="V820" s="38" t="n">
        <x:v>16</x:v>
      </x:c>
      <x:c r="W820" s="38" t="n">
        <x:v>8</x:v>
      </x:c>
      <x:c r="X820" s="38" t="n">
        <x:v>15</x:v>
      </x:c>
      <x:c r="Y820" s="38" t="n">
        <x:v>4</x:v>
      </x:c>
      <x:c r="Z820" s="38" t="n">
        <x:f>MAX(0,MIN(100,ROUND(((T820+U820+V820+W820+X820)-Y820)/85*100,0)))</x:f>
        <x:v>71</x:v>
      </x:c>
      <x:c r="AA820" s="9" t="str">
        <x:f>IF(L820="暂不做","P3 暂缓",IF(Z820&gt;=75,"P0 本周做",IF(Z820&gt;=60,"P1 近期做",IF(Z820&gt;=45,"P2 备选","P3 暂缓"))))</x:f>
        <x:v>P1 近期做</x:v>
      </x:c>
      <x:c r="AB820" s="9" t="str">
        <x:f>IF(Y820&gt;=15,"先做合规/相关性复核，不建议直接商业导流",IF(L820="主站","建/优化主站商业页",IF(L820="博客A-知识教程","写知识教程/FAQ文章",IF(L820="博客B-场景人群","写场景需求/选购指南文章",IF(L820="博客C-对比评测","写对比评测/榜单文章","暂不做或人工复核")))))</x:f>
        <x:v>建/优化主站商业页</x:v>
      </x:c>
      <x:c r="AC820" s="9" t="str">
        <x:v>best fruity vape juice</x:v>
      </x:c>
      <x:c r="AD820" s="10" t="str">
        <x:v>48</x:v>
      </x:c>
    </x:row>
    <x:row r="821">
      <x:c r="A821" s="34" t="n">
        <x:v>821</x:v>
      </x:c>
      <x:c r="B821" s="9" t="str">
        <x:v>48</x:v>
      </x:c>
      <x:c r="C821" s="9" t="str">
        <x:v>b vape</x:v>
      </x:c>
      <x:c r="D821" s="9" t="str">
        <x:v>recommended</x:v>
      </x:c>
      <x:c r="E821" s="36" t="n">
        <x:v>40</x:v>
      </x:c>
      <x:c r="F821" s="36" t="n">
        <x:v>20</x:v>
      </x:c>
      <x:c r="G821" s="9" t="str">
        <x:v>informational</x:v>
      </x:c>
      <x:c r="H821" s="9" t="str">
        <x:v>General Vape</x:v>
      </x:c>
      <x:c r="I821" s="9" t="str">
        <x:v>品类承接词</x:v>
      </x:c>
      <x:c r="J821" s="9" t="str">
        <x:v>主站</x:v>
      </x:c>
      <x:c r="K821" s="9" t="str"/>
      <x:c r="L821" s="9" t="str">
        <x:f>IF(K821="",J821,K821)</x:f>
        <x:v>主站</x:v>
      </x:c>
      <x:c r="M821" s="9" t="str">
        <x:v>品类页/集合页 + FAQ内容块</x:v>
      </x:c>
      <x:c r="N821" s="9" t="str">
        <x:v>主站品类页：用产品集合 + 选购说明承接</x:v>
      </x:c>
      <x:c r="O821" s="9" t="str">
        <x:v>/collections/disposable-vapes</x:v>
      </x:c>
      <x:c r="P821" s="9" t="str">
        <x:v>不适用</x:v>
      </x:c>
      <x:c r="Q821" s="9" t="str">
        <x:v>主站页面自身承接</x:v>
      </x:c>
      <x:c r="R821" s="9" t="str">
        <x:v>核心品类词：主站优先，博客只做长尾解释，不直接抢同一词</x:v>
      </x:c>
      <x:c r="S821" s="9" t="str">
        <x:v>如果 Google 首页产品页和指南混合，主站页要加 FAQ、选购指南、对比模块。</x:v>
      </x:c>
      <x:c r="T821" s="38" t="n">
        <x:v>4</x:v>
      </x:c>
      <x:c r="U821" s="38" t="n">
        <x:v>12</x:v>
      </x:c>
      <x:c r="V821" s="38" t="n">
        <x:v>16</x:v>
      </x:c>
      <x:c r="W821" s="38" t="n">
        <x:v>8</x:v>
      </x:c>
      <x:c r="X821" s="38" t="n">
        <x:v>15</x:v>
      </x:c>
      <x:c r="Y821" s="38" t="n">
        <x:v>4</x:v>
      </x:c>
      <x:c r="Z821" s="38" t="n">
        <x:f>MAX(0,MIN(100,ROUND(((T821+U821+V821+W821+X821)-Y821)/85*100,0)))</x:f>
        <x:v>60</x:v>
      </x:c>
      <x:c r="AA821" s="9" t="str">
        <x:f>IF(L821="暂不做","P3 暂缓",IF(Z821&gt;=75,"P0 本周做",IF(Z821&gt;=60,"P1 近期做",IF(Z821&gt;=45,"P2 备选","P3 暂缓"))))</x:f>
        <x:v>P1 近期做</x:v>
      </x:c>
      <x:c r="AB821" s="9" t="str">
        <x:f>IF(Y821&gt;=15,"先做合规/相关性复核，不建议直接商业导流",IF(L821="主站","建/优化主站商业页",IF(L821="博客A-知识教程","写知识教程/FAQ文章",IF(L821="博客B-场景人群","写场景需求/选购指南文章",IF(L821="博客C-对比评测","写对比评测/榜单文章","暂不做或人工复核")))))</x:f>
        <x:v>建/优化主站商业页</x:v>
      </x:c>
      <x:c r="AC821" s="9" t="str">
        <x:v>b vape</x:v>
      </x:c>
      <x:c r="AD821" s="10" t="str">
        <x:v>48</x:v>
      </x:c>
    </x:row>
    <x:row r="822">
      <x:c r="A822" s="34" t="n">
        <x:v>822</x:v>
      </x:c>
      <x:c r="B822" s="9" t="str">
        <x:v>48</x:v>
      </x:c>
      <x:c r="C822" s="9" t="str">
        <x:v>mango disposable vape</x:v>
      </x:c>
      <x:c r="D822" s="9" t="str">
        <x:v>recommended</x:v>
      </x:c>
      <x:c r="E822" s="36" t="n">
        <x:v>110</x:v>
      </x:c>
      <x:c r="F822" s="36" t="n">
        <x:v>5</x:v>
      </x:c>
      <x:c r="G822" s="9" t="str">
        <x:v>commercial</x:v>
      </x:c>
      <x:c r="H822" s="9" t="str">
        <x:v>Disposable Vape</x:v>
      </x:c>
      <x:c r="I822" s="9" t="str">
        <x:v>品类承接词</x:v>
      </x:c>
      <x:c r="J822" s="9" t="str">
        <x:v>主站</x:v>
      </x:c>
      <x:c r="K822" s="9" t="str"/>
      <x:c r="L822" s="9" t="str">
        <x:f>IF(K822="",J822,K822)</x:f>
        <x:v>主站</x:v>
      </x:c>
      <x:c r="M822" s="9" t="str">
        <x:v>品类页/集合页 + FAQ内容块</x:v>
      </x:c>
      <x:c r="N822" s="9" t="str">
        <x:v>主站品类页：用产品集合 + 选购说明承接</x:v>
      </x:c>
      <x:c r="O822" s="9" t="str">
        <x:v>/collections/disposable-vapes</x:v>
      </x:c>
      <x:c r="P822" s="9" t="str">
        <x:v>不适用</x:v>
      </x:c>
      <x:c r="Q822" s="9" t="str">
        <x:v>主站页面自身承接</x:v>
      </x:c>
      <x:c r="R822" s="9" t="str">
        <x:v>核心品类词：主站优先，博客只做长尾解释，不直接抢同一词</x:v>
      </x:c>
      <x:c r="S822" s="9" t="str">
        <x:v>如果 Google 首页产品页和指南混合，主站页要加 FAQ、选购指南、对比模块。</x:v>
      </x:c>
      <x:c r="T822" s="38" t="n">
        <x:v>7</x:v>
      </x:c>
      <x:c r="U822" s="38" t="n">
        <x:v>15</x:v>
      </x:c>
      <x:c r="V822" s="38" t="n">
        <x:v>18</x:v>
      </x:c>
      <x:c r="W822" s="38" t="n">
        <x:v>8</x:v>
      </x:c>
      <x:c r="X822" s="38" t="n">
        <x:v>15</x:v>
      </x:c>
      <x:c r="Y822" s="38" t="n">
        <x:v>4</x:v>
      </x:c>
      <x:c r="Z822" s="38" t="n">
        <x:f>MAX(0,MIN(100,ROUND(((T822+U822+V822+W822+X822)-Y822)/85*100,0)))</x:f>
        <x:v>69</x:v>
      </x:c>
      <x:c r="AA822" s="9" t="str">
        <x:f>IF(L822="暂不做","P3 暂缓",IF(Z822&gt;=75,"P0 本周做",IF(Z822&gt;=60,"P1 近期做",IF(Z822&gt;=45,"P2 备选","P3 暂缓"))))</x:f>
        <x:v>P1 近期做</x:v>
      </x:c>
      <x:c r="AB822" s="9" t="str">
        <x:f>IF(Y822&gt;=15,"先做合规/相关性复核，不建议直接商业导流",IF(L822="主站","建/优化主站商业页",IF(L822="博客A-知识教程","写知识教程/FAQ文章",IF(L822="博客B-场景人群","写场景需求/选购指南文章",IF(L822="博客C-对比评测","写对比评测/榜单文章","暂不做或人工复核")))))</x:f>
        <x:v>建/优化主站商业页</x:v>
      </x:c>
      <x:c r="AC822" s="9" t="str">
        <x:v>b vape</x:v>
      </x:c>
      <x:c r="AD822" s="10" t="str">
        <x:v>48</x:v>
      </x:c>
    </x:row>
    <x:row r="823">
      <x:c r="A823" s="34" t="n">
        <x:v>823</x:v>
      </x:c>
      <x:c r="B823" s="9" t="str">
        <x:v>48</x:v>
      </x:c>
      <x:c r="C823" s="9" t="str">
        <x:v>mango vapes</x:v>
      </x:c>
      <x:c r="D823" s="9" t="str">
        <x:v>recommended</x:v>
      </x:c>
      <x:c r="E823" s="36" t="n">
        <x:v>260</x:v>
      </x:c>
      <x:c r="F823" s="36" t="n">
        <x:v>7</x:v>
      </x:c>
      <x:c r="G823" s="9" t="str">
        <x:v>informational</x:v>
      </x:c>
      <x:c r="H823" s="9" t="str">
        <x:v>General Vape</x:v>
      </x:c>
      <x:c r="I823" s="9" t="str">
        <x:v>品类承接词</x:v>
      </x:c>
      <x:c r="J823" s="9" t="str">
        <x:v>主站</x:v>
      </x:c>
      <x:c r="K823" s="9" t="str"/>
      <x:c r="L823" s="9" t="str">
        <x:f>IF(K823="",J823,K823)</x:f>
        <x:v>主站</x:v>
      </x:c>
      <x:c r="M823" s="9" t="str">
        <x:v>品类页/集合页 + FAQ内容块</x:v>
      </x:c>
      <x:c r="N823" s="9" t="str">
        <x:v>主站品类页：用产品集合 + 选购说明承接</x:v>
      </x:c>
      <x:c r="O823" s="9" t="str">
        <x:v>/collections/disposable-vapes</x:v>
      </x:c>
      <x:c r="P823" s="9" t="str">
        <x:v>不适用</x:v>
      </x:c>
      <x:c r="Q823" s="9" t="str">
        <x:v>主站页面自身承接</x:v>
      </x:c>
      <x:c r="R823" s="9" t="str">
        <x:v>核心品类词：主站优先，博客只做长尾解释，不直接抢同一词</x:v>
      </x:c>
      <x:c r="S823" s="9" t="str">
        <x:v>如果 Google 首页产品页和指南混合，主站页要加 FAQ、选购指南、对比模块。</x:v>
      </x:c>
      <x:c r="T823" s="38" t="n">
        <x:v>7</x:v>
      </x:c>
      <x:c r="U823" s="38" t="n">
        <x:v>15</x:v>
      </x:c>
      <x:c r="V823" s="38" t="n">
        <x:v>16</x:v>
      </x:c>
      <x:c r="W823" s="38" t="n">
        <x:v>8</x:v>
      </x:c>
      <x:c r="X823" s="38" t="n">
        <x:v>15</x:v>
      </x:c>
      <x:c r="Y823" s="38" t="n">
        <x:v>4</x:v>
      </x:c>
      <x:c r="Z823" s="38" t="n">
        <x:f>MAX(0,MIN(100,ROUND(((T823+U823+V823+W823+X823)-Y823)/85*100,0)))</x:f>
        <x:v>67</x:v>
      </x:c>
      <x:c r="AA823" s="9" t="str">
        <x:f>IF(L823="暂不做","P3 暂缓",IF(Z823&gt;=75,"P0 本周做",IF(Z823&gt;=60,"P1 近期做",IF(Z823&gt;=45,"P2 备选","P3 暂缓"))))</x:f>
        <x:v>P1 近期做</x:v>
      </x:c>
      <x:c r="AB823" s="9" t="str">
        <x:f>IF(Y823&gt;=15,"先做合规/相关性复核，不建议直接商业导流",IF(L823="主站","建/优化主站商业页",IF(L823="博客A-知识教程","写知识教程/FAQ文章",IF(L823="博客B-场景人群","写场景需求/选购指南文章",IF(L823="博客C-对比评测","写对比评测/榜单文章","暂不做或人工复核")))))</x:f>
        <x:v>建/优化主站商业页</x:v>
      </x:c>
      <x:c r="AC823" s="9" t="str">
        <x:v>b vape</x:v>
      </x:c>
      <x:c r="AD823" s="10" t="str">
        <x:v>48</x:v>
      </x:c>
    </x:row>
    <x:row r="824">
      <x:c r="A824" s="34" t="n">
        <x:v>824</x:v>
      </x:c>
      <x:c r="B824" s="9" t="str">
        <x:v>48</x:v>
      </x:c>
      <x:c r="C824" s="9" t="str">
        <x:v>what is the best vape to buy</x:v>
      </x:c>
      <x:c r="D824" s="9" t="str">
        <x:v>recommended</x:v>
      </x:c>
      <x:c r="E824" s="36" t="n">
        <x:v>260</x:v>
      </x:c>
      <x:c r="F824" s="36" t="n">
        <x:v>24</x:v>
      </x:c>
      <x:c r="G824" s="9" t="str">
        <x:v>commercial</x:v>
      </x:c>
      <x:c r="H824" s="9" t="str">
        <x:v>对比评测</x:v>
      </x:c>
      <x:c r="I824" s="9" t="str">
        <x:v>交易词</x:v>
      </x:c>
      <x:c r="J824" s="9" t="str">
        <x:v>主站</x:v>
      </x:c>
      <x:c r="K824" s="9" t="str"/>
      <x:c r="L824" s="9" t="str">
        <x:f>IF(K824="",J824,K824)</x:f>
        <x:v>主站</x:v>
      </x:c>
      <x:c r="M824" s="9" t="str">
        <x:v>产品集合页/分类页/购买页</x:v>
      </x:c>
      <x:c r="N824" s="9" t="str">
        <x:v>主站商业页：标题围绕购买意图 + 品类 + 关键卖点</x:v>
      </x:c>
      <x:c r="O824" s="9" t="str">
        <x:v>/collections/disposable-vapes</x:v>
      </x:c>
      <x:c r="P824" s="9" t="str">
        <x:v>不适用</x:v>
      </x:c>
      <x:c r="Q824" s="9" t="str">
        <x:v>主站页面自身承接</x:v>
      </x:c>
      <x:c r="R824" s="9" t="str">
        <x:v>商业词：优先给主站，避免博客抢主站排名</x:v>
      </x:c>
      <x:c r="S824" s="9" t="str">
        <x:v>SERP 如为商品列表/品牌站/电商集合页，就建主站页面；若 SERP 全是教程，再拆支持文章。</x:v>
      </x:c>
      <x:c r="T824" s="38" t="n">
        <x:v>7</x:v>
      </x:c>
      <x:c r="U824" s="38" t="n">
        <x:v>12</x:v>
      </x:c>
      <x:c r="V824" s="38" t="n">
        <x:v>20</x:v>
      </x:c>
      <x:c r="W824" s="38" t="n">
        <x:v>7</x:v>
      </x:c>
      <x:c r="X824" s="38" t="n">
        <x:v>15</x:v>
      </x:c>
      <x:c r="Y824" s="38" t="n">
        <x:v>4</x:v>
      </x:c>
      <x:c r="Z824" s="38" t="n">
        <x:f>MAX(0,MIN(100,ROUND(((T824+U824+V824+W824+X824)-Y824)/85*100,0)))</x:f>
        <x:v>67</x:v>
      </x:c>
      <x:c r="AA824" s="9" t="str">
        <x:f>IF(L824="暂不做","P3 暂缓",IF(Z824&gt;=75,"P0 本周做",IF(Z824&gt;=60,"P1 近期做",IF(Z824&gt;=45,"P2 备选","P3 暂缓"))))</x:f>
        <x:v>P1 近期做</x:v>
      </x:c>
      <x:c r="AB824" s="9" t="str">
        <x:f>IF(Y824&gt;=15,"先做合规/相关性复核，不建议直接商业导流",IF(L824="主站","建/优化主站商业页",IF(L824="博客A-知识教程","写知识教程/FAQ文章",IF(L824="博客B-场景人群","写场景需求/选购指南文章",IF(L824="博客C-对比评测","写对比评测/榜单文章","暂不做或人工复核")))))</x:f>
        <x:v>建/优化主站商业页</x:v>
      </x:c>
      <x:c r="AC824" s="9" t="str">
        <x:v>reusable vape</x:v>
      </x:c>
      <x:c r="AD824" s="10" t="str">
        <x:v>48</x:v>
      </x:c>
    </x:row>
    <x:row r="825">
      <x:c r="A825" s="34" t="n">
        <x:v>825</x:v>
      </x:c>
      <x:c r="B825" s="9" t="str">
        <x:v>48</x:v>
      </x:c>
      <x:c r="C825" s="9" t="str">
        <x:v>reusable vape</x:v>
      </x:c>
      <x:c r="D825" s="9" t="str">
        <x:v>recommended</x:v>
      </x:c>
      <x:c r="E825" s="36" t="n">
        <x:v>2400</x:v>
      </x:c>
      <x:c r="F825" s="36" t="n">
        <x:v>39</x:v>
      </x:c>
      <x:c r="G825" s="9" t="str">
        <x:v>informational</x:v>
      </x:c>
      <x:c r="H825" s="9" t="str">
        <x:v>Reusable / Rechargeable</x:v>
      </x:c>
      <x:c r="I825" s="9" t="str">
        <x:v>场景/需求词</x:v>
      </x:c>
      <x:c r="J825" s="9" t="str">
        <x:v>博客B-场景人群</x:v>
      </x:c>
      <x:c r="K825" s="9" t="str"/>
      <x:c r="L825" s="9" t="str">
        <x:f>IF(K825="",J825,K825)</x:f>
        <x:v>博客B-场景人群</x:v>
      </x:c>
      <x:c r="M825" s="9" t="str">
        <x:v>场景解决方案/选购指南文章</x:v>
      </x:c>
      <x:c r="N825" s="9" t="str">
        <x:v>Scenario angle: how to choose reusable vape based on use case, flavor, nicotine, and budget</x:v>
      </x:c>
      <x:c r="O825" s="9" t="str">
        <x:v>/collections/rechargeable-vapes</x:v>
      </x:c>
      <x:c r="P825" s="9" t="str">
        <x:v>是</x:v>
      </x:c>
      <x:c r="Q825" s="9" t="str">
        <x:v>自然句/品类词</x:v>
      </x:c>
      <x:c r="R825" s="9" t="str">
        <x:v>低中风险：适合软性导流，但不要夸大效果或触碰健康疗效</x:v>
      </x:c>
      <x:c r="S825" s="9" t="str">
        <x:v>围绕使用场景、口味、尼古丁需求、便携性等写，不和主站品类页抢词。</x:v>
      </x:c>
      <x:c r="T825" s="38" t="n">
        <x:v>13</x:v>
      </x:c>
      <x:c r="U825" s="38" t="n">
        <x:v>9</x:v>
      </x:c>
      <x:c r="V825" s="38" t="n">
        <x:v>13</x:v>
      </x:c>
      <x:c r="W825" s="38" t="n">
        <x:v>14</x:v>
      </x:c>
      <x:c r="X825" s="38" t="n">
        <x:v>13</x:v>
      </x:c>
      <x:c r="Y825" s="38" t="n">
        <x:v>5</x:v>
      </x:c>
      <x:c r="Z825" s="38" t="n">
        <x:f>MAX(0,MIN(100,ROUND(((T825+U825+V825+W825+X825)-Y825)/85*100,0)))</x:f>
        <x:v>67</x:v>
      </x:c>
      <x:c r="AA825" s="9" t="str">
        <x:f>IF(L825="暂不做","P3 暂缓",IF(Z825&gt;=75,"P0 本周做",IF(Z825&gt;=60,"P1 近期做",IF(Z825&gt;=45,"P2 备选","P3 暂缓"))))</x:f>
        <x:v>P1 近期做</x:v>
      </x:c>
      <x:c r="AB825" s="9" t="str">
        <x:f>IF(Y825&gt;=15,"先做合规/相关性复核，不建议直接商业导流",IF(L825="主站","建/优化主站商业页",IF(L825="博客A-知识教程","写知识教程/FAQ文章",IF(L825="博客B-场景人群","写场景需求/选购指南文章",IF(L825="博客C-对比评测","写对比评测/榜单文章","暂不做或人工复核")))))</x:f>
        <x:v>写场景需求/选购指南文章</x:v>
      </x:c>
      <x:c r="AC825" s="9" t="str">
        <x:v>reusable vape</x:v>
      </x:c>
      <x:c r="AD825" s="10" t="str">
        <x:v>48</x:v>
      </x:c>
    </x:row>
    <x:row r="826">
      <x:c r="A826" s="34" t="n">
        <x:v>826</x:v>
      </x:c>
      <x:c r="B826" s="9" t="str">
        <x:v>48</x:v>
      </x:c>
      <x:c r="C826" s="9" t="str">
        <x:v>vape cartridge</x:v>
      </x:c>
      <x:c r="D826" s="9" t="str">
        <x:v>recommended</x:v>
      </x:c>
      <x:c r="E826" s="36" t="n">
        <x:v>12100</x:v>
      </x:c>
      <x:c r="F826" s="36" t="n">
        <x:v>51</x:v>
      </x:c>
      <x:c r="G826" s="9" t="str">
        <x:v>informational</x:v>
      </x:c>
      <x:c r="H826" s="9" t="str">
        <x:v>General Vape</x:v>
      </x:c>
      <x:c r="I826" s="9" t="str">
        <x:v>品类承接词</x:v>
      </x:c>
      <x:c r="J826" s="9" t="str">
        <x:v>主站</x:v>
      </x:c>
      <x:c r="K826" s="9" t="str"/>
      <x:c r="L826" s="9" t="str">
        <x:f>IF(K826="",J826,K826)</x:f>
        <x:v>主站</x:v>
      </x:c>
      <x:c r="M826" s="9" t="str">
        <x:v>品类页/集合页 + FAQ内容块</x:v>
      </x:c>
      <x:c r="N826" s="9" t="str">
        <x:v>主站品类页：用产品集合 + 选购说明承接</x:v>
      </x:c>
      <x:c r="O826" s="9" t="str">
        <x:v>/collections/disposable-vapes</x:v>
      </x:c>
      <x:c r="P826" s="9" t="str">
        <x:v>不适用</x:v>
      </x:c>
      <x:c r="Q826" s="9" t="str">
        <x:v>主站页面自身承接</x:v>
      </x:c>
      <x:c r="R826" s="9" t="str">
        <x:v>核心品类词：主站优先，博客只做长尾解释，不直接抢同一词</x:v>
      </x:c>
      <x:c r="S826" s="9" t="str">
        <x:v>如果 Google 首页产品页和指南混合，主站页要加 FAQ、选购指南、对比模块。</x:v>
      </x:c>
      <x:c r="T826" s="38" t="n">
        <x:v>18</x:v>
      </x:c>
      <x:c r="U826" s="38" t="n">
        <x:v>6</x:v>
      </x:c>
      <x:c r="V826" s="38" t="n">
        <x:v>16</x:v>
      </x:c>
      <x:c r="W826" s="38" t="n">
        <x:v>8</x:v>
      </x:c>
      <x:c r="X826" s="38" t="n">
        <x:v>15</x:v>
      </x:c>
      <x:c r="Y826" s="38" t="n">
        <x:v>4</x:v>
      </x:c>
      <x:c r="Z826" s="38" t="n">
        <x:f>MAX(0,MIN(100,ROUND(((T826+U826+V826+W826+X826)-Y826)/85*100,0)))</x:f>
        <x:v>69</x:v>
      </x:c>
      <x:c r="AA826" s="9" t="str">
        <x:f>IF(L826="暂不做","P3 暂缓",IF(Z826&gt;=75,"P0 本周做",IF(Z826&gt;=60,"P1 近期做",IF(Z826&gt;=45,"P2 备选","P3 暂缓"))))</x:f>
        <x:v>P1 近期做</x:v>
      </x:c>
      <x:c r="AB826" s="9" t="str">
        <x:f>IF(Y826&gt;=15,"先做合规/相关性复核，不建议直接商业导流",IF(L826="主站","建/优化主站商业页",IF(L826="博客A-知识教程","写知识教程/FAQ文章",IF(L826="博客B-场景人群","写场景需求/选购指南文章",IF(L826="博客C-对比评测","写对比评测/榜单文章","暂不做或人工复核")))))</x:f>
        <x:v>建/优化主站商业页</x:v>
      </x:c>
      <x:c r="AC826" s="9" t="str">
        <x:v>reusable vape</x:v>
      </x:c>
      <x:c r="AD826" s="10" t="str">
        <x:v>48</x:v>
      </x:c>
    </x:row>
    <x:row r="827">
      <x:c r="A827" s="34" t="n">
        <x:v>827</x:v>
      </x:c>
      <x:c r="B827" s="9" t="str">
        <x:v>48</x:v>
      </x:c>
      <x:c r="C827" s="9" t="str">
        <x:v>box mod vape kit</x:v>
      </x:c>
      <x:c r="D827" s="9" t="str">
        <x:v>recommended</x:v>
      </x:c>
      <x:c r="E827" s="36" t="n">
        <x:v>720</x:v>
      </x:c>
      <x:c r="F827" s="36" t="n">
        <x:v>23</x:v>
      </x:c>
      <x:c r="G827" s="9" t="str">
        <x:v>commercial</x:v>
      </x:c>
      <x:c r="H827" s="9" t="str">
        <x:v>General Vape</x:v>
      </x:c>
      <x:c r="I827" s="9" t="str">
        <x:v>品类承接词</x:v>
      </x:c>
      <x:c r="J827" s="9" t="str">
        <x:v>主站</x:v>
      </x:c>
      <x:c r="K827" s="9" t="str"/>
      <x:c r="L827" s="9" t="str">
        <x:f>IF(K827="",J827,K827)</x:f>
        <x:v>主站</x:v>
      </x:c>
      <x:c r="M827" s="9" t="str">
        <x:v>品类页/集合页 + FAQ内容块</x:v>
      </x:c>
      <x:c r="N827" s="9" t="str">
        <x:v>主站品类页：用产品集合 + 选购说明承接</x:v>
      </x:c>
      <x:c r="O827" s="9" t="str">
        <x:v>/collections/disposable-vapes</x:v>
      </x:c>
      <x:c r="P827" s="9" t="str">
        <x:v>不适用</x:v>
      </x:c>
      <x:c r="Q827" s="9" t="str">
        <x:v>主站页面自身承接</x:v>
      </x:c>
      <x:c r="R827" s="9" t="str">
        <x:v>核心品类词：主站优先，博客只做长尾解释，不直接抢同一词</x:v>
      </x:c>
      <x:c r="S827" s="9" t="str">
        <x:v>如果 Google 首页产品页和指南混合，主站页要加 FAQ、选购指南、对比模块。</x:v>
      </x:c>
      <x:c r="T827" s="38" t="n">
        <x:v>10</x:v>
      </x:c>
      <x:c r="U827" s="38" t="n">
        <x:v>12</x:v>
      </x:c>
      <x:c r="V827" s="38" t="n">
        <x:v>18</x:v>
      </x:c>
      <x:c r="W827" s="38" t="n">
        <x:v>8</x:v>
      </x:c>
      <x:c r="X827" s="38" t="n">
        <x:v>15</x:v>
      </x:c>
      <x:c r="Y827" s="38" t="n">
        <x:v>4</x:v>
      </x:c>
      <x:c r="Z827" s="38" t="n">
        <x:f>MAX(0,MIN(100,ROUND(((T827+U827+V827+W827+X827)-Y827)/85*100,0)))</x:f>
        <x:v>69</x:v>
      </x:c>
      <x:c r="AA827" s="9" t="str">
        <x:f>IF(L827="暂不做","P3 暂缓",IF(Z827&gt;=75,"P0 本周做",IF(Z827&gt;=60,"P1 近期做",IF(Z827&gt;=45,"P2 备选","P3 暂缓"))))</x:f>
        <x:v>P1 近期做</x:v>
      </x:c>
      <x:c r="AB827" s="9" t="str">
        <x:f>IF(Y827&gt;=15,"先做合规/相关性复核，不建议直接商业导流",IF(L827="主站","建/优化主站商业页",IF(L827="博客A-知识教程","写知识教程/FAQ文章",IF(L827="博客B-场景人群","写场景需求/选购指南文章",IF(L827="博客C-对比评测","写对比评测/榜单文章","暂不做或人工复核")))))</x:f>
        <x:v>建/优化主站商业页</x:v>
      </x:c>
      <x:c r="AC827" s="9" t="str">
        <x:v>reusable vape</x:v>
      </x:c>
      <x:c r="AD827" s="10" t="str">
        <x:v>48</x:v>
      </x:c>
    </x:row>
    <x:row r="828">
      <x:c r="A828" s="34" t="n">
        <x:v>828</x:v>
      </x:c>
      <x:c r="B828" s="9" t="str">
        <x:v>48</x:v>
      </x:c>
      <x:c r="C828" s="9" t="str">
        <x:v>vape machine</x:v>
      </x:c>
      <x:c r="D828" s="9" t="str">
        <x:v>recommended</x:v>
      </x:c>
      <x:c r="E828" s="36" t="n">
        <x:v>720</x:v>
      </x:c>
      <x:c r="F828" s="36" t="n">
        <x:v>34</x:v>
      </x:c>
      <x:c r="G828" s="9" t="str">
        <x:v>commercial</x:v>
      </x:c>
      <x:c r="H828" s="9" t="str">
        <x:v>General Vape</x:v>
      </x:c>
      <x:c r="I828" s="9" t="str">
        <x:v>品类承接词</x:v>
      </x:c>
      <x:c r="J828" s="9" t="str">
        <x:v>主站</x:v>
      </x:c>
      <x:c r="K828" s="9" t="str"/>
      <x:c r="L828" s="9" t="str">
        <x:f>IF(K828="",J828,K828)</x:f>
        <x:v>主站</x:v>
      </x:c>
      <x:c r="M828" s="9" t="str">
        <x:v>品类页/集合页 + FAQ内容块</x:v>
      </x:c>
      <x:c r="N828" s="9" t="str">
        <x:v>主站品类页：用产品集合 + 选购说明承接</x:v>
      </x:c>
      <x:c r="O828" s="9" t="str">
        <x:v>/collections/disposable-vapes</x:v>
      </x:c>
      <x:c r="P828" s="9" t="str">
        <x:v>不适用</x:v>
      </x:c>
      <x:c r="Q828" s="9" t="str">
        <x:v>主站页面自身承接</x:v>
      </x:c>
      <x:c r="R828" s="9" t="str">
        <x:v>核心品类词：主站优先，博客只做长尾解释，不直接抢同一词</x:v>
      </x:c>
      <x:c r="S828" s="9" t="str">
        <x:v>如果 Google 首页产品页和指南混合，主站页要加 FAQ、选购指南、对比模块。</x:v>
      </x:c>
      <x:c r="T828" s="38" t="n">
        <x:v>10</x:v>
      </x:c>
      <x:c r="U828" s="38" t="n">
        <x:v>9</x:v>
      </x:c>
      <x:c r="V828" s="38" t="n">
        <x:v>18</x:v>
      </x:c>
      <x:c r="W828" s="38" t="n">
        <x:v>8</x:v>
      </x:c>
      <x:c r="X828" s="38" t="n">
        <x:v>15</x:v>
      </x:c>
      <x:c r="Y828" s="38" t="n">
        <x:v>4</x:v>
      </x:c>
      <x:c r="Z828" s="38" t="n">
        <x:f>MAX(0,MIN(100,ROUND(((T828+U828+V828+W828+X828)-Y828)/85*100,0)))</x:f>
        <x:v>66</x:v>
      </x:c>
      <x:c r="AA828" s="9" t="str">
        <x:f>IF(L828="暂不做","P3 暂缓",IF(Z828&gt;=75,"P0 本周做",IF(Z828&gt;=60,"P1 近期做",IF(Z828&gt;=45,"P2 备选","P3 暂缓"))))</x:f>
        <x:v>P1 近期做</x:v>
      </x:c>
      <x:c r="AB828" s="9" t="str">
        <x:f>IF(Y828&gt;=15,"先做合规/相关性复核，不建议直接商业导流",IF(L828="主站","建/优化主站商业页",IF(L828="博客A-知识教程","写知识教程/FAQ文章",IF(L828="博客B-场景人群","写场景需求/选购指南文章",IF(L828="博客C-对比评测","写对比评测/榜单文章","暂不做或人工复核")))))</x:f>
        <x:v>建/优化主站商业页</x:v>
      </x:c>
      <x:c r="AC828" s="9" t="str">
        <x:v>reusable vape</x:v>
      </x:c>
      <x:c r="AD828" s="10" t="str">
        <x:v>48</x:v>
      </x:c>
    </x:row>
    <x:row r="829">
      <x:c r="A829" s="34" t="n">
        <x:v>829</x:v>
      </x:c>
      <x:c r="B829" s="9" t="str">
        <x:v>48</x:v>
      </x:c>
      <x:c r="C829" s="9" t="str">
        <x:v>refillable vape pen</x:v>
      </x:c>
      <x:c r="D829" s="9" t="str">
        <x:v>recommended</x:v>
      </x:c>
      <x:c r="E829" s="36" t="n">
        <x:v>1900</x:v>
      </x:c>
      <x:c r="F829" s="36" t="n">
        <x:v>24</x:v>
      </x:c>
      <x:c r="G829" s="9" t="str">
        <x:v>informational</x:v>
      </x:c>
      <x:c r="H829" s="9" t="str">
        <x:v>Reusable / Rechargeable</x:v>
      </x:c>
      <x:c r="I829" s="9" t="str">
        <x:v>场景/需求词</x:v>
      </x:c>
      <x:c r="J829" s="9" t="str">
        <x:v>博客B-场景人群</x:v>
      </x:c>
      <x:c r="K829" s="9" t="str"/>
      <x:c r="L829" s="9" t="str">
        <x:f>IF(K829="",J829,K829)</x:f>
        <x:v>博客B-场景人群</x:v>
      </x:c>
      <x:c r="M829" s="9" t="str">
        <x:v>场景解决方案/选购指南文章</x:v>
      </x:c>
      <x:c r="N829" s="9" t="str">
        <x:v>Scenario angle: how to choose refillable vape pen based on use case, flavor, nicotine, and budget</x:v>
      </x:c>
      <x:c r="O829" s="9" t="str">
        <x:v>/collections/rechargeable-vapes</x:v>
      </x:c>
      <x:c r="P829" s="9" t="str">
        <x:v>是</x:v>
      </x:c>
      <x:c r="Q829" s="9" t="str">
        <x:v>自然句/品类词</x:v>
      </x:c>
      <x:c r="R829" s="9" t="str">
        <x:v>低中风险：适合软性导流，但不要夸大效果或触碰健康疗效</x:v>
      </x:c>
      <x:c r="S829" s="9" t="str">
        <x:v>围绕使用场景、口味、尼古丁需求、便携性等写，不和主站品类页抢词。</x:v>
      </x:c>
      <x:c r="T829" s="38" t="n">
        <x:v>13</x:v>
      </x:c>
      <x:c r="U829" s="38" t="n">
        <x:v>12</x:v>
      </x:c>
      <x:c r="V829" s="38" t="n">
        <x:v>13</x:v>
      </x:c>
      <x:c r="W829" s="38" t="n">
        <x:v>14</x:v>
      </x:c>
      <x:c r="X829" s="38" t="n">
        <x:v>13</x:v>
      </x:c>
      <x:c r="Y829" s="38" t="n">
        <x:v>5</x:v>
      </x:c>
      <x:c r="Z829" s="38" t="n">
        <x:f>MAX(0,MIN(100,ROUND(((T829+U829+V829+W829+X829)-Y829)/85*100,0)))</x:f>
        <x:v>71</x:v>
      </x:c>
      <x:c r="AA829" s="9" t="str">
        <x:f>IF(L829="暂不做","P3 暂缓",IF(Z829&gt;=75,"P0 本周做",IF(Z829&gt;=60,"P1 近期做",IF(Z829&gt;=45,"P2 备选","P3 暂缓"))))</x:f>
        <x:v>P1 近期做</x:v>
      </x:c>
      <x:c r="AB829" s="9" t="str">
        <x:f>IF(Y829&gt;=15,"先做合规/相关性复核，不建议直接商业导流",IF(L829="主站","建/优化主站商业页",IF(L829="博客A-知识教程","写知识教程/FAQ文章",IF(L829="博客B-场景人群","写场景需求/选购指南文章",IF(L829="博客C-对比评测","写对比评测/榜单文章","暂不做或人工复核")))))</x:f>
        <x:v>写场景需求/选购指南文章</x:v>
      </x:c>
      <x:c r="AC829" s="9" t="str">
        <x:v>reusable vape</x:v>
      </x:c>
      <x:c r="AD829" s="10" t="str">
        <x:v>48</x:v>
      </x:c>
    </x:row>
    <x:row r="830">
      <x:c r="A830" s="34" t="n">
        <x:v>830</x:v>
      </x:c>
      <x:c r="B830" s="9" t="str">
        <x:v>48</x:v>
      </x:c>
      <x:c r="C830" s="9" t="str">
        <x:v>vape pen brands</x:v>
      </x:c>
      <x:c r="D830" s="9" t="str">
        <x:v>recommended</x:v>
      </x:c>
      <x:c r="E830" s="36" t="n">
        <x:v>390</x:v>
      </x:c>
      <x:c r="F830" s="36" t="n">
        <x:v>34</x:v>
      </x:c>
      <x:c r="G830" s="9" t="str">
        <x:v>informational</x:v>
      </x:c>
      <x:c r="H830" s="9" t="str">
        <x:v>对比评测</x:v>
      </x:c>
      <x:c r="I830" s="9" t="str">
        <x:v>商业调查词</x:v>
      </x:c>
      <x:c r="J830" s="9" t="str">
        <x:v>博客C-对比评测</x:v>
      </x:c>
      <x:c r="K830" s="9" t="str"/>
      <x:c r="L830" s="9" t="str">
        <x:f>IF(K830="",J830,K830)</x:f>
        <x:v>博客C-对比评测</x:v>
      </x:c>
      <x:c r="M830" s="9" t="str">
        <x:v>Best/Top/Review/VS/替代方案文章</x:v>
      </x:c>
      <x:c r="N830" s="9" t="str">
        <x:v>Best angle: vape pen brands - comparison, pros/cons, and which option fits different buyers</x:v>
      </x:c>
      <x:c r="O830" s="9" t="str">
        <x:v>/collections/disposable-vapes</x:v>
      </x:c>
      <x:c r="P830" s="9" t="str">
        <x:v>是</x:v>
      </x:c>
      <x:c r="Q830" s="9" t="str">
        <x:v>自然句/品类词/品牌词</x:v>
      </x:c>
      <x:c r="R830" s="9" t="str">
        <x:v>中风险：榜单和评测必须真实、中立，避免夸大</x:v>
      </x:c>
      <x:c r="S830" s="9" t="str">
        <x:v>这类词不直接给主站，先用博客C教育和比较，再导流到最相关集合页。</x:v>
      </x:c>
      <x:c r="T830" s="38" t="n">
        <x:v>7</x:v>
      </x:c>
      <x:c r="U830" s="38" t="n">
        <x:v>9</x:v>
      </x:c>
      <x:c r="V830" s="38" t="n">
        <x:v>16</x:v>
      </x:c>
      <x:c r="W830" s="38" t="n">
        <x:v>15</x:v>
      </x:c>
      <x:c r="X830" s="38" t="n">
        <x:v>13</x:v>
      </x:c>
      <x:c r="Y830" s="38" t="n">
        <x:v>6</x:v>
      </x:c>
      <x:c r="Z830" s="38" t="n">
        <x:f>MAX(0,MIN(100,ROUND(((T830+U830+V830+W830+X830)-Y830)/85*100,0)))</x:f>
        <x:v>64</x:v>
      </x:c>
      <x:c r="AA830" s="9" t="str">
        <x:f>IF(L830="暂不做","P3 暂缓",IF(Z830&gt;=75,"P0 本周做",IF(Z830&gt;=60,"P1 近期做",IF(Z830&gt;=45,"P2 备选","P3 暂缓"))))</x:f>
        <x:v>P1 近期做</x:v>
      </x:c>
      <x:c r="AB830" s="9" t="str">
        <x:f>IF(Y830&gt;=15,"先做合规/相关性复核，不建议直接商业导流",IF(L830="主站","建/优化主站商业页",IF(L830="博客A-知识教程","写知识教程/FAQ文章",IF(L830="博客B-场景人群","写场景需求/选购指南文章",IF(L830="博客C-对比评测","写对比评测/榜单文章","暂不做或人工复核")))))</x:f>
        <x:v>写对比评测/榜单文章</x:v>
      </x:c>
      <x:c r="AC830" s="9" t="str">
        <x:v>reusable vape</x:v>
      </x:c>
      <x:c r="AD830" s="10" t="str">
        <x:v>48</x:v>
      </x:c>
    </x:row>
    <x:row r="831">
      <x:c r="A831" s="34" t="n">
        <x:v>831</x:v>
      </x:c>
      <x:c r="B831" s="9" t="str">
        <x:v>48</x:v>
      </x:c>
      <x:c r="C831" s="9" t="str">
        <x:v>vaping box</x:v>
      </x:c>
      <x:c r="D831" s="9" t="str">
        <x:v>recommended</x:v>
      </x:c>
      <x:c r="E831" s="36" t="n">
        <x:v>260</x:v>
      </x:c>
      <x:c r="F831" s="36" t="n">
        <x:v>29</x:v>
      </x:c>
      <x:c r="G831" s="9" t="str">
        <x:v>informational, commercial</x:v>
      </x:c>
      <x:c r="H831" s="9" t="str">
        <x:v>General Vape</x:v>
      </x:c>
      <x:c r="I831" s="9" t="str">
        <x:v>品类承接词</x:v>
      </x:c>
      <x:c r="J831" s="9" t="str">
        <x:v>主站</x:v>
      </x:c>
      <x:c r="K831" s="9" t="str"/>
      <x:c r="L831" s="9" t="str">
        <x:f>IF(K831="",J831,K831)</x:f>
        <x:v>主站</x:v>
      </x:c>
      <x:c r="M831" s="9" t="str">
        <x:v>品类页/集合页 + FAQ内容块</x:v>
      </x:c>
      <x:c r="N831" s="9" t="str">
        <x:v>主站品类页：用产品集合 + 选购说明承接</x:v>
      </x:c>
      <x:c r="O831" s="9" t="str">
        <x:v>/collections/disposable-vapes</x:v>
      </x:c>
      <x:c r="P831" s="9" t="str">
        <x:v>不适用</x:v>
      </x:c>
      <x:c r="Q831" s="9" t="str">
        <x:v>主站页面自身承接</x:v>
      </x:c>
      <x:c r="R831" s="9" t="str">
        <x:v>核心品类词：主站优先，博客只做长尾解释，不直接抢同一词</x:v>
      </x:c>
      <x:c r="S831" s="9" t="str">
        <x:v>如果 Google 首页产品页和指南混合，主站页要加 FAQ、选购指南、对比模块。</x:v>
      </x:c>
      <x:c r="T831" s="38" t="n">
        <x:v>7</x:v>
      </x:c>
      <x:c r="U831" s="38" t="n">
        <x:v>12</x:v>
      </x:c>
      <x:c r="V831" s="38" t="n">
        <x:v>18</x:v>
      </x:c>
      <x:c r="W831" s="38" t="n">
        <x:v>8</x:v>
      </x:c>
      <x:c r="X831" s="38" t="n">
        <x:v>15</x:v>
      </x:c>
      <x:c r="Y831" s="38" t="n">
        <x:v>4</x:v>
      </x:c>
      <x:c r="Z831" s="38" t="n">
        <x:f>MAX(0,MIN(100,ROUND(((T831+U831+V831+W831+X831)-Y831)/85*100,0)))</x:f>
        <x:v>66</x:v>
      </x:c>
      <x:c r="AA831" s="9" t="str">
        <x:f>IF(L831="暂不做","P3 暂缓",IF(Z831&gt;=75,"P0 本周做",IF(Z831&gt;=60,"P1 近期做",IF(Z831&gt;=45,"P2 备选","P3 暂缓"))))</x:f>
        <x:v>P1 近期做</x:v>
      </x:c>
      <x:c r="AB831" s="9" t="str">
        <x:f>IF(Y831&gt;=15,"先做合规/相关性复核，不建议直接商业导流",IF(L831="主站","建/优化主站商业页",IF(L831="博客A-知识教程","写知识教程/FAQ文章",IF(L831="博客B-场景人群","写场景需求/选购指南文章",IF(L831="博客C-对比评测","写对比评测/榜单文章","暂不做或人工复核")))))</x:f>
        <x:v>建/优化主站商业页</x:v>
      </x:c>
      <x:c r="AC831" s="9" t="str">
        <x:v>reusable vape</x:v>
      </x:c>
      <x:c r="AD831" s="10" t="str">
        <x:v>48</x:v>
      </x:c>
    </x:row>
    <x:row r="832">
      <x:c r="A832" s="34" t="n">
        <x:v>832</x:v>
      </x:c>
      <x:c r="B832" s="9" t="str">
        <x:v>48</x:v>
      </x:c>
      <x:c r="C832" s="9" t="str">
        <x:v>cleanest vape</x:v>
      </x:c>
      <x:c r="D832" s="9" t="str">
        <x:v>recommended</x:v>
      </x:c>
      <x:c r="E832" s="36" t="n">
        <x:v>110</x:v>
      </x:c>
      <x:c r="F832" s="36" t="n">
        <x:v>12</x:v>
      </x:c>
      <x:c r="G832" s="9" t="str">
        <x:v>informational</x:v>
      </x:c>
      <x:c r="H832" s="9" t="str">
        <x:v>知识教程</x:v>
      </x:c>
      <x:c r="I832" s="9" t="str">
        <x:v>品类承接词</x:v>
      </x:c>
      <x:c r="J832" s="9" t="str">
        <x:v>主站</x:v>
      </x:c>
      <x:c r="K832" s="9" t="str"/>
      <x:c r="L832" s="9" t="str">
        <x:f>IF(K832="",J832,K832)</x:f>
        <x:v>主站</x:v>
      </x:c>
      <x:c r="M832" s="9" t="str">
        <x:v>品类页/集合页 + FAQ内容块</x:v>
      </x:c>
      <x:c r="N832" s="9" t="str">
        <x:v>主站品类页：用产品集合 + 选购说明承接</x:v>
      </x:c>
      <x:c r="O832" s="9" t="str">
        <x:v>/collections/disposable-vapes</x:v>
      </x:c>
      <x:c r="P832" s="9" t="str">
        <x:v>不适用</x:v>
      </x:c>
      <x:c r="Q832" s="9" t="str">
        <x:v>主站页面自身承接</x:v>
      </x:c>
      <x:c r="R832" s="9" t="str">
        <x:v>核心品类词：主站优先，博客只做长尾解释，不直接抢同一词</x:v>
      </x:c>
      <x:c r="S832" s="9" t="str">
        <x:v>如果 Google 首页产品页和指南混合，主站页要加 FAQ、选购指南、对比模块。</x:v>
      </x:c>
      <x:c r="T832" s="38" t="n">
        <x:v>7</x:v>
      </x:c>
      <x:c r="U832" s="38" t="n">
        <x:v>15</x:v>
      </x:c>
      <x:c r="V832" s="38" t="n">
        <x:v>16</x:v>
      </x:c>
      <x:c r="W832" s="38" t="n">
        <x:v>8</x:v>
      </x:c>
      <x:c r="X832" s="38" t="n">
        <x:v>15</x:v>
      </x:c>
      <x:c r="Y832" s="38" t="n">
        <x:v>4</x:v>
      </x:c>
      <x:c r="Z832" s="38" t="n">
        <x:f>MAX(0,MIN(100,ROUND(((T832+U832+V832+W832+X832)-Y832)/85*100,0)))</x:f>
        <x:v>67</x:v>
      </x:c>
      <x:c r="AA832" s="9" t="str">
        <x:f>IF(L832="暂不做","P3 暂缓",IF(Z832&gt;=75,"P0 本周做",IF(Z832&gt;=60,"P1 近期做",IF(Z832&gt;=45,"P2 备选","P3 暂缓"))))</x:f>
        <x:v>P1 近期做</x:v>
      </x:c>
      <x:c r="AB832" s="9" t="str">
        <x:f>IF(Y832&gt;=15,"先做合规/相关性复核，不建议直接商业导流",IF(L832="主站","建/优化主站商业页",IF(L832="博客A-知识教程","写知识教程/FAQ文章",IF(L832="博客B-场景人群","写场景需求/选购指南文章",IF(L832="博客C-对比评测","写对比评测/榜单文章","暂不做或人工复核")))))</x:f>
        <x:v>建/优化主站商业页</x:v>
      </x:c>
      <x:c r="AC832" s="9" t="str">
        <x:v>reusable vape</x:v>
      </x:c>
      <x:c r="AD832" s="10" t="str">
        <x:v>48</x:v>
      </x:c>
    </x:row>
    <x:row r="833">
      <x:c r="A833" s="34" t="n">
        <x:v>833</x:v>
      </x:c>
      <x:c r="B833" s="9" t="str">
        <x:v>48</x:v>
      </x:c>
      <x:c r="C833" s="9" t="str">
        <x:v>refillable pod system</x:v>
      </x:c>
      <x:c r="D833" s="9" t="str">
        <x:v>recommended</x:v>
      </x:c>
      <x:c r="E833" s="36" t="n">
        <x:v>170</x:v>
      </x:c>
      <x:c r="F833" s="36" t="n">
        <x:v>38</x:v>
      </x:c>
      <x:c r="G833" s="9" t="str">
        <x:v>commercial</x:v>
      </x:c>
      <x:c r="H833" s="9" t="str">
        <x:v>Pod Kit / Pod System</x:v>
      </x:c>
      <x:c r="I833" s="9" t="str">
        <x:v>品类承接词</x:v>
      </x:c>
      <x:c r="J833" s="9" t="str">
        <x:v>主站</x:v>
      </x:c>
      <x:c r="K833" s="9" t="str"/>
      <x:c r="L833" s="9" t="str">
        <x:f>IF(K833="",J833,K833)</x:f>
        <x:v>主站</x:v>
      </x:c>
      <x:c r="M833" s="9" t="str">
        <x:v>品类页/集合页 + FAQ内容块</x:v>
      </x:c>
      <x:c r="N833" s="9" t="str">
        <x:v>主站品类页：用产品集合 + 选购说明承接</x:v>
      </x:c>
      <x:c r="O833" s="9" t="str">
        <x:v>/collections/pod-kits</x:v>
      </x:c>
      <x:c r="P833" s="9" t="str">
        <x:v>不适用</x:v>
      </x:c>
      <x:c r="Q833" s="9" t="str">
        <x:v>主站页面自身承接</x:v>
      </x:c>
      <x:c r="R833" s="9" t="str">
        <x:v>核心品类词：主站优先，博客只做长尾解释，不直接抢同一词</x:v>
      </x:c>
      <x:c r="S833" s="9" t="str">
        <x:v>如果 Google 首页产品页和指南混合，主站页要加 FAQ、选购指南、对比模块。</x:v>
      </x:c>
      <x:c r="T833" s="38" t="n">
        <x:v>7</x:v>
      </x:c>
      <x:c r="U833" s="38" t="n">
        <x:v>9</x:v>
      </x:c>
      <x:c r="V833" s="38" t="n">
        <x:v>18</x:v>
      </x:c>
      <x:c r="W833" s="38" t="n">
        <x:v>8</x:v>
      </x:c>
      <x:c r="X833" s="38" t="n">
        <x:v>15</x:v>
      </x:c>
      <x:c r="Y833" s="38" t="n">
        <x:v>4</x:v>
      </x:c>
      <x:c r="Z833" s="38" t="n">
        <x:f>MAX(0,MIN(100,ROUND(((T833+U833+V833+W833+X833)-Y833)/85*100,0)))</x:f>
        <x:v>62</x:v>
      </x:c>
      <x:c r="AA833" s="9" t="str">
        <x:f>IF(L833="暂不做","P3 暂缓",IF(Z833&gt;=75,"P0 本周做",IF(Z833&gt;=60,"P1 近期做",IF(Z833&gt;=45,"P2 备选","P3 暂缓"))))</x:f>
        <x:v>P1 近期做</x:v>
      </x:c>
      <x:c r="AB833" s="9" t="str">
        <x:f>IF(Y833&gt;=15,"先做合规/相关性复核，不建议直接商业导流",IF(L833="主站","建/优化主站商业页",IF(L833="博客A-知识教程","写知识教程/FAQ文章",IF(L833="博客B-场景人群","写场景需求/选购指南文章",IF(L833="博客C-对比评测","写对比评测/榜单文章","暂不做或人工复核")))))</x:f>
        <x:v>建/优化主站商业页</x:v>
      </x:c>
      <x:c r="AC833" s="9" t="str">
        <x:v>reusable vape</x:v>
      </x:c>
      <x:c r="AD833" s="10" t="str">
        <x:v>48</x:v>
      </x:c>
    </x:row>
    <x:row r="834">
      <x:c r="A834" s="34" t="n">
        <x:v>834</x:v>
      </x:c>
      <x:c r="B834" s="9" t="str">
        <x:v>48</x:v>
      </x:c>
      <x:c r="C834" s="9" t="str">
        <x:v>vaporesso vibe pods</x:v>
      </x:c>
      <x:c r="D834" s="9" t="str">
        <x:v>recommended</x:v>
      </x:c>
      <x:c r="E834" s="36" t="n">
        <x:v>170</x:v>
      </x:c>
      <x:c r="F834" s="36" t="n">
        <x:v>11</x:v>
      </x:c>
      <x:c r="G834" s="9" t="str">
        <x:v>informational</x:v>
      </x:c>
      <x:c r="H834" s="9" t="str">
        <x:v>竞品/品牌词</x:v>
      </x:c>
      <x:c r="I834" s="9" t="str">
        <x:v>竞品品牌词</x:v>
      </x:c>
      <x:c r="J834" s="9" t="str">
        <x:v>暂不做</x:v>
      </x:c>
      <x:c r="K834" s="9" t="str"/>
      <x:c r="L834" s="9" t="str">
        <x:f>IF(K834="",J834,K834)</x:f>
        <x:v>暂不做</x:v>
      </x:c>
      <x:c r="M834" s="9" t="str">
        <x:v>人工确认后再决定</x:v>
      </x:c>
      <x:c r="N834" s="9" t="str">
        <x:v>人工确认是否可做客观对比</x:v>
      </x:c>
      <x:c r="O834" s="9" t="str">
        <x:v>无</x:v>
      </x:c>
      <x:c r="P834" s="9" t="str">
        <x:v>否</x:v>
      </x:c>
      <x:c r="Q834" s="9" t="str">
        <x:v>不导流</x:v>
      </x:c>
      <x:c r="R834" s="9" t="str">
        <x:v>中高风险：纯竞品品牌词容易产生商标/相关性问题</x:v>
      </x:c>
      <x:c r="S834" s="9" t="str">
        <x:v>只有带 alternative / vs / review / best 这类明确比较意图时，才考虑博客C。</x:v>
      </x:c>
      <x:c r="T834" s="38" t="n">
        <x:v>7</x:v>
      </x:c>
      <x:c r="U834" s="38" t="n">
        <x:v>15</x:v>
      </x:c>
      <x:c r="V834" s="38" t="n">
        <x:v>5</x:v>
      </x:c>
      <x:c r="W834" s="38" t="n">
        <x:v>7</x:v>
      </x:c>
      <x:c r="X834" s="38" t="n">
        <x:v>4</x:v>
      </x:c>
      <x:c r="Y834" s="38" t="n">
        <x:v>14</x:v>
      </x:c>
      <x:c r="Z834" s="38" t="n">
        <x:f>MAX(0,MIN(100,ROUND(((T834+U834+V834+W834+X834)-Y834)/85*100,0)))</x:f>
        <x:v>28</x:v>
      </x:c>
      <x:c r="AA834" s="9" t="str">
        <x:f>IF(L834="暂不做","P3 暂缓",IF(Z834&gt;=75,"P0 本周做",IF(Z834&gt;=60,"P1 近期做",IF(Z834&gt;=45,"P2 备选","P3 暂缓"))))</x:f>
        <x:v>P3 暂缓</x:v>
      </x:c>
      <x:c r="AB834" s="9" t="str">
        <x:f>IF(Y834&gt;=15,"先做合规/相关性复核，不建议直接商业导流",IF(L834="主站","建/优化主站商业页",IF(L834="博客A-知识教程","写知识教程/FAQ文章",IF(L834="博客B-场景人群","写场景需求/选购指南文章",IF(L834="博客C-对比评测","写对比评测/榜单文章","暂不做或人工复核")))))</x:f>
        <x:v>暂不做或人工复核</x:v>
      </x:c>
      <x:c r="AC834" s="9" t="str">
        <x:v>reusable vape</x:v>
      </x:c>
      <x:c r="AD834" s="10" t="str">
        <x:v>48</x:v>
      </x:c>
    </x:row>
    <x:row r="835">
      <x:c r="A835" s="34" t="n">
        <x:v>835</x:v>
      </x:c>
      <x:c r="B835" s="9" t="str">
        <x:v>48</x:v>
      </x:c>
      <x:c r="C835" s="9" t="str">
        <x:v>refillable vape pen kit</x:v>
      </x:c>
      <x:c r="D835" s="9" t="str">
        <x:v>recommended</x:v>
      </x:c>
      <x:c r="E835" s="36" t="n">
        <x:v>110</x:v>
      </x:c>
      <x:c r="F835" s="36" t="n">
        <x:v>27</x:v>
      </x:c>
      <x:c r="G835" s="9" t="str">
        <x:v>commercial</x:v>
      </x:c>
      <x:c r="H835" s="9" t="str">
        <x:v>Reusable / Rechargeable</x:v>
      </x:c>
      <x:c r="I835" s="9" t="str">
        <x:v>品类承接词</x:v>
      </x:c>
      <x:c r="J835" s="9" t="str">
        <x:v>主站</x:v>
      </x:c>
      <x:c r="K835" s="9" t="str"/>
      <x:c r="L835" s="9" t="str">
        <x:f>IF(K835="",J835,K835)</x:f>
        <x:v>主站</x:v>
      </x:c>
      <x:c r="M835" s="9" t="str">
        <x:v>品类页/集合页 + FAQ内容块</x:v>
      </x:c>
      <x:c r="N835" s="9" t="str">
        <x:v>主站品类页：用产品集合 + 选购说明承接</x:v>
      </x:c>
      <x:c r="O835" s="9" t="str">
        <x:v>/collections/rechargeable-vapes</x:v>
      </x:c>
      <x:c r="P835" s="9" t="str">
        <x:v>不适用</x:v>
      </x:c>
      <x:c r="Q835" s="9" t="str">
        <x:v>主站页面自身承接</x:v>
      </x:c>
      <x:c r="R835" s="9" t="str">
        <x:v>核心品类词：主站优先，博客只做长尾解释，不直接抢同一词</x:v>
      </x:c>
      <x:c r="S835" s="9" t="str">
        <x:v>如果 Google 首页产品页和指南混合，主站页要加 FAQ、选购指南、对比模块。</x:v>
      </x:c>
      <x:c r="T835" s="38" t="n">
        <x:v>7</x:v>
      </x:c>
      <x:c r="U835" s="38" t="n">
        <x:v>12</x:v>
      </x:c>
      <x:c r="V835" s="38" t="n">
        <x:v>18</x:v>
      </x:c>
      <x:c r="W835" s="38" t="n">
        <x:v>8</x:v>
      </x:c>
      <x:c r="X835" s="38" t="n">
        <x:v>15</x:v>
      </x:c>
      <x:c r="Y835" s="38" t="n">
        <x:v>4</x:v>
      </x:c>
      <x:c r="Z835" s="38" t="n">
        <x:f>MAX(0,MIN(100,ROUND(((T835+U835+V835+W835+X835)-Y835)/85*100,0)))</x:f>
        <x:v>66</x:v>
      </x:c>
      <x:c r="AA835" s="9" t="str">
        <x:f>IF(L835="暂不做","P3 暂缓",IF(Z835&gt;=75,"P0 本周做",IF(Z835&gt;=60,"P1 近期做",IF(Z835&gt;=45,"P2 备选","P3 暂缓"))))</x:f>
        <x:v>P1 近期做</x:v>
      </x:c>
      <x:c r="AB835" s="9" t="str">
        <x:f>IF(Y835&gt;=15,"先做合规/相关性复核，不建议直接商业导流",IF(L835="主站","建/优化主站商业页",IF(L835="博客A-知识教程","写知识教程/FAQ文章",IF(L835="博客B-场景人群","写场景需求/选购指南文章",IF(L835="博客C-对比评测","写对比评测/榜单文章","暂不做或人工复核")))))</x:f>
        <x:v>建/优化主站商业页</x:v>
      </x:c>
      <x:c r="AC835" s="9" t="str">
        <x:v>reusable vape</x:v>
      </x:c>
      <x:c r="AD835" s="10" t="str">
        <x:v>48</x:v>
      </x:c>
    </x:row>
    <x:row r="836">
      <x:c r="A836" s="34" t="n">
        <x:v>836</x:v>
      </x:c>
      <x:c r="B836" s="9" t="str">
        <x:v>48</x:v>
      </x:c>
      <x:c r="C836" s="9" t="str">
        <x:v>vape pod starter kit</x:v>
      </x:c>
      <x:c r="D836" s="9" t="str">
        <x:v>recommended</x:v>
      </x:c>
      <x:c r="E836" s="36" t="n">
        <x:v>90</x:v>
      </x:c>
      <x:c r="F836" s="36" t="n">
        <x:v>33</x:v>
      </x:c>
      <x:c r="G836" s="9" t="str">
        <x:v>informational</x:v>
      </x:c>
      <x:c r="H836" s="9" t="str">
        <x:v>Pod Kit / Pod System</x:v>
      </x:c>
      <x:c r="I836" s="9" t="str">
        <x:v>知识/教程词</x:v>
      </x:c>
      <x:c r="J836" s="9" t="str">
        <x:v>博客A-知识教程</x:v>
      </x:c>
      <x:c r="K836" s="9" t="str"/>
      <x:c r="L836" s="9" t="str">
        <x:f>IF(K836="",J836,K836)</x:f>
        <x:v>博客A-知识教程</x:v>
      </x:c>
      <x:c r="M836" s="9" t="str">
        <x:v>百科/How-to/FAQ文章</x:v>
      </x:c>
      <x:c r="N836" s="9" t="str">
        <x:v>Guide angle: explain vape pod starter kit, answer common questions, and avoid sales-first writing</x:v>
      </x:c>
      <x:c r="O836" s="9" t="str">
        <x:v>/collections/pod-kits</x:v>
      </x:c>
      <x:c r="P836" s="9" t="str">
        <x:v>谨慎</x:v>
      </x:c>
      <x:c r="Q836" s="9" t="str">
        <x:v>自然句/品牌词</x:v>
      </x:c>
      <x:c r="R836" s="9" t="str">
        <x:v>低中风险：先满足信息意图，导流要克制</x:v>
      </x:c>
      <x:c r="S836" s="9" t="str">
        <x:v>如果文章能自然回答下一步购买问题，再放 1 个主站内链；否则只做知识闭环。</x:v>
      </x:c>
      <x:c r="T836" s="38" t="n">
        <x:v>4</x:v>
      </x:c>
      <x:c r="U836" s="38" t="n">
        <x:v>9</x:v>
      </x:c>
      <x:c r="V836" s="38" t="n">
        <x:v>9</x:v>
      </x:c>
      <x:c r="W836" s="38" t="n">
        <x:v>14</x:v>
      </x:c>
      <x:c r="X836" s="38" t="n">
        <x:v>12</x:v>
      </x:c>
      <x:c r="Y836" s="38" t="n">
        <x:v>5</x:v>
      </x:c>
      <x:c r="Z836" s="38" t="n">
        <x:f>MAX(0,MIN(100,ROUND(((T836+U836+V836+W836+X836)-Y836)/85*100,0)))</x:f>
        <x:v>51</x:v>
      </x:c>
      <x:c r="AA836" s="9" t="str">
        <x:f>IF(L836="暂不做","P3 暂缓",IF(Z836&gt;=75,"P0 本周做",IF(Z836&gt;=60,"P1 近期做",IF(Z836&gt;=45,"P2 备选","P3 暂缓"))))</x:f>
        <x:v>P2 备选</x:v>
      </x:c>
      <x:c r="AB836" s="9" t="str">
        <x:f>IF(Y836&gt;=15,"先做合规/相关性复核，不建议直接商业导流",IF(L836="主站","建/优化主站商业页",IF(L836="博客A-知识教程","写知识教程/FAQ文章",IF(L836="博客B-场景人群","写场景需求/选购指南文章",IF(L836="博客C-对比评测","写对比评测/榜单文章","暂不做或人工复核")))))</x:f>
        <x:v>写知识教程/FAQ文章</x:v>
      </x:c>
      <x:c r="AC836" s="9" t="str">
        <x:v>reusable vape</x:v>
      </x:c>
      <x:c r="AD836" s="10" t="str">
        <x:v>48</x:v>
      </x:c>
    </x:row>
    <x:row r="837">
      <x:c r="A837" s="34" t="n">
        <x:v>837</x:v>
      </x:c>
      <x:c r="B837" s="9" t="str">
        <x:v>48</x:v>
      </x:c>
      <x:c r="C837" s="9" t="str">
        <x:v>best vaping pens</x:v>
      </x:c>
      <x:c r="D837" s="9" t="str">
        <x:v>recommended</x:v>
      </x:c>
      <x:c r="E837" s="36" t="n">
        <x:v>210</x:v>
      </x:c>
      <x:c r="F837" s="36" t="n">
        <x:v>31</x:v>
      </x:c>
      <x:c r="G837" s="9" t="str">
        <x:v>commercial</x:v>
      </x:c>
      <x:c r="H837" s="9" t="str">
        <x:v>对比评测</x:v>
      </x:c>
      <x:c r="I837" s="9" t="str">
        <x:v>商业调查词</x:v>
      </x:c>
      <x:c r="J837" s="9" t="str">
        <x:v>博客C-对比评测</x:v>
      </x:c>
      <x:c r="K837" s="9" t="str"/>
      <x:c r="L837" s="9" t="str">
        <x:f>IF(K837="",J837,K837)</x:f>
        <x:v>博客C-对比评测</x:v>
      </x:c>
      <x:c r="M837" s="9" t="str">
        <x:v>Best/Top/Review/VS/替代方案文章</x:v>
      </x:c>
      <x:c r="N837" s="9" t="str">
        <x:v>Best angle: best vaping pens - comparison, pros/cons, and which option fits different buyers</x:v>
      </x:c>
      <x:c r="O837" s="9" t="str">
        <x:v>/collections/disposable-vapes</x:v>
      </x:c>
      <x:c r="P837" s="9" t="str">
        <x:v>是</x:v>
      </x:c>
      <x:c r="Q837" s="9" t="str">
        <x:v>自然句/品类词/品牌词</x:v>
      </x:c>
      <x:c r="R837" s="9" t="str">
        <x:v>中风险：榜单和评测必须真实、中立，避免夸大</x:v>
      </x:c>
      <x:c r="S837" s="9" t="str">
        <x:v>这类词不直接给主站，先用博客C教育和比较，再导流到最相关集合页。</x:v>
      </x:c>
      <x:c r="T837" s="38" t="n">
        <x:v>7</x:v>
      </x:c>
      <x:c r="U837" s="38" t="n">
        <x:v>9</x:v>
      </x:c>
      <x:c r="V837" s="38" t="n">
        <x:v>16</x:v>
      </x:c>
      <x:c r="W837" s="38" t="n">
        <x:v>15</x:v>
      </x:c>
      <x:c r="X837" s="38" t="n">
        <x:v>13</x:v>
      </x:c>
      <x:c r="Y837" s="38" t="n">
        <x:v>6</x:v>
      </x:c>
      <x:c r="Z837" s="38" t="n">
        <x:f>MAX(0,MIN(100,ROUND(((T837+U837+V837+W837+X837)-Y837)/85*100,0)))</x:f>
        <x:v>64</x:v>
      </x:c>
      <x:c r="AA837" s="9" t="str">
        <x:f>IF(L837="暂不做","P3 暂缓",IF(Z837&gt;=75,"P0 本周做",IF(Z837&gt;=60,"P1 近期做",IF(Z837&gt;=45,"P2 备选","P3 暂缓"))))</x:f>
        <x:v>P1 近期做</x:v>
      </x:c>
      <x:c r="AB837" s="9" t="str">
        <x:f>IF(Y837&gt;=15,"先做合规/相关性复核，不建议直接商业导流",IF(L837="主站","建/优化主站商业页",IF(L837="博客A-知识教程","写知识教程/FAQ文章",IF(L837="博客B-场景人群","写场景需求/选购指南文章",IF(L837="博客C-对比评测","写对比评测/榜单文章","暂不做或人工复核")))))</x:f>
        <x:v>写对比评测/榜单文章</x:v>
      </x:c>
      <x:c r="AC837" s="9" t="str">
        <x:v>reusable vape</x:v>
      </x:c>
      <x:c r="AD837" s="10" t="str">
        <x:v>48</x:v>
      </x:c>
    </x:row>
    <x:row r="838">
      <x:c r="A838" s="34" t="n">
        <x:v>838</x:v>
      </x:c>
      <x:c r="B838" s="9" t="str">
        <x:v>48</x:v>
      </x:c>
      <x:c r="C838" s="9" t="str">
        <x:v>chargeable vapes</x:v>
      </x:c>
      <x:c r="D838" s="9" t="str">
        <x:v>recommended</x:v>
      </x:c>
      <x:c r="E838" s="36" t="n">
        <x:v>90</x:v>
      </x:c>
      <x:c r="F838" s="36" t="n">
        <x:v>42</x:v>
      </x:c>
      <x:c r="G838" s="9" t="str">
        <x:v>commercial</x:v>
      </x:c>
      <x:c r="H838" s="9" t="str">
        <x:v>知识教程</x:v>
      </x:c>
      <x:c r="I838" s="9" t="str">
        <x:v>品类承接词</x:v>
      </x:c>
      <x:c r="J838" s="9" t="str">
        <x:v>主站</x:v>
      </x:c>
      <x:c r="K838" s="9" t="str"/>
      <x:c r="L838" s="9" t="str">
        <x:f>IF(K838="",J838,K838)</x:f>
        <x:v>主站</x:v>
      </x:c>
      <x:c r="M838" s="9" t="str">
        <x:v>品类页/集合页 + FAQ内容块</x:v>
      </x:c>
      <x:c r="N838" s="9" t="str">
        <x:v>主站品类页：用产品集合 + 选购说明承接</x:v>
      </x:c>
      <x:c r="O838" s="9" t="str">
        <x:v>/collections/disposable-vapes</x:v>
      </x:c>
      <x:c r="P838" s="9" t="str">
        <x:v>不适用</x:v>
      </x:c>
      <x:c r="Q838" s="9" t="str">
        <x:v>主站页面自身承接</x:v>
      </x:c>
      <x:c r="R838" s="9" t="str">
        <x:v>核心品类词：主站优先，博客只做长尾解释，不直接抢同一词</x:v>
      </x:c>
      <x:c r="S838" s="9" t="str">
        <x:v>如果 Google 首页产品页和指南混合，主站页要加 FAQ、选购指南、对比模块。</x:v>
      </x:c>
      <x:c r="T838" s="38" t="n">
        <x:v>4</x:v>
      </x:c>
      <x:c r="U838" s="38" t="n">
        <x:v>9</x:v>
      </x:c>
      <x:c r="V838" s="38" t="n">
        <x:v>18</x:v>
      </x:c>
      <x:c r="W838" s="38" t="n">
        <x:v>8</x:v>
      </x:c>
      <x:c r="X838" s="38" t="n">
        <x:v>15</x:v>
      </x:c>
      <x:c r="Y838" s="38" t="n">
        <x:v>4</x:v>
      </x:c>
      <x:c r="Z838" s="38" t="n">
        <x:f>MAX(0,MIN(100,ROUND(((T838+U838+V838+W838+X838)-Y838)/85*100,0)))</x:f>
        <x:v>59</x:v>
      </x:c>
      <x:c r="AA838" s="9" t="str">
        <x:f>IF(L838="暂不做","P3 暂缓",IF(Z838&gt;=75,"P0 本周做",IF(Z838&gt;=60,"P1 近期做",IF(Z838&gt;=45,"P2 备选","P3 暂缓"))))</x:f>
        <x:v>P2 备选</x:v>
      </x:c>
      <x:c r="AB838" s="9" t="str">
        <x:f>IF(Y838&gt;=15,"先做合规/相关性复核，不建议直接商业导流",IF(L838="主站","建/优化主站商业页",IF(L838="博客A-知识教程","写知识教程/FAQ文章",IF(L838="博客B-场景人群","写场景需求/选购指南文章",IF(L838="博客C-对比评测","写对比评测/榜单文章","暂不做或人工复核")))))</x:f>
        <x:v>建/优化主站商业页</x:v>
      </x:c>
      <x:c r="AC838" s="9" t="str">
        <x:v>reusable vape</x:v>
      </x:c>
      <x:c r="AD838" s="10" t="str">
        <x:v>48</x:v>
      </x:c>
    </x:row>
    <x:row r="839">
      <x:c r="A839" s="34" t="n">
        <x:v>839</x:v>
      </x:c>
      <x:c r="B839" s="9" t="str">
        <x:v>48</x:v>
      </x:c>
      <x:c r="C839" s="9" t="str">
        <x:v>strongest vapes</x:v>
      </x:c>
      <x:c r="D839" s="9" t="str">
        <x:v>recommended</x:v>
      </x:c>
      <x:c r="E839" s="36" t="n">
        <x:v>50</x:v>
      </x:c>
      <x:c r="F839" s="36" t="n">
        <x:v>25</x:v>
      </x:c>
      <x:c r="G839" s="9" t="str">
        <x:v>informational, commercial</x:v>
      </x:c>
      <x:c r="H839" s="9" t="str">
        <x:v>General Vape</x:v>
      </x:c>
      <x:c r="I839" s="9" t="str">
        <x:v>品类承接词</x:v>
      </x:c>
      <x:c r="J839" s="9" t="str">
        <x:v>主站</x:v>
      </x:c>
      <x:c r="K839" s="9" t="str"/>
      <x:c r="L839" s="9" t="str">
        <x:f>IF(K839="",J839,K839)</x:f>
        <x:v>主站</x:v>
      </x:c>
      <x:c r="M839" s="9" t="str">
        <x:v>品类页/集合页 + FAQ内容块</x:v>
      </x:c>
      <x:c r="N839" s="9" t="str">
        <x:v>主站品类页：用产品集合 + 选购说明承接</x:v>
      </x:c>
      <x:c r="O839" s="9" t="str">
        <x:v>/collections/disposable-vapes</x:v>
      </x:c>
      <x:c r="P839" s="9" t="str">
        <x:v>不适用</x:v>
      </x:c>
      <x:c r="Q839" s="9" t="str">
        <x:v>主站页面自身承接</x:v>
      </x:c>
      <x:c r="R839" s="9" t="str">
        <x:v>核心品类词：主站优先，博客只做长尾解释，不直接抢同一词</x:v>
      </x:c>
      <x:c r="S839" s="9" t="str">
        <x:v>如果 Google 首页产品页和指南混合，主站页要加 FAQ、选购指南、对比模块。</x:v>
      </x:c>
      <x:c r="T839" s="38" t="n">
        <x:v>4</x:v>
      </x:c>
      <x:c r="U839" s="38" t="n">
        <x:v>12</x:v>
      </x:c>
      <x:c r="V839" s="38" t="n">
        <x:v>18</x:v>
      </x:c>
      <x:c r="W839" s="38" t="n">
        <x:v>8</x:v>
      </x:c>
      <x:c r="X839" s="38" t="n">
        <x:v>15</x:v>
      </x:c>
      <x:c r="Y839" s="38" t="n">
        <x:v>4</x:v>
      </x:c>
      <x:c r="Z839" s="38" t="n">
        <x:f>MAX(0,MIN(100,ROUND(((T839+U839+V839+W839+X839)-Y839)/85*100,0)))</x:f>
        <x:v>62</x:v>
      </x:c>
      <x:c r="AA839" s="9" t="str">
        <x:f>IF(L839="暂不做","P3 暂缓",IF(Z839&gt;=75,"P0 本周做",IF(Z839&gt;=60,"P1 近期做",IF(Z839&gt;=45,"P2 备选","P3 暂缓"))))</x:f>
        <x:v>P1 近期做</x:v>
      </x:c>
      <x:c r="AB839" s="9" t="str">
        <x:f>IF(Y839&gt;=15,"先做合规/相关性复核，不建议直接商业导流",IF(L839="主站","建/优化主站商业页",IF(L839="博客A-知识教程","写知识教程/FAQ文章",IF(L839="博客B-场景人群","写场景需求/选购指南文章",IF(L839="博客C-对比评测","写对比评测/榜单文章","暂不做或人工复核")))))</x:f>
        <x:v>建/优化主站商业页</x:v>
      </x:c>
      <x:c r="AC839" s="9" t="str">
        <x:v>reusable vape</x:v>
      </x:c>
      <x:c r="AD839" s="10" t="str">
        <x:v>48</x:v>
      </x:c>
    </x:row>
    <x:row r="840">
      <x:c r="A840" s="34" t="n">
        <x:v>840</x:v>
      </x:c>
      <x:c r="B840" s="9" t="str">
        <x:v>48</x:v>
      </x:c>
      <x:c r="C840" s="9" t="str">
        <x:v>portable vape</x:v>
      </x:c>
      <x:c r="D840" s="9" t="str">
        <x:v>recommended</x:v>
      </x:c>
      <x:c r="E840" s="36" t="n">
        <x:v>170</x:v>
      </x:c>
      <x:c r="F840" s="36" t="n">
        <x:v>34</x:v>
      </x:c>
      <x:c r="G840" s="9" t="str">
        <x:v>commercial</x:v>
      </x:c>
      <x:c r="H840" s="9" t="str">
        <x:v>General Vape</x:v>
      </x:c>
      <x:c r="I840" s="9" t="str">
        <x:v>品类承接词</x:v>
      </x:c>
      <x:c r="J840" s="9" t="str">
        <x:v>主站</x:v>
      </x:c>
      <x:c r="K840" s="9" t="str"/>
      <x:c r="L840" s="9" t="str">
        <x:f>IF(K840="",J840,K840)</x:f>
        <x:v>主站</x:v>
      </x:c>
      <x:c r="M840" s="9" t="str">
        <x:v>品类页/集合页 + FAQ内容块</x:v>
      </x:c>
      <x:c r="N840" s="9" t="str">
        <x:v>主站品类页：用产品集合 + 选购说明承接</x:v>
      </x:c>
      <x:c r="O840" s="9" t="str">
        <x:v>/collections/disposable-vapes</x:v>
      </x:c>
      <x:c r="P840" s="9" t="str">
        <x:v>不适用</x:v>
      </x:c>
      <x:c r="Q840" s="9" t="str">
        <x:v>主站页面自身承接</x:v>
      </x:c>
      <x:c r="R840" s="9" t="str">
        <x:v>核心品类词：主站优先，博客只做长尾解释，不直接抢同一词</x:v>
      </x:c>
      <x:c r="S840" s="9" t="str">
        <x:v>如果 Google 首页产品页和指南混合，主站页要加 FAQ、选购指南、对比模块。</x:v>
      </x:c>
      <x:c r="T840" s="38" t="n">
        <x:v>7</x:v>
      </x:c>
      <x:c r="U840" s="38" t="n">
        <x:v>9</x:v>
      </x:c>
      <x:c r="V840" s="38" t="n">
        <x:v>18</x:v>
      </x:c>
      <x:c r="W840" s="38" t="n">
        <x:v>8</x:v>
      </x:c>
      <x:c r="X840" s="38" t="n">
        <x:v>15</x:v>
      </x:c>
      <x:c r="Y840" s="38" t="n">
        <x:v>4</x:v>
      </x:c>
      <x:c r="Z840" s="38" t="n">
        <x:f>MAX(0,MIN(100,ROUND(((T840+U840+V840+W840+X840)-Y840)/85*100,0)))</x:f>
        <x:v>62</x:v>
      </x:c>
      <x:c r="AA840" s="9" t="str">
        <x:f>IF(L840="暂不做","P3 暂缓",IF(Z840&gt;=75,"P0 本周做",IF(Z840&gt;=60,"P1 近期做",IF(Z840&gt;=45,"P2 备选","P3 暂缓"))))</x:f>
        <x:v>P1 近期做</x:v>
      </x:c>
      <x:c r="AB840" s="9" t="str">
        <x:f>IF(Y840&gt;=15,"先做合规/相关性复核，不建议直接商业导流",IF(L840="主站","建/优化主站商业页",IF(L840="博客A-知识教程","写知识教程/FAQ文章",IF(L840="博客B-场景人群","写场景需求/选购指南文章",IF(L840="博客C-对比评测","写对比评测/榜单文章","暂不做或人工复核")))))</x:f>
        <x:v>建/优化主站商业页</x:v>
      </x:c>
      <x:c r="AC840" s="9" t="str">
        <x:v>reusable vape</x:v>
      </x:c>
      <x:c r="AD840" s="10" t="str">
        <x:v>48</x:v>
      </x:c>
    </x:row>
    <x:row r="841">
      <x:c r="A841" s="34" t="n">
        <x:v>841</x:v>
      </x:c>
      <x:c r="B841" s="9" t="str">
        <x:v>48</x:v>
      </x:c>
      <x:c r="C841" s="9" t="str">
        <x:v>vapers recargables</x:v>
      </x:c>
      <x:c r="D841" s="9" t="str">
        <x:v>recommended</x:v>
      </x:c>
      <x:c r="E841" s="36" t="n">
        <x:v>70</x:v>
      </x:c>
      <x:c r="F841" s="36" t="n">
        <x:v>20</x:v>
      </x:c>
      <x:c r="G841" s="9" t="str">
        <x:v>informational, commercial</x:v>
      </x:c>
      <x:c r="H841" s="9" t="str">
        <x:v>General Vape</x:v>
      </x:c>
      <x:c r="I841" s="9" t="str">
        <x:v>品类承接词</x:v>
      </x:c>
      <x:c r="J841" s="9" t="str">
        <x:v>主站</x:v>
      </x:c>
      <x:c r="K841" s="9" t="str"/>
      <x:c r="L841" s="9" t="str">
        <x:f>IF(K841="",J841,K841)</x:f>
        <x:v>主站</x:v>
      </x:c>
      <x:c r="M841" s="9" t="str">
        <x:v>品类页/集合页 + FAQ内容块</x:v>
      </x:c>
      <x:c r="N841" s="9" t="str">
        <x:v>主站品类页：用产品集合 + 选购说明承接</x:v>
      </x:c>
      <x:c r="O841" s="9" t="str">
        <x:v>/collections/disposable-vapes</x:v>
      </x:c>
      <x:c r="P841" s="9" t="str">
        <x:v>不适用</x:v>
      </x:c>
      <x:c r="Q841" s="9" t="str">
        <x:v>主站页面自身承接</x:v>
      </x:c>
      <x:c r="R841" s="9" t="str">
        <x:v>核心品类词：主站优先，博客只做长尾解释，不直接抢同一词</x:v>
      </x:c>
      <x:c r="S841" s="9" t="str">
        <x:v>如果 Google 首页产品页和指南混合，主站页要加 FAQ、选购指南、对比模块。</x:v>
      </x:c>
      <x:c r="T841" s="38" t="n">
        <x:v>4</x:v>
      </x:c>
      <x:c r="U841" s="38" t="n">
        <x:v>12</x:v>
      </x:c>
      <x:c r="V841" s="38" t="n">
        <x:v>18</x:v>
      </x:c>
      <x:c r="W841" s="38" t="n">
        <x:v>8</x:v>
      </x:c>
      <x:c r="X841" s="38" t="n">
        <x:v>15</x:v>
      </x:c>
      <x:c r="Y841" s="38" t="n">
        <x:v>4</x:v>
      </x:c>
      <x:c r="Z841" s="38" t="n">
        <x:f>MAX(0,MIN(100,ROUND(((T841+U841+V841+W841+X841)-Y841)/85*100,0)))</x:f>
        <x:v>62</x:v>
      </x:c>
      <x:c r="AA841" s="9" t="str">
        <x:f>IF(L841="暂不做","P3 暂缓",IF(Z841&gt;=75,"P0 本周做",IF(Z841&gt;=60,"P1 近期做",IF(Z841&gt;=45,"P2 备选","P3 暂缓"))))</x:f>
        <x:v>P1 近期做</x:v>
      </x:c>
      <x:c r="AB841" s="9" t="str">
        <x:f>IF(Y841&gt;=15,"先做合规/相关性复核，不建议直接商业导流",IF(L841="主站","建/优化主站商业页",IF(L841="博客A-知识教程","写知识教程/FAQ文章",IF(L841="博客B-场景人群","写场景需求/选购指南文章",IF(L841="博客C-对比评测","写对比评测/榜单文章","暂不做或人工复核")))))</x:f>
        <x:v>建/优化主站商业页</x:v>
      </x:c>
      <x:c r="AC841" s="9" t="str">
        <x:v>reusable vape</x:v>
      </x:c>
      <x:c r="AD841" s="10" t="str">
        <x:v>48</x:v>
      </x:c>
    </x:row>
    <x:row r="842">
      <x:c r="A842" s="34" t="n">
        <x:v>842</x:v>
      </x:c>
      <x:c r="B842" s="9" t="str">
        <x:v>48</x:v>
      </x:c>
      <x:c r="C842" s="9" t="str">
        <x:v>vape pen reviews</x:v>
      </x:c>
      <x:c r="D842" s="9" t="str">
        <x:v>recommended</x:v>
      </x:c>
      <x:c r="E842" s="36" t="n">
        <x:v>50</x:v>
      </x:c>
      <x:c r="F842" s="36" t="n">
        <x:v>21</x:v>
      </x:c>
      <x:c r="G842" s="9" t="str">
        <x:v>commercial</x:v>
      </x:c>
      <x:c r="H842" s="9" t="str">
        <x:v>对比评测</x:v>
      </x:c>
      <x:c r="I842" s="9" t="str">
        <x:v>商业调查词</x:v>
      </x:c>
      <x:c r="J842" s="9" t="str">
        <x:v>博客C-对比评测</x:v>
      </x:c>
      <x:c r="K842" s="9" t="str"/>
      <x:c r="L842" s="9" t="str">
        <x:f>IF(K842="",J842,K842)</x:f>
        <x:v>博客C-对比评测</x:v>
      </x:c>
      <x:c r="M842" s="9" t="str">
        <x:v>Best/Top/Review/VS/替代方案文章</x:v>
      </x:c>
      <x:c r="N842" s="9" t="str">
        <x:v>Best angle: vape pen reviews - comparison, pros/cons, and which option fits different buyers</x:v>
      </x:c>
      <x:c r="O842" s="9" t="str">
        <x:v>/collections/disposable-vapes</x:v>
      </x:c>
      <x:c r="P842" s="9" t="str">
        <x:v>是</x:v>
      </x:c>
      <x:c r="Q842" s="9" t="str">
        <x:v>自然句/品类词/品牌词</x:v>
      </x:c>
      <x:c r="R842" s="9" t="str">
        <x:v>中风险：榜单和评测必须真实、中立，避免夸大</x:v>
      </x:c>
      <x:c r="S842" s="9" t="str">
        <x:v>这类词不直接给主站，先用博客C教育和比较，再导流到最相关集合页。</x:v>
      </x:c>
      <x:c r="T842" s="38" t="n">
        <x:v>4</x:v>
      </x:c>
      <x:c r="U842" s="38" t="n">
        <x:v>12</x:v>
      </x:c>
      <x:c r="V842" s="38" t="n">
        <x:v>16</x:v>
      </x:c>
      <x:c r="W842" s="38" t="n">
        <x:v>15</x:v>
      </x:c>
      <x:c r="X842" s="38" t="n">
        <x:v>13</x:v>
      </x:c>
      <x:c r="Y842" s="38" t="n">
        <x:v>6</x:v>
      </x:c>
      <x:c r="Z842" s="38" t="n">
        <x:f>MAX(0,MIN(100,ROUND(((T842+U842+V842+W842+X842)-Y842)/85*100,0)))</x:f>
        <x:v>64</x:v>
      </x:c>
      <x:c r="AA842" s="9" t="str">
        <x:f>IF(L842="暂不做","P3 暂缓",IF(Z842&gt;=75,"P0 本周做",IF(Z842&gt;=60,"P1 近期做",IF(Z842&gt;=45,"P2 备选","P3 暂缓"))))</x:f>
        <x:v>P1 近期做</x:v>
      </x:c>
      <x:c r="AB842" s="9" t="str">
        <x:f>IF(Y842&gt;=15,"先做合规/相关性复核，不建议直接商业导流",IF(L842="主站","建/优化主站商业页",IF(L842="博客A-知识教程","写知识教程/FAQ文章",IF(L842="博客B-场景人群","写场景需求/选购指南文章",IF(L842="博客C-对比评测","写对比评测/榜单文章","暂不做或人工复核")))))</x:f>
        <x:v>写对比评测/榜单文章</x:v>
      </x:c>
      <x:c r="AC842" s="9" t="str">
        <x:v>reusable vape</x:v>
      </x:c>
      <x:c r="AD842" s="10" t="str">
        <x:v>48</x:v>
      </x:c>
    </x:row>
    <x:row r="843">
      <x:c r="A843" s="34" t="n">
        <x:v>843</x:v>
      </x:c>
      <x:c r="B843" s="9" t="str">
        <x:v>48</x:v>
      </x:c>
      <x:c r="C843" s="9" t="str">
        <x:v>touch screen vapes</x:v>
      </x:c>
      <x:c r="D843" s="9" t="str">
        <x:v>recommended</x:v>
      </x:c>
      <x:c r="E843" s="36" t="n">
        <x:v>110</x:v>
      </x:c>
      <x:c r="F843" s="36" t="n">
        <x:v>35</x:v>
      </x:c>
      <x:c r="G843" s="9" t="str">
        <x:v>informational</x:v>
      </x:c>
      <x:c r="H843" s="9" t="str">
        <x:v>General Vape</x:v>
      </x:c>
      <x:c r="I843" s="9" t="str">
        <x:v>品类承接词</x:v>
      </x:c>
      <x:c r="J843" s="9" t="str">
        <x:v>主站</x:v>
      </x:c>
      <x:c r="K843" s="9" t="str"/>
      <x:c r="L843" s="9" t="str">
        <x:f>IF(K843="",J843,K843)</x:f>
        <x:v>主站</x:v>
      </x:c>
      <x:c r="M843" s="9" t="str">
        <x:v>品类页/集合页 + FAQ内容块</x:v>
      </x:c>
      <x:c r="N843" s="9" t="str">
        <x:v>主站品类页：用产品集合 + 选购说明承接</x:v>
      </x:c>
      <x:c r="O843" s="9" t="str">
        <x:v>/collections/disposable-vapes</x:v>
      </x:c>
      <x:c r="P843" s="9" t="str">
        <x:v>不适用</x:v>
      </x:c>
      <x:c r="Q843" s="9" t="str">
        <x:v>主站页面自身承接</x:v>
      </x:c>
      <x:c r="R843" s="9" t="str">
        <x:v>核心品类词：主站优先，博客只做长尾解释，不直接抢同一词</x:v>
      </x:c>
      <x:c r="S843" s="9" t="str">
        <x:v>如果 Google 首页产品页和指南混合，主站页要加 FAQ、选购指南、对比模块。</x:v>
      </x:c>
      <x:c r="T843" s="38" t="n">
        <x:v>7</x:v>
      </x:c>
      <x:c r="U843" s="38" t="n">
        <x:v>9</x:v>
      </x:c>
      <x:c r="V843" s="38" t="n">
        <x:v>16</x:v>
      </x:c>
      <x:c r="W843" s="38" t="n">
        <x:v>8</x:v>
      </x:c>
      <x:c r="X843" s="38" t="n">
        <x:v>15</x:v>
      </x:c>
      <x:c r="Y843" s="38" t="n">
        <x:v>4</x:v>
      </x:c>
      <x:c r="Z843" s="38" t="n">
        <x:f>MAX(0,MIN(100,ROUND(((T843+U843+V843+W843+X843)-Y843)/85*100,0)))</x:f>
        <x:v>60</x:v>
      </x:c>
      <x:c r="AA843" s="9" t="str">
        <x:f>IF(L843="暂不做","P3 暂缓",IF(Z843&gt;=75,"P0 本周做",IF(Z843&gt;=60,"P1 近期做",IF(Z843&gt;=45,"P2 备选","P3 暂缓"))))</x:f>
        <x:v>P1 近期做</x:v>
      </x:c>
      <x:c r="AB843" s="9" t="str">
        <x:f>IF(Y843&gt;=15,"先做合规/相关性复核，不建议直接商业导流",IF(L843="主站","建/优化主站商业页",IF(L843="博客A-知识教程","写知识教程/FAQ文章",IF(L843="博客B-场景人群","写场景需求/选购指南文章",IF(L843="博客C-对比评测","写对比评测/榜单文章","暂不做或人工复核")))))</x:f>
        <x:v>建/优化主站商业页</x:v>
      </x:c>
      <x:c r="AC843" s="9" t="str">
        <x:v>reusable vape</x:v>
      </x:c>
      <x:c r="AD843" s="10" t="str">
        <x:v>48</x:v>
      </x:c>
    </x:row>
    <x:row r="844">
      <x:c r="A844" s="34" t="n">
        <x:v>844</x:v>
      </x:c>
      <x:c r="B844" s="9" t="str">
        <x:v>48</x:v>
      </x:c>
      <x:c r="C844" s="9" t="str">
        <x:v>best flower vape</x:v>
      </x:c>
      <x:c r="D844" s="9" t="str">
        <x:v>recommended</x:v>
      </x:c>
      <x:c r="E844" s="36" t="n">
        <x:v>140</x:v>
      </x:c>
      <x:c r="F844" s="36" t="n">
        <x:v>32</x:v>
      </x:c>
      <x:c r="G844" s="9" t="str">
        <x:v>commercial</x:v>
      </x:c>
      <x:c r="H844" s="9" t="str">
        <x:v>对比评测</x:v>
      </x:c>
      <x:c r="I844" s="9" t="str">
        <x:v>商业调查词</x:v>
      </x:c>
      <x:c r="J844" s="9" t="str">
        <x:v>博客C-对比评测</x:v>
      </x:c>
      <x:c r="K844" s="9" t="str"/>
      <x:c r="L844" s="9" t="str">
        <x:f>IF(K844="",J844,K844)</x:f>
        <x:v>博客C-对比评测</x:v>
      </x:c>
      <x:c r="M844" s="9" t="str">
        <x:v>Best/Top/Review/VS/替代方案文章</x:v>
      </x:c>
      <x:c r="N844" s="9" t="str">
        <x:v>Best angle: best flower vape - comparison, pros/cons, and which option fits different buyers</x:v>
      </x:c>
      <x:c r="O844" s="9" t="str">
        <x:v>/collections/disposable-vapes</x:v>
      </x:c>
      <x:c r="P844" s="9" t="str">
        <x:v>是</x:v>
      </x:c>
      <x:c r="Q844" s="9" t="str">
        <x:v>自然句/品类词/品牌词</x:v>
      </x:c>
      <x:c r="R844" s="9" t="str">
        <x:v>中风险：榜单和评测必须真实、中立，避免夸大</x:v>
      </x:c>
      <x:c r="S844" s="9" t="str">
        <x:v>这类词不直接给主站，先用博客C教育和比较，再导流到最相关集合页。</x:v>
      </x:c>
      <x:c r="T844" s="38" t="n">
        <x:v>7</x:v>
      </x:c>
      <x:c r="U844" s="38" t="n">
        <x:v>9</x:v>
      </x:c>
      <x:c r="V844" s="38" t="n">
        <x:v>16</x:v>
      </x:c>
      <x:c r="W844" s="38" t="n">
        <x:v>15</x:v>
      </x:c>
      <x:c r="X844" s="38" t="n">
        <x:v>13</x:v>
      </x:c>
      <x:c r="Y844" s="38" t="n">
        <x:v>6</x:v>
      </x:c>
      <x:c r="Z844" s="38" t="n">
        <x:f>MAX(0,MIN(100,ROUND(((T844+U844+V844+W844+X844)-Y844)/85*100,0)))</x:f>
        <x:v>64</x:v>
      </x:c>
      <x:c r="AA844" s="9" t="str">
        <x:f>IF(L844="暂不做","P3 暂缓",IF(Z844&gt;=75,"P0 本周做",IF(Z844&gt;=60,"P1 近期做",IF(Z844&gt;=45,"P2 备选","P3 暂缓"))))</x:f>
        <x:v>P1 近期做</x:v>
      </x:c>
      <x:c r="AB844" s="9" t="str">
        <x:f>IF(Y844&gt;=15,"先做合规/相关性复核，不建议直接商业导流",IF(L844="主站","建/优化主站商业页",IF(L844="博客A-知识教程","写知识教程/FAQ文章",IF(L844="博客B-场景人群","写场景需求/选购指南文章",IF(L844="博客C-对比评测","写对比评测/榜单文章","暂不做或人工复核")))))</x:f>
        <x:v>写对比评测/榜单文章</x:v>
      </x:c>
      <x:c r="AC844" s="9" t="str">
        <x:v>reusable vape</x:v>
      </x:c>
      <x:c r="AD844" s="10" t="str">
        <x:v>48</x:v>
      </x:c>
    </x:row>
    <x:row r="845">
      <x:c r="A845" s="34" t="n">
        <x:v>845</x:v>
      </x:c>
      <x:c r="B845" s="9" t="str">
        <x:v>48</x:v>
      </x:c>
      <x:c r="C845" s="9" t="str">
        <x:v>vaporizer starter kits</x:v>
      </x:c>
      <x:c r="D845" s="9" t="str">
        <x:v>recommended</x:v>
      </x:c>
      <x:c r="E845" s="36" t="n">
        <x:v>40</x:v>
      </x:c>
      <x:c r="F845" s="36" t="n">
        <x:v>29</x:v>
      </x:c>
      <x:c r="G845" s="9" t="str">
        <x:v>commercial</x:v>
      </x:c>
      <x:c r="H845" s="9" t="str">
        <x:v>General Vape</x:v>
      </x:c>
      <x:c r="I845" s="9" t="str">
        <x:v>弱相关词</x:v>
      </x:c>
      <x:c r="J845" s="9" t="str">
        <x:v>暂不做</x:v>
      </x:c>
      <x:c r="K845" s="9" t="str"/>
      <x:c r="L845" s="9" t="str">
        <x:f>IF(K845="",J845,K845)</x:f>
        <x:v>暂不做</x:v>
      </x:c>
      <x:c r="M845" s="9" t="str">
        <x:v>不建议建页</x:v>
      </x:c>
      <x:c r="N845" s="9" t="str">
        <x:v>不进入内容生产</x:v>
      </x:c>
      <x:c r="O845" s="9" t="str">
        <x:v>无</x:v>
      </x:c>
      <x:c r="P845" s="9" t="str">
        <x:v>否</x:v>
      </x:c>
      <x:c r="Q845" s="9" t="str">
        <x:v>不导流</x:v>
      </x:c>
      <x:c r="R845" s="9" t="str">
        <x:v>相关性弱：可能带来无效流量或偏离产品定位</x:v>
      </x:c>
      <x:c r="S845" s="9" t="str">
        <x:v>除非人工确认与核心产品强相关，否则不要进入内容排期。</x:v>
      </x:c>
      <x:c r="T845" s="38" t="n">
        <x:v>4</x:v>
      </x:c>
      <x:c r="U845" s="38" t="n">
        <x:v>12</x:v>
      </x:c>
      <x:c r="V845" s="38" t="n">
        <x:v>2</x:v>
      </x:c>
      <x:c r="W845" s="38" t="n">
        <x:v>3</x:v>
      </x:c>
      <x:c r="X845" s="38" t="n">
        <x:v>2</x:v>
      </x:c>
      <x:c r="Y845" s="38" t="n">
        <x:v>16</x:v>
      </x:c>
      <x:c r="Z845" s="38" t="n">
        <x:f>MAX(0,MIN(100,ROUND(((T845+U845+V845+W845+X845)-Y845)/85*100,0)))</x:f>
        <x:v>8</x:v>
      </x:c>
      <x:c r="AA845" s="9" t="str">
        <x:f>IF(L845="暂不做","P3 暂缓",IF(Z845&gt;=75,"P0 本周做",IF(Z845&gt;=60,"P1 近期做",IF(Z845&gt;=45,"P2 备选","P3 暂缓"))))</x:f>
        <x:v>P3 暂缓</x:v>
      </x:c>
      <x:c r="AB845" s="9" t="str">
        <x:f>IF(Y845&gt;=15,"先做合规/相关性复核，不建议直接商业导流",IF(L845="主站","建/优化主站商业页",IF(L845="博客A-知识教程","写知识教程/FAQ文章",IF(L845="博客B-场景人群","写场景需求/选购指南文章",IF(L845="博客C-对比评测","写对比评测/榜单文章","暂不做或人工复核")))))</x:f>
        <x:v>先做合规/相关性复核，不建议直接商业导流</x:v>
      </x:c>
      <x:c r="AC845" s="9" t="str">
        <x:v>reusable vape</x:v>
      </x:c>
      <x:c r="AD845" s="10" t="str">
        <x:v>48</x:v>
      </x:c>
    </x:row>
    <x:row r="846">
      <x:c r="A846" s="34" t="n">
        <x:v>846</x:v>
      </x:c>
      <x:c r="B846" s="9" t="str">
        <x:v>48</x:v>
      </x:c>
      <x:c r="C846" s="9" t="str">
        <x:v>slim vapes</x:v>
      </x:c>
      <x:c r="D846" s="9" t="str">
        <x:v>recommended</x:v>
      </x:c>
      <x:c r="E846" s="36" t="n">
        <x:v>50</x:v>
      </x:c>
      <x:c r="F846" s="36" t="n">
        <x:v>22</x:v>
      </x:c>
      <x:c r="G846" s="9" t="str">
        <x:v>informational</x:v>
      </x:c>
      <x:c r="H846" s="9" t="str">
        <x:v>General Vape</x:v>
      </x:c>
      <x:c r="I846" s="9" t="str">
        <x:v>品类承接词</x:v>
      </x:c>
      <x:c r="J846" s="9" t="str">
        <x:v>主站</x:v>
      </x:c>
      <x:c r="K846" s="9" t="str"/>
      <x:c r="L846" s="9" t="str">
        <x:f>IF(K846="",J846,K846)</x:f>
        <x:v>主站</x:v>
      </x:c>
      <x:c r="M846" s="9" t="str">
        <x:v>品类页/集合页 + FAQ内容块</x:v>
      </x:c>
      <x:c r="N846" s="9" t="str">
        <x:v>主站品类页：用产品集合 + 选购说明承接</x:v>
      </x:c>
      <x:c r="O846" s="9" t="str">
        <x:v>/collections/disposable-vapes</x:v>
      </x:c>
      <x:c r="P846" s="9" t="str">
        <x:v>不适用</x:v>
      </x:c>
      <x:c r="Q846" s="9" t="str">
        <x:v>主站页面自身承接</x:v>
      </x:c>
      <x:c r="R846" s="9" t="str">
        <x:v>核心品类词：主站优先，博客只做长尾解释，不直接抢同一词</x:v>
      </x:c>
      <x:c r="S846" s="9" t="str">
        <x:v>如果 Google 首页产品页和指南混合，主站页要加 FAQ、选购指南、对比模块。</x:v>
      </x:c>
      <x:c r="T846" s="38" t="n">
        <x:v>4</x:v>
      </x:c>
      <x:c r="U846" s="38" t="n">
        <x:v>12</x:v>
      </x:c>
      <x:c r="V846" s="38" t="n">
        <x:v>16</x:v>
      </x:c>
      <x:c r="W846" s="38" t="n">
        <x:v>8</x:v>
      </x:c>
      <x:c r="X846" s="38" t="n">
        <x:v>15</x:v>
      </x:c>
      <x:c r="Y846" s="38" t="n">
        <x:v>4</x:v>
      </x:c>
      <x:c r="Z846" s="38" t="n">
        <x:f>MAX(0,MIN(100,ROUND(((T846+U846+V846+W846+X846)-Y846)/85*100,0)))</x:f>
        <x:v>60</x:v>
      </x:c>
      <x:c r="AA846" s="9" t="str">
        <x:f>IF(L846="暂不做","P3 暂缓",IF(Z846&gt;=75,"P0 本周做",IF(Z846&gt;=60,"P1 近期做",IF(Z846&gt;=45,"P2 备选","P3 暂缓"))))</x:f>
        <x:v>P1 近期做</x:v>
      </x:c>
      <x:c r="AB846" s="9" t="str">
        <x:f>IF(Y846&gt;=15,"先做合规/相关性复核，不建议直接商业导流",IF(L846="主站","建/优化主站商业页",IF(L846="博客A-知识教程","写知识教程/FAQ文章",IF(L846="博客B-场景人群","写场景需求/选购指南文章",IF(L846="博客C-对比评测","写对比评测/榜单文章","暂不做或人工复核")))))</x:f>
        <x:v>建/优化主站商业页</x:v>
      </x:c>
      <x:c r="AC846" s="9" t="str">
        <x:v>reusable vape</x:v>
      </x:c>
      <x:c r="AD846" s="10" t="str">
        <x:v>48</x:v>
      </x:c>
    </x:row>
    <x:row r="847">
      <x:c r="A847" s="34" t="n">
        <x:v>847</x:v>
      </x:c>
      <x:c r="B847" s="9" t="str">
        <x:v>48</x:v>
      </x:c>
      <x:c r="C847" s="9" t="str">
        <x:v>vape for flower</x:v>
      </x:c>
      <x:c r="D847" s="9" t="str">
        <x:v>recommended</x:v>
      </x:c>
      <x:c r="E847" s="36" t="n">
        <x:v>320</x:v>
      </x:c>
      <x:c r="F847" s="36" t="n">
        <x:v>57</x:v>
      </x:c>
      <x:c r="G847" s="9" t="str">
        <x:v>informational, commercial</x:v>
      </x:c>
      <x:c r="H847" s="9" t="str">
        <x:v>General Vape</x:v>
      </x:c>
      <x:c r="I847" s="9" t="str">
        <x:v>品类承接词</x:v>
      </x:c>
      <x:c r="J847" s="9" t="str">
        <x:v>主站</x:v>
      </x:c>
      <x:c r="K847" s="9" t="str"/>
      <x:c r="L847" s="9" t="str">
        <x:f>IF(K847="",J847,K847)</x:f>
        <x:v>主站</x:v>
      </x:c>
      <x:c r="M847" s="9" t="str">
        <x:v>品类页/集合页 + FAQ内容块</x:v>
      </x:c>
      <x:c r="N847" s="9" t="str">
        <x:v>主站品类页：用产品集合 + 选购说明承接</x:v>
      </x:c>
      <x:c r="O847" s="9" t="str">
        <x:v>/collections/disposable-vapes</x:v>
      </x:c>
      <x:c r="P847" s="9" t="str">
        <x:v>不适用</x:v>
      </x:c>
      <x:c r="Q847" s="9" t="str">
        <x:v>主站页面自身承接</x:v>
      </x:c>
      <x:c r="R847" s="9" t="str">
        <x:v>核心品类词：主站优先，博客只做长尾解释，不直接抢同一词</x:v>
      </x:c>
      <x:c r="S847" s="9" t="str">
        <x:v>如果 Google 首页产品页和指南混合，主站页要加 FAQ、选购指南、对比模块。</x:v>
      </x:c>
      <x:c r="T847" s="38" t="n">
        <x:v>7</x:v>
      </x:c>
      <x:c r="U847" s="38" t="n">
        <x:v>6</x:v>
      </x:c>
      <x:c r="V847" s="38" t="n">
        <x:v>18</x:v>
      </x:c>
      <x:c r="W847" s="38" t="n">
        <x:v>8</x:v>
      </x:c>
      <x:c r="X847" s="38" t="n">
        <x:v>15</x:v>
      </x:c>
      <x:c r="Y847" s="38" t="n">
        <x:v>4</x:v>
      </x:c>
      <x:c r="Z847" s="38" t="n">
        <x:f>MAX(0,MIN(100,ROUND(((T847+U847+V847+W847+X847)-Y847)/85*100,0)))</x:f>
        <x:v>59</x:v>
      </x:c>
      <x:c r="AA847" s="9" t="str">
        <x:f>IF(L847="暂不做","P3 暂缓",IF(Z847&gt;=75,"P0 本周做",IF(Z847&gt;=60,"P1 近期做",IF(Z847&gt;=45,"P2 备选","P3 暂缓"))))</x:f>
        <x:v>P2 备选</x:v>
      </x:c>
      <x:c r="AB847" s="9" t="str">
        <x:f>IF(Y847&gt;=15,"先做合规/相关性复核，不建议直接商业导流",IF(L847="主站","建/优化主站商业页",IF(L847="博客A-知识教程","写知识教程/FAQ文章",IF(L847="博客B-场景人群","写场景需求/选购指南文章",IF(L847="博客C-对比评测","写对比评测/榜单文章","暂不做或人工复核")))))</x:f>
        <x:v>建/优化主站商业页</x:v>
      </x:c>
      <x:c r="AC847" s="9" t="str">
        <x:v>reusable vape</x:v>
      </x:c>
      <x:c r="AD847" s="10" t="str">
        <x:v>48</x:v>
      </x:c>
    </x:row>
    <x:row r="848">
      <x:c r="A848" s="34" t="n">
        <x:v>848</x:v>
      </x:c>
      <x:c r="B848" s="9" t="str">
        <x:v>48</x:v>
      </x:c>
      <x:c r="C848" s="9" t="str">
        <x:v>electric vape</x:v>
      </x:c>
      <x:c r="D848" s="9" t="str">
        <x:v>recommended</x:v>
      </x:c>
      <x:c r="E848" s="36" t="n">
        <x:v>1300</x:v>
      </x:c>
      <x:c r="F848" s="36" t="n">
        <x:v>89</x:v>
      </x:c>
      <x:c r="G848" s="9" t="str">
        <x:v>commercial</x:v>
      </x:c>
      <x:c r="H848" s="9" t="str">
        <x:v>General Vape</x:v>
      </x:c>
      <x:c r="I848" s="9" t="str">
        <x:v>品类承接词</x:v>
      </x:c>
      <x:c r="J848" s="9" t="str">
        <x:v>主站</x:v>
      </x:c>
      <x:c r="K848" s="9" t="str"/>
      <x:c r="L848" s="9" t="str">
        <x:f>IF(K848="",J848,K848)</x:f>
        <x:v>主站</x:v>
      </x:c>
      <x:c r="M848" s="9" t="str">
        <x:v>品类页/集合页 + FAQ内容块</x:v>
      </x:c>
      <x:c r="N848" s="9" t="str">
        <x:v>主站品类页：用产品集合 + 选购说明承接</x:v>
      </x:c>
      <x:c r="O848" s="9" t="str">
        <x:v>/collections/disposable-vapes</x:v>
      </x:c>
      <x:c r="P848" s="9" t="str">
        <x:v>不适用</x:v>
      </x:c>
      <x:c r="Q848" s="9" t="str">
        <x:v>主站页面自身承接</x:v>
      </x:c>
      <x:c r="R848" s="9" t="str">
        <x:v>核心品类词：主站优先，博客只做长尾解释，不直接抢同一词</x:v>
      </x:c>
      <x:c r="S848" s="9" t="str">
        <x:v>如果 Google 首页产品页和指南混合，主站页要加 FAQ、选购指南、对比模块。</x:v>
      </x:c>
      <x:c r="T848" s="38" t="n">
        <x:v>13</x:v>
      </x:c>
      <x:c r="U848" s="38" t="n">
        <x:v>1</x:v>
      </x:c>
      <x:c r="V848" s="38" t="n">
        <x:v>18</x:v>
      </x:c>
      <x:c r="W848" s="38" t="n">
        <x:v>8</x:v>
      </x:c>
      <x:c r="X848" s="38" t="n">
        <x:v>15</x:v>
      </x:c>
      <x:c r="Y848" s="38" t="n">
        <x:v>4</x:v>
      </x:c>
      <x:c r="Z848" s="38" t="n">
        <x:f>MAX(0,MIN(100,ROUND(((T848+U848+V848+W848+X848)-Y848)/85*100,0)))</x:f>
        <x:v>60</x:v>
      </x:c>
      <x:c r="AA848" s="9" t="str">
        <x:f>IF(L848="暂不做","P3 暂缓",IF(Z848&gt;=75,"P0 本周做",IF(Z848&gt;=60,"P1 近期做",IF(Z848&gt;=45,"P2 备选","P3 暂缓"))))</x:f>
        <x:v>P1 近期做</x:v>
      </x:c>
      <x:c r="AB848" s="9" t="str">
        <x:f>IF(Y848&gt;=15,"先做合规/相关性复核，不建议直接商业导流",IF(L848="主站","建/优化主站商业页",IF(L848="博客A-知识教程","写知识教程/FAQ文章",IF(L848="博客B-场景人群","写场景需求/选购指南文章",IF(L848="博客C-对比评测","写对比评测/榜单文章","暂不做或人工复核")))))</x:f>
        <x:v>建/优化主站商业页</x:v>
      </x:c>
      <x:c r="AC848" s="9" t="str">
        <x:v>reusable vape</x:v>
      </x:c>
      <x:c r="AD848" s="10" t="str">
        <x:v>48</x:v>
      </x:c>
    </x:row>
    <x:row r="849">
      <x:c r="A849" s="34" t="n">
        <x:v>849</x:v>
      </x:c>
      <x:c r="B849" s="9" t="str">
        <x:v>48</x:v>
      </x:c>
      <x:c r="C849" s="9" t="str">
        <x:v>vape pen for cartridges</x:v>
      </x:c>
      <x:c r="D849" s="9" t="str">
        <x:v>recommended</x:v>
      </x:c>
      <x:c r="E849" s="36" t="n">
        <x:v>880</x:v>
      </x:c>
      <x:c r="F849" s="36" t="n">
        <x:v>49</x:v>
      </x:c>
      <x:c r="G849" s="9" t="str">
        <x:v>commercial</x:v>
      </x:c>
      <x:c r="H849" s="9" t="str">
        <x:v>General Vape</x:v>
      </x:c>
      <x:c r="I849" s="9" t="str">
        <x:v>品类承接词</x:v>
      </x:c>
      <x:c r="J849" s="9" t="str">
        <x:v>主站</x:v>
      </x:c>
      <x:c r="K849" s="9" t="str"/>
      <x:c r="L849" s="9" t="str">
        <x:f>IF(K849="",J849,K849)</x:f>
        <x:v>主站</x:v>
      </x:c>
      <x:c r="M849" s="9" t="str">
        <x:v>品类页/集合页 + FAQ内容块</x:v>
      </x:c>
      <x:c r="N849" s="9" t="str">
        <x:v>主站品类页：用产品集合 + 选购说明承接</x:v>
      </x:c>
      <x:c r="O849" s="9" t="str">
        <x:v>/collections/disposable-vapes</x:v>
      </x:c>
      <x:c r="P849" s="9" t="str">
        <x:v>不适用</x:v>
      </x:c>
      <x:c r="Q849" s="9" t="str">
        <x:v>主站页面自身承接</x:v>
      </x:c>
      <x:c r="R849" s="9" t="str">
        <x:v>核心品类词：主站优先，博客只做长尾解释，不直接抢同一词</x:v>
      </x:c>
      <x:c r="S849" s="9" t="str">
        <x:v>如果 Google 首页产品页和指南混合，主站页要加 FAQ、选购指南、对比模块。</x:v>
      </x:c>
      <x:c r="T849" s="38" t="n">
        <x:v>10</x:v>
      </x:c>
      <x:c r="U849" s="38" t="n">
        <x:v>6</x:v>
      </x:c>
      <x:c r="V849" s="38" t="n">
        <x:v>18</x:v>
      </x:c>
      <x:c r="W849" s="38" t="n">
        <x:v>8</x:v>
      </x:c>
      <x:c r="X849" s="38" t="n">
        <x:v>15</x:v>
      </x:c>
      <x:c r="Y849" s="38" t="n">
        <x:v>4</x:v>
      </x:c>
      <x:c r="Z849" s="38" t="n">
        <x:f>MAX(0,MIN(100,ROUND(((T849+U849+V849+W849+X849)-Y849)/85*100,0)))</x:f>
        <x:v>62</x:v>
      </x:c>
      <x:c r="AA849" s="9" t="str">
        <x:f>IF(L849="暂不做","P3 暂缓",IF(Z849&gt;=75,"P0 本周做",IF(Z849&gt;=60,"P1 近期做",IF(Z849&gt;=45,"P2 备选","P3 暂缓"))))</x:f>
        <x:v>P1 近期做</x:v>
      </x:c>
      <x:c r="AB849" s="9" t="str">
        <x:f>IF(Y849&gt;=15,"先做合规/相关性复核，不建议直接商业导流",IF(L849="主站","建/优化主站商业页",IF(L849="博客A-知识教程","写知识教程/FAQ文章",IF(L849="博客B-场景人群","写场景需求/选购指南文章",IF(L849="博客C-对比评测","写对比评测/榜单文章","暂不做或人工复核")))))</x:f>
        <x:v>建/优化主站商业页</x:v>
      </x:c>
      <x:c r="AC849" s="9" t="str">
        <x:v>reusable vape</x:v>
      </x:c>
      <x:c r="AD849" s="10" t="str">
        <x:v>48</x:v>
      </x:c>
    </x:row>
    <x:row r="850">
      <x:c r="A850" s="34" t="n">
        <x:v>850</x:v>
      </x:c>
      <x:c r="B850" s="9" t="str">
        <x:v>48</x:v>
      </x:c>
      <x:c r="C850" s="9" t="str">
        <x:v>reusable vape pens</x:v>
      </x:c>
      <x:c r="D850" s="9" t="str">
        <x:v>recommended</x:v>
      </x:c>
      <x:c r="E850" s="36" t="n">
        <x:v>50</x:v>
      </x:c>
      <x:c r="F850" s="36" t="n">
        <x:v>33</x:v>
      </x:c>
      <x:c r="G850" s="9" t="str">
        <x:v>informational, commercial</x:v>
      </x:c>
      <x:c r="H850" s="9" t="str">
        <x:v>Reusable / Rechargeable</x:v>
      </x:c>
      <x:c r="I850" s="9" t="str">
        <x:v>品类承接词</x:v>
      </x:c>
      <x:c r="J850" s="9" t="str">
        <x:v>主站</x:v>
      </x:c>
      <x:c r="K850" s="9" t="str"/>
      <x:c r="L850" s="9" t="str">
        <x:f>IF(K850="",J850,K850)</x:f>
        <x:v>主站</x:v>
      </x:c>
      <x:c r="M850" s="9" t="str">
        <x:v>品类页/集合页 + FAQ内容块</x:v>
      </x:c>
      <x:c r="N850" s="9" t="str">
        <x:v>主站品类页：用产品集合 + 选购说明承接</x:v>
      </x:c>
      <x:c r="O850" s="9" t="str">
        <x:v>/collections/rechargeable-vapes</x:v>
      </x:c>
      <x:c r="P850" s="9" t="str">
        <x:v>不适用</x:v>
      </x:c>
      <x:c r="Q850" s="9" t="str">
        <x:v>主站页面自身承接</x:v>
      </x:c>
      <x:c r="R850" s="9" t="str">
        <x:v>核心品类词：主站优先，博客只做长尾解释，不直接抢同一词</x:v>
      </x:c>
      <x:c r="S850" s="9" t="str">
        <x:v>如果 Google 首页产品页和指南混合，主站页要加 FAQ、选购指南、对比模块。</x:v>
      </x:c>
      <x:c r="T850" s="38" t="n">
        <x:v>4</x:v>
      </x:c>
      <x:c r="U850" s="38" t="n">
        <x:v>9</x:v>
      </x:c>
      <x:c r="V850" s="38" t="n">
        <x:v>18</x:v>
      </x:c>
      <x:c r="W850" s="38" t="n">
        <x:v>8</x:v>
      </x:c>
      <x:c r="X850" s="38" t="n">
        <x:v>15</x:v>
      </x:c>
      <x:c r="Y850" s="38" t="n">
        <x:v>4</x:v>
      </x:c>
      <x:c r="Z850" s="38" t="n">
        <x:f>MAX(0,MIN(100,ROUND(((T850+U850+V850+W850+X850)-Y850)/85*100,0)))</x:f>
        <x:v>59</x:v>
      </x:c>
      <x:c r="AA850" s="9" t="str">
        <x:f>IF(L850="暂不做","P3 暂缓",IF(Z850&gt;=75,"P0 本周做",IF(Z850&gt;=60,"P1 近期做",IF(Z850&gt;=45,"P2 备选","P3 暂缓"))))</x:f>
        <x:v>P2 备选</x:v>
      </x:c>
      <x:c r="AB850" s="9" t="str">
        <x:f>IF(Y850&gt;=15,"先做合规/相关性复核，不建议直接商业导流",IF(L850="主站","建/优化主站商业页",IF(L850="博客A-知识教程","写知识教程/FAQ文章",IF(L850="博客B-场景人群","写场景需求/选购指南文章",IF(L850="博客C-对比评测","写对比评测/榜单文章","暂不做或人工复核")))))</x:f>
        <x:v>建/优化主站商业页</x:v>
      </x:c>
      <x:c r="AC850" s="9" t="str">
        <x:v>reusable vape</x:v>
      </x:c>
      <x:c r="AD850" s="10" t="str">
        <x:v>48</x:v>
      </x:c>
    </x:row>
    <x:row r="851">
      <x:c r="A851" s="34" t="n">
        <x:v>851</x:v>
      </x:c>
      <x:c r="B851" s="9" t="str">
        <x:v>48</x:v>
      </x:c>
      <x:c r="C851" s="9" t="str">
        <x:v>vape juice refill</x:v>
      </x:c>
      <x:c r="D851" s="9" t="str">
        <x:v>recommended</x:v>
      </x:c>
      <x:c r="E851" s="36" t="n">
        <x:v>50</x:v>
      </x:c>
      <x:c r="F851" s="36" t="n">
        <x:v>35</x:v>
      </x:c>
      <x:c r="G851" s="9" t="str">
        <x:v>commercial</x:v>
      </x:c>
      <x:c r="H851" s="9" t="str">
        <x:v>知识教程</x:v>
      </x:c>
      <x:c r="I851" s="9" t="str">
        <x:v>品类承接词</x:v>
      </x:c>
      <x:c r="J851" s="9" t="str">
        <x:v>主站</x:v>
      </x:c>
      <x:c r="K851" s="9" t="str"/>
      <x:c r="L851" s="9" t="str">
        <x:f>IF(K851="",J851,K851)</x:f>
        <x:v>主站</x:v>
      </x:c>
      <x:c r="M851" s="9" t="str">
        <x:v>品类页/集合页 + FAQ内容块</x:v>
      </x:c>
      <x:c r="N851" s="9" t="str">
        <x:v>主站品类页：用产品集合 + 选购说明承接</x:v>
      </x:c>
      <x:c r="O851" s="9" t="str">
        <x:v>/collections/disposable-vapes</x:v>
      </x:c>
      <x:c r="P851" s="9" t="str">
        <x:v>不适用</x:v>
      </x:c>
      <x:c r="Q851" s="9" t="str">
        <x:v>主站页面自身承接</x:v>
      </x:c>
      <x:c r="R851" s="9" t="str">
        <x:v>核心品类词：主站优先，博客只做长尾解释，不直接抢同一词</x:v>
      </x:c>
      <x:c r="S851" s="9" t="str">
        <x:v>如果 Google 首页产品页和指南混合，主站页要加 FAQ、选购指南、对比模块。</x:v>
      </x:c>
      <x:c r="T851" s="38" t="n">
        <x:v>4</x:v>
      </x:c>
      <x:c r="U851" s="38" t="n">
        <x:v>9</x:v>
      </x:c>
      <x:c r="V851" s="38" t="n">
        <x:v>18</x:v>
      </x:c>
      <x:c r="W851" s="38" t="n">
        <x:v>8</x:v>
      </x:c>
      <x:c r="X851" s="38" t="n">
        <x:v>15</x:v>
      </x:c>
      <x:c r="Y851" s="38" t="n">
        <x:v>4</x:v>
      </x:c>
      <x:c r="Z851" s="38" t="n">
        <x:f>MAX(0,MIN(100,ROUND(((T851+U851+V851+W851+X851)-Y851)/85*100,0)))</x:f>
        <x:v>59</x:v>
      </x:c>
      <x:c r="AA851" s="9" t="str">
        <x:f>IF(L851="暂不做","P3 暂缓",IF(Z851&gt;=75,"P0 本周做",IF(Z851&gt;=60,"P1 近期做",IF(Z851&gt;=45,"P2 备选","P3 暂缓"))))</x:f>
        <x:v>P2 备选</x:v>
      </x:c>
      <x:c r="AB851" s="9" t="str">
        <x:f>IF(Y851&gt;=15,"先做合规/相关性复核，不建议直接商业导流",IF(L851="主站","建/优化主站商业页",IF(L851="博客A-知识教程","写知识教程/FAQ文章",IF(L851="博客B-场景人群","写场景需求/选购指南文章",IF(L851="博客C-对比评测","写对比评测/榜单文章","暂不做或人工复核")))))</x:f>
        <x:v>建/优化主站商业页</x:v>
      </x:c>
      <x:c r="AC851" s="9" t="str">
        <x:v>reusable vape</x:v>
      </x:c>
      <x:c r="AD851" s="10" t="str">
        <x:v>48</x:v>
      </x:c>
    </x:row>
    <x:row r="852">
      <x:c r="A852" s="34" t="n">
        <x:v>852</x:v>
      </x:c>
      <x:c r="B852" s="9" t="str">
        <x:v>48</x:v>
      </x:c>
      <x:c r="C852" s="9" t="str">
        <x:v>vape flower pen</x:v>
      </x:c>
      <x:c r="D852" s="9" t="str">
        <x:v>recommended</x:v>
      </x:c>
      <x:c r="E852" s="36" t="n">
        <x:v>170</x:v>
      </x:c>
      <x:c r="F852" s="36" t="n">
        <x:v>56</x:v>
      </x:c>
      <x:c r="G852" s="9" t="str">
        <x:v>commercial</x:v>
      </x:c>
      <x:c r="H852" s="9" t="str">
        <x:v>General Vape</x:v>
      </x:c>
      <x:c r="I852" s="9" t="str">
        <x:v>品类承接词</x:v>
      </x:c>
      <x:c r="J852" s="9" t="str">
        <x:v>主站</x:v>
      </x:c>
      <x:c r="K852" s="9" t="str"/>
      <x:c r="L852" s="9" t="str">
        <x:f>IF(K852="",J852,K852)</x:f>
        <x:v>主站</x:v>
      </x:c>
      <x:c r="M852" s="9" t="str">
        <x:v>品类页/集合页 + FAQ内容块</x:v>
      </x:c>
      <x:c r="N852" s="9" t="str">
        <x:v>主站品类页：用产品集合 + 选购说明承接</x:v>
      </x:c>
      <x:c r="O852" s="9" t="str">
        <x:v>/collections/disposable-vapes</x:v>
      </x:c>
      <x:c r="P852" s="9" t="str">
        <x:v>不适用</x:v>
      </x:c>
      <x:c r="Q852" s="9" t="str">
        <x:v>主站页面自身承接</x:v>
      </x:c>
      <x:c r="R852" s="9" t="str">
        <x:v>核心品类词：主站优先，博客只做长尾解释，不直接抢同一词</x:v>
      </x:c>
      <x:c r="S852" s="9" t="str">
        <x:v>如果 Google 首页产品页和指南混合，主站页要加 FAQ、选购指南、对比模块。</x:v>
      </x:c>
      <x:c r="T852" s="38" t="n">
        <x:v>7</x:v>
      </x:c>
      <x:c r="U852" s="38" t="n">
        <x:v>6</x:v>
      </x:c>
      <x:c r="V852" s="38" t="n">
        <x:v>18</x:v>
      </x:c>
      <x:c r="W852" s="38" t="n">
        <x:v>8</x:v>
      </x:c>
      <x:c r="X852" s="38" t="n">
        <x:v>15</x:v>
      </x:c>
      <x:c r="Y852" s="38" t="n">
        <x:v>4</x:v>
      </x:c>
      <x:c r="Z852" s="38" t="n">
        <x:f>MAX(0,MIN(100,ROUND(((T852+U852+V852+W852+X852)-Y852)/85*100,0)))</x:f>
        <x:v>59</x:v>
      </x:c>
      <x:c r="AA852" s="9" t="str">
        <x:f>IF(L852="暂不做","P3 暂缓",IF(Z852&gt;=75,"P0 本周做",IF(Z852&gt;=60,"P1 近期做",IF(Z852&gt;=45,"P2 备选","P3 暂缓"))))</x:f>
        <x:v>P2 备选</x:v>
      </x:c>
      <x:c r="AB852" s="9" t="str">
        <x:f>IF(Y852&gt;=15,"先做合规/相关性复核，不建议直接商业导流",IF(L852="主站","建/优化主站商业页",IF(L852="博客A-知识教程","写知识教程/FAQ文章",IF(L852="博客B-场景人群","写场景需求/选购指南文章",IF(L852="博客C-对比评测","写对比评测/榜单文章","暂不做或人工复核")))))</x:f>
        <x:v>建/优化主站商业页</x:v>
      </x:c>
      <x:c r="AC852" s="9" t="str">
        <x:v>reusable vape</x:v>
      </x:c>
      <x:c r="AD852" s="10" t="str">
        <x:v>48</x:v>
      </x:c>
    </x:row>
    <x:row r="853">
      <x:c r="A853" s="34" t="n">
        <x:v>853</x:v>
      </x:c>
      <x:c r="B853" s="9" t="str">
        <x:v>48</x:v>
      </x:c>
      <x:c r="C853" s="9" t="str">
        <x:v>dry vapes</x:v>
      </x:c>
      <x:c r="D853" s="9" t="str">
        <x:v>recommended</x:v>
      </x:c>
      <x:c r="E853" s="36" t="n">
        <x:v>90</x:v>
      </x:c>
      <x:c r="F853" s="36" t="n">
        <x:v>55</x:v>
      </x:c>
      <x:c r="G853" s="9" t="str">
        <x:v>commercial</x:v>
      </x:c>
      <x:c r="H853" s="9" t="str">
        <x:v>General Vape</x:v>
      </x:c>
      <x:c r="I853" s="9" t="str">
        <x:v>品类承接词</x:v>
      </x:c>
      <x:c r="J853" s="9" t="str">
        <x:v>主站</x:v>
      </x:c>
      <x:c r="K853" s="9" t="str"/>
      <x:c r="L853" s="9" t="str">
        <x:f>IF(K853="",J853,K853)</x:f>
        <x:v>主站</x:v>
      </x:c>
      <x:c r="M853" s="9" t="str">
        <x:v>品类页/集合页 + FAQ内容块</x:v>
      </x:c>
      <x:c r="N853" s="9" t="str">
        <x:v>主站品类页：用产品集合 + 选购说明承接</x:v>
      </x:c>
      <x:c r="O853" s="9" t="str">
        <x:v>/collections/disposable-vapes</x:v>
      </x:c>
      <x:c r="P853" s="9" t="str">
        <x:v>不适用</x:v>
      </x:c>
      <x:c r="Q853" s="9" t="str">
        <x:v>主站页面自身承接</x:v>
      </x:c>
      <x:c r="R853" s="9" t="str">
        <x:v>核心品类词：主站优先，博客只做长尾解释，不直接抢同一词</x:v>
      </x:c>
      <x:c r="S853" s="9" t="str">
        <x:v>如果 Google 首页产品页和指南混合，主站页要加 FAQ、选购指南、对比模块。</x:v>
      </x:c>
      <x:c r="T853" s="38" t="n">
        <x:v>4</x:v>
      </x:c>
      <x:c r="U853" s="38" t="n">
        <x:v>6</x:v>
      </x:c>
      <x:c r="V853" s="38" t="n">
        <x:v>18</x:v>
      </x:c>
      <x:c r="W853" s="38" t="n">
        <x:v>8</x:v>
      </x:c>
      <x:c r="X853" s="38" t="n">
        <x:v>15</x:v>
      </x:c>
      <x:c r="Y853" s="38" t="n">
        <x:v>4</x:v>
      </x:c>
      <x:c r="Z853" s="38" t="n">
        <x:f>MAX(0,MIN(100,ROUND(((T853+U853+V853+W853+X853)-Y853)/85*100,0)))</x:f>
        <x:v>55</x:v>
      </x:c>
      <x:c r="AA853" s="9" t="str">
        <x:f>IF(L853="暂不做","P3 暂缓",IF(Z853&gt;=75,"P0 本周做",IF(Z853&gt;=60,"P1 近期做",IF(Z853&gt;=45,"P2 备选","P3 暂缓"))))</x:f>
        <x:v>P2 备选</x:v>
      </x:c>
      <x:c r="AB853" s="9" t="str">
        <x:f>IF(Y853&gt;=15,"先做合规/相关性复核，不建议直接商业导流",IF(L853="主站","建/优化主站商业页",IF(L853="博客A-知识教程","写知识教程/FAQ文章",IF(L853="博客B-场景人群","写场景需求/选购指南文章",IF(L853="博客C-对比评测","写对比评测/榜单文章","暂不做或人工复核")))))</x:f>
        <x:v>建/优化主站商业页</x:v>
      </x:c>
      <x:c r="AC853" s="9" t="str">
        <x:v>reusable vape</x:v>
      </x:c>
      <x:c r="AD853" s="10" t="str">
        <x:v>48</x:v>
      </x:c>
    </x:row>
    <x:row r="854">
      <x:c r="A854" s="34" t="n">
        <x:v>854</x:v>
      </x:c>
      <x:c r="B854" s="9" t="str">
        <x:v>48</x:v>
      </x:c>
      <x:c r="C854" s="9" t="str">
        <x:v>expensive vapes</x:v>
      </x:c>
      <x:c r="D854" s="9" t="str">
        <x:v>recommended</x:v>
      </x:c>
      <x:c r="E854" s="36" t="n">
        <x:v>210</x:v>
      </x:c>
      <x:c r="F854" s="36" t="n">
        <x:v>18</x:v>
      </x:c>
      <x:c r="G854" s="9" t="str">
        <x:v>informational, commercial</x:v>
      </x:c>
      <x:c r="H854" s="9" t="str">
        <x:v>General Vape</x:v>
      </x:c>
      <x:c r="I854" s="9" t="str">
        <x:v>品类承接词</x:v>
      </x:c>
      <x:c r="J854" s="9" t="str">
        <x:v>主站</x:v>
      </x:c>
      <x:c r="K854" s="9" t="str"/>
      <x:c r="L854" s="9" t="str">
        <x:f>IF(K854="",J854,K854)</x:f>
        <x:v>主站</x:v>
      </x:c>
      <x:c r="M854" s="9" t="str">
        <x:v>品类页/集合页 + FAQ内容块</x:v>
      </x:c>
      <x:c r="N854" s="9" t="str">
        <x:v>主站品类页：用产品集合 + 选购说明承接</x:v>
      </x:c>
      <x:c r="O854" s="9" t="str">
        <x:v>/collections/disposable-vapes</x:v>
      </x:c>
      <x:c r="P854" s="9" t="str">
        <x:v>不适用</x:v>
      </x:c>
      <x:c r="Q854" s="9" t="str">
        <x:v>主站页面自身承接</x:v>
      </x:c>
      <x:c r="R854" s="9" t="str">
        <x:v>核心品类词：主站优先，博客只做长尾解释，不直接抢同一词</x:v>
      </x:c>
      <x:c r="S854" s="9" t="str">
        <x:v>如果 Google 首页产品页和指南混合，主站页要加 FAQ、选购指南、对比模块。</x:v>
      </x:c>
      <x:c r="T854" s="38" t="n">
        <x:v>7</x:v>
      </x:c>
      <x:c r="U854" s="38" t="n">
        <x:v>12</x:v>
      </x:c>
      <x:c r="V854" s="38" t="n">
        <x:v>18</x:v>
      </x:c>
      <x:c r="W854" s="38" t="n">
        <x:v>8</x:v>
      </x:c>
      <x:c r="X854" s="38" t="n">
        <x:v>15</x:v>
      </x:c>
      <x:c r="Y854" s="38" t="n">
        <x:v>4</x:v>
      </x:c>
      <x:c r="Z854" s="38" t="n">
        <x:f>MAX(0,MIN(100,ROUND(((T854+U854+V854+W854+X854)-Y854)/85*100,0)))</x:f>
        <x:v>66</x:v>
      </x:c>
      <x:c r="AA854" s="9" t="str">
        <x:f>IF(L854="暂不做","P3 暂缓",IF(Z854&gt;=75,"P0 本周做",IF(Z854&gt;=60,"P1 近期做",IF(Z854&gt;=45,"P2 备选","P3 暂缓"))))</x:f>
        <x:v>P1 近期做</x:v>
      </x:c>
      <x:c r="AB854" s="9" t="str">
        <x:f>IF(Y854&gt;=15,"先做合规/相关性复核，不建议直接商业导流",IF(L854="主站","建/优化主站商业页",IF(L854="博客A-知识教程","写知识教程/FAQ文章",IF(L854="博客B-场景人群","写场景需求/选购指南文章",IF(L854="博客C-对比评测","写对比评测/榜单文章","暂不做或人工复核")))))</x:f>
        <x:v>建/优化主站商业页</x:v>
      </x:c>
      <x:c r="AC854" s="9" t="str">
        <x:v>expensive vapes</x:v>
      </x:c>
      <x:c r="AD854" s="10" t="str">
        <x:v>48</x:v>
      </x:c>
    </x:row>
    <x:row r="855">
      <x:c r="A855" s="34" t="n">
        <x:v>855</x:v>
      </x:c>
      <x:c r="B855" s="9" t="str">
        <x:v>48</x:v>
      </x:c>
      <x:c r="C855" s="9" t="str">
        <x:v>vape mods and tanks</x:v>
      </x:c>
      <x:c r="D855" s="9" t="str">
        <x:v>recommended</x:v>
      </x:c>
      <x:c r="E855" s="36" t="n">
        <x:v>170</x:v>
      </x:c>
      <x:c r="F855" s="36" t="n">
        <x:v>20</x:v>
      </x:c>
      <x:c r="G855" s="9" t="str">
        <x:v>commercial</x:v>
      </x:c>
      <x:c r="H855" s="9" t="str">
        <x:v>General Vape</x:v>
      </x:c>
      <x:c r="I855" s="9" t="str">
        <x:v>品类承接词</x:v>
      </x:c>
      <x:c r="J855" s="9" t="str">
        <x:v>主站</x:v>
      </x:c>
      <x:c r="K855" s="9" t="str"/>
      <x:c r="L855" s="9" t="str">
        <x:f>IF(K855="",J855,K855)</x:f>
        <x:v>主站</x:v>
      </x:c>
      <x:c r="M855" s="9" t="str">
        <x:v>品类页/集合页 + FAQ内容块</x:v>
      </x:c>
      <x:c r="N855" s="9" t="str">
        <x:v>主站品类页：用产品集合 + 选购说明承接</x:v>
      </x:c>
      <x:c r="O855" s="9" t="str">
        <x:v>/collections/disposable-vapes</x:v>
      </x:c>
      <x:c r="P855" s="9" t="str">
        <x:v>不适用</x:v>
      </x:c>
      <x:c r="Q855" s="9" t="str">
        <x:v>主站页面自身承接</x:v>
      </x:c>
      <x:c r="R855" s="9" t="str">
        <x:v>核心品类词：主站优先，博客只做长尾解释，不直接抢同一词</x:v>
      </x:c>
      <x:c r="S855" s="9" t="str">
        <x:v>如果 Google 首页产品页和指南混合，主站页要加 FAQ、选购指南、对比模块。</x:v>
      </x:c>
      <x:c r="T855" s="38" t="n">
        <x:v>7</x:v>
      </x:c>
      <x:c r="U855" s="38" t="n">
        <x:v>12</x:v>
      </x:c>
      <x:c r="V855" s="38" t="n">
        <x:v>18</x:v>
      </x:c>
      <x:c r="W855" s="38" t="n">
        <x:v>8</x:v>
      </x:c>
      <x:c r="X855" s="38" t="n">
        <x:v>15</x:v>
      </x:c>
      <x:c r="Y855" s="38" t="n">
        <x:v>4</x:v>
      </x:c>
      <x:c r="Z855" s="38" t="n">
        <x:f>MAX(0,MIN(100,ROUND(((T855+U855+V855+W855+X855)-Y855)/85*100,0)))</x:f>
        <x:v>66</x:v>
      </x:c>
      <x:c r="AA855" s="9" t="str">
        <x:f>IF(L855="暂不做","P3 暂缓",IF(Z855&gt;=75,"P0 本周做",IF(Z855&gt;=60,"P1 近期做",IF(Z855&gt;=45,"P2 备选","P3 暂缓"))))</x:f>
        <x:v>P1 近期做</x:v>
      </x:c>
      <x:c r="AB855" s="9" t="str">
        <x:f>IF(Y855&gt;=15,"先做合规/相关性复核，不建议直接商业导流",IF(L855="主站","建/优化主站商业页",IF(L855="博客A-知识教程","写知识教程/FAQ文章",IF(L855="博客B-场景人群","写场景需求/选购指南文章",IF(L855="博客C-对比评测","写对比评测/榜单文章","暂不做或人工复核")))))</x:f>
        <x:v>建/优化主站商业页</x:v>
      </x:c>
      <x:c r="AC855" s="9" t="str">
        <x:v>expensive vapes</x:v>
      </x:c>
      <x:c r="AD855" s="10" t="str">
        <x:v>48</x:v>
      </x:c>
    </x:row>
    <x:row r="856">
      <x:c r="A856" s="34" t="n">
        <x:v>856</x:v>
      </x:c>
      <x:c r="B856" s="9" t="str">
        <x:v>48</x:v>
      </x:c>
      <x:c r="C856" s="9" t="str">
        <x:v>best vape mod for flavor</x:v>
      </x:c>
      <x:c r="D856" s="9" t="str">
        <x:v>recommended</x:v>
      </x:c>
      <x:c r="E856" s="36" t="n">
        <x:v>90</x:v>
      </x:c>
      <x:c r="F856" s="36" t="n">
        <x:v>21</x:v>
      </x:c>
      <x:c r="G856" s="9" t="str">
        <x:v>commercial</x:v>
      </x:c>
      <x:c r="H856" s="9" t="str">
        <x:v>Flavor / 口味</x:v>
      </x:c>
      <x:c r="I856" s="9" t="str">
        <x:v>商业调查词</x:v>
      </x:c>
      <x:c r="J856" s="9" t="str">
        <x:v>博客C-对比评测</x:v>
      </x:c>
      <x:c r="K856" s="9" t="str"/>
      <x:c r="L856" s="9" t="str">
        <x:f>IF(K856="",J856,K856)</x:f>
        <x:v>博客C-对比评测</x:v>
      </x:c>
      <x:c r="M856" s="9" t="str">
        <x:v>Best/Top/Review/VS/替代方案文章</x:v>
      </x:c>
      <x:c r="N856" s="9" t="str">
        <x:v>Best angle: best vape mod for flavor - comparison, pros/cons, and which option fits different buyers</x:v>
      </x:c>
      <x:c r="O856" s="9" t="str">
        <x:v>/collections/flavored-disposable-vapes</x:v>
      </x:c>
      <x:c r="P856" s="9" t="str">
        <x:v>是</x:v>
      </x:c>
      <x:c r="Q856" s="9" t="str">
        <x:v>自然句/品类词/品牌词</x:v>
      </x:c>
      <x:c r="R856" s="9" t="str">
        <x:v>中风险：榜单和评测必须真实、中立，避免夸大</x:v>
      </x:c>
      <x:c r="S856" s="9" t="str">
        <x:v>这类词不直接给主站，先用博客C教育和比较，再导流到最相关集合页。</x:v>
      </x:c>
      <x:c r="T856" s="38" t="n">
        <x:v>4</x:v>
      </x:c>
      <x:c r="U856" s="38" t="n">
        <x:v>12</x:v>
      </x:c>
      <x:c r="V856" s="38" t="n">
        <x:v>16</x:v>
      </x:c>
      <x:c r="W856" s="38" t="n">
        <x:v>15</x:v>
      </x:c>
      <x:c r="X856" s="38" t="n">
        <x:v>13</x:v>
      </x:c>
      <x:c r="Y856" s="38" t="n">
        <x:v>6</x:v>
      </x:c>
      <x:c r="Z856" s="38" t="n">
        <x:f>MAX(0,MIN(100,ROUND(((T856+U856+V856+W856+X856)-Y856)/85*100,0)))</x:f>
        <x:v>64</x:v>
      </x:c>
      <x:c r="AA856" s="9" t="str">
        <x:f>IF(L856="暂不做","P3 暂缓",IF(Z856&gt;=75,"P0 本周做",IF(Z856&gt;=60,"P1 近期做",IF(Z856&gt;=45,"P2 备选","P3 暂缓"))))</x:f>
        <x:v>P1 近期做</x:v>
      </x:c>
      <x:c r="AB856" s="9" t="str">
        <x:f>IF(Y856&gt;=15,"先做合规/相关性复核，不建议直接商业导流",IF(L856="主站","建/优化主站商业页",IF(L856="博客A-知识教程","写知识教程/FAQ文章",IF(L856="博客B-场景人群","写场景需求/选购指南文章",IF(L856="博客C-对比评测","写对比评测/榜单文章","暂不做或人工复核")))))</x:f>
        <x:v>写对比评测/榜单文章</x:v>
      </x:c>
      <x:c r="AC856" s="9" t="str">
        <x:v>expensive vapes</x:v>
      </x:c>
      <x:c r="AD856" s="10" t="str">
        <x:v>48</x:v>
      </x:c>
    </x:row>
    <x:row r="857">
      <x:c r="A857" s="34" t="n">
        <x:v>857</x:v>
      </x:c>
      <x:c r="B857" s="9" t="str">
        <x:v>48</x:v>
      </x:c>
      <x:c r="C857" s="9" t="str">
        <x:v>online electronic cigarette</x:v>
      </x:c>
      <x:c r="D857" s="9" t="str">
        <x:v>recommended</x:v>
      </x:c>
      <x:c r="E857" s="36" t="n">
        <x:v>880</x:v>
      </x:c>
      <x:c r="F857" s="36" t="n">
        <x:v>73</x:v>
      </x:c>
      <x:c r="G857" s="9" t="str">
        <x:v>informational</x:v>
      </x:c>
      <x:c r="H857" s="9" t="str">
        <x:v>E-Cigarette</x:v>
      </x:c>
      <x:c r="I857" s="9" t="str">
        <x:v>交易词</x:v>
      </x:c>
      <x:c r="J857" s="9" t="str">
        <x:v>主站</x:v>
      </x:c>
      <x:c r="K857" s="9" t="str"/>
      <x:c r="L857" s="9" t="str">
        <x:f>IF(K857="",J857,K857)</x:f>
        <x:v>主站</x:v>
      </x:c>
      <x:c r="M857" s="9" t="str">
        <x:v>产品集合页/分类页/购买页</x:v>
      </x:c>
      <x:c r="N857" s="9" t="str">
        <x:v>主站商业页：标题围绕购买意图 + 品类 + 关键卖点</x:v>
      </x:c>
      <x:c r="O857" s="9" t="str">
        <x:v>/collections/e-cigarettes</x:v>
      </x:c>
      <x:c r="P857" s="9" t="str">
        <x:v>不适用</x:v>
      </x:c>
      <x:c r="Q857" s="9" t="str">
        <x:v>主站页面自身承接</x:v>
      </x:c>
      <x:c r="R857" s="9" t="str">
        <x:v>商业词：优先给主站，避免博客抢主站排名</x:v>
      </x:c>
      <x:c r="S857" s="9" t="str">
        <x:v>SERP 如为商品列表/品牌站/电商集合页，就建主站页面；若 SERP 全是教程，再拆支持文章。</x:v>
      </x:c>
      <x:c r="T857" s="38" t="n">
        <x:v>10</x:v>
      </x:c>
      <x:c r="U857" s="38" t="n">
        <x:v>3</x:v>
      </x:c>
      <x:c r="V857" s="38" t="n">
        <x:v>20</x:v>
      </x:c>
      <x:c r="W857" s="38" t="n">
        <x:v>7</x:v>
      </x:c>
      <x:c r="X857" s="38" t="n">
        <x:v>15</x:v>
      </x:c>
      <x:c r="Y857" s="38" t="n">
        <x:v>4</x:v>
      </x:c>
      <x:c r="Z857" s="38" t="n">
        <x:f>MAX(0,MIN(100,ROUND(((T857+U857+V857+W857+X857)-Y857)/85*100,0)))</x:f>
        <x:v>60</x:v>
      </x:c>
      <x:c r="AA857" s="9" t="str">
        <x:f>IF(L857="暂不做","P3 暂缓",IF(Z857&gt;=75,"P0 本周做",IF(Z857&gt;=60,"P1 近期做",IF(Z857&gt;=45,"P2 备选","P3 暂缓"))))</x:f>
        <x:v>P1 近期做</x:v>
      </x:c>
      <x:c r="AB857" s="9" t="str">
        <x:f>IF(Y857&gt;=15,"先做合规/相关性复核，不建议直接商业导流",IF(L857="主站","建/优化主站商业页",IF(L857="博客A-知识教程","写知识教程/FAQ文章",IF(L857="博客B-场景人群","写场景需求/选购指南文章",IF(L857="博客C-对比评测","写对比评测/榜单文章","暂不做或人工复核")))))</x:f>
        <x:v>建/优化主站商业页</x:v>
      </x:c>
      <x:c r="AC857" s="9" t="str">
        <x:v>expensive vapes</x:v>
      </x:c>
      <x:c r="AD857" s="10" t="str">
        <x:v>48</x:v>
      </x:c>
    </x:row>
    <x:row r="858">
      <x:c r="A858" s="34" t="n">
        <x:v>858</x:v>
      </x:c>
      <x:c r="B858" s="9" t="str">
        <x:v>48</x:v>
      </x:c>
      <x:c r="C858" s="9" t="str">
        <x:v>best refillable pod system</x:v>
      </x:c>
      <x:c r="D858" s="9" t="str">
        <x:v>recommended</x:v>
      </x:c>
      <x:c r="E858" s="36" t="n">
        <x:v>70</x:v>
      </x:c>
      <x:c r="F858" s="36" t="n">
        <x:v>31</x:v>
      </x:c>
      <x:c r="G858" s="9" t="str">
        <x:v>commercial</x:v>
      </x:c>
      <x:c r="H858" s="9" t="str">
        <x:v>Pod Kit / Pod System</x:v>
      </x:c>
      <x:c r="I858" s="9" t="str">
        <x:v>商业调查词</x:v>
      </x:c>
      <x:c r="J858" s="9" t="str">
        <x:v>博客C-对比评测</x:v>
      </x:c>
      <x:c r="K858" s="9" t="str"/>
      <x:c r="L858" s="9" t="str">
        <x:f>IF(K858="",J858,K858)</x:f>
        <x:v>博客C-对比评测</x:v>
      </x:c>
      <x:c r="M858" s="9" t="str">
        <x:v>Best/Top/Review/VS/替代方案文章</x:v>
      </x:c>
      <x:c r="N858" s="9" t="str">
        <x:v>Best angle: best refillable pod system - comparison, pros/cons, and which option fits different buyers</x:v>
      </x:c>
      <x:c r="O858" s="9" t="str">
        <x:v>/collections/pod-kits</x:v>
      </x:c>
      <x:c r="P858" s="9" t="str">
        <x:v>是</x:v>
      </x:c>
      <x:c r="Q858" s="9" t="str">
        <x:v>自然句/品类词/品牌词</x:v>
      </x:c>
      <x:c r="R858" s="9" t="str">
        <x:v>中风险：榜单和评测必须真实、中立，避免夸大</x:v>
      </x:c>
      <x:c r="S858" s="9" t="str">
        <x:v>这类词不直接给主站，先用博客C教育和比较，再导流到最相关集合页。</x:v>
      </x:c>
      <x:c r="T858" s="38" t="n">
        <x:v>4</x:v>
      </x:c>
      <x:c r="U858" s="38" t="n">
        <x:v>9</x:v>
      </x:c>
      <x:c r="V858" s="38" t="n">
        <x:v>16</x:v>
      </x:c>
      <x:c r="W858" s="38" t="n">
        <x:v>15</x:v>
      </x:c>
      <x:c r="X858" s="38" t="n">
        <x:v>13</x:v>
      </x:c>
      <x:c r="Y858" s="38" t="n">
        <x:v>6</x:v>
      </x:c>
      <x:c r="Z858" s="38" t="n">
        <x:f>MAX(0,MIN(100,ROUND(((T858+U858+V858+W858+X858)-Y858)/85*100,0)))</x:f>
        <x:v>60</x:v>
      </x:c>
      <x:c r="AA858" s="9" t="str">
        <x:f>IF(L858="暂不做","P3 暂缓",IF(Z858&gt;=75,"P0 本周做",IF(Z858&gt;=60,"P1 近期做",IF(Z858&gt;=45,"P2 备选","P3 暂缓"))))</x:f>
        <x:v>P1 近期做</x:v>
      </x:c>
      <x:c r="AB858" s="9" t="str">
        <x:f>IF(Y858&gt;=15,"先做合规/相关性复核，不建议直接商业导流",IF(L858="主站","建/优化主站商业页",IF(L858="博客A-知识教程","写知识教程/FAQ文章",IF(L858="博客B-场景人群","写场景需求/选购指南文章",IF(L858="博客C-对比评测","写对比评测/榜单文章","暂不做或人工复核")))))</x:f>
        <x:v>写对比评测/榜单文章</x:v>
      </x:c>
      <x:c r="AC858" s="9" t="str">
        <x:v>expensive vapes</x:v>
      </x:c>
      <x:c r="AD858" s="10" t="str">
        <x:v>48</x:v>
      </x:c>
    </x:row>
    <x:row r="859">
      <x:c r="A859" s="34" t="n">
        <x:v>859</x:v>
      </x:c>
      <x:c r="B859" s="9" t="str">
        <x:v>48</x:v>
      </x:c>
      <x:c r="C859" s="9" t="str">
        <x:v>new vape products</x:v>
      </x:c>
      <x:c r="D859" s="9" t="str">
        <x:v>recommended</x:v>
      </x:c>
      <x:c r="E859" s="36" t="n">
        <x:v>70</x:v>
      </x:c>
      <x:c r="F859" s="36" t="n">
        <x:v>35</x:v>
      </x:c>
      <x:c r="G859" s="9" t="str">
        <x:v>informational, commercial</x:v>
      </x:c>
      <x:c r="H859" s="9" t="str">
        <x:v>General Vape</x:v>
      </x:c>
      <x:c r="I859" s="9" t="str">
        <x:v>品类承接词</x:v>
      </x:c>
      <x:c r="J859" s="9" t="str">
        <x:v>主站</x:v>
      </x:c>
      <x:c r="K859" s="9" t="str"/>
      <x:c r="L859" s="9" t="str">
        <x:f>IF(K859="",J859,K859)</x:f>
        <x:v>主站</x:v>
      </x:c>
      <x:c r="M859" s="9" t="str">
        <x:v>品类页/集合页 + FAQ内容块</x:v>
      </x:c>
      <x:c r="N859" s="9" t="str">
        <x:v>主站品类页：用产品集合 + 选购说明承接</x:v>
      </x:c>
      <x:c r="O859" s="9" t="str">
        <x:v>/collections/disposable-vapes</x:v>
      </x:c>
      <x:c r="P859" s="9" t="str">
        <x:v>不适用</x:v>
      </x:c>
      <x:c r="Q859" s="9" t="str">
        <x:v>主站页面自身承接</x:v>
      </x:c>
      <x:c r="R859" s="9" t="str">
        <x:v>核心品类词：主站优先，博客只做长尾解释，不直接抢同一词</x:v>
      </x:c>
      <x:c r="S859" s="9" t="str">
        <x:v>如果 Google 首页产品页和指南混合，主站页要加 FAQ、选购指南、对比模块。</x:v>
      </x:c>
      <x:c r="T859" s="38" t="n">
        <x:v>4</x:v>
      </x:c>
      <x:c r="U859" s="38" t="n">
        <x:v>9</x:v>
      </x:c>
      <x:c r="V859" s="38" t="n">
        <x:v>18</x:v>
      </x:c>
      <x:c r="W859" s="38" t="n">
        <x:v>8</x:v>
      </x:c>
      <x:c r="X859" s="38" t="n">
        <x:v>15</x:v>
      </x:c>
      <x:c r="Y859" s="38" t="n">
        <x:v>4</x:v>
      </x:c>
      <x:c r="Z859" s="38" t="n">
        <x:f>MAX(0,MIN(100,ROUND(((T859+U859+V859+W859+X859)-Y859)/85*100,0)))</x:f>
        <x:v>59</x:v>
      </x:c>
      <x:c r="AA859" s="9" t="str">
        <x:f>IF(L859="暂不做","P3 暂缓",IF(Z859&gt;=75,"P0 本周做",IF(Z859&gt;=60,"P1 近期做",IF(Z859&gt;=45,"P2 备选","P3 暂缓"))))</x:f>
        <x:v>P2 备选</x:v>
      </x:c>
      <x:c r="AB859" s="9" t="str">
        <x:f>IF(Y859&gt;=15,"先做合规/相关性复核，不建议直接商业导流",IF(L859="主站","建/优化主站商业页",IF(L859="博客A-知识教程","写知识教程/FAQ文章",IF(L859="博客B-场景人群","写场景需求/选购指南文章",IF(L859="博客C-对比评测","写对比评测/榜单文章","暂不做或人工复核")))))</x:f>
        <x:v>建/优化主站商业页</x:v>
      </x:c>
      <x:c r="AC859" s="9" t="str">
        <x:v>expensive vapes</x:v>
      </x:c>
      <x:c r="AD859" s="10" t="str">
        <x:v>48</x:v>
      </x:c>
    </x:row>
    <x:row r="860">
      <x:c r="A860" s="34" t="n">
        <x:v>860</x:v>
      </x:c>
      <x:c r="B860" s="9" t="str">
        <x:v>48</x:v>
      </x:c>
      <x:c r="C860" s="9" t="str">
        <x:v>flavor electronic cigarette</x:v>
      </x:c>
      <x:c r="D860" s="9" t="str">
        <x:v>recommended</x:v>
      </x:c>
      <x:c r="E860" s="36" t="n">
        <x:v>140</x:v>
      </x:c>
      <x:c r="F860" s="36" t="n">
        <x:v>38</x:v>
      </x:c>
      <x:c r="G860" s="9" t="str">
        <x:v>informational</x:v>
      </x:c>
      <x:c r="H860" s="9" t="str">
        <x:v>Flavor / 口味</x:v>
      </x:c>
      <x:c r="I860" s="9" t="str">
        <x:v>场景/需求词</x:v>
      </x:c>
      <x:c r="J860" s="9" t="str">
        <x:v>博客B-场景人群</x:v>
      </x:c>
      <x:c r="K860" s="9" t="str"/>
      <x:c r="L860" s="9" t="str">
        <x:f>IF(K860="",J860,K860)</x:f>
        <x:v>博客B-场景人群</x:v>
      </x:c>
      <x:c r="M860" s="9" t="str">
        <x:v>场景解决方案/选购指南文章</x:v>
      </x:c>
      <x:c r="N860" s="9" t="str">
        <x:v>Scenario angle: how to choose flavor electronic cigarette based on use case, flavor, nicotine, and budget</x:v>
      </x:c>
      <x:c r="O860" s="9" t="str">
        <x:v>/collections/flavored-disposable-vapes</x:v>
      </x:c>
      <x:c r="P860" s="9" t="str">
        <x:v>是</x:v>
      </x:c>
      <x:c r="Q860" s="9" t="str">
        <x:v>自然句/品类词</x:v>
      </x:c>
      <x:c r="R860" s="9" t="str">
        <x:v>低中风险：适合软性导流，但不要夸大效果或触碰健康疗效</x:v>
      </x:c>
      <x:c r="S860" s="9" t="str">
        <x:v>围绕使用场景、口味、尼古丁需求、便携性等写，不和主站品类页抢词。</x:v>
      </x:c>
      <x:c r="T860" s="38" t="n">
        <x:v>7</x:v>
      </x:c>
      <x:c r="U860" s="38" t="n">
        <x:v>9</x:v>
      </x:c>
      <x:c r="V860" s="38" t="n">
        <x:v>13</x:v>
      </x:c>
      <x:c r="W860" s="38" t="n">
        <x:v>14</x:v>
      </x:c>
      <x:c r="X860" s="38" t="n">
        <x:v>13</x:v>
      </x:c>
      <x:c r="Y860" s="38" t="n">
        <x:v>5</x:v>
      </x:c>
      <x:c r="Z860" s="38" t="n">
        <x:f>MAX(0,MIN(100,ROUND(((T860+U860+V860+W860+X860)-Y860)/85*100,0)))</x:f>
        <x:v>60</x:v>
      </x:c>
      <x:c r="AA860" s="9" t="str">
        <x:f>IF(L860="暂不做","P3 暂缓",IF(Z860&gt;=75,"P0 本周做",IF(Z860&gt;=60,"P1 近期做",IF(Z860&gt;=45,"P2 备选","P3 暂缓"))))</x:f>
        <x:v>P1 近期做</x:v>
      </x:c>
      <x:c r="AB860" s="9" t="str">
        <x:f>IF(Y860&gt;=15,"先做合规/相关性复核，不建议直接商业导流",IF(L860="主站","建/优化主站商业页",IF(L860="博客A-知识教程","写知识教程/FAQ文章",IF(L860="博客B-场景人群","写场景需求/选购指南文章",IF(L860="博客C-对比评测","写对比评测/榜单文章","暂不做或人工复核")))))</x:f>
        <x:v>写场景需求/选购指南文章</x:v>
      </x:c>
      <x:c r="AC860" s="9" t="str">
        <x:v>expensive vapes</x:v>
      </x:c>
      <x:c r="AD860" s="10" t="str">
        <x:v>48</x:v>
      </x:c>
    </x:row>
    <x:row r="861">
      <x:c r="A861" s="34" t="n">
        <x:v>861</x:v>
      </x:c>
      <x:c r="B861" s="9" t="str">
        <x:v>48</x:v>
      </x:c>
      <x:c r="C861" s="9" t="str">
        <x:v>good cheap vapes</x:v>
      </x:c>
      <x:c r="D861" s="9" t="str">
        <x:v>recommended</x:v>
      </x:c>
      <x:c r="E861" s="36" t="n">
        <x:v>40</x:v>
      </x:c>
      <x:c r="F861" s="36" t="n">
        <x:v>31</x:v>
      </x:c>
      <x:c r="G861" s="9" t="str">
        <x:v>informational, commercial</x:v>
      </x:c>
      <x:c r="H861" s="9" t="str">
        <x:v>购买交易</x:v>
      </x:c>
      <x:c r="I861" s="9" t="str">
        <x:v>交易词</x:v>
      </x:c>
      <x:c r="J861" s="9" t="str">
        <x:v>主站</x:v>
      </x:c>
      <x:c r="K861" s="9" t="str"/>
      <x:c r="L861" s="9" t="str">
        <x:f>IF(K861="",J861,K861)</x:f>
        <x:v>主站</x:v>
      </x:c>
      <x:c r="M861" s="9" t="str">
        <x:v>产品集合页/分类页/购买页</x:v>
      </x:c>
      <x:c r="N861" s="9" t="str">
        <x:v>主站商业页：标题围绕购买意图 + 品类 + 关键卖点</x:v>
      </x:c>
      <x:c r="O861" s="9" t="str">
        <x:v>/collections/disposable-vapes</x:v>
      </x:c>
      <x:c r="P861" s="9" t="str">
        <x:v>不适用</x:v>
      </x:c>
      <x:c r="Q861" s="9" t="str">
        <x:v>主站页面自身承接</x:v>
      </x:c>
      <x:c r="R861" s="9" t="str">
        <x:v>商业词：优先给主站，避免博客抢主站排名</x:v>
      </x:c>
      <x:c r="S861" s="9" t="str">
        <x:v>SERP 如为商品列表/品牌站/电商集合页，就建主站页面；若 SERP 全是教程，再拆支持文章。</x:v>
      </x:c>
      <x:c r="T861" s="38" t="n">
        <x:v>4</x:v>
      </x:c>
      <x:c r="U861" s="38" t="n">
        <x:v>9</x:v>
      </x:c>
      <x:c r="V861" s="38" t="n">
        <x:v>20</x:v>
      </x:c>
      <x:c r="W861" s="38" t="n">
        <x:v>7</x:v>
      </x:c>
      <x:c r="X861" s="38" t="n">
        <x:v>15</x:v>
      </x:c>
      <x:c r="Y861" s="38" t="n">
        <x:v>4</x:v>
      </x:c>
      <x:c r="Z861" s="38" t="n">
        <x:f>MAX(0,MIN(100,ROUND(((T861+U861+V861+W861+X861)-Y861)/85*100,0)))</x:f>
        <x:v>60</x:v>
      </x:c>
      <x:c r="AA861" s="9" t="str">
        <x:f>IF(L861="暂不做","P3 暂缓",IF(Z861&gt;=75,"P0 本周做",IF(Z861&gt;=60,"P1 近期做",IF(Z861&gt;=45,"P2 备选","P3 暂缓"))))</x:f>
        <x:v>P1 近期做</x:v>
      </x:c>
      <x:c r="AB861" s="9" t="str">
        <x:f>IF(Y861&gt;=15,"先做合规/相关性复核，不建议直接商业导流",IF(L861="主站","建/优化主站商业页",IF(L861="博客A-知识教程","写知识教程/FAQ文章",IF(L861="博客B-场景人群","写场景需求/选购指南文章",IF(L861="博客C-对比评测","写对比评测/榜单文章","暂不做或人工复核")))))</x:f>
        <x:v>建/优化主站商业页</x:v>
      </x:c>
      <x:c r="AC861" s="9" t="str">
        <x:v>expensive vapes</x:v>
      </x:c>
      <x:c r="AD861" s="10" t="str">
        <x:v>48</x:v>
      </x:c>
    </x:row>
    <x:row r="862">
      <x:c r="A862" s="34" t="n">
        <x:v>862</x:v>
      </x:c>
      <x:c r="B862" s="9" t="str">
        <x:v>48</x:v>
      </x:c>
      <x:c r="C862" s="9" t="str">
        <x:v>pods vape price</x:v>
      </x:c>
      <x:c r="D862" s="9" t="str">
        <x:v>recommended</x:v>
      </x:c>
      <x:c r="E862" s="36" t="n">
        <x:v>40</x:v>
      </x:c>
      <x:c r="F862" s="36" t="n">
        <x:v>34</x:v>
      </x:c>
      <x:c r="G862" s="9" t="str">
        <x:v>commercial</x:v>
      </x:c>
      <x:c r="H862" s="9" t="str">
        <x:v>Pod Kit / Pod System</x:v>
      </x:c>
      <x:c r="I862" s="9" t="str">
        <x:v>交易词</x:v>
      </x:c>
      <x:c r="J862" s="9" t="str">
        <x:v>主站</x:v>
      </x:c>
      <x:c r="K862" s="9" t="str"/>
      <x:c r="L862" s="9" t="str">
        <x:f>IF(K862="",J862,K862)</x:f>
        <x:v>主站</x:v>
      </x:c>
      <x:c r="M862" s="9" t="str">
        <x:v>产品集合页/分类页/购买页</x:v>
      </x:c>
      <x:c r="N862" s="9" t="str">
        <x:v>主站商业页：标题围绕购买意图 + 品类 + 关键卖点</x:v>
      </x:c>
      <x:c r="O862" s="9" t="str">
        <x:v>/collections/pod-kits</x:v>
      </x:c>
      <x:c r="P862" s="9" t="str">
        <x:v>不适用</x:v>
      </x:c>
      <x:c r="Q862" s="9" t="str">
        <x:v>主站页面自身承接</x:v>
      </x:c>
      <x:c r="R862" s="9" t="str">
        <x:v>商业词：优先给主站，避免博客抢主站排名</x:v>
      </x:c>
      <x:c r="S862" s="9" t="str">
        <x:v>SERP 如为商品列表/品牌站/电商集合页，就建主站页面；若 SERP 全是教程，再拆支持文章。</x:v>
      </x:c>
      <x:c r="T862" s="38" t="n">
        <x:v>4</x:v>
      </x:c>
      <x:c r="U862" s="38" t="n">
        <x:v>9</x:v>
      </x:c>
      <x:c r="V862" s="38" t="n">
        <x:v>20</x:v>
      </x:c>
      <x:c r="W862" s="38" t="n">
        <x:v>7</x:v>
      </x:c>
      <x:c r="X862" s="38" t="n">
        <x:v>15</x:v>
      </x:c>
      <x:c r="Y862" s="38" t="n">
        <x:v>4</x:v>
      </x:c>
      <x:c r="Z862" s="38" t="n">
        <x:f>MAX(0,MIN(100,ROUND(((T862+U862+V862+W862+X862)-Y862)/85*100,0)))</x:f>
        <x:v>60</x:v>
      </x:c>
      <x:c r="AA862" s="9" t="str">
        <x:f>IF(L862="暂不做","P3 暂缓",IF(Z862&gt;=75,"P0 本周做",IF(Z862&gt;=60,"P1 近期做",IF(Z862&gt;=45,"P2 备选","P3 暂缓"))))</x:f>
        <x:v>P1 近期做</x:v>
      </x:c>
      <x:c r="AB862" s="9" t="str">
        <x:f>IF(Y862&gt;=15,"先做合规/相关性复核，不建议直接商业导流",IF(L862="主站","建/优化主站商业页",IF(L862="博客A-知识教程","写知识教程/FAQ文章",IF(L862="博客B-场景人群","写场景需求/选购指南文章",IF(L862="博客C-对比评测","写对比评测/榜单文章","暂不做或人工复核")))))</x:f>
        <x:v>建/优化主站商业页</x:v>
      </x:c>
      <x:c r="AC862" s="9" t="str">
        <x:v>expensive vapes</x:v>
      </x:c>
      <x:c r="AD862" s="10" t="str">
        <x:v>48</x:v>
      </x:c>
    </x:row>
    <x:row r="863">
      <x:c r="A863" s="34" t="n">
        <x:v>863</x:v>
      </x:c>
      <x:c r="B863" s="9" t="str">
        <x:v>48</x:v>
      </x:c>
      <x:c r="C863" s="9" t="str">
        <x:v>vape mods for sale online</x:v>
      </x:c>
      <x:c r="D863" s="9" t="str">
        <x:v>recommended</x:v>
      </x:c>
      <x:c r="E863" s="36" t="n">
        <x:v>50</x:v>
      </x:c>
      <x:c r="F863" s="36" t="n">
        <x:v>57</x:v>
      </x:c>
      <x:c r="G863" s="9" t="str">
        <x:v>transactional</x:v>
      </x:c>
      <x:c r="H863" s="9" t="str">
        <x:v>购买交易</x:v>
      </x:c>
      <x:c r="I863" s="9" t="str">
        <x:v>交易词</x:v>
      </x:c>
      <x:c r="J863" s="9" t="str">
        <x:v>主站</x:v>
      </x:c>
      <x:c r="K863" s="9" t="str"/>
      <x:c r="L863" s="9" t="str">
        <x:f>IF(K863="",J863,K863)</x:f>
        <x:v>主站</x:v>
      </x:c>
      <x:c r="M863" s="9" t="str">
        <x:v>产品集合页/分类页/购买页</x:v>
      </x:c>
      <x:c r="N863" s="9" t="str">
        <x:v>主站商业页：标题围绕购买意图 + 品类 + 关键卖点</x:v>
      </x:c>
      <x:c r="O863" s="9" t="str">
        <x:v>/collections/disposable-vapes</x:v>
      </x:c>
      <x:c r="P863" s="9" t="str">
        <x:v>不适用</x:v>
      </x:c>
      <x:c r="Q863" s="9" t="str">
        <x:v>主站页面自身承接</x:v>
      </x:c>
      <x:c r="R863" s="9" t="str">
        <x:v>商业词：优先给主站，避免博客抢主站排名</x:v>
      </x:c>
      <x:c r="S863" s="9" t="str">
        <x:v>SERP 如为商品列表/品牌站/电商集合页，就建主站页面；若 SERP 全是教程，再拆支持文章。</x:v>
      </x:c>
      <x:c r="T863" s="38" t="n">
        <x:v>4</x:v>
      </x:c>
      <x:c r="U863" s="38" t="n">
        <x:v>6</x:v>
      </x:c>
      <x:c r="V863" s="38" t="n">
        <x:v>20</x:v>
      </x:c>
      <x:c r="W863" s="38" t="n">
        <x:v>7</x:v>
      </x:c>
      <x:c r="X863" s="38" t="n">
        <x:v>15</x:v>
      </x:c>
      <x:c r="Y863" s="38" t="n">
        <x:v>4</x:v>
      </x:c>
      <x:c r="Z863" s="38" t="n">
        <x:f>MAX(0,MIN(100,ROUND(((T863+U863+V863+W863+X863)-Y863)/85*100,0)))</x:f>
        <x:v>56</x:v>
      </x:c>
      <x:c r="AA863" s="9" t="str">
        <x:f>IF(L863="暂不做","P3 暂缓",IF(Z863&gt;=75,"P0 本周做",IF(Z863&gt;=60,"P1 近期做",IF(Z863&gt;=45,"P2 备选","P3 暂缓"))))</x:f>
        <x:v>P2 备选</x:v>
      </x:c>
      <x:c r="AB863" s="9" t="str">
        <x:f>IF(Y863&gt;=15,"先做合规/相关性复核，不建议直接商业导流",IF(L863="主站","建/优化主站商业页",IF(L863="博客A-知识教程","写知识教程/FAQ文章",IF(L863="博客B-场景人群","写场景需求/选购指南文章",IF(L863="博客C-对比评测","写对比评测/榜单文章","暂不做或人工复核")))))</x:f>
        <x:v>建/优化主站商业页</x:v>
      </x:c>
      <x:c r="AC863" s="9" t="str">
        <x:v>expensive vapes</x:v>
      </x:c>
      <x:c r="AD863" s="10" t="str">
        <x:v>48</x:v>
      </x:c>
    </x:row>
    <x:row r="864">
      <x:c r="A864" s="34" t="n">
        <x:v>864</x:v>
      </x:c>
      <x:c r="B864" s="9" t="str">
        <x:v>48</x:v>
      </x:c>
      <x:c r="C864" s="9" t="str">
        <x:v>best vapes 2025</x:v>
      </x:c>
      <x:c r="D864" s="9" t="str">
        <x:v>recommended</x:v>
      </x:c>
      <x:c r="E864" s="36" t="n">
        <x:v>3600</x:v>
      </x:c>
      <x:c r="F864" s="36" t="n">
        <x:v>29</x:v>
      </x:c>
      <x:c r="G864" s="9" t="str">
        <x:v>commercial</x:v>
      </x:c>
      <x:c r="H864" s="9" t="str">
        <x:v>对比评测</x:v>
      </x:c>
      <x:c r="I864" s="9" t="str">
        <x:v>商业调查词</x:v>
      </x:c>
      <x:c r="J864" s="9" t="str">
        <x:v>博客C-对比评测</x:v>
      </x:c>
      <x:c r="K864" s="9" t="str"/>
      <x:c r="L864" s="9" t="str">
        <x:f>IF(K864="",J864,K864)</x:f>
        <x:v>博客C-对比评测</x:v>
      </x:c>
      <x:c r="M864" s="9" t="str">
        <x:v>Best/Top/Review/VS/替代方案文章</x:v>
      </x:c>
      <x:c r="N864" s="9" t="str">
        <x:v>Best angle: best vapes 2025 - comparison, pros/cons, and which option fits different buyers</x:v>
      </x:c>
      <x:c r="O864" s="9" t="str">
        <x:v>/collections/disposable-vapes</x:v>
      </x:c>
      <x:c r="P864" s="9" t="str">
        <x:v>是</x:v>
      </x:c>
      <x:c r="Q864" s="9" t="str">
        <x:v>自然句/品类词/品牌词</x:v>
      </x:c>
      <x:c r="R864" s="9" t="str">
        <x:v>中风险：榜单和评测必须真实、中立，避免夸大</x:v>
      </x:c>
      <x:c r="S864" s="9" t="str">
        <x:v>这类词不直接给主站，先用博客C教育和比较，再导流到最相关集合页。</x:v>
      </x:c>
      <x:c r="T864" s="38" t="n">
        <x:v>13</x:v>
      </x:c>
      <x:c r="U864" s="38" t="n">
        <x:v>12</x:v>
      </x:c>
      <x:c r="V864" s="38" t="n">
        <x:v>16</x:v>
      </x:c>
      <x:c r="W864" s="38" t="n">
        <x:v>15</x:v>
      </x:c>
      <x:c r="X864" s="38" t="n">
        <x:v>13</x:v>
      </x:c>
      <x:c r="Y864" s="38" t="n">
        <x:v>6</x:v>
      </x:c>
      <x:c r="Z864" s="38" t="n">
        <x:f>MAX(0,MIN(100,ROUND(((T864+U864+V864+W864+X864)-Y864)/85*100,0)))</x:f>
        <x:v>74</x:v>
      </x:c>
      <x:c r="AA864" s="9" t="str">
        <x:f>IF(L864="暂不做","P3 暂缓",IF(Z864&gt;=75,"P0 本周做",IF(Z864&gt;=60,"P1 近期做",IF(Z864&gt;=45,"P2 备选","P3 暂缓"))))</x:f>
        <x:v>P1 近期做</x:v>
      </x:c>
      <x:c r="AB864" s="9" t="str">
        <x:f>IF(Y864&gt;=15,"先做合规/相关性复核，不建议直接商业导流",IF(L864="主站","建/优化主站商业页",IF(L864="博客A-知识教程","写知识教程/FAQ文章",IF(L864="博客B-场景人群","写场景需求/选购指南文章",IF(L864="博客C-对比评测","写对比评测/榜单文章","暂不做或人工复核")))))</x:f>
        <x:v>写对比评测/榜单文章</x:v>
      </x:c>
      <x:c r="AC864" s="9" t="str">
        <x:v>expensive vapes</x:v>
      </x:c>
      <x:c r="AD864" s="10" t="str">
        <x:v>48</x:v>
      </x:c>
    </x:row>
    <x:row r="865">
      <x:c r="A865" s="34" t="n">
        <x:v>865</x:v>
      </x:c>
      <x:c r="B865" s="9" t="str">
        <x:v>48</x:v>
      </x:c>
      <x:c r="C865" s="9" t="str">
        <x:v>box mod vape</x:v>
      </x:c>
      <x:c r="D865" s="9" t="str">
        <x:v>recommended</x:v>
      </x:c>
      <x:c r="E865" s="36" t="n">
        <x:v>4400</x:v>
      </x:c>
      <x:c r="F865" s="36" t="n">
        <x:v>36</x:v>
      </x:c>
      <x:c r="G865" s="9" t="str">
        <x:v>commercial</x:v>
      </x:c>
      <x:c r="H865" s="9" t="str">
        <x:v>General Vape</x:v>
      </x:c>
      <x:c r="I865" s="9" t="str">
        <x:v>品类承接词</x:v>
      </x:c>
      <x:c r="J865" s="9" t="str">
        <x:v>主站</x:v>
      </x:c>
      <x:c r="K865" s="9" t="str"/>
      <x:c r="L865" s="9" t="str">
        <x:f>IF(K865="",J865,K865)</x:f>
        <x:v>主站</x:v>
      </x:c>
      <x:c r="M865" s="9" t="str">
        <x:v>品类页/集合页 + FAQ内容块</x:v>
      </x:c>
      <x:c r="N865" s="9" t="str">
        <x:v>主站品类页：用产品集合 + 选购说明承接</x:v>
      </x:c>
      <x:c r="O865" s="9" t="str">
        <x:v>/collections/disposable-vapes</x:v>
      </x:c>
      <x:c r="P865" s="9" t="str">
        <x:v>不适用</x:v>
      </x:c>
      <x:c r="Q865" s="9" t="str">
        <x:v>主站页面自身承接</x:v>
      </x:c>
      <x:c r="R865" s="9" t="str">
        <x:v>核心品类词：主站优先，博客只做长尾解释，不直接抢同一词</x:v>
      </x:c>
      <x:c r="S865" s="9" t="str">
        <x:v>如果 Google 首页产品页和指南混合，主站页要加 FAQ、选购指南、对比模块。</x:v>
      </x:c>
      <x:c r="T865" s="38" t="n">
        <x:v>13</x:v>
      </x:c>
      <x:c r="U865" s="38" t="n">
        <x:v>9</x:v>
      </x:c>
      <x:c r="V865" s="38" t="n">
        <x:v>18</x:v>
      </x:c>
      <x:c r="W865" s="38" t="n">
        <x:v>8</x:v>
      </x:c>
      <x:c r="X865" s="38" t="n">
        <x:v>15</x:v>
      </x:c>
      <x:c r="Y865" s="38" t="n">
        <x:v>4</x:v>
      </x:c>
      <x:c r="Z865" s="38" t="n">
        <x:f>MAX(0,MIN(100,ROUND(((T865+U865+V865+W865+X865)-Y865)/85*100,0)))</x:f>
        <x:v>69</x:v>
      </x:c>
      <x:c r="AA865" s="9" t="str">
        <x:f>IF(L865="暂不做","P3 暂缓",IF(Z865&gt;=75,"P0 本周做",IF(Z865&gt;=60,"P1 近期做",IF(Z865&gt;=45,"P2 备选","P3 暂缓"))))</x:f>
        <x:v>P1 近期做</x:v>
      </x:c>
      <x:c r="AB865" s="9" t="str">
        <x:f>IF(Y865&gt;=15,"先做合规/相关性复核，不建议直接商业导流",IF(L865="主站","建/优化主站商业页",IF(L865="博客A-知识教程","写知识教程/FAQ文章",IF(L865="博客B-场景人群","写场景需求/选购指南文章",IF(L865="博客C-对比评测","写对比评测/榜单文章","暂不做或人工复核")))))</x:f>
        <x:v>建/优化主站商业页</x:v>
      </x:c>
      <x:c r="AC865" s="9" t="str">
        <x:v>expensive vapes</x:v>
      </x:c>
      <x:c r="AD865" s="10" t="str">
        <x:v>48</x:v>
      </x:c>
    </x:row>
    <x:row r="866">
      <x:c r="A866" s="34" t="n">
        <x:v>866</x:v>
      </x:c>
      <x:c r="B866" s="9" t="str">
        <x:v>48</x:v>
      </x:c>
      <x:c r="C866" s="9" t="str">
        <x:v>mods for vaping</x:v>
      </x:c>
      <x:c r="D866" s="9" t="str">
        <x:v>recommended</x:v>
      </x:c>
      <x:c r="E866" s="36" t="n">
        <x:v>2900</x:v>
      </x:c>
      <x:c r="F866" s="36" t="n">
        <x:v>34</x:v>
      </x:c>
      <x:c r="G866" s="9" t="str">
        <x:v>commercial</x:v>
      </x:c>
      <x:c r="H866" s="9" t="str">
        <x:v>General Vape</x:v>
      </x:c>
      <x:c r="I866" s="9" t="str">
        <x:v>品类承接词</x:v>
      </x:c>
      <x:c r="J866" s="9" t="str">
        <x:v>主站</x:v>
      </x:c>
      <x:c r="K866" s="9" t="str"/>
      <x:c r="L866" s="9" t="str">
        <x:f>IF(K866="",J866,K866)</x:f>
        <x:v>主站</x:v>
      </x:c>
      <x:c r="M866" s="9" t="str">
        <x:v>品类页/集合页 + FAQ内容块</x:v>
      </x:c>
      <x:c r="N866" s="9" t="str">
        <x:v>主站品类页：用产品集合 + 选购说明承接</x:v>
      </x:c>
      <x:c r="O866" s="9" t="str">
        <x:v>/collections/disposable-vapes</x:v>
      </x:c>
      <x:c r="P866" s="9" t="str">
        <x:v>不适用</x:v>
      </x:c>
      <x:c r="Q866" s="9" t="str">
        <x:v>主站页面自身承接</x:v>
      </x:c>
      <x:c r="R866" s="9" t="str">
        <x:v>核心品类词：主站优先，博客只做长尾解释，不直接抢同一词</x:v>
      </x:c>
      <x:c r="S866" s="9" t="str">
        <x:v>如果 Google 首页产品页和指南混合，主站页要加 FAQ、选购指南、对比模块。</x:v>
      </x:c>
      <x:c r="T866" s="38" t="n">
        <x:v>13</x:v>
      </x:c>
      <x:c r="U866" s="38" t="n">
        <x:v>9</x:v>
      </x:c>
      <x:c r="V866" s="38" t="n">
        <x:v>18</x:v>
      </x:c>
      <x:c r="W866" s="38" t="n">
        <x:v>8</x:v>
      </x:c>
      <x:c r="X866" s="38" t="n">
        <x:v>15</x:v>
      </x:c>
      <x:c r="Y866" s="38" t="n">
        <x:v>4</x:v>
      </x:c>
      <x:c r="Z866" s="38" t="n">
        <x:f>MAX(0,MIN(100,ROUND(((T866+U866+V866+W866+X866)-Y866)/85*100,0)))</x:f>
        <x:v>69</x:v>
      </x:c>
      <x:c r="AA866" s="9" t="str">
        <x:f>IF(L866="暂不做","P3 暂缓",IF(Z866&gt;=75,"P0 本周做",IF(Z866&gt;=60,"P1 近期做",IF(Z866&gt;=45,"P2 备选","P3 暂缓"))))</x:f>
        <x:v>P1 近期做</x:v>
      </x:c>
      <x:c r="AB866" s="9" t="str">
        <x:f>IF(Y866&gt;=15,"先做合规/相关性复核，不建议直接商业导流",IF(L866="主站","建/优化主站商业页",IF(L866="博客A-知识教程","写知识教程/FAQ文章",IF(L866="博客B-场景人群","写场景需求/选购指南文章",IF(L866="博客C-对比评测","写对比评测/榜单文章","暂不做或人工复核")))))</x:f>
        <x:v>建/优化主站商业页</x:v>
      </x:c>
      <x:c r="AC866" s="9" t="str">
        <x:v>expensive vapes</x:v>
      </x:c>
      <x:c r="AD866" s="10" t="str">
        <x:v>48</x:v>
      </x:c>
    </x:row>
    <x:row r="867">
      <x:c r="A867" s="34" t="n">
        <x:v>867</x:v>
      </x:c>
      <x:c r="B867" s="9" t="str">
        <x:v>48</x:v>
      </x:c>
      <x:c r="C867" s="9" t="str">
        <x:v>juice for a vape</x:v>
      </x:c>
      <x:c r="D867" s="9" t="str">
        <x:v>recommended</x:v>
      </x:c>
      <x:c r="E867" s="36" t="n">
        <x:v>3600</x:v>
      </x:c>
      <x:c r="F867" s="36" t="n">
        <x:v>51</x:v>
      </x:c>
      <x:c r="G867" s="9" t="str">
        <x:v>commercial</x:v>
      </x:c>
      <x:c r="H867" s="9" t="str">
        <x:v>General Vape</x:v>
      </x:c>
      <x:c r="I867" s="9" t="str">
        <x:v>品类承接词</x:v>
      </x:c>
      <x:c r="J867" s="9" t="str">
        <x:v>主站</x:v>
      </x:c>
      <x:c r="K867" s="9" t="str"/>
      <x:c r="L867" s="9" t="str">
        <x:f>IF(K867="",J867,K867)</x:f>
        <x:v>主站</x:v>
      </x:c>
      <x:c r="M867" s="9" t="str">
        <x:v>品类页/集合页 + FAQ内容块</x:v>
      </x:c>
      <x:c r="N867" s="9" t="str">
        <x:v>主站品类页：用产品集合 + 选购说明承接</x:v>
      </x:c>
      <x:c r="O867" s="9" t="str">
        <x:v>/collections/disposable-vapes</x:v>
      </x:c>
      <x:c r="P867" s="9" t="str">
        <x:v>不适用</x:v>
      </x:c>
      <x:c r="Q867" s="9" t="str">
        <x:v>主站页面自身承接</x:v>
      </x:c>
      <x:c r="R867" s="9" t="str">
        <x:v>核心品类词：主站优先，博客只做长尾解释，不直接抢同一词</x:v>
      </x:c>
      <x:c r="S867" s="9" t="str">
        <x:v>如果 Google 首页产品页和指南混合，主站页要加 FAQ、选购指南、对比模块。</x:v>
      </x:c>
      <x:c r="T867" s="38" t="n">
        <x:v>13</x:v>
      </x:c>
      <x:c r="U867" s="38" t="n">
        <x:v>6</x:v>
      </x:c>
      <x:c r="V867" s="38" t="n">
        <x:v>18</x:v>
      </x:c>
      <x:c r="W867" s="38" t="n">
        <x:v>8</x:v>
      </x:c>
      <x:c r="X867" s="38" t="n">
        <x:v>15</x:v>
      </x:c>
      <x:c r="Y867" s="38" t="n">
        <x:v>4</x:v>
      </x:c>
      <x:c r="Z867" s="38" t="n">
        <x:f>MAX(0,MIN(100,ROUND(((T867+U867+V867+W867+X867)-Y867)/85*100,0)))</x:f>
        <x:v>66</x:v>
      </x:c>
      <x:c r="AA867" s="9" t="str">
        <x:f>IF(L867="暂不做","P3 暂缓",IF(Z867&gt;=75,"P0 本周做",IF(Z867&gt;=60,"P1 近期做",IF(Z867&gt;=45,"P2 备选","P3 暂缓"))))</x:f>
        <x:v>P1 近期做</x:v>
      </x:c>
      <x:c r="AB867" s="9" t="str">
        <x:f>IF(Y867&gt;=15,"先做合规/相关性复核，不建议直接商业导流",IF(L867="主站","建/优化主站商业页",IF(L867="博客A-知识教程","写知识教程/FAQ文章",IF(L867="博客B-场景人群","写场景需求/选购指南文章",IF(L867="博客C-对比评测","写对比评测/榜单文章","暂不做或人工复核")))))</x:f>
        <x:v>建/优化主站商业页</x:v>
      </x:c>
      <x:c r="AC867" s="9" t="str">
        <x:v>expensive vapes</x:v>
      </x:c>
      <x:c r="AD867" s="10" t="str">
        <x:v>48</x:v>
      </x:c>
    </x:row>
    <x:row r="868">
      <x:c r="A868" s="34" t="n">
        <x:v>868</x:v>
      </x:c>
      <x:c r="B868" s="9" t="str">
        <x:v>48</x:v>
      </x:c>
      <x:c r="C868" s="9" t="str">
        <x:v>juice of vape</x:v>
      </x:c>
      <x:c r="D868" s="9" t="str">
        <x:v>recommended</x:v>
      </x:c>
      <x:c r="E868" s="36" t="n">
        <x:v>3600</x:v>
      </x:c>
      <x:c r="F868" s="36" t="n">
        <x:v>58</x:v>
      </x:c>
      <x:c r="G868" s="9" t="str">
        <x:v>commercial</x:v>
      </x:c>
      <x:c r="H868" s="9" t="str">
        <x:v>General Vape</x:v>
      </x:c>
      <x:c r="I868" s="9" t="str">
        <x:v>品类承接词</x:v>
      </x:c>
      <x:c r="J868" s="9" t="str">
        <x:v>主站</x:v>
      </x:c>
      <x:c r="K868" s="9" t="str"/>
      <x:c r="L868" s="9" t="str">
        <x:f>IF(K868="",J868,K868)</x:f>
        <x:v>主站</x:v>
      </x:c>
      <x:c r="M868" s="9" t="str">
        <x:v>品类页/集合页 + FAQ内容块</x:v>
      </x:c>
      <x:c r="N868" s="9" t="str">
        <x:v>主站品类页：用产品集合 + 选购说明承接</x:v>
      </x:c>
      <x:c r="O868" s="9" t="str">
        <x:v>/collections/disposable-vapes</x:v>
      </x:c>
      <x:c r="P868" s="9" t="str">
        <x:v>不适用</x:v>
      </x:c>
      <x:c r="Q868" s="9" t="str">
        <x:v>主站页面自身承接</x:v>
      </x:c>
      <x:c r="R868" s="9" t="str">
        <x:v>核心品类词：主站优先，博客只做长尾解释，不直接抢同一词</x:v>
      </x:c>
      <x:c r="S868" s="9" t="str">
        <x:v>如果 Google 首页产品页和指南混合，主站页要加 FAQ、选购指南、对比模块。</x:v>
      </x:c>
      <x:c r="T868" s="38" t="n">
        <x:v>13</x:v>
      </x:c>
      <x:c r="U868" s="38" t="n">
        <x:v>6</x:v>
      </x:c>
      <x:c r="V868" s="38" t="n">
        <x:v>18</x:v>
      </x:c>
      <x:c r="W868" s="38" t="n">
        <x:v>8</x:v>
      </x:c>
      <x:c r="X868" s="38" t="n">
        <x:v>15</x:v>
      </x:c>
      <x:c r="Y868" s="38" t="n">
        <x:v>4</x:v>
      </x:c>
      <x:c r="Z868" s="38" t="n">
        <x:f>MAX(0,MIN(100,ROUND(((T868+U868+V868+W868+X868)-Y868)/85*100,0)))</x:f>
        <x:v>66</x:v>
      </x:c>
      <x:c r="AA868" s="9" t="str">
        <x:f>IF(L868="暂不做","P3 暂缓",IF(Z868&gt;=75,"P0 本周做",IF(Z868&gt;=60,"P1 近期做",IF(Z868&gt;=45,"P2 备选","P3 暂缓"))))</x:f>
        <x:v>P1 近期做</x:v>
      </x:c>
      <x:c r="AB868" s="9" t="str">
        <x:f>IF(Y868&gt;=15,"先做合规/相关性复核，不建议直接商业导流",IF(L868="主站","建/优化主站商业页",IF(L868="博客A-知识教程","写知识教程/FAQ文章",IF(L868="博客B-场景人群","写场景需求/选购指南文章",IF(L868="博客C-对比评测","写对比评测/榜单文章","暂不做或人工复核")))))</x:f>
        <x:v>建/优化主站商业页</x:v>
      </x:c>
      <x:c r="AC868" s="9" t="str">
        <x:v>expensive vapes</x:v>
      </x:c>
      <x:c r="AD868" s="10" t="str">
        <x:v>48</x:v>
      </x:c>
    </x:row>
    <x:row r="869">
      <x:c r="A869" s="34" t="n">
        <x:v>869</x:v>
      </x:c>
      <x:c r="B869" s="9" t="str">
        <x:v>48</x:v>
      </x:c>
      <x:c r="C869" s="9" t="str">
        <x:v>high puff pod system</x:v>
      </x:c>
      <x:c r="D869" s="9" t="str">
        <x:v>recommended</x:v>
      </x:c>
      <x:c r="E869" s="36" t="n">
        <x:v>0</x:v>
      </x:c>
      <x:c r="F869" s="36" t="n">
        <x:v>0</x:v>
      </x:c>
      <x:c r="G869" s="9" t="str">
        <x:v>48</x:v>
      </x:c>
      <x:c r="H869" s="9" t="str">
        <x:v>Pod Kit / Pod System</x:v>
      </x:c>
      <x:c r="I869" s="9" t="str">
        <x:v>内容词</x:v>
      </x:c>
      <x:c r="J869" s="9" t="str">
        <x:v>博客A-知识教程</x:v>
      </x:c>
      <x:c r="K869" s="9" t="str"/>
      <x:c r="L869" s="9" t="str">
        <x:f>IF(K869="",J869,K869)</x:f>
        <x:v>博客A-知识教程</x:v>
      </x:c>
      <x:c r="M869" s="9" t="str">
        <x:v>知识/教程文章</x:v>
      </x:c>
      <x:c r="N869" s="9" t="str">
        <x:v>Guide angle: explain high puff pod system, answer common questions, and avoid sales-first writing</x:v>
      </x:c>
      <x:c r="O869" s="9" t="str">
        <x:v>/collections/disposable-vapes 或最接近的产品集合页</x:v>
      </x:c>
      <x:c r="P869" s="9" t="str">
        <x:v>谨慎</x:v>
      </x:c>
      <x:c r="Q869" s="9" t="str">
        <x:v>品牌词/自然句</x:v>
      </x:c>
      <x:c r="R869" s="9" t="str">
        <x:v>低风险：按常规内容质量和搜索意图校验</x:v>
      </x:c>
      <x:c r="S869" s="9" t="str">
        <x:v>先看 Google SERP：如果首页多数为产品集合页，改回主站；如果多数为教程/问答，保持博客。</x:v>
      </x:c>
      <x:c r="T869" s="38" t="n">
        <x:v>1</x:v>
      </x:c>
      <x:c r="U869" s="38" t="n">
        <x:v>15</x:v>
      </x:c>
      <x:c r="V869" s="38" t="n">
        <x:v>10</x:v>
      </x:c>
      <x:c r="W869" s="38" t="n">
        <x:v>12</x:v>
      </x:c>
      <x:c r="X869" s="38" t="n">
        <x:v>12</x:v>
      </x:c>
      <x:c r="Y869" s="38" t="n">
        <x:v>4</x:v>
      </x:c>
      <x:c r="Z869" s="38" t="n">
        <x:f>MAX(0,MIN(100,ROUND(((T869+U869+V869+W869+X869)-Y869)/85*100,0)))</x:f>
        <x:v>54</x:v>
      </x:c>
      <x:c r="AA869" s="9" t="str">
        <x:f>IF(L869="暂不做","P3 暂缓",IF(Z869&gt;=75,"P0 本周做",IF(Z869&gt;=60,"P1 近期做",IF(Z869&gt;=45,"P2 备选","P3 暂缓"))))</x:f>
        <x:v>P2 备选</x:v>
      </x:c>
      <x:c r="AB869" s="9" t="str">
        <x:f>IF(Y869&gt;=15,"先做合规/相关性复核，不建议直接商业导流",IF(L869="主站","建/优化主站商业页",IF(L869="博客A-知识教程","写知识教程/FAQ文章",IF(L869="博客B-场景人群","写场景需求/选购指南文章",IF(L869="博客C-对比评测","写对比评测/榜单文章","暂不做或人工复核")))))</x:f>
        <x:v>写知识教程/FAQ文章</x:v>
      </x:c>
      <x:c r="AC869" s="9" t="str">
        <x:v>expensive vapes</x:v>
      </x:c>
      <x:c r="AD869" s="10" t="str">
        <x:v>48</x:v>
      </x:c>
    </x:row>
    <x:row r="870">
      <x:c r="A870" s="34" t="n">
        <x:v>870</x:v>
      </x:c>
      <x:c r="B870" s="9" t="str">
        <x:v>48</x:v>
      </x:c>
      <x:c r="C870" s="9" t="str">
        <x:v>replaceable vape pod flavors</x:v>
      </x:c>
      <x:c r="D870" s="9" t="str">
        <x:v>recommended</x:v>
      </x:c>
      <x:c r="E870" s="36" t="n">
        <x:v>0</x:v>
      </x:c>
      <x:c r="F870" s="36" t="n">
        <x:v>0</x:v>
      </x:c>
      <x:c r="G870" s="9" t="str">
        <x:v>48</x:v>
      </x:c>
      <x:c r="H870" s="9" t="str">
        <x:v>Pod Kit / Pod System</x:v>
      </x:c>
      <x:c r="I870" s="9" t="str">
        <x:v>场景/需求词</x:v>
      </x:c>
      <x:c r="J870" s="9" t="str">
        <x:v>博客B-场景人群</x:v>
      </x:c>
      <x:c r="K870" s="9" t="str"/>
      <x:c r="L870" s="9" t="str">
        <x:f>IF(K870="",J870,K870)</x:f>
        <x:v>博客B-场景人群</x:v>
      </x:c>
      <x:c r="M870" s="9" t="str">
        <x:v>场景解决方案/选购指南文章</x:v>
      </x:c>
      <x:c r="N870" s="9" t="str">
        <x:v>Scenario angle: how to choose replaceable vape pod flavors based on use case, flavor, nicotine, and budget</x:v>
      </x:c>
      <x:c r="O870" s="9" t="str">
        <x:v>/collections/pod-kits</x:v>
      </x:c>
      <x:c r="P870" s="9" t="str">
        <x:v>是</x:v>
      </x:c>
      <x:c r="Q870" s="9" t="str">
        <x:v>自然句/品类词</x:v>
      </x:c>
      <x:c r="R870" s="9" t="str">
        <x:v>低中风险：适合软性导流，但不要夸大效果或触碰健康疗效</x:v>
      </x:c>
      <x:c r="S870" s="9" t="str">
        <x:v>围绕使用场景、口味、尼古丁需求、便携性等写，不和主站品类页抢词。</x:v>
      </x:c>
      <x:c r="T870" s="38" t="n">
        <x:v>1</x:v>
      </x:c>
      <x:c r="U870" s="38" t="n">
        <x:v>15</x:v>
      </x:c>
      <x:c r="V870" s="38" t="n">
        <x:v>13</x:v>
      </x:c>
      <x:c r="W870" s="38" t="n">
        <x:v>14</x:v>
      </x:c>
      <x:c r="X870" s="38" t="n">
        <x:v>13</x:v>
      </x:c>
      <x:c r="Y870" s="38" t="n">
        <x:v>5</x:v>
      </x:c>
      <x:c r="Z870" s="38" t="n">
        <x:f>MAX(0,MIN(100,ROUND(((T870+U870+V870+W870+X870)-Y870)/85*100,0)))</x:f>
        <x:v>60</x:v>
      </x:c>
      <x:c r="AA870" s="9" t="str">
        <x:f>IF(L870="暂不做","P3 暂缓",IF(Z870&gt;=75,"P0 本周做",IF(Z870&gt;=60,"P1 近期做",IF(Z870&gt;=45,"P2 备选","P3 暂缓"))))</x:f>
        <x:v>P1 近期做</x:v>
      </x:c>
      <x:c r="AB870" s="9" t="str">
        <x:f>IF(Y870&gt;=15,"先做合规/相关性复核，不建议直接商业导流",IF(L870="主站","建/优化主站商业页",IF(L870="博客A-知识教程","写知识教程/FAQ文章",IF(L870="博客B-场景人群","写场景需求/选购指南文章",IF(L870="博客C-对比评测","写对比评测/榜单文章","暂不做或人工复核")))))</x:f>
        <x:v>写场景需求/选购指南文章</x:v>
      </x:c>
      <x:c r="AC870" s="9" t="str">
        <x:v>expensive vapes</x:v>
      </x:c>
      <x:c r="AD870" s="10" t="str">
        <x:v>48</x:v>
      </x:c>
    </x:row>
    <x:row r="871">
      <x:c r="A871" s="34" t="n">
        <x:v>871</x:v>
      </x:c>
      <x:c r="B871" s="9" t="str">
        <x:v>48</x:v>
      </x:c>
      <x:c r="C871" s="9" t="str">
        <x:v>best replaceable pod vape flavors</x:v>
      </x:c>
      <x:c r="D871" s="9" t="str">
        <x:v>recommended</x:v>
      </x:c>
      <x:c r="E871" s="36" t="n">
        <x:v>0</x:v>
      </x:c>
      <x:c r="F871" s="36" t="n">
        <x:v>0</x:v>
      </x:c>
      <x:c r="G871" s="9" t="str">
        <x:v>48</x:v>
      </x:c>
      <x:c r="H871" s="9" t="str">
        <x:v>Pod Kit / Pod System</x:v>
      </x:c>
      <x:c r="I871" s="9" t="str">
        <x:v>商业调查词</x:v>
      </x:c>
      <x:c r="J871" s="9" t="str">
        <x:v>博客C-对比评测</x:v>
      </x:c>
      <x:c r="K871" s="9" t="str"/>
      <x:c r="L871" s="9" t="str">
        <x:f>IF(K871="",J871,K871)</x:f>
        <x:v>博客C-对比评测</x:v>
      </x:c>
      <x:c r="M871" s="9" t="str">
        <x:v>Best/Top/Review/VS/替代方案文章</x:v>
      </x:c>
      <x:c r="N871" s="9" t="str">
        <x:v>Best angle: best replaceable pod vape flavors - comparison, pros/cons, and which option fits different buyers</x:v>
      </x:c>
      <x:c r="O871" s="9" t="str">
        <x:v>/collections/pod-kits</x:v>
      </x:c>
      <x:c r="P871" s="9" t="str">
        <x:v>是</x:v>
      </x:c>
      <x:c r="Q871" s="9" t="str">
        <x:v>自然句/品类词/品牌词</x:v>
      </x:c>
      <x:c r="R871" s="9" t="str">
        <x:v>中风险：榜单和评测必须真实、中立，避免夸大</x:v>
      </x:c>
      <x:c r="S871" s="9" t="str">
        <x:v>这类词不直接给主站，先用博客C教育和比较，再导流到最相关集合页。</x:v>
      </x:c>
      <x:c r="T871" s="38" t="n">
        <x:v>1</x:v>
      </x:c>
      <x:c r="U871" s="38" t="n">
        <x:v>15</x:v>
      </x:c>
      <x:c r="V871" s="38" t="n">
        <x:v>16</x:v>
      </x:c>
      <x:c r="W871" s="38" t="n">
        <x:v>15</x:v>
      </x:c>
      <x:c r="X871" s="38" t="n">
        <x:v>13</x:v>
      </x:c>
      <x:c r="Y871" s="38" t="n">
        <x:v>6</x:v>
      </x:c>
      <x:c r="Z871" s="38" t="n">
        <x:f>MAX(0,MIN(100,ROUND(((T871+U871+V871+W871+X871)-Y871)/85*100,0)))</x:f>
        <x:v>64</x:v>
      </x:c>
      <x:c r="AA871" s="9" t="str">
        <x:f>IF(L871="暂不做","P3 暂缓",IF(Z871&gt;=75,"P0 本周做",IF(Z871&gt;=60,"P1 近期做",IF(Z871&gt;=45,"P2 备选","P3 暂缓"))))</x:f>
        <x:v>P1 近期做</x:v>
      </x:c>
      <x:c r="AB871" s="9" t="str">
        <x:f>IF(Y871&gt;=15,"先做合规/相关性复核，不建议直接商业导流",IF(L871="主站","建/优化主站商业页",IF(L871="博客A-知识教程","写知识教程/FAQ文章",IF(L871="博客B-场景人群","写场景需求/选购指南文章",IF(L871="博客C-对比评测","写对比评测/榜单文章","暂不做或人工复核")))))</x:f>
        <x:v>写对比评测/榜单文章</x:v>
      </x:c>
      <x:c r="AC871" s="9" t="str">
        <x:v>expensive vapes</x:v>
      </x:c>
      <x:c r="AD871" s="10" t="str">
        <x:v>48</x:v>
      </x:c>
    </x:row>
    <x:row r="872">
      <x:c r="A872" s="34" t="n">
        <x:v>872</x:v>
      </x:c>
      <x:c r="B872" s="9" t="str">
        <x:v>48</x:v>
      </x:c>
      <x:c r="C872" s="9" t="str">
        <x:v>replaceable vape flavor review</x:v>
      </x:c>
      <x:c r="D872" s="9" t="str">
        <x:v>recommended</x:v>
      </x:c>
      <x:c r="E872" s="36" t="n">
        <x:v>0</x:v>
      </x:c>
      <x:c r="F872" s="36" t="n">
        <x:v>0</x:v>
      </x:c>
      <x:c r="G872" s="9" t="str">
        <x:v>48</x:v>
      </x:c>
      <x:c r="H872" s="9" t="str">
        <x:v>Flavor / 口味</x:v>
      </x:c>
      <x:c r="I872" s="9" t="str">
        <x:v>商业调查词</x:v>
      </x:c>
      <x:c r="J872" s="9" t="str">
        <x:v>博客C-对比评测</x:v>
      </x:c>
      <x:c r="K872" s="9" t="str"/>
      <x:c r="L872" s="9" t="str">
        <x:f>IF(K872="",J872,K872)</x:f>
        <x:v>博客C-对比评测</x:v>
      </x:c>
      <x:c r="M872" s="9" t="str">
        <x:v>Best/Top/Review/VS/替代方案文章</x:v>
      </x:c>
      <x:c r="N872" s="9" t="str">
        <x:v>Best angle: replaceable vape flavor review - comparison, pros/cons, and which option fits different buyers</x:v>
      </x:c>
      <x:c r="O872" s="9" t="str">
        <x:v>/collections/flavored-disposable-vapes</x:v>
      </x:c>
      <x:c r="P872" s="9" t="str">
        <x:v>是</x:v>
      </x:c>
      <x:c r="Q872" s="9" t="str">
        <x:v>自然句/品类词/品牌词</x:v>
      </x:c>
      <x:c r="R872" s="9" t="str">
        <x:v>中风险：榜单和评测必须真实、中立，避免夸大</x:v>
      </x:c>
      <x:c r="S872" s="9" t="str">
        <x:v>这类词不直接给主站，先用博客C教育和比较，再导流到最相关集合页。</x:v>
      </x:c>
      <x:c r="T872" s="38" t="n">
        <x:v>1</x:v>
      </x:c>
      <x:c r="U872" s="38" t="n">
        <x:v>15</x:v>
      </x:c>
      <x:c r="V872" s="38" t="n">
        <x:v>16</x:v>
      </x:c>
      <x:c r="W872" s="38" t="n">
        <x:v>15</x:v>
      </x:c>
      <x:c r="X872" s="38" t="n">
        <x:v>13</x:v>
      </x:c>
      <x:c r="Y872" s="38" t="n">
        <x:v>6</x:v>
      </x:c>
      <x:c r="Z872" s="38" t="n">
        <x:f>MAX(0,MIN(100,ROUND(((T872+U872+V872+W872+X872)-Y872)/85*100,0)))</x:f>
        <x:v>64</x:v>
      </x:c>
      <x:c r="AA872" s="9" t="str">
        <x:f>IF(L872="暂不做","P3 暂缓",IF(Z872&gt;=75,"P0 本周做",IF(Z872&gt;=60,"P1 近期做",IF(Z872&gt;=45,"P2 备选","P3 暂缓"))))</x:f>
        <x:v>P1 近期做</x:v>
      </x:c>
      <x:c r="AB872" s="9" t="str">
        <x:f>IF(Y872&gt;=15,"先做合规/相关性复核，不建议直接商业导流",IF(L872="主站","建/优化主站商业页",IF(L872="博客A-知识教程","写知识教程/FAQ文章",IF(L872="博客B-场景人群","写场景需求/选购指南文章",IF(L872="博客C-对比评测","写对比评测/榜单文章","暂不做或人工复核")))))</x:f>
        <x:v>写对比评测/榜单文章</x:v>
      </x:c>
      <x:c r="AC872" s="9" t="str">
        <x:v>expensive vapes</x:v>
      </x:c>
      <x:c r="AD872" s="10" t="str">
        <x:v>48</x:v>
      </x:c>
    </x:row>
    <x:row r="873">
      <x:c r="A873" s="34" t="n">
        <x:v>873</x:v>
      </x:c>
      <x:c r="B873" s="9" t="str">
        <x:v>48</x:v>
      </x:c>
      <x:c r="C873" s="9" t="str">
        <x:v>vaping juice</x:v>
      </x:c>
      <x:c r="D873" s="9" t="str">
        <x:v>recommended</x:v>
      </x:c>
      <x:c r="E873" s="36" t="n">
        <x:v>3600</x:v>
      </x:c>
      <x:c r="F873" s="36" t="n">
        <x:v>64</x:v>
      </x:c>
      <x:c r="G873" s="9" t="str">
        <x:v>commercial</x:v>
      </x:c>
      <x:c r="H873" s="9" t="str">
        <x:v>General Vape</x:v>
      </x:c>
      <x:c r="I873" s="9" t="str">
        <x:v>品类承接词</x:v>
      </x:c>
      <x:c r="J873" s="9" t="str">
        <x:v>主站</x:v>
      </x:c>
      <x:c r="K873" s="9" t="str"/>
      <x:c r="L873" s="9" t="str">
        <x:f>IF(K873="",J873,K873)</x:f>
        <x:v>主站</x:v>
      </x:c>
      <x:c r="M873" s="9" t="str">
        <x:v>品类页/集合页 + FAQ内容块</x:v>
      </x:c>
      <x:c r="N873" s="9" t="str">
        <x:v>主站品类页：用产品集合 + 选购说明承接</x:v>
      </x:c>
      <x:c r="O873" s="9" t="str">
        <x:v>/collections/disposable-vapes</x:v>
      </x:c>
      <x:c r="P873" s="9" t="str">
        <x:v>不适用</x:v>
      </x:c>
      <x:c r="Q873" s="9" t="str">
        <x:v>主站页面自身承接</x:v>
      </x:c>
      <x:c r="R873" s="9" t="str">
        <x:v>核心品类词：主站优先，博客只做长尾解释，不直接抢同一词</x:v>
      </x:c>
      <x:c r="S873" s="9" t="str">
        <x:v>如果 Google 首页产品页和指南混合，主站页要加 FAQ、选购指南、对比模块。</x:v>
      </x:c>
      <x:c r="T873" s="38" t="n">
        <x:v>13</x:v>
      </x:c>
      <x:c r="U873" s="38" t="n">
        <x:v>3</x:v>
      </x:c>
      <x:c r="V873" s="38" t="n">
        <x:v>18</x:v>
      </x:c>
      <x:c r="W873" s="38" t="n">
        <x:v>8</x:v>
      </x:c>
      <x:c r="X873" s="38" t="n">
        <x:v>15</x:v>
      </x:c>
      <x:c r="Y873" s="38" t="n">
        <x:v>4</x:v>
      </x:c>
      <x:c r="Z873" s="38" t="n">
        <x:f>MAX(0,MIN(100,ROUND(((T873+U873+V873+W873+X873)-Y873)/85*100,0)))</x:f>
        <x:v>62</x:v>
      </x:c>
      <x:c r="AA873" s="9" t="str">
        <x:f>IF(L873="暂不做","P3 暂缓",IF(Z873&gt;=75,"P0 本周做",IF(Z873&gt;=60,"P1 近期做",IF(Z873&gt;=45,"P2 备选","P3 暂缓"))))</x:f>
        <x:v>P1 近期做</x:v>
      </x:c>
      <x:c r="AB873" s="9" t="str">
        <x:f>IF(Y873&gt;=15,"先做合规/相关性复核，不建议直接商业导流",IF(L873="主站","建/优化主站商业页",IF(L873="博客A-知识教程","写知识教程/FAQ文章",IF(L873="博客B-场景人群","写场景需求/选购指南文章",IF(L873="博客C-对比评测","写对比评测/榜单文章","暂不做或人工复核")))))</x:f>
        <x:v>建/优化主站商业页</x:v>
      </x:c>
      <x:c r="AC873" s="9" t="str">
        <x:v>expensive vapes</x:v>
      </x:c>
      <x:c r="AD873" s="10" t="str">
        <x:v>48</x:v>
      </x:c>
    </x:row>
    <x:row r="874">
      <x:c r="A874" s="34" t="n">
        <x:v>874</x:v>
      </x:c>
      <x:c r="B874" s="9" t="str">
        <x:v>48</x:v>
      </x:c>
      <x:c r="C874" s="9" t="str">
        <x:v>juice for vapes</x:v>
      </x:c>
      <x:c r="D874" s="9" t="str">
        <x:v>recommended</x:v>
      </x:c>
      <x:c r="E874" s="36" t="n">
        <x:v>4400</x:v>
      </x:c>
      <x:c r="F874" s="36" t="n">
        <x:v>70</x:v>
      </x:c>
      <x:c r="G874" s="9" t="str">
        <x:v>commercial</x:v>
      </x:c>
      <x:c r="H874" s="9" t="str">
        <x:v>General Vape</x:v>
      </x:c>
      <x:c r="I874" s="9" t="str">
        <x:v>品类承接词</x:v>
      </x:c>
      <x:c r="J874" s="9" t="str">
        <x:v>主站</x:v>
      </x:c>
      <x:c r="K874" s="9" t="str"/>
      <x:c r="L874" s="9" t="str">
        <x:f>IF(K874="",J874,K874)</x:f>
        <x:v>主站</x:v>
      </x:c>
      <x:c r="M874" s="9" t="str">
        <x:v>品类页/集合页 + FAQ内容块</x:v>
      </x:c>
      <x:c r="N874" s="9" t="str">
        <x:v>主站品类页：用产品集合 + 选购说明承接</x:v>
      </x:c>
      <x:c r="O874" s="9" t="str">
        <x:v>/collections/disposable-vapes</x:v>
      </x:c>
      <x:c r="P874" s="9" t="str">
        <x:v>不适用</x:v>
      </x:c>
      <x:c r="Q874" s="9" t="str">
        <x:v>主站页面自身承接</x:v>
      </x:c>
      <x:c r="R874" s="9" t="str">
        <x:v>核心品类词：主站优先，博客只做长尾解释，不直接抢同一词</x:v>
      </x:c>
      <x:c r="S874" s="9" t="str">
        <x:v>如果 Google 首页产品页和指南混合，主站页要加 FAQ、选购指南、对比模块。</x:v>
      </x:c>
      <x:c r="T874" s="38" t="n">
        <x:v>13</x:v>
      </x:c>
      <x:c r="U874" s="38" t="n">
        <x:v>3</x:v>
      </x:c>
      <x:c r="V874" s="38" t="n">
        <x:v>18</x:v>
      </x:c>
      <x:c r="W874" s="38" t="n">
        <x:v>8</x:v>
      </x:c>
      <x:c r="X874" s="38" t="n">
        <x:v>15</x:v>
      </x:c>
      <x:c r="Y874" s="38" t="n">
        <x:v>4</x:v>
      </x:c>
      <x:c r="Z874" s="38" t="n">
        <x:f>MAX(0,MIN(100,ROUND(((T874+U874+V874+W874+X874)-Y874)/85*100,0)))</x:f>
        <x:v>62</x:v>
      </x:c>
      <x:c r="AA874" s="9" t="str">
        <x:f>IF(L874="暂不做","P3 暂缓",IF(Z874&gt;=75,"P0 本周做",IF(Z874&gt;=60,"P1 近期做",IF(Z874&gt;=45,"P2 备选","P3 暂缓"))))</x:f>
        <x:v>P1 近期做</x:v>
      </x:c>
      <x:c r="AB874" s="9" t="str">
        <x:f>IF(Y874&gt;=15,"先做合规/相关性复核，不建议直接商业导流",IF(L874="主站","建/优化主站商业页",IF(L874="博客A-知识教程","写知识教程/FAQ文章",IF(L874="博客B-场景人群","写场景需求/选购指南文章",IF(L874="博客C-对比评测","写对比评测/榜单文章","暂不做或人工复核")))))</x:f>
        <x:v>建/优化主站商业页</x:v>
      </x:c>
      <x:c r="AC874" s="9" t="str">
        <x:v>expensive vapes</x:v>
      </x:c>
      <x:c r="AD874" s="10" t="str">
        <x:v>48</x:v>
      </x:c>
    </x:row>
    <x:row r="875">
      <x:c r="A875" s="34" t="n">
        <x:v>875</x:v>
      </x:c>
      <x:c r="B875" s="9" t="str">
        <x:v>48</x:v>
      </x:c>
      <x:c r="C875" s="9" t="str">
        <x:v>nexa disposable vape</x:v>
      </x:c>
      <x:c r="D875" s="9" t="str">
        <x:v>recommended</x:v>
      </x:c>
      <x:c r="E875" s="36" t="n">
        <x:v>260</x:v>
      </x:c>
      <x:c r="F875" s="36" t="n">
        <x:v>16</x:v>
      </x:c>
      <x:c r="G875" s="9" t="str">
        <x:v>commercial</x:v>
      </x:c>
      <x:c r="H875" s="9" t="str">
        <x:v>Disposable Vape</x:v>
      </x:c>
      <x:c r="I875" s="9" t="str">
        <x:v>品类承接词</x:v>
      </x:c>
      <x:c r="J875" s="9" t="str">
        <x:v>主站</x:v>
      </x:c>
      <x:c r="K875" s="9" t="str"/>
      <x:c r="L875" s="9" t="str">
        <x:f>IF(K875="",J875,K875)</x:f>
        <x:v>主站</x:v>
      </x:c>
      <x:c r="M875" s="9" t="str">
        <x:v>品类页/集合页 + FAQ内容块</x:v>
      </x:c>
      <x:c r="N875" s="9" t="str">
        <x:v>主站品类页：用产品集合 + 选购说明承接</x:v>
      </x:c>
      <x:c r="O875" s="9" t="str">
        <x:v>/collections/disposable-vapes</x:v>
      </x:c>
      <x:c r="P875" s="9" t="str">
        <x:v>不适用</x:v>
      </x:c>
      <x:c r="Q875" s="9" t="str">
        <x:v>主站页面自身承接</x:v>
      </x:c>
      <x:c r="R875" s="9" t="str">
        <x:v>核心品类词：主站优先，博客只做长尾解释，不直接抢同一词</x:v>
      </x:c>
      <x:c r="S875" s="9" t="str">
        <x:v>如果 Google 首页产品页和指南混合，主站页要加 FAQ、选购指南、对比模块。</x:v>
      </x:c>
      <x:c r="T875" s="38" t="n">
        <x:v>7</x:v>
      </x:c>
      <x:c r="U875" s="38" t="n">
        <x:v>12</x:v>
      </x:c>
      <x:c r="V875" s="38" t="n">
        <x:v>18</x:v>
      </x:c>
      <x:c r="W875" s="38" t="n">
        <x:v>8</x:v>
      </x:c>
      <x:c r="X875" s="38" t="n">
        <x:v>15</x:v>
      </x:c>
      <x:c r="Y875" s="38" t="n">
        <x:v>4</x:v>
      </x:c>
      <x:c r="Z875" s="38" t="n">
        <x:f>MAX(0,MIN(100,ROUND(((T875+U875+V875+W875+X875)-Y875)/85*100,0)))</x:f>
        <x:v>66</x:v>
      </x:c>
      <x:c r="AA875" s="9" t="str">
        <x:f>IF(L875="暂不做","P3 暂缓",IF(Z875&gt;=75,"P0 本周做",IF(Z875&gt;=60,"P1 近期做",IF(Z875&gt;=45,"P2 备选","P3 暂缓"))))</x:f>
        <x:v>P1 近期做</x:v>
      </x:c>
      <x:c r="AB875" s="9" t="str">
        <x:f>IF(Y875&gt;=15,"先做合规/相关性复核，不建议直接商业导流",IF(L875="主站","建/优化主站商业页",IF(L875="博客A-知识教程","写知识教程/FAQ文章",IF(L875="博客B-场景人群","写场景需求/选购指南文章",IF(L875="博客C-对比评测","写对比评测/榜单文章","暂不做或人工复核")))))</x:f>
        <x:v>建/优化主站商业页</x:v>
      </x:c>
      <x:c r="AC875" s="9" t="str">
        <x:v>nexa disposable vape</x:v>
      </x:c>
      <x:c r="AD875" s="10" t="str">
        <x:v>48</x:v>
      </x:c>
    </x:row>
    <x:row r="876">
      <x:c r="A876" s="34" t="n">
        <x:v>876</x:v>
      </x:c>
      <x:c r="B876" s="9" t="str">
        <x:v>48</x:v>
      </x:c>
      <x:c r="C876" s="9" t="str">
        <x:v>mint vape juice</x:v>
      </x:c>
      <x:c r="D876" s="9" t="str">
        <x:v>recommended</x:v>
      </x:c>
      <x:c r="E876" s="36" t="n">
        <x:v>390</x:v>
      </x:c>
      <x:c r="F876" s="36" t="n">
        <x:v>15</x:v>
      </x:c>
      <x:c r="G876" s="9" t="str">
        <x:v>informational, commercial</x:v>
      </x:c>
      <x:c r="H876" s="9" t="str">
        <x:v>General Vape</x:v>
      </x:c>
      <x:c r="I876" s="9" t="str">
        <x:v>品类承接词</x:v>
      </x:c>
      <x:c r="J876" s="9" t="str">
        <x:v>主站</x:v>
      </x:c>
      <x:c r="K876" s="9" t="str"/>
      <x:c r="L876" s="9" t="str">
        <x:f>IF(K876="",J876,K876)</x:f>
        <x:v>主站</x:v>
      </x:c>
      <x:c r="M876" s="9" t="str">
        <x:v>品类页/集合页 + FAQ内容块</x:v>
      </x:c>
      <x:c r="N876" s="9" t="str">
        <x:v>主站品类页：用产品集合 + 选购说明承接</x:v>
      </x:c>
      <x:c r="O876" s="9" t="str">
        <x:v>/collections/disposable-vapes</x:v>
      </x:c>
      <x:c r="P876" s="9" t="str">
        <x:v>不适用</x:v>
      </x:c>
      <x:c r="Q876" s="9" t="str">
        <x:v>主站页面自身承接</x:v>
      </x:c>
      <x:c r="R876" s="9" t="str">
        <x:v>核心品类词：主站优先，博客只做长尾解释，不直接抢同一词</x:v>
      </x:c>
      <x:c r="S876" s="9" t="str">
        <x:v>如果 Google 首页产品页和指南混合，主站页要加 FAQ、选购指南、对比模块。</x:v>
      </x:c>
      <x:c r="T876" s="38" t="n">
        <x:v>7</x:v>
      </x:c>
      <x:c r="U876" s="38" t="n">
        <x:v>15</x:v>
      </x:c>
      <x:c r="V876" s="38" t="n">
        <x:v>18</x:v>
      </x:c>
      <x:c r="W876" s="38" t="n">
        <x:v>8</x:v>
      </x:c>
      <x:c r="X876" s="38" t="n">
        <x:v>15</x:v>
      </x:c>
      <x:c r="Y876" s="38" t="n">
        <x:v>4</x:v>
      </x:c>
      <x:c r="Z876" s="38" t="n">
        <x:f>MAX(0,MIN(100,ROUND(((T876+U876+V876+W876+X876)-Y876)/85*100,0)))</x:f>
        <x:v>69</x:v>
      </x:c>
      <x:c r="AA876" s="9" t="str">
        <x:f>IF(L876="暂不做","P3 暂缓",IF(Z876&gt;=75,"P0 本周做",IF(Z876&gt;=60,"P1 近期做",IF(Z876&gt;=45,"P2 备选","P3 暂缓"))))</x:f>
        <x:v>P1 近期做</x:v>
      </x:c>
      <x:c r="AB876" s="9" t="str">
        <x:f>IF(Y876&gt;=15,"先做合规/相关性复核，不建议直接商业导流",IF(L876="主站","建/优化主站商业页",IF(L876="博客A-知识教程","写知识教程/FAQ文章",IF(L876="博客B-场景人群","写场景需求/选购指南文章",IF(L876="博客C-对比评测","写对比评测/榜单文章","暂不做或人工复核")))))</x:f>
        <x:v>建/优化主站商业页</x:v>
      </x:c>
      <x:c r="AC876" s="9" t="str">
        <x:v>nexa disposable vape</x:v>
      </x:c>
      <x:c r="AD876" s="10" t="str">
        <x:v>48</x:v>
      </x:c>
    </x:row>
    <x:row r="877">
      <x:c r="A877" s="34" t="n">
        <x:v>877</x:v>
      </x:c>
      <x:c r="B877" s="9" t="str">
        <x:v>48</x:v>
      </x:c>
      <x:c r="C877" s="9" t="str">
        <x:v>best mint vapes</x:v>
      </x:c>
      <x:c r="D877" s="9" t="str">
        <x:v>recommended</x:v>
      </x:c>
      <x:c r="E877" s="36" t="n">
        <x:v>110</x:v>
      </x:c>
      <x:c r="F877" s="36" t="n">
        <x:v>5</x:v>
      </x:c>
      <x:c r="G877" s="9" t="str">
        <x:v>commercial</x:v>
      </x:c>
      <x:c r="H877" s="9" t="str">
        <x:v>对比评测</x:v>
      </x:c>
      <x:c r="I877" s="9" t="str">
        <x:v>商业调查词</x:v>
      </x:c>
      <x:c r="J877" s="9" t="str">
        <x:v>博客C-对比评测</x:v>
      </x:c>
      <x:c r="K877" s="9" t="str"/>
      <x:c r="L877" s="9" t="str">
        <x:f>IF(K877="",J877,K877)</x:f>
        <x:v>博客C-对比评测</x:v>
      </x:c>
      <x:c r="M877" s="9" t="str">
        <x:v>Best/Top/Review/VS/替代方案文章</x:v>
      </x:c>
      <x:c r="N877" s="9" t="str">
        <x:v>Best angle: best mint vapes - comparison, pros/cons, and which option fits different buyers</x:v>
      </x:c>
      <x:c r="O877" s="9" t="str">
        <x:v>/collections/disposable-vapes</x:v>
      </x:c>
      <x:c r="P877" s="9" t="str">
        <x:v>是</x:v>
      </x:c>
      <x:c r="Q877" s="9" t="str">
        <x:v>自然句/品类词/品牌词</x:v>
      </x:c>
      <x:c r="R877" s="9" t="str">
        <x:v>中风险：榜单和评测必须真实、中立，避免夸大</x:v>
      </x:c>
      <x:c r="S877" s="9" t="str">
        <x:v>这类词不直接给主站，先用博客C教育和比较，再导流到最相关集合页。</x:v>
      </x:c>
      <x:c r="T877" s="38" t="n">
        <x:v>7</x:v>
      </x:c>
      <x:c r="U877" s="38" t="n">
        <x:v>15</x:v>
      </x:c>
      <x:c r="V877" s="38" t="n">
        <x:v>16</x:v>
      </x:c>
      <x:c r="W877" s="38" t="n">
        <x:v>15</x:v>
      </x:c>
      <x:c r="X877" s="38" t="n">
        <x:v>13</x:v>
      </x:c>
      <x:c r="Y877" s="38" t="n">
        <x:v>6</x:v>
      </x:c>
      <x:c r="Z877" s="38" t="n">
        <x:f>MAX(0,MIN(100,ROUND(((T877+U877+V877+W877+X877)-Y877)/85*100,0)))</x:f>
        <x:v>71</x:v>
      </x:c>
      <x:c r="AA877" s="9" t="str">
        <x:f>IF(L877="暂不做","P3 暂缓",IF(Z877&gt;=75,"P0 本周做",IF(Z877&gt;=60,"P1 近期做",IF(Z877&gt;=45,"P2 备选","P3 暂缓"))))</x:f>
        <x:v>P1 近期做</x:v>
      </x:c>
      <x:c r="AB877" s="9" t="str">
        <x:f>IF(Y877&gt;=15,"先做合规/相关性复核，不建议直接商业导流",IF(L877="主站","建/优化主站商业页",IF(L877="博客A-知识教程","写知识教程/FAQ文章",IF(L877="博客B-场景人群","写场景需求/选购指南文章",IF(L877="博客C-对比评测","写对比评测/榜单文章","暂不做或人工复核")))))</x:f>
        <x:v>写对比评测/榜单文章</x:v>
      </x:c>
      <x:c r="AC877" s="9" t="str">
        <x:v>nexa disposable vape</x:v>
      </x:c>
      <x:c r="AD877" s="10" t="str">
        <x:v>48</x:v>
      </x:c>
    </x:row>
    <x:row r="878">
      <x:c r="A878" s="34" t="n">
        <x:v>878</x:v>
      </x:c>
      <x:c r="B878" s="9" t="str">
        <x:v>48</x:v>
      </x:c>
      <x:c r="C878" s="9" t="str">
        <x:v>best mint disposable vape</x:v>
      </x:c>
      <x:c r="D878" s="9" t="str">
        <x:v>recommended</x:v>
      </x:c>
      <x:c r="E878" s="36" t="n">
        <x:v>90</x:v>
      </x:c>
      <x:c r="F878" s="36" t="n">
        <x:v>2</x:v>
      </x:c>
      <x:c r="G878" s="9" t="str">
        <x:v>informational, commercial</x:v>
      </x:c>
      <x:c r="H878" s="9" t="str">
        <x:v>Disposable Vape</x:v>
      </x:c>
      <x:c r="I878" s="9" t="str">
        <x:v>商业调查词</x:v>
      </x:c>
      <x:c r="J878" s="9" t="str">
        <x:v>博客C-对比评测</x:v>
      </x:c>
      <x:c r="K878" s="9" t="str"/>
      <x:c r="L878" s="9" t="str">
        <x:f>IF(K878="",J878,K878)</x:f>
        <x:v>博客C-对比评测</x:v>
      </x:c>
      <x:c r="M878" s="9" t="str">
        <x:v>Best/Top/Review/VS/替代方案文章</x:v>
      </x:c>
      <x:c r="N878" s="9" t="str">
        <x:v>Best angle: best mint disposable vape - comparison, pros/cons, and which option fits different buyers</x:v>
      </x:c>
      <x:c r="O878" s="9" t="str">
        <x:v>/collections/disposable-vapes</x:v>
      </x:c>
      <x:c r="P878" s="9" t="str">
        <x:v>是</x:v>
      </x:c>
      <x:c r="Q878" s="9" t="str">
        <x:v>自然句/品类词/品牌词</x:v>
      </x:c>
      <x:c r="R878" s="9" t="str">
        <x:v>中风险：榜单和评测必须真实、中立，避免夸大</x:v>
      </x:c>
      <x:c r="S878" s="9" t="str">
        <x:v>这类词不直接给主站，先用博客C教育和比较，再导流到最相关集合页。</x:v>
      </x:c>
      <x:c r="T878" s="38" t="n">
        <x:v>4</x:v>
      </x:c>
      <x:c r="U878" s="38" t="n">
        <x:v>15</x:v>
      </x:c>
      <x:c r="V878" s="38" t="n">
        <x:v>16</x:v>
      </x:c>
      <x:c r="W878" s="38" t="n">
        <x:v>15</x:v>
      </x:c>
      <x:c r="X878" s="38" t="n">
        <x:v>13</x:v>
      </x:c>
      <x:c r="Y878" s="38" t="n">
        <x:v>6</x:v>
      </x:c>
      <x:c r="Z878" s="38" t="n">
        <x:f>MAX(0,MIN(100,ROUND(((T878+U878+V878+W878+X878)-Y878)/85*100,0)))</x:f>
        <x:v>67</x:v>
      </x:c>
      <x:c r="AA878" s="9" t="str">
        <x:f>IF(L878="暂不做","P3 暂缓",IF(Z878&gt;=75,"P0 本周做",IF(Z878&gt;=60,"P1 近期做",IF(Z878&gt;=45,"P2 备选","P3 暂缓"))))</x:f>
        <x:v>P1 近期做</x:v>
      </x:c>
      <x:c r="AB878" s="9" t="str">
        <x:f>IF(Y878&gt;=15,"先做合规/相关性复核，不建议直接商业导流",IF(L878="主站","建/优化主站商业页",IF(L878="博客A-知识教程","写知识教程/FAQ文章",IF(L878="博客B-场景人群","写场景需求/选购指南文章",IF(L878="博客C-对比评测","写对比评测/榜单文章","暂不做或人工复核")))))</x:f>
        <x:v>写对比评测/榜单文章</x:v>
      </x:c>
      <x:c r="AC878" s="9" t="str">
        <x:v>nexa disposable vape</x:v>
      </x:c>
      <x:c r="AD878" s="10" t="str">
        <x:v>48</x:v>
      </x:c>
    </x:row>
    <x:row r="879">
      <x:c r="A879" s="34" t="n">
        <x:v>879</x:v>
      </x:c>
      <x:c r="B879" s="9" t="str">
        <x:v>48</x:v>
      </x:c>
      <x:c r="C879" s="9" t="str">
        <x:v>sweet mint vape</x:v>
      </x:c>
      <x:c r="D879" s="9" t="str">
        <x:v>recommended</x:v>
      </x:c>
      <x:c r="E879" s="36" t="n">
        <x:v>70</x:v>
      </x:c>
      <x:c r="F879" s="36" t="n">
        <x:v>2</x:v>
      </x:c>
      <x:c r="G879" s="9" t="str">
        <x:v>informational</x:v>
      </x:c>
      <x:c r="H879" s="9" t="str">
        <x:v>General Vape</x:v>
      </x:c>
      <x:c r="I879" s="9" t="str">
        <x:v>品类承接词</x:v>
      </x:c>
      <x:c r="J879" s="9" t="str">
        <x:v>主站</x:v>
      </x:c>
      <x:c r="K879" s="9" t="str"/>
      <x:c r="L879" s="9" t="str">
        <x:f>IF(K879="",J879,K879)</x:f>
        <x:v>主站</x:v>
      </x:c>
      <x:c r="M879" s="9" t="str">
        <x:v>品类页/集合页 + FAQ内容块</x:v>
      </x:c>
      <x:c r="N879" s="9" t="str">
        <x:v>主站品类页：用产品集合 + 选购说明承接</x:v>
      </x:c>
      <x:c r="O879" s="9" t="str">
        <x:v>/collections/disposable-vapes</x:v>
      </x:c>
      <x:c r="P879" s="9" t="str">
        <x:v>不适用</x:v>
      </x:c>
      <x:c r="Q879" s="9" t="str">
        <x:v>主站页面自身承接</x:v>
      </x:c>
      <x:c r="R879" s="9" t="str">
        <x:v>核心品类词：主站优先，博客只做长尾解释，不直接抢同一词</x:v>
      </x:c>
      <x:c r="S879" s="9" t="str">
        <x:v>如果 Google 首页产品页和指南混合，主站页要加 FAQ、选购指南、对比模块。</x:v>
      </x:c>
      <x:c r="T879" s="38" t="n">
        <x:v>4</x:v>
      </x:c>
      <x:c r="U879" s="38" t="n">
        <x:v>15</x:v>
      </x:c>
      <x:c r="V879" s="38" t="n">
        <x:v>16</x:v>
      </x:c>
      <x:c r="W879" s="38" t="n">
        <x:v>8</x:v>
      </x:c>
      <x:c r="X879" s="38" t="n">
        <x:v>15</x:v>
      </x:c>
      <x:c r="Y879" s="38" t="n">
        <x:v>4</x:v>
      </x:c>
      <x:c r="Z879" s="38" t="n">
        <x:f>MAX(0,MIN(100,ROUND(((T879+U879+V879+W879+X879)-Y879)/85*100,0)))</x:f>
        <x:v>64</x:v>
      </x:c>
      <x:c r="AA879" s="9" t="str">
        <x:f>IF(L879="暂不做","P3 暂缓",IF(Z879&gt;=75,"P0 本周做",IF(Z879&gt;=60,"P1 近期做",IF(Z879&gt;=45,"P2 备选","P3 暂缓"))))</x:f>
        <x:v>P1 近期做</x:v>
      </x:c>
      <x:c r="AB879" s="9" t="str">
        <x:f>IF(Y879&gt;=15,"先做合规/相关性复核，不建议直接商业导流",IF(L879="主站","建/优化主站商业页",IF(L879="博客A-知识教程","写知识教程/FAQ文章",IF(L879="博客B-场景人群","写场景需求/选购指南文章",IF(L879="博客C-对比评测","写对比评测/榜单文章","暂不做或人工复核")))))</x:f>
        <x:v>建/优化主站商业页</x:v>
      </x:c>
      <x:c r="AC879" s="9" t="str">
        <x:v>nexa disposable vape</x:v>
      </x:c>
      <x:c r="AD879" s="10" t="str">
        <x:v>48</x:v>
      </x:c>
    </x:row>
    <x:row r="880">
      <x:c r="A880" s="34" t="n">
        <x:v>880</x:v>
      </x:c>
      <x:c r="B880" s="9" t="str">
        <x:v>48</x:v>
      </x:c>
      <x:c r="C880" s="9" t="str">
        <x:v>mint nicotine vape</x:v>
      </x:c>
      <x:c r="D880" s="9" t="str">
        <x:v>recommended</x:v>
      </x:c>
      <x:c r="E880" s="36" t="n">
        <x:v>70</x:v>
      </x:c>
      <x:c r="F880" s="36" t="n">
        <x:v>3</x:v>
      </x:c>
      <x:c r="G880" s="9" t="str">
        <x:v>commercial</x:v>
      </x:c>
      <x:c r="H880" s="9" t="str">
        <x:v>Nicotine / 尼古丁</x:v>
      </x:c>
      <x:c r="I880" s="9" t="str">
        <x:v>品类承接词</x:v>
      </x:c>
      <x:c r="J880" s="9" t="str">
        <x:v>主站</x:v>
      </x:c>
      <x:c r="K880" s="9" t="str"/>
      <x:c r="L880" s="9" t="str">
        <x:f>IF(K880="",J880,K880)</x:f>
        <x:v>主站</x:v>
      </x:c>
      <x:c r="M880" s="9" t="str">
        <x:v>品类页/集合页 + FAQ内容块</x:v>
      </x:c>
      <x:c r="N880" s="9" t="str">
        <x:v>主站品类页：用产品集合 + 选购说明承接</x:v>
      </x:c>
      <x:c r="O880" s="9" t="str">
        <x:v>/collections/disposable-vapes</x:v>
      </x:c>
      <x:c r="P880" s="9" t="str">
        <x:v>不适用</x:v>
      </x:c>
      <x:c r="Q880" s="9" t="str">
        <x:v>主站页面自身承接</x:v>
      </x:c>
      <x:c r="R880" s="9" t="str">
        <x:v>核心品类词：主站优先，博客只做长尾解释，不直接抢同一词</x:v>
      </x:c>
      <x:c r="S880" s="9" t="str">
        <x:v>如果 Google 首页产品页和指南混合，主站页要加 FAQ、选购指南、对比模块。</x:v>
      </x:c>
      <x:c r="T880" s="38" t="n">
        <x:v>4</x:v>
      </x:c>
      <x:c r="U880" s="38" t="n">
        <x:v>15</x:v>
      </x:c>
      <x:c r="V880" s="38" t="n">
        <x:v>18</x:v>
      </x:c>
      <x:c r="W880" s="38" t="n">
        <x:v>8</x:v>
      </x:c>
      <x:c r="X880" s="38" t="n">
        <x:v>15</x:v>
      </x:c>
      <x:c r="Y880" s="38" t="n">
        <x:v>4</x:v>
      </x:c>
      <x:c r="Z880" s="38" t="n">
        <x:f>MAX(0,MIN(100,ROUND(((T880+U880+V880+W880+X880)-Y880)/85*100,0)))</x:f>
        <x:v>66</x:v>
      </x:c>
      <x:c r="AA880" s="9" t="str">
        <x:f>IF(L880="暂不做","P3 暂缓",IF(Z880&gt;=75,"P0 本周做",IF(Z880&gt;=60,"P1 近期做",IF(Z880&gt;=45,"P2 备选","P3 暂缓"))))</x:f>
        <x:v>P1 近期做</x:v>
      </x:c>
      <x:c r="AB880" s="9" t="str">
        <x:f>IF(Y880&gt;=15,"先做合规/相关性复核，不建议直接商业导流",IF(L880="主站","建/优化主站商业页",IF(L880="博客A-知识教程","写知识教程/FAQ文章",IF(L880="博客B-场景人群","写场景需求/选购指南文章",IF(L880="博客C-对比评测","写对比评测/榜单文章","暂不做或人工复核")))))</x:f>
        <x:v>建/优化主站商业页</x:v>
      </x:c>
      <x:c r="AC880" s="9" t="str">
        <x:v>nexa disposable vape</x:v>
      </x:c>
      <x:c r="AD880" s="10" t="str">
        <x:v>48</x:v>
      </x:c>
    </x:row>
    <x:row r="881">
      <x:c r="A881" s="34" t="n">
        <x:v>881</x:v>
      </x:c>
      <x:c r="B881" s="9" t="str">
        <x:v>48</x:v>
      </x:c>
      <x:c r="C881" s="9" t="str">
        <x:v>mint flavored vapes</x:v>
      </x:c>
      <x:c r="D881" s="9" t="str">
        <x:v>recommended</x:v>
      </x:c>
      <x:c r="E881" s="36" t="n">
        <x:v>70</x:v>
      </x:c>
      <x:c r="F881" s="36" t="n">
        <x:v>1</x:v>
      </x:c>
      <x:c r="G881" s="9" t="str">
        <x:v>commercial</x:v>
      </x:c>
      <x:c r="H881" s="9" t="str">
        <x:v>Flavor / 口味</x:v>
      </x:c>
      <x:c r="I881" s="9" t="str">
        <x:v>品类承接词</x:v>
      </x:c>
      <x:c r="J881" s="9" t="str">
        <x:v>主站</x:v>
      </x:c>
      <x:c r="K881" s="9" t="str"/>
      <x:c r="L881" s="9" t="str">
        <x:f>IF(K881="",J881,K881)</x:f>
        <x:v>主站</x:v>
      </x:c>
      <x:c r="M881" s="9" t="str">
        <x:v>品类页/集合页 + FAQ内容块</x:v>
      </x:c>
      <x:c r="N881" s="9" t="str">
        <x:v>主站品类页：用产品集合 + 选购说明承接</x:v>
      </x:c>
      <x:c r="O881" s="9" t="str">
        <x:v>/collections/flavored-disposable-vapes</x:v>
      </x:c>
      <x:c r="P881" s="9" t="str">
        <x:v>不适用</x:v>
      </x:c>
      <x:c r="Q881" s="9" t="str">
        <x:v>主站页面自身承接</x:v>
      </x:c>
      <x:c r="R881" s="9" t="str">
        <x:v>核心品类词：主站优先，博客只做长尾解释，不直接抢同一词</x:v>
      </x:c>
      <x:c r="S881" s="9" t="str">
        <x:v>如果 Google 首页产品页和指南混合，主站页要加 FAQ、选购指南、对比模块。</x:v>
      </x:c>
      <x:c r="T881" s="38" t="n">
        <x:v>4</x:v>
      </x:c>
      <x:c r="U881" s="38" t="n">
        <x:v>15</x:v>
      </x:c>
      <x:c r="V881" s="38" t="n">
        <x:v>18</x:v>
      </x:c>
      <x:c r="W881" s="38" t="n">
        <x:v>8</x:v>
      </x:c>
      <x:c r="X881" s="38" t="n">
        <x:v>15</x:v>
      </x:c>
      <x:c r="Y881" s="38" t="n">
        <x:v>4</x:v>
      </x:c>
      <x:c r="Z881" s="38" t="n">
        <x:f>MAX(0,MIN(100,ROUND(((T881+U881+V881+W881+X881)-Y881)/85*100,0)))</x:f>
        <x:v>66</x:v>
      </x:c>
      <x:c r="AA881" s="9" t="str">
        <x:f>IF(L881="暂不做","P3 暂缓",IF(Z881&gt;=75,"P0 本周做",IF(Z881&gt;=60,"P1 近期做",IF(Z881&gt;=45,"P2 备选","P3 暂缓"))))</x:f>
        <x:v>P1 近期做</x:v>
      </x:c>
      <x:c r="AB881" s="9" t="str">
        <x:f>IF(Y881&gt;=15,"先做合规/相关性复核，不建议直接商业导流",IF(L881="主站","建/优化主站商业页",IF(L881="博客A-知识教程","写知识教程/FAQ文章",IF(L881="博客B-场景人群","写场景需求/选购指南文章",IF(L881="博客C-对比评测","写对比评测/榜单文章","暂不做或人工复核")))))</x:f>
        <x:v>建/优化主站商业页</x:v>
      </x:c>
      <x:c r="AC881" s="9" t="str">
        <x:v>nexa disposable vape</x:v>
      </x:c>
      <x:c r="AD881" s="10" t="str">
        <x:v>48</x:v>
      </x:c>
    </x:row>
    <x:row r="882">
      <x:c r="A882" s="34" t="n">
        <x:v>882</x:v>
      </x:c>
      <x:c r="B882" s="9" t="str">
        <x:v>48</x:v>
      </x:c>
      <x:c r="C882" s="9" t="str">
        <x:v>mint vape brands</x:v>
      </x:c>
      <x:c r="D882" s="9" t="str">
        <x:v>recommended</x:v>
      </x:c>
      <x:c r="E882" s="36" t="n">
        <x:v>40</x:v>
      </x:c>
      <x:c r="F882" s="36" t="n">
        <x:v>0</x:v>
      </x:c>
      <x:c r="G882" s="9" t="str">
        <x:v>informational</x:v>
      </x:c>
      <x:c r="H882" s="9" t="str">
        <x:v>对比评测</x:v>
      </x:c>
      <x:c r="I882" s="9" t="str">
        <x:v>商业调查词</x:v>
      </x:c>
      <x:c r="J882" s="9" t="str">
        <x:v>博客C-对比评测</x:v>
      </x:c>
      <x:c r="K882" s="9" t="str"/>
      <x:c r="L882" s="9" t="str">
        <x:f>IF(K882="",J882,K882)</x:f>
        <x:v>博客C-对比评测</x:v>
      </x:c>
      <x:c r="M882" s="9" t="str">
        <x:v>Best/Top/Review/VS/替代方案文章</x:v>
      </x:c>
      <x:c r="N882" s="9" t="str">
        <x:v>Best angle: mint vape brands - comparison, pros/cons, and which option fits different buyers</x:v>
      </x:c>
      <x:c r="O882" s="9" t="str">
        <x:v>/collections/disposable-vapes</x:v>
      </x:c>
      <x:c r="P882" s="9" t="str">
        <x:v>是</x:v>
      </x:c>
      <x:c r="Q882" s="9" t="str">
        <x:v>自然句/品类词/品牌词</x:v>
      </x:c>
      <x:c r="R882" s="9" t="str">
        <x:v>中风险：榜单和评测必须真实、中立，避免夸大</x:v>
      </x:c>
      <x:c r="S882" s="9" t="str">
        <x:v>这类词不直接给主站，先用博客C教育和比较，再导流到最相关集合页。</x:v>
      </x:c>
      <x:c r="T882" s="38" t="n">
        <x:v>4</x:v>
      </x:c>
      <x:c r="U882" s="38" t="n">
        <x:v>15</x:v>
      </x:c>
      <x:c r="V882" s="38" t="n">
        <x:v>16</x:v>
      </x:c>
      <x:c r="W882" s="38" t="n">
        <x:v>15</x:v>
      </x:c>
      <x:c r="X882" s="38" t="n">
        <x:v>13</x:v>
      </x:c>
      <x:c r="Y882" s="38" t="n">
        <x:v>6</x:v>
      </x:c>
      <x:c r="Z882" s="38" t="n">
        <x:f>MAX(0,MIN(100,ROUND(((T882+U882+V882+W882+X882)-Y882)/85*100,0)))</x:f>
        <x:v>67</x:v>
      </x:c>
      <x:c r="AA882" s="9" t="str">
        <x:f>IF(L882="暂不做","P3 暂缓",IF(Z882&gt;=75,"P0 本周做",IF(Z882&gt;=60,"P1 近期做",IF(Z882&gt;=45,"P2 备选","P3 暂缓"))))</x:f>
        <x:v>P1 近期做</x:v>
      </x:c>
      <x:c r="AB882" s="9" t="str">
        <x:f>IF(Y882&gt;=15,"先做合规/相关性复核，不建议直接商业导流",IF(L882="主站","建/优化主站商业页",IF(L882="博客A-知识教程","写知识教程/FAQ文章",IF(L882="博客B-场景人群","写场景需求/选购指南文章",IF(L882="博客C-对比评测","写对比评测/榜单文章","暂不做或人工复核")))))</x:f>
        <x:v>写对比评测/榜单文章</x:v>
      </x:c>
      <x:c r="AC882" s="9" t="str">
        <x:v>nexa disposable vape</x:v>
      </x:c>
      <x:c r="AD882" s="10" t="str">
        <x:v>48</x:v>
      </x:c>
    </x:row>
    <x:row r="883">
      <x:c r="A883" s="34" t="n">
        <x:v>883</x:v>
      </x:c>
      <x:c r="B883" s="9" t="str">
        <x:v>48</x:v>
      </x:c>
      <x:c r="C883" s="9" t="str">
        <x:v>mint vape</x:v>
      </x:c>
      <x:c r="D883" s="9" t="str">
        <x:v>recommended</x:v>
      </x:c>
      <x:c r="E883" s="36" t="n">
        <x:v>3600</x:v>
      </x:c>
      <x:c r="F883" s="36" t="n">
        <x:v>13</x:v>
      </x:c>
      <x:c r="G883" s="9" t="str">
        <x:v>informational</x:v>
      </x:c>
      <x:c r="H883" s="9" t="str">
        <x:v>General Vape</x:v>
      </x:c>
      <x:c r="I883" s="9" t="str">
        <x:v>品类承接词</x:v>
      </x:c>
      <x:c r="J883" s="9" t="str">
        <x:v>主站</x:v>
      </x:c>
      <x:c r="K883" s="9" t="str"/>
      <x:c r="L883" s="9" t="str">
        <x:f>IF(K883="",J883,K883)</x:f>
        <x:v>主站</x:v>
      </x:c>
      <x:c r="M883" s="9" t="str">
        <x:v>品类页/集合页 + FAQ内容块</x:v>
      </x:c>
      <x:c r="N883" s="9" t="str">
        <x:v>主站品类页：用产品集合 + 选购说明承接</x:v>
      </x:c>
      <x:c r="O883" s="9" t="str">
        <x:v>/collections/disposable-vapes</x:v>
      </x:c>
      <x:c r="P883" s="9" t="str">
        <x:v>不适用</x:v>
      </x:c>
      <x:c r="Q883" s="9" t="str">
        <x:v>主站页面自身承接</x:v>
      </x:c>
      <x:c r="R883" s="9" t="str">
        <x:v>核心品类词：主站优先，博客只做长尾解释，不直接抢同一词</x:v>
      </x:c>
      <x:c r="S883" s="9" t="str">
        <x:v>如果 Google 首页产品页和指南混合，主站页要加 FAQ、选购指南、对比模块。</x:v>
      </x:c>
      <x:c r="T883" s="38" t="n">
        <x:v>13</x:v>
      </x:c>
      <x:c r="U883" s="38" t="n">
        <x:v>15</x:v>
      </x:c>
      <x:c r="V883" s="38" t="n">
        <x:v>16</x:v>
      </x:c>
      <x:c r="W883" s="38" t="n">
        <x:v>8</x:v>
      </x:c>
      <x:c r="X883" s="38" t="n">
        <x:v>15</x:v>
      </x:c>
      <x:c r="Y883" s="38" t="n">
        <x:v>4</x:v>
      </x:c>
      <x:c r="Z883" s="38" t="n">
        <x:f>MAX(0,MIN(100,ROUND(((T883+U883+V883+W883+X883)-Y883)/85*100,0)))</x:f>
        <x:v>74</x:v>
      </x:c>
      <x:c r="AA883" s="9" t="str">
        <x:f>IF(L883="暂不做","P3 暂缓",IF(Z883&gt;=75,"P0 本周做",IF(Z883&gt;=60,"P1 近期做",IF(Z883&gt;=45,"P2 备选","P3 暂缓"))))</x:f>
        <x:v>P1 近期做</x:v>
      </x:c>
      <x:c r="AB883" s="9" t="str">
        <x:f>IF(Y883&gt;=15,"先做合规/相关性复核，不建议直接商业导流",IF(L883="主站","建/优化主站商业页",IF(L883="博客A-知识教程","写知识教程/FAQ文章",IF(L883="博客B-场景人群","写场景需求/选购指南文章",IF(L883="博客C-对比评测","写对比评测/榜单文章","暂不做或人工复核")))))</x:f>
        <x:v>建/优化主站商业页</x:v>
      </x:c>
      <x:c r="AC883" s="9" t="str">
        <x:v>nexa disposable vape</x:v>
      </x:c>
      <x:c r="AD883" s="10" t="str">
        <x:v>48</x:v>
      </x:c>
    </x:row>
    <x:row r="884">
      <x:c r="A884" s="34" t="n">
        <x:v>884</x:v>
      </x:c>
      <x:c r="B884" s="9" t="str">
        <x:v>48</x:v>
      </x:c>
      <x:c r="C884" s="9" t="str">
        <x:v>menthol fruit vape</x:v>
      </x:c>
      <x:c r="D884" s="9" t="str">
        <x:v>recommended</x:v>
      </x:c>
      <x:c r="E884" s="36" t="n">
        <x:v>0</x:v>
      </x:c>
      <x:c r="F884" s="36" t="n">
        <x:v>0</x:v>
      </x:c>
      <x:c r="G884" s="9" t="str">
        <x:v>48</x:v>
      </x:c>
      <x:c r="H884" s="9" t="str">
        <x:v>General Vape</x:v>
      </x:c>
      <x:c r="I884" s="9" t="str">
        <x:v>品类承接词</x:v>
      </x:c>
      <x:c r="J884" s="9" t="str">
        <x:v>主站</x:v>
      </x:c>
      <x:c r="K884" s="9" t="str"/>
      <x:c r="L884" s="9" t="str">
        <x:f>IF(K884="",J884,K884)</x:f>
        <x:v>主站</x:v>
      </x:c>
      <x:c r="M884" s="9" t="str">
        <x:v>品类页/集合页 + FAQ内容块</x:v>
      </x:c>
      <x:c r="N884" s="9" t="str">
        <x:v>主站品类页：用产品集合 + 选购说明承接</x:v>
      </x:c>
      <x:c r="O884" s="9" t="str">
        <x:v>/collections/disposable-vapes</x:v>
      </x:c>
      <x:c r="P884" s="9" t="str">
        <x:v>不适用</x:v>
      </x:c>
      <x:c r="Q884" s="9" t="str">
        <x:v>主站页面自身承接</x:v>
      </x:c>
      <x:c r="R884" s="9" t="str">
        <x:v>核心品类词：主站优先，博客只做长尾解释，不直接抢同一词</x:v>
      </x:c>
      <x:c r="S884" s="9" t="str">
        <x:v>如果 Google 首页产品页和指南混合，主站页要加 FAQ、选购指南、对比模块。</x:v>
      </x:c>
      <x:c r="T884" s="38" t="n">
        <x:v>1</x:v>
      </x:c>
      <x:c r="U884" s="38" t="n">
        <x:v>15</x:v>
      </x:c>
      <x:c r="V884" s="38" t="n">
        <x:v>16</x:v>
      </x:c>
      <x:c r="W884" s="38" t="n">
        <x:v>8</x:v>
      </x:c>
      <x:c r="X884" s="38" t="n">
        <x:v>15</x:v>
      </x:c>
      <x:c r="Y884" s="38" t="n">
        <x:v>4</x:v>
      </x:c>
      <x:c r="Z884" s="38" t="n">
        <x:f>MAX(0,MIN(100,ROUND(((T884+U884+V884+W884+X884)-Y884)/85*100,0)))</x:f>
        <x:v>60</x:v>
      </x:c>
      <x:c r="AA884" s="9" t="str">
        <x:f>IF(L884="暂不做","P3 暂缓",IF(Z884&gt;=75,"P0 本周做",IF(Z884&gt;=60,"P1 近期做",IF(Z884&gt;=45,"P2 备选","P3 暂缓"))))</x:f>
        <x:v>P1 近期做</x:v>
      </x:c>
      <x:c r="AB884" s="9" t="str">
        <x:f>IF(Y884&gt;=15,"先做合规/相关性复核，不建议直接商业导流",IF(L884="主站","建/优化主站商业页",IF(L884="博客A-知识教程","写知识教程/FAQ文章",IF(L884="博客B-场景人群","写场景需求/选购指南文章",IF(L884="博客C-对比评测","写对比评测/榜单文章","暂不做或人工复核")))))</x:f>
        <x:v>建/优化主站商业页</x:v>
      </x:c>
      <x:c r="AC884" s="9" t="str">
        <x:v>nexa disposable vape</x:v>
      </x:c>
      <x:c r="AD884" s="10" t="str">
        <x:v>48</x:v>
      </x:c>
    </x:row>
    <x:row r="885">
      <x:c r="A885" s="34" t="n">
        <x:v>885</x:v>
      </x:c>
      <x:c r="B885" s="9" t="str">
        <x:v>48</x:v>
      </x:c>
      <x:c r="C885" s="9" t="str">
        <x:v>best mint vape flavor</x:v>
      </x:c>
      <x:c r="D885" s="9" t="str">
        <x:v>recommended</x:v>
      </x:c>
      <x:c r="E885" s="36" t="n">
        <x:v>0</x:v>
      </x:c>
      <x:c r="F885" s="36" t="n">
        <x:v>0</x:v>
      </x:c>
      <x:c r="G885" s="9" t="str">
        <x:v>48</x:v>
      </x:c>
      <x:c r="H885" s="9" t="str">
        <x:v>Flavor / 口味</x:v>
      </x:c>
      <x:c r="I885" s="9" t="str">
        <x:v>商业调查词</x:v>
      </x:c>
      <x:c r="J885" s="9" t="str">
        <x:v>博客C-对比评测</x:v>
      </x:c>
      <x:c r="K885" s="9" t="str"/>
      <x:c r="L885" s="9" t="str">
        <x:f>IF(K885="",J885,K885)</x:f>
        <x:v>博客C-对比评测</x:v>
      </x:c>
      <x:c r="M885" s="9" t="str">
        <x:v>Best/Top/Review/VS/替代方案文章</x:v>
      </x:c>
      <x:c r="N885" s="9" t="str">
        <x:v>Best angle: best mint vape flavor - comparison, pros/cons, and which option fits different buyers</x:v>
      </x:c>
      <x:c r="O885" s="9" t="str">
        <x:v>/collections/flavored-disposable-vapes</x:v>
      </x:c>
      <x:c r="P885" s="9" t="str">
        <x:v>是</x:v>
      </x:c>
      <x:c r="Q885" s="9" t="str">
        <x:v>自然句/品类词/品牌词</x:v>
      </x:c>
      <x:c r="R885" s="9" t="str">
        <x:v>中风险：榜单和评测必须真实、中立，避免夸大</x:v>
      </x:c>
      <x:c r="S885" s="9" t="str">
        <x:v>这类词不直接给主站，先用博客C教育和比较，再导流到最相关集合页。</x:v>
      </x:c>
      <x:c r="T885" s="38" t="n">
        <x:v>1</x:v>
      </x:c>
      <x:c r="U885" s="38" t="n">
        <x:v>15</x:v>
      </x:c>
      <x:c r="V885" s="38" t="n">
        <x:v>16</x:v>
      </x:c>
      <x:c r="W885" s="38" t="n">
        <x:v>15</x:v>
      </x:c>
      <x:c r="X885" s="38" t="n">
        <x:v>13</x:v>
      </x:c>
      <x:c r="Y885" s="38" t="n">
        <x:v>6</x:v>
      </x:c>
      <x:c r="Z885" s="38" t="n">
        <x:f>MAX(0,MIN(100,ROUND(((T885+U885+V885+W885+X885)-Y885)/85*100,0)))</x:f>
        <x:v>64</x:v>
      </x:c>
      <x:c r="AA885" s="9" t="str">
        <x:f>IF(L885="暂不做","P3 暂缓",IF(Z885&gt;=75,"P0 本周做",IF(Z885&gt;=60,"P1 近期做",IF(Z885&gt;=45,"P2 备选","P3 暂缓"))))</x:f>
        <x:v>P1 近期做</x:v>
      </x:c>
      <x:c r="AB885" s="9" t="str">
        <x:f>IF(Y885&gt;=15,"先做合规/相关性复核，不建议直接商业导流",IF(L885="主站","建/优化主站商业页",IF(L885="博客A-知识教程","写知识教程/FAQ文章",IF(L885="博客B-场景人群","写场景需求/选购指南文章",IF(L885="博客C-对比评测","写对比评测/榜单文章","暂不做或人工复核")))))</x:f>
        <x:v>写对比评测/榜单文章</x:v>
      </x:c>
      <x:c r="AC885" s="9" t="str">
        <x:v>nexa disposable vape</x:v>
      </x:c>
      <x:c r="AD885" s="10" t="str">
        <x:v>48</x:v>
      </x:c>
    </x:row>
    <x:row r="886">
      <x:c r="A886" s="34" t="n">
        <x:v>886</x:v>
      </x:c>
      <x:c r="B886" s="9" t="str">
        <x:v>48</x:v>
      </x:c>
      <x:c r="C886" s="9" t="str">
        <x:v>swft vape</x:v>
      </x:c>
      <x:c r="D886" s="9" t="str">
        <x:v>recommended</x:v>
      </x:c>
      <x:c r="E886" s="36" t="n">
        <x:v>2400</x:v>
      </x:c>
      <x:c r="F886" s="36" t="n">
        <x:v>9</x:v>
      </x:c>
      <x:c r="G886" s="9" t="str">
        <x:v>informational</x:v>
      </x:c>
      <x:c r="H886" s="9" t="str">
        <x:v>General Vape</x:v>
      </x:c>
      <x:c r="I886" s="9" t="str">
        <x:v>品类承接词</x:v>
      </x:c>
      <x:c r="J886" s="9" t="str">
        <x:v>主站</x:v>
      </x:c>
      <x:c r="K886" s="9" t="str"/>
      <x:c r="L886" s="9" t="str">
        <x:f>IF(K886="",J886,K886)</x:f>
        <x:v>主站</x:v>
      </x:c>
      <x:c r="M886" s="9" t="str">
        <x:v>品类页/集合页 + FAQ内容块</x:v>
      </x:c>
      <x:c r="N886" s="9" t="str">
        <x:v>主站品类页：用产品集合 + 选购说明承接</x:v>
      </x:c>
      <x:c r="O886" s="9" t="str">
        <x:v>/collections/disposable-vapes</x:v>
      </x:c>
      <x:c r="P886" s="9" t="str">
        <x:v>不适用</x:v>
      </x:c>
      <x:c r="Q886" s="9" t="str">
        <x:v>主站页面自身承接</x:v>
      </x:c>
      <x:c r="R886" s="9" t="str">
        <x:v>核心品类词：主站优先，博客只做长尾解释，不直接抢同一词</x:v>
      </x:c>
      <x:c r="S886" s="9" t="str">
        <x:v>如果 Google 首页产品页和指南混合，主站页要加 FAQ、选购指南、对比模块。</x:v>
      </x:c>
      <x:c r="T886" s="38" t="n">
        <x:v>13</x:v>
      </x:c>
      <x:c r="U886" s="38" t="n">
        <x:v>15</x:v>
      </x:c>
      <x:c r="V886" s="38" t="n">
        <x:v>16</x:v>
      </x:c>
      <x:c r="W886" s="38" t="n">
        <x:v>8</x:v>
      </x:c>
      <x:c r="X886" s="38" t="n">
        <x:v>15</x:v>
      </x:c>
      <x:c r="Y886" s="38" t="n">
        <x:v>4</x:v>
      </x:c>
      <x:c r="Z886" s="38" t="n">
        <x:f>MAX(0,MIN(100,ROUND(((T886+U886+V886+W886+X886)-Y886)/85*100,0)))</x:f>
        <x:v>74</x:v>
      </x:c>
      <x:c r="AA886" s="9" t="str">
        <x:f>IF(L886="暂不做","P3 暂缓",IF(Z886&gt;=75,"P0 本周做",IF(Z886&gt;=60,"P1 近期做",IF(Z886&gt;=45,"P2 备选","P3 暂缓"))))</x:f>
        <x:v>P1 近期做</x:v>
      </x:c>
      <x:c r="AB886" s="9" t="str">
        <x:f>IF(Y886&gt;=15,"先做合规/相关性复核，不建议直接商业导流",IF(L886="主站","建/优化主站商业页",IF(L886="博客A-知识教程","写知识教程/FAQ文章",IF(L886="博客B-场景人群","写场景需求/选购指南文章",IF(L886="博客C-对比评测","写对比评测/榜单文章","暂不做或人工复核")))))</x:f>
        <x:v>建/优化主站商业页</x:v>
      </x:c>
      <x:c r="AC886" s="9" t="str">
        <x:v>swft vape</x:v>
      </x:c>
      <x:c r="AD886" s="10" t="str">
        <x:v>48</x:v>
      </x:c>
    </x:row>
    <x:row r="887">
      <x:c r="A887" s="34" t="n">
        <x:v>887</x:v>
      </x:c>
      <x:c r="B887" s="9" t="str">
        <x:v>48</x:v>
      </x:c>
      <x:c r="C887" s="9" t="str">
        <x:v>swift vape</x:v>
      </x:c>
      <x:c r="D887" s="9" t="str">
        <x:v>recommended</x:v>
      </x:c>
      <x:c r="E887" s="36" t="n">
        <x:v>1600</x:v>
      </x:c>
      <x:c r="F887" s="36" t="n">
        <x:v>12</x:v>
      </x:c>
      <x:c r="G887" s="9" t="str">
        <x:v>informational</x:v>
      </x:c>
      <x:c r="H887" s="9" t="str">
        <x:v>General Vape</x:v>
      </x:c>
      <x:c r="I887" s="9" t="str">
        <x:v>品类承接词</x:v>
      </x:c>
      <x:c r="J887" s="9" t="str">
        <x:v>主站</x:v>
      </x:c>
      <x:c r="K887" s="9" t="str"/>
      <x:c r="L887" s="9" t="str">
        <x:f>IF(K887="",J887,K887)</x:f>
        <x:v>主站</x:v>
      </x:c>
      <x:c r="M887" s="9" t="str">
        <x:v>品类页/集合页 + FAQ内容块</x:v>
      </x:c>
      <x:c r="N887" s="9" t="str">
        <x:v>主站品类页：用产品集合 + 选购说明承接</x:v>
      </x:c>
      <x:c r="O887" s="9" t="str">
        <x:v>/collections/disposable-vapes</x:v>
      </x:c>
      <x:c r="P887" s="9" t="str">
        <x:v>不适用</x:v>
      </x:c>
      <x:c r="Q887" s="9" t="str">
        <x:v>主站页面自身承接</x:v>
      </x:c>
      <x:c r="R887" s="9" t="str">
        <x:v>核心品类词：主站优先，博客只做长尾解释，不直接抢同一词</x:v>
      </x:c>
      <x:c r="S887" s="9" t="str">
        <x:v>如果 Google 首页产品页和指南混合，主站页要加 FAQ、选购指南、对比模块。</x:v>
      </x:c>
      <x:c r="T887" s="38" t="n">
        <x:v>13</x:v>
      </x:c>
      <x:c r="U887" s="38" t="n">
        <x:v>15</x:v>
      </x:c>
      <x:c r="V887" s="38" t="n">
        <x:v>16</x:v>
      </x:c>
      <x:c r="W887" s="38" t="n">
        <x:v>8</x:v>
      </x:c>
      <x:c r="X887" s="38" t="n">
        <x:v>15</x:v>
      </x:c>
      <x:c r="Y887" s="38" t="n">
        <x:v>4</x:v>
      </x:c>
      <x:c r="Z887" s="38" t="n">
        <x:f>MAX(0,MIN(100,ROUND(((T887+U887+V887+W887+X887)-Y887)/85*100,0)))</x:f>
        <x:v>74</x:v>
      </x:c>
      <x:c r="AA887" s="9" t="str">
        <x:f>IF(L887="暂不做","P3 暂缓",IF(Z887&gt;=75,"P0 本周做",IF(Z887&gt;=60,"P1 近期做",IF(Z887&gt;=45,"P2 备选","P3 暂缓"))))</x:f>
        <x:v>P1 近期做</x:v>
      </x:c>
      <x:c r="AB887" s="9" t="str">
        <x:f>IF(Y887&gt;=15,"先做合规/相关性复核，不建议直接商业导流",IF(L887="主站","建/优化主站商业页",IF(L887="博客A-知识教程","写知识教程/FAQ文章",IF(L887="博客B-场景人群","写场景需求/选购指南文章",IF(L887="博客C-对比评测","写对比评测/榜单文章","暂不做或人工复核")))))</x:f>
        <x:v>建/优化主站商业页</x:v>
      </x:c>
      <x:c r="AC887" s="9" t="str">
        <x:v>swft vape</x:v>
      </x:c>
      <x:c r="AD887" s="10" t="str">
        <x:v>48</x:v>
      </x:c>
    </x:row>
    <x:row r="888">
      <x:c r="A888" s="34" t="n">
        <x:v>888</x:v>
      </x:c>
      <x:c r="B888" s="9" t="str">
        <x:v>48</x:v>
      </x:c>
      <x:c r="C888" s="9" t="str">
        <x:v>flum vape</x:v>
      </x:c>
      <x:c r="D888" s="9" t="str">
        <x:v>recommended</x:v>
      </x:c>
      <x:c r="E888" s="36" t="n">
        <x:v>12100</x:v>
      </x:c>
      <x:c r="F888" s="36" t="n">
        <x:v>27</x:v>
      </x:c>
      <x:c r="G888" s="9" t="str">
        <x:v>informational</x:v>
      </x:c>
      <x:c r="H888" s="9" t="str">
        <x:v>竞品/品牌词</x:v>
      </x:c>
      <x:c r="I888" s="9" t="str">
        <x:v>竞品品牌词</x:v>
      </x:c>
      <x:c r="J888" s="9" t="str">
        <x:v>暂不做</x:v>
      </x:c>
      <x:c r="K888" s="9" t="str"/>
      <x:c r="L888" s="9" t="str">
        <x:f>IF(K888="",J888,K888)</x:f>
        <x:v>暂不做</x:v>
      </x:c>
      <x:c r="M888" s="9" t="str">
        <x:v>人工确认后再决定</x:v>
      </x:c>
      <x:c r="N888" s="9" t="str">
        <x:v>人工确认是否可做客观对比</x:v>
      </x:c>
      <x:c r="O888" s="9" t="str">
        <x:v>无</x:v>
      </x:c>
      <x:c r="P888" s="9" t="str">
        <x:v>否</x:v>
      </x:c>
      <x:c r="Q888" s="9" t="str">
        <x:v>不导流</x:v>
      </x:c>
      <x:c r="R888" s="9" t="str">
        <x:v>中高风险：纯竞品品牌词容易产生商标/相关性问题</x:v>
      </x:c>
      <x:c r="S888" s="9" t="str">
        <x:v>只有带 alternative / vs / review / best 这类明确比较意图时，才考虑博客C。</x:v>
      </x:c>
      <x:c r="T888" s="38" t="n">
        <x:v>18</x:v>
      </x:c>
      <x:c r="U888" s="38" t="n">
        <x:v>12</x:v>
      </x:c>
      <x:c r="V888" s="38" t="n">
        <x:v>5</x:v>
      </x:c>
      <x:c r="W888" s="38" t="n">
        <x:v>7</x:v>
      </x:c>
      <x:c r="X888" s="38" t="n">
        <x:v>4</x:v>
      </x:c>
      <x:c r="Y888" s="38" t="n">
        <x:v>14</x:v>
      </x:c>
      <x:c r="Z888" s="38" t="n">
        <x:f>MAX(0,MIN(100,ROUND(((T888+U888+V888+W888+X888)-Y888)/85*100,0)))</x:f>
        <x:v>38</x:v>
      </x:c>
      <x:c r="AA888" s="9" t="str">
        <x:f>IF(L888="暂不做","P3 暂缓",IF(Z888&gt;=75,"P0 本周做",IF(Z888&gt;=60,"P1 近期做",IF(Z888&gt;=45,"P2 备选","P3 暂缓"))))</x:f>
        <x:v>P3 暂缓</x:v>
      </x:c>
      <x:c r="AB888" s="9" t="str">
        <x:f>IF(Y888&gt;=15,"先做合规/相关性复核，不建议直接商业导流",IF(L888="主站","建/优化主站商业页",IF(L888="博客A-知识教程","写知识教程/FAQ文章",IF(L888="博客B-场景人群","写场景需求/选购指南文章",IF(L888="博客C-对比评测","写对比评测/榜单文章","暂不做或人工复核")))))</x:f>
        <x:v>暂不做或人工复核</x:v>
      </x:c>
      <x:c r="AC888" s="9" t="str">
        <x:v>flum vape</x:v>
      </x:c>
      <x:c r="AD888" s="10" t="str">
        <x:v>48</x:v>
      </x:c>
    </x:row>
    <x:row r="889">
      <x:c r="A889" s="34" t="n">
        <x:v>889</x:v>
      </x:c>
      <x:c r="B889" s="9" t="str">
        <x:v>48</x:v>
      </x:c>
      <x:c r="C889" s="9" t="str">
        <x:v>flum vapes</x:v>
      </x:c>
      <x:c r="D889" s="9" t="str">
        <x:v>recommended</x:v>
      </x:c>
      <x:c r="E889" s="36" t="n">
        <x:v>1900</x:v>
      </x:c>
      <x:c r="F889" s="36" t="n">
        <x:v>32</x:v>
      </x:c>
      <x:c r="G889" s="9" t="str">
        <x:v>informational</x:v>
      </x:c>
      <x:c r="H889" s="9" t="str">
        <x:v>竞品/品牌词</x:v>
      </x:c>
      <x:c r="I889" s="9" t="str">
        <x:v>竞品品牌词</x:v>
      </x:c>
      <x:c r="J889" s="9" t="str">
        <x:v>暂不做</x:v>
      </x:c>
      <x:c r="K889" s="9" t="str"/>
      <x:c r="L889" s="9" t="str">
        <x:f>IF(K889="",J889,K889)</x:f>
        <x:v>暂不做</x:v>
      </x:c>
      <x:c r="M889" s="9" t="str">
        <x:v>人工确认后再决定</x:v>
      </x:c>
      <x:c r="N889" s="9" t="str">
        <x:v>人工确认是否可做客观对比</x:v>
      </x:c>
      <x:c r="O889" s="9" t="str">
        <x:v>无</x:v>
      </x:c>
      <x:c r="P889" s="9" t="str">
        <x:v>否</x:v>
      </x:c>
      <x:c r="Q889" s="9" t="str">
        <x:v>不导流</x:v>
      </x:c>
      <x:c r="R889" s="9" t="str">
        <x:v>中高风险：纯竞品品牌词容易产生商标/相关性问题</x:v>
      </x:c>
      <x:c r="S889" s="9" t="str">
        <x:v>只有带 alternative / vs / review / best 这类明确比较意图时，才考虑博客C。</x:v>
      </x:c>
      <x:c r="T889" s="38" t="n">
        <x:v>13</x:v>
      </x:c>
      <x:c r="U889" s="38" t="n">
        <x:v>9</x:v>
      </x:c>
      <x:c r="V889" s="38" t="n">
        <x:v>5</x:v>
      </x:c>
      <x:c r="W889" s="38" t="n">
        <x:v>7</x:v>
      </x:c>
      <x:c r="X889" s="38" t="n">
        <x:v>4</x:v>
      </x:c>
      <x:c r="Y889" s="38" t="n">
        <x:v>14</x:v>
      </x:c>
      <x:c r="Z889" s="38" t="n">
        <x:f>MAX(0,MIN(100,ROUND(((T889+U889+V889+W889+X889)-Y889)/85*100,0)))</x:f>
        <x:v>28</x:v>
      </x:c>
      <x:c r="AA889" s="9" t="str">
        <x:f>IF(L889="暂不做","P3 暂缓",IF(Z889&gt;=75,"P0 本周做",IF(Z889&gt;=60,"P1 近期做",IF(Z889&gt;=45,"P2 备选","P3 暂缓"))))</x:f>
        <x:v>P3 暂缓</x:v>
      </x:c>
      <x:c r="AB889" s="9" t="str">
        <x:f>IF(Y889&gt;=15,"先做合规/相关性复核，不建议直接商业导流",IF(L889="主站","建/优化主站商业页",IF(L889="博客A-知识教程","写知识教程/FAQ文章",IF(L889="博客B-场景人群","写场景需求/选购指南文章",IF(L889="博客C-对比评测","写对比评测/榜单文章","暂不做或人工复核")))))</x:f>
        <x:v>暂不做或人工复核</x:v>
      </x:c>
      <x:c r="AC889" s="9" t="str">
        <x:v>flum vape</x:v>
      </x:c>
      <x:c r="AD889" s="10" t="str">
        <x:v>48</x:v>
      </x:c>
    </x:row>
    <x:row r="890">
      <x:c r="A890" s="34" t="n">
        <x:v>890</x:v>
      </x:c>
      <x:c r="B890" s="9" t="str">
        <x:v>48</x:v>
      </x:c>
      <x:c r="C890" s="9" t="str">
        <x:v>vape wholesale</x:v>
      </x:c>
      <x:c r="D890" s="9" t="str">
        <x:v>recommended</x:v>
      </x:c>
      <x:c r="E890" s="36" t="n">
        <x:v>6600</x:v>
      </x:c>
      <x:c r="F890" s="36" t="n">
        <x:v>64</x:v>
      </x:c>
      <x:c r="G890" s="9" t="str">
        <x:v>commercial</x:v>
      </x:c>
      <x:c r="H890" s="9" t="str">
        <x:v>购买交易</x:v>
      </x:c>
      <x:c r="I890" s="9" t="str">
        <x:v>交易词</x:v>
      </x:c>
      <x:c r="J890" s="9" t="str">
        <x:v>主站</x:v>
      </x:c>
      <x:c r="K890" s="9" t="str"/>
      <x:c r="L890" s="9" t="str">
        <x:f>IF(K890="",J890,K890)</x:f>
        <x:v>主站</x:v>
      </x:c>
      <x:c r="M890" s="9" t="str">
        <x:v>产品集合页/分类页/购买页</x:v>
      </x:c>
      <x:c r="N890" s="9" t="str">
        <x:v>主站商业页：标题围绕购买意图 + 品类 + 关键卖点</x:v>
      </x:c>
      <x:c r="O890" s="9" t="str">
        <x:v>/collections/disposable-vapes</x:v>
      </x:c>
      <x:c r="P890" s="9" t="str">
        <x:v>不适用</x:v>
      </x:c>
      <x:c r="Q890" s="9" t="str">
        <x:v>主站页面自身承接</x:v>
      </x:c>
      <x:c r="R890" s="9" t="str">
        <x:v>商业词：优先给主站，避免博客抢主站排名</x:v>
      </x:c>
      <x:c r="S890" s="9" t="str">
        <x:v>SERP 如为商品列表/品牌站/电商集合页，就建主站页面；若 SERP 全是教程，再拆支持文章。</x:v>
      </x:c>
      <x:c r="T890" s="38" t="n">
        <x:v>16</x:v>
      </x:c>
      <x:c r="U890" s="38" t="n">
        <x:v>3</x:v>
      </x:c>
      <x:c r="V890" s="38" t="n">
        <x:v>20</x:v>
      </x:c>
      <x:c r="W890" s="38" t="n">
        <x:v>7</x:v>
      </x:c>
      <x:c r="X890" s="38" t="n">
        <x:v>15</x:v>
      </x:c>
      <x:c r="Y890" s="38" t="n">
        <x:v>4</x:v>
      </x:c>
      <x:c r="Z890" s="38" t="n">
        <x:f>MAX(0,MIN(100,ROUND(((T890+U890+V890+W890+X890)-Y890)/85*100,0)))</x:f>
        <x:v>67</x:v>
      </x:c>
      <x:c r="AA890" s="9" t="str">
        <x:f>IF(L890="暂不做","P3 暂缓",IF(Z890&gt;=75,"P0 本周做",IF(Z890&gt;=60,"P1 近期做",IF(Z890&gt;=45,"P2 备选","P3 暂缓"))))</x:f>
        <x:v>P1 近期做</x:v>
      </x:c>
      <x:c r="AB890" s="9" t="str">
        <x:f>IF(Y890&gt;=15,"先做合规/相关性复核，不建议直接商业导流",IF(L890="主站","建/优化主站商业页",IF(L890="博客A-知识教程","写知识教程/FAQ文章",IF(L890="博客B-场景人群","写场景需求/选购指南文章",IF(L890="博客C-对比评测","写对比评测/榜单文章","暂不做或人工复核")))))</x:f>
        <x:v>建/优化主站商业页</x:v>
      </x:c>
      <x:c r="AC890" s="9" t="str">
        <x:v>vape wholesale</x:v>
      </x:c>
      <x:c r="AD890" s="10" t="str">
        <x:v>48</x:v>
      </x:c>
    </x:row>
    <x:row r="891">
      <x:c r="A891" s="34" t="n">
        <x:v>891</x:v>
      </x:c>
      <x:c r="B891" s="9" t="str">
        <x:v>48</x:v>
      </x:c>
      <x:c r="C891" s="9" t="str">
        <x:v>wholesale vapes</x:v>
      </x:c>
      <x:c r="D891" s="9" t="str">
        <x:v>recommended</x:v>
      </x:c>
      <x:c r="E891" s="36" t="n">
        <x:v>3600</x:v>
      </x:c>
      <x:c r="F891" s="36" t="n">
        <x:v>61</x:v>
      </x:c>
      <x:c r="G891" s="9" t="str">
        <x:v>commercial</x:v>
      </x:c>
      <x:c r="H891" s="9" t="str">
        <x:v>购买交易</x:v>
      </x:c>
      <x:c r="I891" s="9" t="str">
        <x:v>交易词</x:v>
      </x:c>
      <x:c r="J891" s="9" t="str">
        <x:v>主站</x:v>
      </x:c>
      <x:c r="K891" s="9" t="str"/>
      <x:c r="L891" s="9" t="str">
        <x:f>IF(K891="",J891,K891)</x:f>
        <x:v>主站</x:v>
      </x:c>
      <x:c r="M891" s="9" t="str">
        <x:v>产品集合页/分类页/购买页</x:v>
      </x:c>
      <x:c r="N891" s="9" t="str">
        <x:v>主站商业页：标题围绕购买意图 + 品类 + 关键卖点</x:v>
      </x:c>
      <x:c r="O891" s="9" t="str">
        <x:v>/collections/disposable-vapes</x:v>
      </x:c>
      <x:c r="P891" s="9" t="str">
        <x:v>不适用</x:v>
      </x:c>
      <x:c r="Q891" s="9" t="str">
        <x:v>主站页面自身承接</x:v>
      </x:c>
      <x:c r="R891" s="9" t="str">
        <x:v>商业词：优先给主站，避免博客抢主站排名</x:v>
      </x:c>
      <x:c r="S891" s="9" t="str">
        <x:v>SERP 如为商品列表/品牌站/电商集合页，就建主站页面；若 SERP 全是教程，再拆支持文章。</x:v>
      </x:c>
      <x:c r="T891" s="38" t="n">
        <x:v>13</x:v>
      </x:c>
      <x:c r="U891" s="38" t="n">
        <x:v>3</x:v>
      </x:c>
      <x:c r="V891" s="38" t="n">
        <x:v>20</x:v>
      </x:c>
      <x:c r="W891" s="38" t="n">
        <x:v>7</x:v>
      </x:c>
      <x:c r="X891" s="38" t="n">
        <x:v>15</x:v>
      </x:c>
      <x:c r="Y891" s="38" t="n">
        <x:v>4</x:v>
      </x:c>
      <x:c r="Z891" s="38" t="n">
        <x:f>MAX(0,MIN(100,ROUND(((T891+U891+V891+W891+X891)-Y891)/85*100,0)))</x:f>
        <x:v>64</x:v>
      </x:c>
      <x:c r="AA891" s="9" t="str">
        <x:f>IF(L891="暂不做","P3 暂缓",IF(Z891&gt;=75,"P0 本周做",IF(Z891&gt;=60,"P1 近期做",IF(Z891&gt;=45,"P2 备选","P3 暂缓"))))</x:f>
        <x:v>P1 近期做</x:v>
      </x:c>
      <x:c r="AB891" s="9" t="str">
        <x:f>IF(Y891&gt;=15,"先做合规/相关性复核，不建议直接商业导流",IF(L891="主站","建/优化主站商业页",IF(L891="博客A-知识教程","写知识教程/FAQ文章",IF(L891="博客B-场景人群","写场景需求/选购指南文章",IF(L891="博客C-对比评测","写对比评测/榜单文章","暂不做或人工复核")))))</x:f>
        <x:v>建/优化主站商业页</x:v>
      </x:c>
      <x:c r="AC891" s="9" t="str">
        <x:v>vape wholesale</x:v>
      </x:c>
      <x:c r="AD891" s="10" t="str">
        <x:v>48</x:v>
      </x:c>
    </x:row>
    <x:row r="892">
      <x:c r="A892" s="34" t="n">
        <x:v>892</x:v>
      </x:c>
      <x:c r="B892" s="9" t="str">
        <x:v>48</x:v>
      </x:c>
      <x:c r="C892" s="9" t="str">
        <x:v>ice vape</x:v>
      </x:c>
      <x:c r="D892" s="9" t="str">
        <x:v>recommended</x:v>
      </x:c>
      <x:c r="E892" s="36" t="n">
        <x:v>1300</x:v>
      </x:c>
      <x:c r="F892" s="36" t="n">
        <x:v>11</x:v>
      </x:c>
      <x:c r="G892" s="9" t="str">
        <x:v>informational</x:v>
      </x:c>
      <x:c r="H892" s="9" t="str">
        <x:v>General Vape</x:v>
      </x:c>
      <x:c r="I892" s="9" t="str">
        <x:v>品类承接词</x:v>
      </x:c>
      <x:c r="J892" s="9" t="str">
        <x:v>主站</x:v>
      </x:c>
      <x:c r="K892" s="9" t="str"/>
      <x:c r="L892" s="9" t="str">
        <x:f>IF(K892="",J892,K892)</x:f>
        <x:v>主站</x:v>
      </x:c>
      <x:c r="M892" s="9" t="str">
        <x:v>品类页/集合页 + FAQ内容块</x:v>
      </x:c>
      <x:c r="N892" s="9" t="str">
        <x:v>主站品类页：用产品集合 + 选购说明承接</x:v>
      </x:c>
      <x:c r="O892" s="9" t="str">
        <x:v>/collections/disposable-vapes</x:v>
      </x:c>
      <x:c r="P892" s="9" t="str">
        <x:v>不适用</x:v>
      </x:c>
      <x:c r="Q892" s="9" t="str">
        <x:v>主站页面自身承接</x:v>
      </x:c>
      <x:c r="R892" s="9" t="str">
        <x:v>核心品类词：主站优先，博客只做长尾解释，不直接抢同一词</x:v>
      </x:c>
      <x:c r="S892" s="9" t="str">
        <x:v>如果 Google 首页产品页和指南混合，主站页要加 FAQ、选购指南、对比模块。</x:v>
      </x:c>
      <x:c r="T892" s="38" t="n">
        <x:v>13</x:v>
      </x:c>
      <x:c r="U892" s="38" t="n">
        <x:v>15</x:v>
      </x:c>
      <x:c r="V892" s="38" t="n">
        <x:v>16</x:v>
      </x:c>
      <x:c r="W892" s="38" t="n">
        <x:v>8</x:v>
      </x:c>
      <x:c r="X892" s="38" t="n">
        <x:v>15</x:v>
      </x:c>
      <x:c r="Y892" s="38" t="n">
        <x:v>4</x:v>
      </x:c>
      <x:c r="Z892" s="38" t="n">
        <x:f>MAX(0,MIN(100,ROUND(((T892+U892+V892+W892+X892)-Y892)/85*100,0)))</x:f>
        <x:v>74</x:v>
      </x:c>
      <x:c r="AA892" s="9" t="str">
        <x:f>IF(L892="暂不做","P3 暂缓",IF(Z892&gt;=75,"P0 本周做",IF(Z892&gt;=60,"P1 近期做",IF(Z892&gt;=45,"P2 备选","P3 暂缓"))))</x:f>
        <x:v>P1 近期做</x:v>
      </x:c>
      <x:c r="AB892" s="9" t="str">
        <x:f>IF(Y892&gt;=15,"先做合规/相关性复核，不建议直接商业导流",IF(L892="主站","建/优化主站商业页",IF(L892="博客A-知识教程","写知识教程/FAQ文章",IF(L892="博客B-场景人群","写场景需求/选购指南文章",IF(L892="博客C-对比评测","写对比评测/榜单文章","暂不做或人工复核")))))</x:f>
        <x:v>建/优化主站商业页</x:v>
      </x:c>
      <x:c r="AC892" s="9" t="str">
        <x:v>ice vape</x:v>
      </x:c>
      <x:c r="AD892" s="10" t="str">
        <x:v>48</x:v>
      </x:c>
    </x:row>
    <x:row r="893">
      <x:c r="A893" s="34" t="n">
        <x:v>893</x:v>
      </x:c>
      <x:c r="B893" s="9" t="str">
        <x:v>48</x:v>
      </x:c>
      <x:c r="C893" s="9" t="str">
        <x:v>discount vape</x:v>
      </x:c>
      <x:c r="D893" s="9" t="str">
        <x:v>recommended</x:v>
      </x:c>
      <x:c r="E893" s="36" t="n">
        <x:v>1900</x:v>
      </x:c>
      <x:c r="F893" s="36" t="n">
        <x:v>53</x:v>
      </x:c>
      <x:c r="G893" s="9" t="str">
        <x:v>commercial</x:v>
      </x:c>
      <x:c r="H893" s="9" t="str">
        <x:v>购买交易</x:v>
      </x:c>
      <x:c r="I893" s="9" t="str">
        <x:v>交易词</x:v>
      </x:c>
      <x:c r="J893" s="9" t="str">
        <x:v>主站</x:v>
      </x:c>
      <x:c r="K893" s="9" t="str"/>
      <x:c r="L893" s="9" t="str">
        <x:f>IF(K893="",J893,K893)</x:f>
        <x:v>主站</x:v>
      </x:c>
      <x:c r="M893" s="9" t="str">
        <x:v>产品集合页/分类页/购买页</x:v>
      </x:c>
      <x:c r="N893" s="9" t="str">
        <x:v>主站商业页：标题围绕购买意图 + 品类 + 关键卖点</x:v>
      </x:c>
      <x:c r="O893" s="9" t="str">
        <x:v>/collections/disposable-vapes</x:v>
      </x:c>
      <x:c r="P893" s="9" t="str">
        <x:v>不适用</x:v>
      </x:c>
      <x:c r="Q893" s="9" t="str">
        <x:v>主站页面自身承接</x:v>
      </x:c>
      <x:c r="R893" s="9" t="str">
        <x:v>商业词：优先给主站，避免博客抢主站排名</x:v>
      </x:c>
      <x:c r="S893" s="9" t="str">
        <x:v>SERP 如为商品列表/品牌站/电商集合页，就建主站页面；若 SERP 全是教程，再拆支持文章。</x:v>
      </x:c>
      <x:c r="T893" s="38" t="n">
        <x:v>13</x:v>
      </x:c>
      <x:c r="U893" s="38" t="n">
        <x:v>6</x:v>
      </x:c>
      <x:c r="V893" s="38" t="n">
        <x:v>20</x:v>
      </x:c>
      <x:c r="W893" s="38" t="n">
        <x:v>7</x:v>
      </x:c>
      <x:c r="X893" s="38" t="n">
        <x:v>15</x:v>
      </x:c>
      <x:c r="Y893" s="38" t="n">
        <x:v>4</x:v>
      </x:c>
      <x:c r="Z893" s="38" t="n">
        <x:f>MAX(0,MIN(100,ROUND(((T893+U893+V893+W893+X893)-Y893)/85*100,0)))</x:f>
        <x:v>67</x:v>
      </x:c>
      <x:c r="AA893" s="9" t="str">
        <x:f>IF(L893="暂不做","P3 暂缓",IF(Z893&gt;=75,"P0 本周做",IF(Z893&gt;=60,"P1 近期做",IF(Z893&gt;=45,"P2 备选","P3 暂缓"))))</x:f>
        <x:v>P1 近期做</x:v>
      </x:c>
      <x:c r="AB893" s="9" t="str">
        <x:f>IF(Y893&gt;=15,"先做合规/相关性复核，不建议直接商业导流",IF(L893="主站","建/优化主站商业页",IF(L893="博客A-知识教程","写知识教程/FAQ文章",IF(L893="博客B-场景人群","写场景需求/选购指南文章",IF(L893="博客C-对比评测","写对比评测/榜单文章","暂不做或人工复核")))))</x:f>
        <x:v>建/优化主站商业页</x:v>
      </x:c>
      <x:c r="AC893" s="9" t="str">
        <x:v>ice vape</x:v>
      </x:c>
      <x:c r="AD893" s="10" t="str">
        <x:v>48</x:v>
      </x:c>
    </x:row>
    <x:row r="894">
      <x:c r="A894" s="34" t="n">
        <x:v>894</x:v>
      </x:c>
      <x:c r="B894" s="9" t="str">
        <x:v>48</x:v>
      </x:c>
      <x:c r="C894" s="9" t="str">
        <x:v>highest nicotine vape</x:v>
      </x:c>
      <x:c r="D894" s="9" t="str">
        <x:v>recommended</x:v>
      </x:c>
      <x:c r="E894" s="36" t="n">
        <x:v>390</x:v>
      </x:c>
      <x:c r="F894" s="36" t="n">
        <x:v>15</x:v>
      </x:c>
      <x:c r="G894" s="9" t="str">
        <x:v>informational</x:v>
      </x:c>
      <x:c r="H894" s="9" t="str">
        <x:v>Nicotine / 尼古丁</x:v>
      </x:c>
      <x:c r="I894" s="9" t="str">
        <x:v>品类承接词</x:v>
      </x:c>
      <x:c r="J894" s="9" t="str">
        <x:v>主站</x:v>
      </x:c>
      <x:c r="K894" s="9" t="str"/>
      <x:c r="L894" s="9" t="str">
        <x:f>IF(K894="",J894,K894)</x:f>
        <x:v>主站</x:v>
      </x:c>
      <x:c r="M894" s="9" t="str">
        <x:v>品类页/集合页 + FAQ内容块</x:v>
      </x:c>
      <x:c r="N894" s="9" t="str">
        <x:v>主站品类页：用产品集合 + 选购说明承接</x:v>
      </x:c>
      <x:c r="O894" s="9" t="str">
        <x:v>/collections/disposable-vapes</x:v>
      </x:c>
      <x:c r="P894" s="9" t="str">
        <x:v>不适用</x:v>
      </x:c>
      <x:c r="Q894" s="9" t="str">
        <x:v>主站页面自身承接</x:v>
      </x:c>
      <x:c r="R894" s="9" t="str">
        <x:v>核心品类词：主站优先，博客只做长尾解释，不直接抢同一词</x:v>
      </x:c>
      <x:c r="S894" s="9" t="str">
        <x:v>如果 Google 首页产品页和指南混合，主站页要加 FAQ、选购指南、对比模块。</x:v>
      </x:c>
      <x:c r="T894" s="38" t="n">
        <x:v>7</x:v>
      </x:c>
      <x:c r="U894" s="38" t="n">
        <x:v>15</x:v>
      </x:c>
      <x:c r="V894" s="38" t="n">
        <x:v>16</x:v>
      </x:c>
      <x:c r="W894" s="38" t="n">
        <x:v>8</x:v>
      </x:c>
      <x:c r="X894" s="38" t="n">
        <x:v>15</x:v>
      </x:c>
      <x:c r="Y894" s="38" t="n">
        <x:v>4</x:v>
      </x:c>
      <x:c r="Z894" s="38" t="n">
        <x:f>MAX(0,MIN(100,ROUND(((T894+U894+V894+W894+X894)-Y894)/85*100,0)))</x:f>
        <x:v>67</x:v>
      </x:c>
      <x:c r="AA894" s="9" t="str">
        <x:f>IF(L894="暂不做","P3 暂缓",IF(Z894&gt;=75,"P0 本周做",IF(Z894&gt;=60,"P1 近期做",IF(Z894&gt;=45,"P2 备选","P3 暂缓"))))</x:f>
        <x:v>P1 近期做</x:v>
      </x:c>
      <x:c r="AB894" s="9" t="str">
        <x:f>IF(Y894&gt;=15,"先做合规/相关性复核，不建议直接商业导流",IF(L894="主站","建/优化主站商业页",IF(L894="博客A-知识教程","写知识教程/FAQ文章",IF(L894="博客B-场景人群","写场景需求/选购指南文章",IF(L894="博客C-对比评测","写对比评测/榜单文章","暂不做或人工复核")))))</x:f>
        <x:v>建/优化主站商业页</x:v>
      </x:c>
      <x:c r="AC894" s="9" t="str">
        <x:v>ice vape</x:v>
      </x:c>
      <x:c r="AD894" s="10" t="str">
        <x:v>48</x:v>
      </x:c>
    </x:row>
    <x:row r="895">
      <x:c r="A895" s="34" t="n">
        <x:v>895</x:v>
      </x:c>
      <x:c r="B895" s="9" t="str">
        <x:v>48</x:v>
      </x:c>
      <x:c r="C895" s="9" t="str">
        <x:v>famous vape brands in usa</x:v>
      </x:c>
      <x:c r="D895" s="9" t="str">
        <x:v>recommended</x:v>
      </x:c>
      <x:c r="E895" s="36" t="n">
        <x:v>260</x:v>
      </x:c>
      <x:c r="F895" s="36" t="n">
        <x:v>19</x:v>
      </x:c>
      <x:c r="G895" s="9" t="str">
        <x:v>commercial</x:v>
      </x:c>
      <x:c r="H895" s="9" t="str">
        <x:v>对比评测</x:v>
      </x:c>
      <x:c r="I895" s="9" t="str">
        <x:v>商业调查词</x:v>
      </x:c>
      <x:c r="J895" s="9" t="str">
        <x:v>博客C-对比评测</x:v>
      </x:c>
      <x:c r="K895" s="9" t="str"/>
      <x:c r="L895" s="9" t="str">
        <x:f>IF(K895="",J895,K895)</x:f>
        <x:v>博客C-对比评测</x:v>
      </x:c>
      <x:c r="M895" s="9" t="str">
        <x:v>Best/Top/Review/VS/替代方案文章</x:v>
      </x:c>
      <x:c r="N895" s="9" t="str">
        <x:v>Best angle: famous vape brands in usa - comparison, pros/cons, and which option fits different buyers</x:v>
      </x:c>
      <x:c r="O895" s="9" t="str">
        <x:v>/collections/disposable-vapes</x:v>
      </x:c>
      <x:c r="P895" s="9" t="str">
        <x:v>是</x:v>
      </x:c>
      <x:c r="Q895" s="9" t="str">
        <x:v>自然句/品类词/品牌词</x:v>
      </x:c>
      <x:c r="R895" s="9" t="str">
        <x:v>中风险：榜单和评测必须真实、中立，避免夸大</x:v>
      </x:c>
      <x:c r="S895" s="9" t="str">
        <x:v>这类词不直接给主站，先用博客C教育和比较，再导流到最相关集合页。</x:v>
      </x:c>
      <x:c r="T895" s="38" t="n">
        <x:v>7</x:v>
      </x:c>
      <x:c r="U895" s="38" t="n">
        <x:v>12</x:v>
      </x:c>
      <x:c r="V895" s="38" t="n">
        <x:v>16</x:v>
      </x:c>
      <x:c r="W895" s="38" t="n">
        <x:v>15</x:v>
      </x:c>
      <x:c r="X895" s="38" t="n">
        <x:v>13</x:v>
      </x:c>
      <x:c r="Y895" s="38" t="n">
        <x:v>6</x:v>
      </x:c>
      <x:c r="Z895" s="38" t="n">
        <x:f>MAX(0,MIN(100,ROUND(((T895+U895+V895+W895+X895)-Y895)/85*100,0)))</x:f>
        <x:v>67</x:v>
      </x:c>
      <x:c r="AA895" s="9" t="str">
        <x:f>IF(L895="暂不做","P3 暂缓",IF(Z895&gt;=75,"P0 本周做",IF(Z895&gt;=60,"P1 近期做",IF(Z895&gt;=45,"P2 备选","P3 暂缓"))))</x:f>
        <x:v>P1 近期做</x:v>
      </x:c>
      <x:c r="AB895" s="9" t="str">
        <x:f>IF(Y895&gt;=15,"先做合规/相关性复核，不建议直接商业导流",IF(L895="主站","建/优化主站商业页",IF(L895="博客A-知识教程","写知识教程/FAQ文章",IF(L895="博客B-场景人群","写场景需求/选购指南文章",IF(L895="博客C-对比评测","写对比评测/榜单文章","暂不做或人工复核")))))</x:f>
        <x:v>写对比评测/榜单文章</x:v>
      </x:c>
      <x:c r="AC895" s="9" t="str">
        <x:v>ice vape</x:v>
      </x:c>
      <x:c r="AD895" s="10" t="str">
        <x:v>48</x:v>
      </x:c>
    </x:row>
    <x:row r="896">
      <x:c r="A896" s="34" t="n">
        <x:v>896</x:v>
      </x:c>
      <x:c r="B896" s="9" t="str">
        <x:v>48</x:v>
      </x:c>
      <x:c r="C896" s="9" t="str">
        <x:v>non menthol vapes</x:v>
      </x:c>
      <x:c r="D896" s="9" t="str">
        <x:v>recommended</x:v>
      </x:c>
      <x:c r="E896" s="36" t="n">
        <x:v>90</x:v>
      </x:c>
      <x:c r="F896" s="36" t="n">
        <x:v>2</x:v>
      </x:c>
      <x:c r="G896" s="9" t="str">
        <x:v>commercial</x:v>
      </x:c>
      <x:c r="H896" s="9" t="str">
        <x:v>General Vape</x:v>
      </x:c>
      <x:c r="I896" s="9" t="str">
        <x:v>品类承接词</x:v>
      </x:c>
      <x:c r="J896" s="9" t="str">
        <x:v>主站</x:v>
      </x:c>
      <x:c r="K896" s="9" t="str"/>
      <x:c r="L896" s="9" t="str">
        <x:f>IF(K896="",J896,K896)</x:f>
        <x:v>主站</x:v>
      </x:c>
      <x:c r="M896" s="9" t="str">
        <x:v>品类页/集合页 + FAQ内容块</x:v>
      </x:c>
      <x:c r="N896" s="9" t="str">
        <x:v>主站品类页：用产品集合 + 选购说明承接</x:v>
      </x:c>
      <x:c r="O896" s="9" t="str">
        <x:v>/collections/disposable-vapes</x:v>
      </x:c>
      <x:c r="P896" s="9" t="str">
        <x:v>不适用</x:v>
      </x:c>
      <x:c r="Q896" s="9" t="str">
        <x:v>主站页面自身承接</x:v>
      </x:c>
      <x:c r="R896" s="9" t="str">
        <x:v>核心品类词：主站优先，博客只做长尾解释，不直接抢同一词</x:v>
      </x:c>
      <x:c r="S896" s="9" t="str">
        <x:v>如果 Google 首页产品页和指南混合，主站页要加 FAQ、选购指南、对比模块。</x:v>
      </x:c>
      <x:c r="T896" s="38" t="n">
        <x:v>4</x:v>
      </x:c>
      <x:c r="U896" s="38" t="n">
        <x:v>15</x:v>
      </x:c>
      <x:c r="V896" s="38" t="n">
        <x:v>18</x:v>
      </x:c>
      <x:c r="W896" s="38" t="n">
        <x:v>8</x:v>
      </x:c>
      <x:c r="X896" s="38" t="n">
        <x:v>15</x:v>
      </x:c>
      <x:c r="Y896" s="38" t="n">
        <x:v>4</x:v>
      </x:c>
      <x:c r="Z896" s="38" t="n">
        <x:f>MAX(0,MIN(100,ROUND(((T896+U896+V896+W896+X896)-Y896)/85*100,0)))</x:f>
        <x:v>66</x:v>
      </x:c>
      <x:c r="AA896" s="9" t="str">
        <x:f>IF(L896="暂不做","P3 暂缓",IF(Z896&gt;=75,"P0 本周做",IF(Z896&gt;=60,"P1 近期做",IF(Z896&gt;=45,"P2 备选","P3 暂缓"))))</x:f>
        <x:v>P1 近期做</x:v>
      </x:c>
      <x:c r="AB896" s="9" t="str">
        <x:f>IF(Y896&gt;=15,"先做合规/相关性复核，不建议直接商业导流",IF(L896="主站","建/优化主站商业页",IF(L896="博客A-知识教程","写知识教程/FAQ文章",IF(L896="博客B-场景人群","写场景需求/选购指南文章",IF(L896="博客C-对比评测","写对比评测/榜单文章","暂不做或人工复核")))))</x:f>
        <x:v>建/优化主站商业页</x:v>
      </x:c>
      <x:c r="AC896" s="9" t="str">
        <x:v>ice vape</x:v>
      </x:c>
      <x:c r="AD896" s="10" t="str">
        <x:v>48</x:v>
      </x:c>
    </x:row>
    <x:row r="897">
      <x:c r="A897" s="34" t="n">
        <x:v>897</x:v>
      </x:c>
      <x:c r="B897" s="9" t="str">
        <x:v>48</x:v>
      </x:c>
      <x:c r="C897" s="9" t="str">
        <x:v>e cig flavors</x:v>
      </x:c>
      <x:c r="D897" s="9" t="str">
        <x:v>recommended</x:v>
      </x:c>
      <x:c r="E897" s="36" t="n">
        <x:v>170</x:v>
      </x:c>
      <x:c r="F897" s="36" t="n">
        <x:v>28</x:v>
      </x:c>
      <x:c r="G897" s="9" t="str">
        <x:v>informational</x:v>
      </x:c>
      <x:c r="H897" s="9" t="str">
        <x:v>Flavor / 口味</x:v>
      </x:c>
      <x:c r="I897" s="9" t="str">
        <x:v>场景/需求词</x:v>
      </x:c>
      <x:c r="J897" s="9" t="str">
        <x:v>博客B-场景人群</x:v>
      </x:c>
      <x:c r="K897" s="9" t="str"/>
      <x:c r="L897" s="9" t="str">
        <x:f>IF(K897="",J897,K897)</x:f>
        <x:v>博客B-场景人群</x:v>
      </x:c>
      <x:c r="M897" s="9" t="str">
        <x:v>场景解决方案/选购指南文章</x:v>
      </x:c>
      <x:c r="N897" s="9" t="str">
        <x:v>Scenario angle: how to choose e cig flavors based on use case, flavor, nicotine, and budget</x:v>
      </x:c>
      <x:c r="O897" s="9" t="str">
        <x:v>/collections/flavored-disposable-vapes</x:v>
      </x:c>
      <x:c r="P897" s="9" t="str">
        <x:v>是</x:v>
      </x:c>
      <x:c r="Q897" s="9" t="str">
        <x:v>自然句/品类词</x:v>
      </x:c>
      <x:c r="R897" s="9" t="str">
        <x:v>低中风险：适合软性导流，但不要夸大效果或触碰健康疗效</x:v>
      </x:c>
      <x:c r="S897" s="9" t="str">
        <x:v>围绕使用场景、口味、尼古丁需求、便携性等写，不和主站品类页抢词。</x:v>
      </x:c>
      <x:c r="T897" s="38" t="n">
        <x:v>7</x:v>
      </x:c>
      <x:c r="U897" s="38" t="n">
        <x:v>12</x:v>
      </x:c>
      <x:c r="V897" s="38" t="n">
        <x:v>13</x:v>
      </x:c>
      <x:c r="W897" s="38" t="n">
        <x:v>14</x:v>
      </x:c>
      <x:c r="X897" s="38" t="n">
        <x:v>13</x:v>
      </x:c>
      <x:c r="Y897" s="38" t="n">
        <x:v>5</x:v>
      </x:c>
      <x:c r="Z897" s="38" t="n">
        <x:f>MAX(0,MIN(100,ROUND(((T897+U897+V897+W897+X897)-Y897)/85*100,0)))</x:f>
        <x:v>64</x:v>
      </x:c>
      <x:c r="AA897" s="9" t="str">
        <x:f>IF(L897="暂不做","P3 暂缓",IF(Z897&gt;=75,"P0 本周做",IF(Z897&gt;=60,"P1 近期做",IF(Z897&gt;=45,"P2 备选","P3 暂缓"))))</x:f>
        <x:v>P1 近期做</x:v>
      </x:c>
      <x:c r="AB897" s="9" t="str">
        <x:f>IF(Y897&gt;=15,"先做合规/相关性复核，不建议直接商业导流",IF(L897="主站","建/优化主站商业页",IF(L897="博客A-知识教程","写知识教程/FAQ文章",IF(L897="博客B-场景人群","写场景需求/选购指南文章",IF(L897="博客C-对比评测","写对比评测/榜单文章","暂不做或人工复核")))))</x:f>
        <x:v>写场景需求/选购指南文章</x:v>
      </x:c>
      <x:c r="AC897" s="9" t="str">
        <x:v>ice vape</x:v>
      </x:c>
      <x:c r="AD897" s="10" t="str">
        <x:v>48</x:v>
      </x:c>
    </x:row>
    <x:row r="898">
      <x:c r="A898" s="34" t="n">
        <x:v>898</x:v>
      </x:c>
      <x:c r="B898" s="9" t="str">
        <x:v>48</x:v>
      </x:c>
      <x:c r="C898" s="9" t="str">
        <x:v>ice vape flavors</x:v>
      </x:c>
      <x:c r="D898" s="9" t="str">
        <x:v>recommended</x:v>
      </x:c>
      <x:c r="E898" s="36" t="n">
        <x:v>110</x:v>
      </x:c>
      <x:c r="F898" s="36" t="n">
        <x:v>2</x:v>
      </x:c>
      <x:c r="G898" s="9" t="str">
        <x:v>informational</x:v>
      </x:c>
      <x:c r="H898" s="9" t="str">
        <x:v>Flavor / 口味</x:v>
      </x:c>
      <x:c r="I898" s="9" t="str">
        <x:v>场景/需求词</x:v>
      </x:c>
      <x:c r="J898" s="9" t="str">
        <x:v>博客B-场景人群</x:v>
      </x:c>
      <x:c r="K898" s="9" t="str"/>
      <x:c r="L898" s="9" t="str">
        <x:f>IF(K898="",J898,K898)</x:f>
        <x:v>博客B-场景人群</x:v>
      </x:c>
      <x:c r="M898" s="9" t="str">
        <x:v>场景解决方案/选购指南文章</x:v>
      </x:c>
      <x:c r="N898" s="9" t="str">
        <x:v>Scenario angle: how to choose ice vape flavors based on use case, flavor, nicotine, and budget</x:v>
      </x:c>
      <x:c r="O898" s="9" t="str">
        <x:v>/collections/flavored-disposable-vapes</x:v>
      </x:c>
      <x:c r="P898" s="9" t="str">
        <x:v>是</x:v>
      </x:c>
      <x:c r="Q898" s="9" t="str">
        <x:v>自然句/品类词</x:v>
      </x:c>
      <x:c r="R898" s="9" t="str">
        <x:v>低中风险：适合软性导流，但不要夸大效果或触碰健康疗效</x:v>
      </x:c>
      <x:c r="S898" s="9" t="str">
        <x:v>围绕使用场景、口味、尼古丁需求、便携性等写，不和主站品类页抢词。</x:v>
      </x:c>
      <x:c r="T898" s="38" t="n">
        <x:v>7</x:v>
      </x:c>
      <x:c r="U898" s="38" t="n">
        <x:v>15</x:v>
      </x:c>
      <x:c r="V898" s="38" t="n">
        <x:v>13</x:v>
      </x:c>
      <x:c r="W898" s="38" t="n">
        <x:v>14</x:v>
      </x:c>
      <x:c r="X898" s="38" t="n">
        <x:v>13</x:v>
      </x:c>
      <x:c r="Y898" s="38" t="n">
        <x:v>5</x:v>
      </x:c>
      <x:c r="Z898" s="38" t="n">
        <x:f>MAX(0,MIN(100,ROUND(((T898+U898+V898+W898+X898)-Y898)/85*100,0)))</x:f>
        <x:v>67</x:v>
      </x:c>
      <x:c r="AA898" s="9" t="str">
        <x:f>IF(L898="暂不做","P3 暂缓",IF(Z898&gt;=75,"P0 本周做",IF(Z898&gt;=60,"P1 近期做",IF(Z898&gt;=45,"P2 备选","P3 暂缓"))))</x:f>
        <x:v>P1 近期做</x:v>
      </x:c>
      <x:c r="AB898" s="9" t="str">
        <x:f>IF(Y898&gt;=15,"先做合规/相关性复核，不建议直接商业导流",IF(L898="主站","建/优化主站商业页",IF(L898="博客A-知识教程","写知识教程/FAQ文章",IF(L898="博客B-场景人群","写场景需求/选购指南文章",IF(L898="博客C-对比评测","写对比评测/榜单文章","暂不做或人工复核")))))</x:f>
        <x:v>写场景需求/选购指南文章</x:v>
      </x:c>
      <x:c r="AC898" s="9" t="str">
        <x:v>ice vape</x:v>
      </x:c>
      <x:c r="AD898" s="10" t="str">
        <x:v>48</x:v>
      </x:c>
    </x:row>
    <x:row r="899">
      <x:c r="A899" s="34" t="n">
        <x:v>899</x:v>
      </x:c>
      <x:c r="B899" s="9" t="str">
        <x:v>48</x:v>
      </x:c>
      <x:c r="C899" s="9" t="str">
        <x:v>flavored nicotine vape</x:v>
      </x:c>
      <x:c r="D899" s="9" t="str">
        <x:v>recommended</x:v>
      </x:c>
      <x:c r="E899" s="36" t="n">
        <x:v>140</x:v>
      </x:c>
      <x:c r="F899" s="36" t="n">
        <x:v>25</x:v>
      </x:c>
      <x:c r="G899" s="9" t="str">
        <x:v>commercial</x:v>
      </x:c>
      <x:c r="H899" s="9" t="str">
        <x:v>Flavor / 口味</x:v>
      </x:c>
      <x:c r="I899" s="9" t="str">
        <x:v>品类承接词</x:v>
      </x:c>
      <x:c r="J899" s="9" t="str">
        <x:v>主站</x:v>
      </x:c>
      <x:c r="K899" s="9" t="str"/>
      <x:c r="L899" s="9" t="str">
        <x:f>IF(K899="",J899,K899)</x:f>
        <x:v>主站</x:v>
      </x:c>
      <x:c r="M899" s="9" t="str">
        <x:v>品类页/集合页 + FAQ内容块</x:v>
      </x:c>
      <x:c r="N899" s="9" t="str">
        <x:v>主站品类页：用产品集合 + 选购说明承接</x:v>
      </x:c>
      <x:c r="O899" s="9" t="str">
        <x:v>/collections/flavored-disposable-vapes</x:v>
      </x:c>
      <x:c r="P899" s="9" t="str">
        <x:v>不适用</x:v>
      </x:c>
      <x:c r="Q899" s="9" t="str">
        <x:v>主站页面自身承接</x:v>
      </x:c>
      <x:c r="R899" s="9" t="str">
        <x:v>核心品类词：主站优先，博客只做长尾解释，不直接抢同一词</x:v>
      </x:c>
      <x:c r="S899" s="9" t="str">
        <x:v>如果 Google 首页产品页和指南混合，主站页要加 FAQ、选购指南、对比模块。</x:v>
      </x:c>
      <x:c r="T899" s="38" t="n">
        <x:v>7</x:v>
      </x:c>
      <x:c r="U899" s="38" t="n">
        <x:v>12</x:v>
      </x:c>
      <x:c r="V899" s="38" t="n">
        <x:v>18</x:v>
      </x:c>
      <x:c r="W899" s="38" t="n">
        <x:v>8</x:v>
      </x:c>
      <x:c r="X899" s="38" t="n">
        <x:v>15</x:v>
      </x:c>
      <x:c r="Y899" s="38" t="n">
        <x:v>4</x:v>
      </x:c>
      <x:c r="Z899" s="38" t="n">
        <x:f>MAX(0,MIN(100,ROUND(((T899+U899+V899+W899+X899)-Y899)/85*100,0)))</x:f>
        <x:v>66</x:v>
      </x:c>
      <x:c r="AA899" s="9" t="str">
        <x:f>IF(L899="暂不做","P3 暂缓",IF(Z899&gt;=75,"P0 本周做",IF(Z899&gt;=60,"P1 近期做",IF(Z899&gt;=45,"P2 备选","P3 暂缓"))))</x:f>
        <x:v>P1 近期做</x:v>
      </x:c>
      <x:c r="AB899" s="9" t="str">
        <x:f>IF(Y899&gt;=15,"先做合规/相关性复核，不建议直接商业导流",IF(L899="主站","建/优化主站商业页",IF(L899="博客A-知识教程","写知识教程/FAQ文章",IF(L899="博客B-场景人群","写场景需求/选购指南文章",IF(L899="博客C-对比评测","写对比评测/榜单文章","暂不做或人工复核")))))</x:f>
        <x:v>建/优化主站商业页</x:v>
      </x:c>
      <x:c r="AC899" s="9" t="str">
        <x:v>ice vape</x:v>
      </x:c>
      <x:c r="AD899" s="10" t="str">
        <x:v>48</x:v>
      </x:c>
    </x:row>
    <x:row r="900">
      <x:c r="A900" s="34" t="n">
        <x:v>900</x:v>
      </x:c>
      <x:c r="B900" s="9" t="str">
        <x:v>48</x:v>
      </x:c>
      <x:c r="C900" s="9" t="str">
        <x:v>big puff vape</x:v>
      </x:c>
      <x:c r="D900" s="9" t="str">
        <x:v>recommended</x:v>
      </x:c>
      <x:c r="E900" s="36" t="n">
        <x:v>70</x:v>
      </x:c>
      <x:c r="F900" s="36" t="n">
        <x:v>10</x:v>
      </x:c>
      <x:c r="G900" s="9" t="str">
        <x:v>commercial</x:v>
      </x:c>
      <x:c r="H900" s="9" t="str">
        <x:v>General Vape</x:v>
      </x:c>
      <x:c r="I900" s="9" t="str">
        <x:v>品类承接词</x:v>
      </x:c>
      <x:c r="J900" s="9" t="str">
        <x:v>主站</x:v>
      </x:c>
      <x:c r="K900" s="9" t="str"/>
      <x:c r="L900" s="9" t="str">
        <x:f>IF(K900="",J900,K900)</x:f>
        <x:v>主站</x:v>
      </x:c>
      <x:c r="M900" s="9" t="str">
        <x:v>品类页/集合页 + FAQ内容块</x:v>
      </x:c>
      <x:c r="N900" s="9" t="str">
        <x:v>主站品类页：用产品集合 + 选购说明承接</x:v>
      </x:c>
      <x:c r="O900" s="9" t="str">
        <x:v>/collections/disposable-vapes</x:v>
      </x:c>
      <x:c r="P900" s="9" t="str">
        <x:v>不适用</x:v>
      </x:c>
      <x:c r="Q900" s="9" t="str">
        <x:v>主站页面自身承接</x:v>
      </x:c>
      <x:c r="R900" s="9" t="str">
        <x:v>核心品类词：主站优先，博客只做长尾解释，不直接抢同一词</x:v>
      </x:c>
      <x:c r="S900" s="9" t="str">
        <x:v>如果 Google 首页产品页和指南混合，主站页要加 FAQ、选购指南、对比模块。</x:v>
      </x:c>
      <x:c r="T900" s="38" t="n">
        <x:v>4</x:v>
      </x:c>
      <x:c r="U900" s="38" t="n">
        <x:v>15</x:v>
      </x:c>
      <x:c r="V900" s="38" t="n">
        <x:v>18</x:v>
      </x:c>
      <x:c r="W900" s="38" t="n">
        <x:v>8</x:v>
      </x:c>
      <x:c r="X900" s="38" t="n">
        <x:v>15</x:v>
      </x:c>
      <x:c r="Y900" s="38" t="n">
        <x:v>4</x:v>
      </x:c>
      <x:c r="Z900" s="38" t="n">
        <x:f>MAX(0,MIN(100,ROUND(((T900+U900+V900+W900+X900)-Y900)/85*100,0)))</x:f>
        <x:v>66</x:v>
      </x:c>
      <x:c r="AA900" s="9" t="str">
        <x:f>IF(L900="暂不做","P3 暂缓",IF(Z900&gt;=75,"P0 本周做",IF(Z900&gt;=60,"P1 近期做",IF(Z900&gt;=45,"P2 备选","P3 暂缓"))))</x:f>
        <x:v>P1 近期做</x:v>
      </x:c>
      <x:c r="AB900" s="9" t="str">
        <x:f>IF(Y900&gt;=15,"先做合规/相关性复核，不建议直接商业导流",IF(L900="主站","建/优化主站商业页",IF(L900="博客A-知识教程","写知识教程/FAQ文章",IF(L900="博客B-场景人群","写场景需求/选购指南文章",IF(L900="博客C-对比评测","写对比评测/榜单文章","暂不做或人工复核")))))</x:f>
        <x:v>建/优化主站商业页</x:v>
      </x:c>
      <x:c r="AC900" s="9" t="str">
        <x:v>ice vape</x:v>
      </x:c>
      <x:c r="AD900" s="10" t="str">
        <x:v>48</x:v>
      </x:c>
    </x:row>
    <x:row r="901">
      <x:c r="A901" s="34" t="n">
        <x:v>901</x:v>
      </x:c>
      <x:c r="B901" s="9" t="str">
        <x:v>48</x:v>
      </x:c>
      <x:c r="C901" s="9" t="str">
        <x:v>best eliquid</x:v>
      </x:c>
      <x:c r="D901" s="9" t="str">
        <x:v>recommended</x:v>
      </x:c>
      <x:c r="E901" s="36" t="n">
        <x:v>70</x:v>
      </x:c>
      <x:c r="F901" s="36" t="n">
        <x:v>14</x:v>
      </x:c>
      <x:c r="G901" s="9" t="str">
        <x:v>commercial</x:v>
      </x:c>
      <x:c r="H901" s="9" t="str">
        <x:v>对比评测</x:v>
      </x:c>
      <x:c r="I901" s="9" t="str">
        <x:v>商业调查词</x:v>
      </x:c>
      <x:c r="J901" s="9" t="str">
        <x:v>博客C-对比评测</x:v>
      </x:c>
      <x:c r="K901" s="9" t="str"/>
      <x:c r="L901" s="9" t="str">
        <x:f>IF(K901="",J901,K901)</x:f>
        <x:v>博客C-对比评测</x:v>
      </x:c>
      <x:c r="M901" s="9" t="str">
        <x:v>Best/Top/Review/VS/替代方案文章</x:v>
      </x:c>
      <x:c r="N901" s="9" t="str">
        <x:v>Best angle: best eliquid - comparison, pros/cons, and which option fits different buyers</x:v>
      </x:c>
      <x:c r="O901" s="9" t="str">
        <x:v>/collections/disposable-vapes</x:v>
      </x:c>
      <x:c r="P901" s="9" t="str">
        <x:v>是</x:v>
      </x:c>
      <x:c r="Q901" s="9" t="str">
        <x:v>自然句/品类词/品牌词</x:v>
      </x:c>
      <x:c r="R901" s="9" t="str">
        <x:v>中风险：榜单和评测必须真实、中立，避免夸大</x:v>
      </x:c>
      <x:c r="S901" s="9" t="str">
        <x:v>这类词不直接给主站，先用博客C教育和比较，再导流到最相关集合页。</x:v>
      </x:c>
      <x:c r="T901" s="38" t="n">
        <x:v>4</x:v>
      </x:c>
      <x:c r="U901" s="38" t="n">
        <x:v>15</x:v>
      </x:c>
      <x:c r="V901" s="38" t="n">
        <x:v>16</x:v>
      </x:c>
      <x:c r="W901" s="38" t="n">
        <x:v>15</x:v>
      </x:c>
      <x:c r="X901" s="38" t="n">
        <x:v>13</x:v>
      </x:c>
      <x:c r="Y901" s="38" t="n">
        <x:v>6</x:v>
      </x:c>
      <x:c r="Z901" s="38" t="n">
        <x:f>MAX(0,MIN(100,ROUND(((T901+U901+V901+W901+X901)-Y901)/85*100,0)))</x:f>
        <x:v>67</x:v>
      </x:c>
      <x:c r="AA901" s="9" t="str">
        <x:f>IF(L901="暂不做","P3 暂缓",IF(Z901&gt;=75,"P0 本周做",IF(Z901&gt;=60,"P1 近期做",IF(Z901&gt;=45,"P2 备选","P3 暂缓"))))</x:f>
        <x:v>P1 近期做</x:v>
      </x:c>
      <x:c r="AB901" s="9" t="str">
        <x:f>IF(Y901&gt;=15,"先做合规/相关性复核，不建议直接商业导流",IF(L901="主站","建/优化主站商业页",IF(L901="博客A-知识教程","写知识教程/FAQ文章",IF(L901="博客B-场景人群","写场景需求/选购指南文章",IF(L901="博客C-对比评测","写对比评测/榜单文章","暂不做或人工复核")))))</x:f>
        <x:v>写对比评测/榜单文章</x:v>
      </x:c>
      <x:c r="AC901" s="9" t="str">
        <x:v>ice vape</x:v>
      </x:c>
      <x:c r="AD901" s="10" t="str">
        <x:v>48</x:v>
      </x:c>
    </x:row>
    <x:row r="902">
      <x:c r="A902" s="34" t="n">
        <x:v>902</x:v>
      </x:c>
      <x:c r="B902" s="9" t="str">
        <x:v>48</x:v>
      </x:c>
      <x:c r="C902" s="9" t="str">
        <x:v>best dessert flavor disposable vape</x:v>
      </x:c>
      <x:c r="D902" s="9" t="str">
        <x:v>recommended</x:v>
      </x:c>
      <x:c r="E902" s="36" t="n">
        <x:v>70</x:v>
      </x:c>
      <x:c r="F902" s="36" t="n">
        <x:v>0</x:v>
      </x:c>
      <x:c r="G902" s="9" t="str">
        <x:v>commercial</x:v>
      </x:c>
      <x:c r="H902" s="9" t="str">
        <x:v>Disposable Vape</x:v>
      </x:c>
      <x:c r="I902" s="9" t="str">
        <x:v>商业调查词</x:v>
      </x:c>
      <x:c r="J902" s="9" t="str">
        <x:v>博客C-对比评测</x:v>
      </x:c>
      <x:c r="K902" s="9" t="str"/>
      <x:c r="L902" s="9" t="str">
        <x:f>IF(K902="",J902,K902)</x:f>
        <x:v>博客C-对比评测</x:v>
      </x:c>
      <x:c r="M902" s="9" t="str">
        <x:v>Best/Top/Review/VS/替代方案文章</x:v>
      </x:c>
      <x:c r="N902" s="9" t="str">
        <x:v>Best angle: best dessert flavor disposable vape - comparison, pros/cons, and which option fits different buyers</x:v>
      </x:c>
      <x:c r="O902" s="9" t="str">
        <x:v>/collections/flavored-disposable-vapes</x:v>
      </x:c>
      <x:c r="P902" s="9" t="str">
        <x:v>是</x:v>
      </x:c>
      <x:c r="Q902" s="9" t="str">
        <x:v>自然句/品类词/品牌词</x:v>
      </x:c>
      <x:c r="R902" s="9" t="str">
        <x:v>中风险：榜单和评测必须真实、中立，避免夸大</x:v>
      </x:c>
      <x:c r="S902" s="9" t="str">
        <x:v>这类词不直接给主站，先用博客C教育和比较，再导流到最相关集合页。</x:v>
      </x:c>
      <x:c r="T902" s="38" t="n">
        <x:v>4</x:v>
      </x:c>
      <x:c r="U902" s="38" t="n">
        <x:v>15</x:v>
      </x:c>
      <x:c r="V902" s="38" t="n">
        <x:v>16</x:v>
      </x:c>
      <x:c r="W902" s="38" t="n">
        <x:v>15</x:v>
      </x:c>
      <x:c r="X902" s="38" t="n">
        <x:v>13</x:v>
      </x:c>
      <x:c r="Y902" s="38" t="n">
        <x:v>6</x:v>
      </x:c>
      <x:c r="Z902" s="38" t="n">
        <x:f>MAX(0,MIN(100,ROUND(((T902+U902+V902+W902+X902)-Y902)/85*100,0)))</x:f>
        <x:v>67</x:v>
      </x:c>
      <x:c r="AA902" s="9" t="str">
        <x:f>IF(L902="暂不做","P3 暂缓",IF(Z902&gt;=75,"P0 本周做",IF(Z902&gt;=60,"P1 近期做",IF(Z902&gt;=45,"P2 备选","P3 暂缓"))))</x:f>
        <x:v>P1 近期做</x:v>
      </x:c>
      <x:c r="AB902" s="9" t="str">
        <x:f>IF(Y902&gt;=15,"先做合规/相关性复核，不建议直接商业导流",IF(L902="主站","建/优化主站商业页",IF(L902="博客A-知识教程","写知识教程/FAQ文章",IF(L902="博客B-场景人群","写场景需求/选购指南文章",IF(L902="博客C-对比评测","写对比评测/榜单文章","暂不做或人工复核")))))</x:f>
        <x:v>写对比评测/榜单文章</x:v>
      </x:c>
      <x:c r="AC902" s="9" t="str">
        <x:v>ice vape</x:v>
      </x:c>
      <x:c r="AD902" s="10" t="str">
        <x:v>48</x:v>
      </x:c>
    </x:row>
    <x:row r="903">
      <x:c r="A903" s="34" t="n">
        <x:v>903</x:v>
      </x:c>
      <x:c r="B903" s="9" t="str">
        <x:v>48</x:v>
      </x:c>
      <x:c r="C903" s="9" t="str">
        <x:v>best disposable vape pen</x:v>
      </x:c>
      <x:c r="D903" s="9" t="str">
        <x:v>recommended</x:v>
      </x:c>
      <x:c r="E903" s="36" t="n">
        <x:v>110</x:v>
      </x:c>
      <x:c r="F903" s="36" t="n">
        <x:v>34</x:v>
      </x:c>
      <x:c r="G903" s="9" t="str">
        <x:v>commercial</x:v>
      </x:c>
      <x:c r="H903" s="9" t="str">
        <x:v>Disposable Vape</x:v>
      </x:c>
      <x:c r="I903" s="9" t="str">
        <x:v>商业调查词</x:v>
      </x:c>
      <x:c r="J903" s="9" t="str">
        <x:v>博客C-对比评测</x:v>
      </x:c>
      <x:c r="K903" s="9" t="str"/>
      <x:c r="L903" s="9" t="str">
        <x:f>IF(K903="",J903,K903)</x:f>
        <x:v>博客C-对比评测</x:v>
      </x:c>
      <x:c r="M903" s="9" t="str">
        <x:v>Best/Top/Review/VS/替代方案文章</x:v>
      </x:c>
      <x:c r="N903" s="9" t="str">
        <x:v>Best angle: best disposable vape pen - comparison, pros/cons, and which option fits different buyers</x:v>
      </x:c>
      <x:c r="O903" s="9" t="str">
        <x:v>/collections/disposable-vapes</x:v>
      </x:c>
      <x:c r="P903" s="9" t="str">
        <x:v>是</x:v>
      </x:c>
      <x:c r="Q903" s="9" t="str">
        <x:v>自然句/品类词/品牌词</x:v>
      </x:c>
      <x:c r="R903" s="9" t="str">
        <x:v>中风险：榜单和评测必须真实、中立，避免夸大</x:v>
      </x:c>
      <x:c r="S903" s="9" t="str">
        <x:v>这类词不直接给主站，先用博客C教育和比较，再导流到最相关集合页。</x:v>
      </x:c>
      <x:c r="T903" s="38" t="n">
        <x:v>7</x:v>
      </x:c>
      <x:c r="U903" s="38" t="n">
        <x:v>9</x:v>
      </x:c>
      <x:c r="V903" s="38" t="n">
        <x:v>16</x:v>
      </x:c>
      <x:c r="W903" s="38" t="n">
        <x:v>15</x:v>
      </x:c>
      <x:c r="X903" s="38" t="n">
        <x:v>13</x:v>
      </x:c>
      <x:c r="Y903" s="38" t="n">
        <x:v>6</x:v>
      </x:c>
      <x:c r="Z903" s="38" t="n">
        <x:f>MAX(0,MIN(100,ROUND(((T903+U903+V903+W903+X903)-Y903)/85*100,0)))</x:f>
        <x:v>64</x:v>
      </x:c>
      <x:c r="AA903" s="9" t="str">
        <x:f>IF(L903="暂不做","P3 暂缓",IF(Z903&gt;=75,"P0 本周做",IF(Z903&gt;=60,"P1 近期做",IF(Z903&gt;=45,"P2 备选","P3 暂缓"))))</x:f>
        <x:v>P1 近期做</x:v>
      </x:c>
      <x:c r="AB903" s="9" t="str">
        <x:f>IF(Y903&gt;=15,"先做合规/相关性复核，不建议直接商业导流",IF(L903="主站","建/优化主站商业页",IF(L903="博客A-知识教程","写知识教程/FAQ文章",IF(L903="博客B-场景人群","写场景需求/选购指南文章",IF(L903="博客C-对比评测","写对比评测/榜单文章","暂不做或人工复核")))))</x:f>
        <x:v>写对比评测/榜单文章</x:v>
      </x:c>
      <x:c r="AC903" s="9" t="str">
        <x:v>ice vape</x:v>
      </x:c>
      <x:c r="AD903" s="10" t="str">
        <x:v>48</x:v>
      </x:c>
    </x:row>
    <x:row r="904">
      <x:c r="A904" s="34" t="n">
        <x:v>904</x:v>
      </x:c>
      <x:c r="B904" s="9" t="str">
        <x:v>48</x:v>
      </x:c>
      <x:c r="C904" s="9" t="str">
        <x:v>discount disposable vapes</x:v>
      </x:c>
      <x:c r="D904" s="9" t="str">
        <x:v>recommended</x:v>
      </x:c>
      <x:c r="E904" s="36" t="n">
        <x:v>110</x:v>
      </x:c>
      <x:c r="F904" s="36" t="n">
        <x:v>38</x:v>
      </x:c>
      <x:c r="G904" s="9" t="str">
        <x:v>commercial</x:v>
      </x:c>
      <x:c r="H904" s="9" t="str">
        <x:v>Disposable Vape</x:v>
      </x:c>
      <x:c r="I904" s="9" t="str">
        <x:v>交易词</x:v>
      </x:c>
      <x:c r="J904" s="9" t="str">
        <x:v>主站</x:v>
      </x:c>
      <x:c r="K904" s="9" t="str"/>
      <x:c r="L904" s="9" t="str">
        <x:f>IF(K904="",J904,K904)</x:f>
        <x:v>主站</x:v>
      </x:c>
      <x:c r="M904" s="9" t="str">
        <x:v>产品集合页/分类页/购买页</x:v>
      </x:c>
      <x:c r="N904" s="9" t="str">
        <x:v>主站商业页：标题围绕购买意图 + 品类 + 关键卖点</x:v>
      </x:c>
      <x:c r="O904" s="9" t="str">
        <x:v>/collections/disposable-vapes</x:v>
      </x:c>
      <x:c r="P904" s="9" t="str">
        <x:v>不适用</x:v>
      </x:c>
      <x:c r="Q904" s="9" t="str">
        <x:v>主站页面自身承接</x:v>
      </x:c>
      <x:c r="R904" s="9" t="str">
        <x:v>商业词：优先给主站，避免博客抢主站排名</x:v>
      </x:c>
      <x:c r="S904" s="9" t="str">
        <x:v>SERP 如为商品列表/品牌站/电商集合页，就建主站页面；若 SERP 全是教程，再拆支持文章。</x:v>
      </x:c>
      <x:c r="T904" s="38" t="n">
        <x:v>7</x:v>
      </x:c>
      <x:c r="U904" s="38" t="n">
        <x:v>9</x:v>
      </x:c>
      <x:c r="V904" s="38" t="n">
        <x:v>20</x:v>
      </x:c>
      <x:c r="W904" s="38" t="n">
        <x:v>7</x:v>
      </x:c>
      <x:c r="X904" s="38" t="n">
        <x:v>15</x:v>
      </x:c>
      <x:c r="Y904" s="38" t="n">
        <x:v>4</x:v>
      </x:c>
      <x:c r="Z904" s="38" t="n">
        <x:f>MAX(0,MIN(100,ROUND(((T904+U904+V904+W904+X904)-Y904)/85*100,0)))</x:f>
        <x:v>64</x:v>
      </x:c>
      <x:c r="AA904" s="9" t="str">
        <x:f>IF(L904="暂不做","P3 暂缓",IF(Z904&gt;=75,"P0 本周做",IF(Z904&gt;=60,"P1 近期做",IF(Z904&gt;=45,"P2 备选","P3 暂缓"))))</x:f>
        <x:v>P1 近期做</x:v>
      </x:c>
      <x:c r="AB904" s="9" t="str">
        <x:f>IF(Y904&gt;=15,"先做合规/相关性复核，不建议直接商业导流",IF(L904="主站","建/优化主站商业页",IF(L904="博客A-知识教程","写知识教程/FAQ文章",IF(L904="博客B-场景人群","写场景需求/选购指南文章",IF(L904="博客C-对比评测","写对比评测/榜单文章","暂不做或人工复核")))))</x:f>
        <x:v>建/优化主站商业页</x:v>
      </x:c>
      <x:c r="AC904" s="9" t="str">
        <x:v>ice vape</x:v>
      </x:c>
      <x:c r="AD904" s="10" t="str">
        <x:v>48</x:v>
      </x:c>
    </x:row>
    <x:row r="905">
      <x:c r="A905" s="34" t="n">
        <x:v>905</x:v>
      </x:c>
      <x:c r="B905" s="9" t="str">
        <x:v>48</x:v>
      </x:c>
      <x:c r="C905" s="9" t="str">
        <x:v>puffs disposable</x:v>
      </x:c>
      <x:c r="D905" s="9" t="str">
        <x:v>recommended</x:v>
      </x:c>
      <x:c r="E905" s="36" t="n">
        <x:v>40</x:v>
      </x:c>
      <x:c r="F905" s="36" t="n">
        <x:v>13</x:v>
      </x:c>
      <x:c r="G905" s="9" t="str">
        <x:v>informational, transactional</x:v>
      </x:c>
      <x:c r="H905" s="9" t="str">
        <x:v>Disposable Vape</x:v>
      </x:c>
      <x:c r="I905" s="9" t="str">
        <x:v>交易词</x:v>
      </x:c>
      <x:c r="J905" s="9" t="str">
        <x:v>主站</x:v>
      </x:c>
      <x:c r="K905" s="9" t="str"/>
      <x:c r="L905" s="9" t="str">
        <x:f>IF(K905="",J905,K905)</x:f>
        <x:v>主站</x:v>
      </x:c>
      <x:c r="M905" s="9" t="str">
        <x:v>产品集合页/分类页/购买页</x:v>
      </x:c>
      <x:c r="N905" s="9" t="str">
        <x:v>主站商业页：标题围绕购买意图 + 品类 + 关键卖点</x:v>
      </x:c>
      <x:c r="O905" s="9" t="str">
        <x:v>/collections/disposable-vapes</x:v>
      </x:c>
      <x:c r="P905" s="9" t="str">
        <x:v>不适用</x:v>
      </x:c>
      <x:c r="Q905" s="9" t="str">
        <x:v>主站页面自身承接</x:v>
      </x:c>
      <x:c r="R905" s="9" t="str">
        <x:v>商业词：优先给主站，避免博客抢主站排名</x:v>
      </x:c>
      <x:c r="S905" s="9" t="str">
        <x:v>SERP 如为商品列表/品牌站/电商集合页，就建主站页面；若 SERP 全是教程，再拆支持文章。</x:v>
      </x:c>
      <x:c r="T905" s="38" t="n">
        <x:v>4</x:v>
      </x:c>
      <x:c r="U905" s="38" t="n">
        <x:v>15</x:v>
      </x:c>
      <x:c r="V905" s="38" t="n">
        <x:v>20</x:v>
      </x:c>
      <x:c r="W905" s="38" t="n">
        <x:v>7</x:v>
      </x:c>
      <x:c r="X905" s="38" t="n">
        <x:v>15</x:v>
      </x:c>
      <x:c r="Y905" s="38" t="n">
        <x:v>4</x:v>
      </x:c>
      <x:c r="Z905" s="38" t="n">
        <x:f>MAX(0,MIN(100,ROUND(((T905+U905+V905+W905+X905)-Y905)/85*100,0)))</x:f>
        <x:v>67</x:v>
      </x:c>
      <x:c r="AA905" s="9" t="str">
        <x:f>IF(L905="暂不做","P3 暂缓",IF(Z905&gt;=75,"P0 本周做",IF(Z905&gt;=60,"P1 近期做",IF(Z905&gt;=45,"P2 备选","P3 暂缓"))))</x:f>
        <x:v>P1 近期做</x:v>
      </x:c>
      <x:c r="AB905" s="9" t="str">
        <x:f>IF(Y905&gt;=15,"先做合规/相关性复核，不建议直接商业导流",IF(L905="主站","建/优化主站商业页",IF(L905="博客A-知识教程","写知识教程/FAQ文章",IF(L905="博客B-场景人群","写场景需求/选购指南文章",IF(L905="博客C-对比评测","写对比评测/榜单文章","暂不做或人工复核")))))</x:f>
        <x:v>建/优化主站商业页</x:v>
      </x:c>
      <x:c r="AC905" s="9" t="str">
        <x:v>ice vape</x:v>
      </x:c>
      <x:c r="AD905" s="10" t="str">
        <x:v>48</x:v>
      </x:c>
    </x:row>
    <x:row r="906">
      <x:c r="A906" s="34" t="n">
        <x:v>906</x:v>
      </x:c>
      <x:c r="B906" s="9" t="str">
        <x:v>48</x:v>
      </x:c>
      <x:c r="C906" s="9" t="str">
        <x:v>e cigarettes disposable</x:v>
      </x:c>
      <x:c r="D906" s="9" t="str">
        <x:v>recommended</x:v>
      </x:c>
      <x:c r="E906" s="36" t="n">
        <x:v>70</x:v>
      </x:c>
      <x:c r="F906" s="36" t="n">
        <x:v>33</x:v>
      </x:c>
      <x:c r="G906" s="9" t="str">
        <x:v>informational, commercial</x:v>
      </x:c>
      <x:c r="H906" s="9" t="str">
        <x:v>Disposable Vape</x:v>
      </x:c>
      <x:c r="I906" s="9" t="str">
        <x:v>品类承接词</x:v>
      </x:c>
      <x:c r="J906" s="9" t="str">
        <x:v>主站</x:v>
      </x:c>
      <x:c r="K906" s="9" t="str"/>
      <x:c r="L906" s="9" t="str">
        <x:f>IF(K906="",J906,K906)</x:f>
        <x:v>主站</x:v>
      </x:c>
      <x:c r="M906" s="9" t="str">
        <x:v>品类页/集合页 + FAQ内容块</x:v>
      </x:c>
      <x:c r="N906" s="9" t="str">
        <x:v>主站品类页：用产品集合 + 选购说明承接</x:v>
      </x:c>
      <x:c r="O906" s="9" t="str">
        <x:v>/collections/e-cigarettes</x:v>
      </x:c>
      <x:c r="P906" s="9" t="str">
        <x:v>不适用</x:v>
      </x:c>
      <x:c r="Q906" s="9" t="str">
        <x:v>主站页面自身承接</x:v>
      </x:c>
      <x:c r="R906" s="9" t="str">
        <x:v>核心品类词：主站优先，博客只做长尾解释，不直接抢同一词</x:v>
      </x:c>
      <x:c r="S906" s="9" t="str">
        <x:v>如果 Google 首页产品页和指南混合，主站页要加 FAQ、选购指南、对比模块。</x:v>
      </x:c>
      <x:c r="T906" s="38" t="n">
        <x:v>4</x:v>
      </x:c>
      <x:c r="U906" s="38" t="n">
        <x:v>9</x:v>
      </x:c>
      <x:c r="V906" s="38" t="n">
        <x:v>18</x:v>
      </x:c>
      <x:c r="W906" s="38" t="n">
        <x:v>8</x:v>
      </x:c>
      <x:c r="X906" s="38" t="n">
        <x:v>15</x:v>
      </x:c>
      <x:c r="Y906" s="38" t="n">
        <x:v>4</x:v>
      </x:c>
      <x:c r="Z906" s="38" t="n">
        <x:f>MAX(0,MIN(100,ROUND(((T906+U906+V906+W906+X906)-Y906)/85*100,0)))</x:f>
        <x:v>59</x:v>
      </x:c>
      <x:c r="AA906" s="9" t="str">
        <x:f>IF(L906="暂不做","P3 暂缓",IF(Z906&gt;=75,"P0 本周做",IF(Z906&gt;=60,"P1 近期做",IF(Z906&gt;=45,"P2 备选","P3 暂缓"))))</x:f>
        <x:v>P2 备选</x:v>
      </x:c>
      <x:c r="AB906" s="9" t="str">
        <x:f>IF(Y906&gt;=15,"先做合规/相关性复核，不建议直接商业导流",IF(L906="主站","建/优化主站商业页",IF(L906="博客A-知识教程","写知识教程/FAQ文章",IF(L906="博客B-场景人群","写场景需求/选购指南文章",IF(L906="博客C-对比评测","写对比评测/榜单文章","暂不做或人工复核")))))</x:f>
        <x:v>建/优化主站商业页</x:v>
      </x:c>
      <x:c r="AC906" s="9" t="str">
        <x:v>ice vape</x:v>
      </x:c>
      <x:c r="AD906" s="10" t="str">
        <x:v>48</x:v>
      </x:c>
    </x:row>
    <x:row r="907">
      <x:c r="A907" s="34" t="n">
        <x:v>907</x:v>
      </x:c>
      <x:c r="B907" s="9" t="str">
        <x:v>48</x:v>
      </x:c>
      <x:c r="C907" s="9" t="str">
        <x:v>vapes mint</x:v>
      </x:c>
      <x:c r="D907" s="9" t="str">
        <x:v>recommended</x:v>
      </x:c>
      <x:c r="E907" s="36" t="n">
        <x:v>50</x:v>
      </x:c>
      <x:c r="F907" s="36" t="n">
        <x:v>7</x:v>
      </x:c>
      <x:c r="G907" s="9" t="str">
        <x:v>informational</x:v>
      </x:c>
      <x:c r="H907" s="9" t="str">
        <x:v>General Vape</x:v>
      </x:c>
      <x:c r="I907" s="9" t="str">
        <x:v>品类承接词</x:v>
      </x:c>
      <x:c r="J907" s="9" t="str">
        <x:v>主站</x:v>
      </x:c>
      <x:c r="K907" s="9" t="str"/>
      <x:c r="L907" s="9" t="str">
        <x:f>IF(K907="",J907,K907)</x:f>
        <x:v>主站</x:v>
      </x:c>
      <x:c r="M907" s="9" t="str">
        <x:v>品类页/集合页 + FAQ内容块</x:v>
      </x:c>
      <x:c r="N907" s="9" t="str">
        <x:v>主站品类页：用产品集合 + 选购说明承接</x:v>
      </x:c>
      <x:c r="O907" s="9" t="str">
        <x:v>/collections/disposable-vapes</x:v>
      </x:c>
      <x:c r="P907" s="9" t="str">
        <x:v>不适用</x:v>
      </x:c>
      <x:c r="Q907" s="9" t="str">
        <x:v>主站页面自身承接</x:v>
      </x:c>
      <x:c r="R907" s="9" t="str">
        <x:v>核心品类词：主站优先，博客只做长尾解释，不直接抢同一词</x:v>
      </x:c>
      <x:c r="S907" s="9" t="str">
        <x:v>如果 Google 首页产品页和指南混合，主站页要加 FAQ、选购指南、对比模块。</x:v>
      </x:c>
      <x:c r="T907" s="38" t="n">
        <x:v>4</x:v>
      </x:c>
      <x:c r="U907" s="38" t="n">
        <x:v>15</x:v>
      </x:c>
      <x:c r="V907" s="38" t="n">
        <x:v>16</x:v>
      </x:c>
      <x:c r="W907" s="38" t="n">
        <x:v>8</x:v>
      </x:c>
      <x:c r="X907" s="38" t="n">
        <x:v>15</x:v>
      </x:c>
      <x:c r="Y907" s="38" t="n">
        <x:v>4</x:v>
      </x:c>
      <x:c r="Z907" s="38" t="n">
        <x:f>MAX(0,MIN(100,ROUND(((T907+U907+V907+W907+X907)-Y907)/85*100,0)))</x:f>
        <x:v>64</x:v>
      </x:c>
      <x:c r="AA907" s="9" t="str">
        <x:f>IF(L907="暂不做","P3 暂缓",IF(Z907&gt;=75,"P0 本周做",IF(Z907&gt;=60,"P1 近期做",IF(Z907&gt;=45,"P2 备选","P3 暂缓"))))</x:f>
        <x:v>P1 近期做</x:v>
      </x:c>
      <x:c r="AB907" s="9" t="str">
        <x:f>IF(Y907&gt;=15,"先做合规/相关性复核，不建议直接商业导流",IF(L907="主站","建/优化主站商业页",IF(L907="博客A-知识教程","写知识教程/FAQ文章",IF(L907="博客B-场景人群","写场景需求/选购指南文章",IF(L907="博客C-对比评测","写对比评测/榜单文章","暂不做或人工复核")))))</x:f>
        <x:v>建/优化主站商业页</x:v>
      </x:c>
      <x:c r="AC907" s="9" t="str">
        <x:v>ice vape</x:v>
      </x:c>
      <x:c r="AD907" s="10" t="str">
        <x:v>48</x:v>
      </x:c>
    </x:row>
    <x:row r="908">
      <x:c r="A908" s="34" t="n">
        <x:v>908</x:v>
      </x:c>
      <x:c r="B908" s="9" t="str">
        <x:v>48</x:v>
      </x:c>
      <x:c r="C908" s="9" t="str">
        <x:v>best ecigarettes</x:v>
      </x:c>
      <x:c r="D908" s="9" t="str">
        <x:v>recommended</x:v>
      </x:c>
      <x:c r="E908" s="36" t="n">
        <x:v>90</x:v>
      </x:c>
      <x:c r="F908" s="36" t="n">
        <x:v>40</x:v>
      </x:c>
      <x:c r="G908" s="9" t="str">
        <x:v>commercial</x:v>
      </x:c>
      <x:c r="H908" s="9" t="str">
        <x:v>E-Cigarette</x:v>
      </x:c>
      <x:c r="I908" s="9" t="str">
        <x:v>商业调查词</x:v>
      </x:c>
      <x:c r="J908" s="9" t="str">
        <x:v>博客C-对比评测</x:v>
      </x:c>
      <x:c r="K908" s="9" t="str"/>
      <x:c r="L908" s="9" t="str">
        <x:f>IF(K908="",J908,K908)</x:f>
        <x:v>博客C-对比评测</x:v>
      </x:c>
      <x:c r="M908" s="9" t="str">
        <x:v>Best/Top/Review/VS/替代方案文章</x:v>
      </x:c>
      <x:c r="N908" s="9" t="str">
        <x:v>Best angle: best ecigarettes - comparison, pros/cons, and which option fits different buyers</x:v>
      </x:c>
      <x:c r="O908" s="9" t="str">
        <x:v>/collections/e-cigarettes</x:v>
      </x:c>
      <x:c r="P908" s="9" t="str">
        <x:v>是</x:v>
      </x:c>
      <x:c r="Q908" s="9" t="str">
        <x:v>自然句/品类词/品牌词</x:v>
      </x:c>
      <x:c r="R908" s="9" t="str">
        <x:v>中风险：榜单和评测必须真实、中立，避免夸大</x:v>
      </x:c>
      <x:c r="S908" s="9" t="str">
        <x:v>这类词不直接给主站，先用博客C教育和比较，再导流到最相关集合页。</x:v>
      </x:c>
      <x:c r="T908" s="38" t="n">
        <x:v>4</x:v>
      </x:c>
      <x:c r="U908" s="38" t="n">
        <x:v>9</x:v>
      </x:c>
      <x:c r="V908" s="38" t="n">
        <x:v>16</x:v>
      </x:c>
      <x:c r="W908" s="38" t="n">
        <x:v>15</x:v>
      </x:c>
      <x:c r="X908" s="38" t="n">
        <x:v>13</x:v>
      </x:c>
      <x:c r="Y908" s="38" t="n">
        <x:v>6</x:v>
      </x:c>
      <x:c r="Z908" s="38" t="n">
        <x:f>MAX(0,MIN(100,ROUND(((T908+U908+V908+W908+X908)-Y908)/85*100,0)))</x:f>
        <x:v>60</x:v>
      </x:c>
      <x:c r="AA908" s="9" t="str">
        <x:f>IF(L908="暂不做","P3 暂缓",IF(Z908&gt;=75,"P0 本周做",IF(Z908&gt;=60,"P1 近期做",IF(Z908&gt;=45,"P2 备选","P3 暂缓"))))</x:f>
        <x:v>P1 近期做</x:v>
      </x:c>
      <x:c r="AB908" s="9" t="str">
        <x:f>IF(Y908&gt;=15,"先做合规/相关性复核，不建议直接商业导流",IF(L908="主站","建/优化主站商业页",IF(L908="博客A-知识教程","写知识教程/FAQ文章",IF(L908="博客B-场景人群","写场景需求/选购指南文章",IF(L908="博客C-对比评测","写对比评测/榜单文章","暂不做或人工复核")))))</x:f>
        <x:v>写对比评测/榜单文章</x:v>
      </x:c>
      <x:c r="AC908" s="9" t="str">
        <x:v>ice vape</x:v>
      </x:c>
      <x:c r="AD908" s="10" t="str">
        <x:v>48</x:v>
      </x:c>
    </x:row>
    <x:row r="909">
      <x:c r="A909" s="34" t="n">
        <x:v>909</x:v>
      </x:c>
      <x:c r="B909" s="9" t="str">
        <x:v>48</x:v>
      </x:c>
      <x:c r="C909" s="9" t="str">
        <x:v>fruity disposable vape</x:v>
      </x:c>
      <x:c r="D909" s="9" t="str">
        <x:v>recommended</x:v>
      </x:c>
      <x:c r="E909" s="36" t="n">
        <x:v>40</x:v>
      </x:c>
      <x:c r="F909" s="36" t="n">
        <x:v>0</x:v>
      </x:c>
      <x:c r="G909" s="9" t="str">
        <x:v>informational</x:v>
      </x:c>
      <x:c r="H909" s="9" t="str">
        <x:v>Disposable Vape</x:v>
      </x:c>
      <x:c r="I909" s="9" t="str">
        <x:v>品类承接词</x:v>
      </x:c>
      <x:c r="J909" s="9" t="str">
        <x:v>主站</x:v>
      </x:c>
      <x:c r="K909" s="9" t="str"/>
      <x:c r="L909" s="9" t="str">
        <x:f>IF(K909="",J909,K909)</x:f>
        <x:v>主站</x:v>
      </x:c>
      <x:c r="M909" s="9" t="str">
        <x:v>品类页/集合页 + FAQ内容块</x:v>
      </x:c>
      <x:c r="N909" s="9" t="str">
        <x:v>主站品类页：用产品集合 + 选购说明承接</x:v>
      </x:c>
      <x:c r="O909" s="9" t="str">
        <x:v>/collections/disposable-vapes</x:v>
      </x:c>
      <x:c r="P909" s="9" t="str">
        <x:v>不适用</x:v>
      </x:c>
      <x:c r="Q909" s="9" t="str">
        <x:v>主站页面自身承接</x:v>
      </x:c>
      <x:c r="R909" s="9" t="str">
        <x:v>核心品类词：主站优先，博客只做长尾解释，不直接抢同一词</x:v>
      </x:c>
      <x:c r="S909" s="9" t="str">
        <x:v>如果 Google 首页产品页和指南混合，主站页要加 FAQ、选购指南、对比模块。</x:v>
      </x:c>
      <x:c r="T909" s="38" t="n">
        <x:v>4</x:v>
      </x:c>
      <x:c r="U909" s="38" t="n">
        <x:v>15</x:v>
      </x:c>
      <x:c r="V909" s="38" t="n">
        <x:v>16</x:v>
      </x:c>
      <x:c r="W909" s="38" t="n">
        <x:v>8</x:v>
      </x:c>
      <x:c r="X909" s="38" t="n">
        <x:v>15</x:v>
      </x:c>
      <x:c r="Y909" s="38" t="n">
        <x:v>4</x:v>
      </x:c>
      <x:c r="Z909" s="38" t="n">
        <x:f>MAX(0,MIN(100,ROUND(((T909+U909+V909+W909+X909)-Y909)/85*100,0)))</x:f>
        <x:v>64</x:v>
      </x:c>
      <x:c r="AA909" s="9" t="str">
        <x:f>IF(L909="暂不做","P3 暂缓",IF(Z909&gt;=75,"P0 本周做",IF(Z909&gt;=60,"P1 近期做",IF(Z909&gt;=45,"P2 备选","P3 暂缓"))))</x:f>
        <x:v>P1 近期做</x:v>
      </x:c>
      <x:c r="AB909" s="9" t="str">
        <x:f>IF(Y909&gt;=15,"先做合规/相关性复核，不建议直接商业导流",IF(L909="主站","建/优化主站商业页",IF(L909="博客A-知识教程","写知识教程/FAQ文章",IF(L909="博客B-场景人群","写场景需求/选购指南文章",IF(L909="博客C-对比评测","写对比评测/榜单文章","暂不做或人工复核")))))</x:f>
        <x:v>建/优化主站商业页</x:v>
      </x:c>
      <x:c r="AC909" s="9" t="str">
        <x:v>ice vape</x:v>
      </x:c>
      <x:c r="AD909" s="10" t="str">
        <x:v>48</x:v>
      </x:c>
    </x:row>
    <x:row r="910">
      <x:c r="A910" s="34" t="n">
        <x:v>910</x:v>
      </x:c>
      <x:c r="B910" s="9" t="str">
        <x:v>48</x:v>
      </x:c>
      <x:c r="C910" s="9" t="str">
        <x:v>vap brands</x:v>
      </x:c>
      <x:c r="D910" s="9" t="str">
        <x:v>recommended</x:v>
      </x:c>
      <x:c r="E910" s="36" t="n">
        <x:v>50</x:v>
      </x:c>
      <x:c r="F910" s="36" t="n">
        <x:v>31</x:v>
      </x:c>
      <x:c r="G910" s="9" t="str">
        <x:v>informational, commercial</x:v>
      </x:c>
      <x:c r="H910" s="9" t="str">
        <x:v>对比评测</x:v>
      </x:c>
      <x:c r="I910" s="9" t="str">
        <x:v>商业调查词</x:v>
      </x:c>
      <x:c r="J910" s="9" t="str">
        <x:v>博客C-对比评测</x:v>
      </x:c>
      <x:c r="K910" s="9" t="str"/>
      <x:c r="L910" s="9" t="str">
        <x:f>IF(K910="",J910,K910)</x:f>
        <x:v>博客C-对比评测</x:v>
      </x:c>
      <x:c r="M910" s="9" t="str">
        <x:v>Best/Top/Review/VS/替代方案文章</x:v>
      </x:c>
      <x:c r="N910" s="9" t="str">
        <x:v>Best angle: vap brands - comparison, pros/cons, and which option fits different buyers</x:v>
      </x:c>
      <x:c r="O910" s="9" t="str">
        <x:v>/collections/disposable-vapes</x:v>
      </x:c>
      <x:c r="P910" s="9" t="str">
        <x:v>是</x:v>
      </x:c>
      <x:c r="Q910" s="9" t="str">
        <x:v>自然句/品类词/品牌词</x:v>
      </x:c>
      <x:c r="R910" s="9" t="str">
        <x:v>中风险：榜单和评测必须真实、中立，避免夸大</x:v>
      </x:c>
      <x:c r="S910" s="9" t="str">
        <x:v>这类词不直接给主站，先用博客C教育和比较，再导流到最相关集合页。</x:v>
      </x:c>
      <x:c r="T910" s="38" t="n">
        <x:v>4</x:v>
      </x:c>
      <x:c r="U910" s="38" t="n">
        <x:v>9</x:v>
      </x:c>
      <x:c r="V910" s="38" t="n">
        <x:v>16</x:v>
      </x:c>
      <x:c r="W910" s="38" t="n">
        <x:v>15</x:v>
      </x:c>
      <x:c r="X910" s="38" t="n">
        <x:v>13</x:v>
      </x:c>
      <x:c r="Y910" s="38" t="n">
        <x:v>6</x:v>
      </x:c>
      <x:c r="Z910" s="38" t="n">
        <x:f>MAX(0,MIN(100,ROUND(((T910+U910+V910+W910+X910)-Y910)/85*100,0)))</x:f>
        <x:v>60</x:v>
      </x:c>
      <x:c r="AA910" s="9" t="str">
        <x:f>IF(L910="暂不做","P3 暂缓",IF(Z910&gt;=75,"P0 本周做",IF(Z910&gt;=60,"P1 近期做",IF(Z910&gt;=45,"P2 备选","P3 暂缓"))))</x:f>
        <x:v>P1 近期做</x:v>
      </x:c>
      <x:c r="AB910" s="9" t="str">
        <x:f>IF(Y910&gt;=15,"先做合规/相关性复核，不建议直接商业导流",IF(L910="主站","建/优化主站商业页",IF(L910="博客A-知识教程","写知识教程/FAQ文章",IF(L910="博客B-场景人群","写场景需求/选购指南文章",IF(L910="博客C-对比评测","写对比评测/榜单文章","暂不做或人工复核")))))</x:f>
        <x:v>写对比评测/榜单文章</x:v>
      </x:c>
      <x:c r="AC910" s="9" t="str">
        <x:v>ice vape</x:v>
      </x:c>
      <x:c r="AD910" s="10" t="str">
        <x:v>48</x:v>
      </x:c>
    </x:row>
    <x:row r="911">
      <x:c r="A911" s="34" t="n">
        <x:v>911</x:v>
      </x:c>
      <x:c r="B911" s="9" t="str">
        <x:v>48</x:v>
      </x:c>
      <x:c r="C911" s="9" t="str">
        <x:v>my flavor vapes</x:v>
      </x:c>
      <x:c r="D911" s="9" t="str">
        <x:v>recommended</x:v>
      </x:c>
      <x:c r="E911" s="36" t="n">
        <x:v>40</x:v>
      </x:c>
      <x:c r="F911" s="36" t="n">
        <x:v>0</x:v>
      </x:c>
      <x:c r="G911" s="9" t="str">
        <x:v>informational, commercial</x:v>
      </x:c>
      <x:c r="H911" s="9" t="str">
        <x:v>Flavor / 口味</x:v>
      </x:c>
      <x:c r="I911" s="9" t="str">
        <x:v>品类承接词</x:v>
      </x:c>
      <x:c r="J911" s="9" t="str">
        <x:v>主站</x:v>
      </x:c>
      <x:c r="K911" s="9" t="str"/>
      <x:c r="L911" s="9" t="str">
        <x:f>IF(K911="",J911,K911)</x:f>
        <x:v>主站</x:v>
      </x:c>
      <x:c r="M911" s="9" t="str">
        <x:v>品类页/集合页 + FAQ内容块</x:v>
      </x:c>
      <x:c r="N911" s="9" t="str">
        <x:v>主站品类页：用产品集合 + 选购说明承接</x:v>
      </x:c>
      <x:c r="O911" s="9" t="str">
        <x:v>/collections/flavored-disposable-vapes</x:v>
      </x:c>
      <x:c r="P911" s="9" t="str">
        <x:v>不适用</x:v>
      </x:c>
      <x:c r="Q911" s="9" t="str">
        <x:v>主站页面自身承接</x:v>
      </x:c>
      <x:c r="R911" s="9" t="str">
        <x:v>核心品类词：主站优先，博客只做长尾解释，不直接抢同一词</x:v>
      </x:c>
      <x:c r="S911" s="9" t="str">
        <x:v>如果 Google 首页产品页和指南混合，主站页要加 FAQ、选购指南、对比模块。</x:v>
      </x:c>
      <x:c r="T911" s="38" t="n">
        <x:v>4</x:v>
      </x:c>
      <x:c r="U911" s="38" t="n">
        <x:v>15</x:v>
      </x:c>
      <x:c r="V911" s="38" t="n">
        <x:v>18</x:v>
      </x:c>
      <x:c r="W911" s="38" t="n">
        <x:v>8</x:v>
      </x:c>
      <x:c r="X911" s="38" t="n">
        <x:v>15</x:v>
      </x:c>
      <x:c r="Y911" s="38" t="n">
        <x:v>4</x:v>
      </x:c>
      <x:c r="Z911" s="38" t="n">
        <x:f>MAX(0,MIN(100,ROUND(((T911+U911+V911+W911+X911)-Y911)/85*100,0)))</x:f>
        <x:v>66</x:v>
      </x:c>
      <x:c r="AA911" s="9" t="str">
        <x:f>IF(L911="暂不做","P3 暂缓",IF(Z911&gt;=75,"P0 本周做",IF(Z911&gt;=60,"P1 近期做",IF(Z911&gt;=45,"P2 备选","P3 暂缓"))))</x:f>
        <x:v>P1 近期做</x:v>
      </x:c>
      <x:c r="AB911" s="9" t="str">
        <x:f>IF(Y911&gt;=15,"先做合规/相关性复核，不建议直接商业导流",IF(L911="主站","建/优化主站商业页",IF(L911="博客A-知识教程","写知识教程/FAQ文章",IF(L911="博客B-场景人群","写场景需求/选购指南文章",IF(L911="博客C-对比评测","写对比评测/榜单文章","暂不做或人工复核")))))</x:f>
        <x:v>建/优化主站商业页</x:v>
      </x:c>
      <x:c r="AC911" s="9" t="str">
        <x:v>ice vape</x:v>
      </x:c>
      <x:c r="AD911" s="10" t="str">
        <x:v>48</x:v>
      </x:c>
    </x:row>
    <x:row r="912">
      <x:c r="A912" s="34" t="n">
        <x:v>912</x:v>
      </x:c>
      <x:c r="B912" s="9" t="str">
        <x:v>48</x:v>
      </x:c>
      <x:c r="C912" s="9" t="str">
        <x:v>flavored vapes for sale</x:v>
      </x:c>
      <x:c r="D912" s="9" t="str">
        <x:v>recommended</x:v>
      </x:c>
      <x:c r="E912" s="36" t="n">
        <x:v>40</x:v>
      </x:c>
      <x:c r="F912" s="36" t="n">
        <x:v>32</x:v>
      </x:c>
      <x:c r="G912" s="9" t="str">
        <x:v>transactional</x:v>
      </x:c>
      <x:c r="H912" s="9" t="str">
        <x:v>Flavor / 口味</x:v>
      </x:c>
      <x:c r="I912" s="9" t="str">
        <x:v>交易词</x:v>
      </x:c>
      <x:c r="J912" s="9" t="str">
        <x:v>主站</x:v>
      </x:c>
      <x:c r="K912" s="9" t="str"/>
      <x:c r="L912" s="9" t="str">
        <x:f>IF(K912="",J912,K912)</x:f>
        <x:v>主站</x:v>
      </x:c>
      <x:c r="M912" s="9" t="str">
        <x:v>产品集合页/分类页/购买页</x:v>
      </x:c>
      <x:c r="N912" s="9" t="str">
        <x:v>主站商业页：标题围绕购买意图 + 品类 + 关键卖点</x:v>
      </x:c>
      <x:c r="O912" s="9" t="str">
        <x:v>/collections/flavored-disposable-vapes</x:v>
      </x:c>
      <x:c r="P912" s="9" t="str">
        <x:v>不适用</x:v>
      </x:c>
      <x:c r="Q912" s="9" t="str">
        <x:v>主站页面自身承接</x:v>
      </x:c>
      <x:c r="R912" s="9" t="str">
        <x:v>商业词：优先给主站，避免博客抢主站排名</x:v>
      </x:c>
      <x:c r="S912" s="9" t="str">
        <x:v>SERP 如为商品列表/品牌站/电商集合页，就建主站页面；若 SERP 全是教程，再拆支持文章。</x:v>
      </x:c>
      <x:c r="T912" s="38" t="n">
        <x:v>4</x:v>
      </x:c>
      <x:c r="U912" s="38" t="n">
        <x:v>9</x:v>
      </x:c>
      <x:c r="V912" s="38" t="n">
        <x:v>20</x:v>
      </x:c>
      <x:c r="W912" s="38" t="n">
        <x:v>7</x:v>
      </x:c>
      <x:c r="X912" s="38" t="n">
        <x:v>15</x:v>
      </x:c>
      <x:c r="Y912" s="38" t="n">
        <x:v>4</x:v>
      </x:c>
      <x:c r="Z912" s="38" t="n">
        <x:f>MAX(0,MIN(100,ROUND(((T912+U912+V912+W912+X912)-Y912)/85*100,0)))</x:f>
        <x:v>60</x:v>
      </x:c>
      <x:c r="AA912" s="9" t="str">
        <x:f>IF(L912="暂不做","P3 暂缓",IF(Z912&gt;=75,"P0 本周做",IF(Z912&gt;=60,"P1 近期做",IF(Z912&gt;=45,"P2 备选","P3 暂缓"))))</x:f>
        <x:v>P1 近期做</x:v>
      </x:c>
      <x:c r="AB912" s="9" t="str">
        <x:f>IF(Y912&gt;=15,"先做合规/相关性复核，不建议直接商业导流",IF(L912="主站","建/优化主站商业页",IF(L912="博客A-知识教程","写知识教程/FAQ文章",IF(L912="博客B-场景人群","写场景需求/选购指南文章",IF(L912="博客C-对比评测","写对比评测/榜单文章","暂不做或人工复核")))))</x:f>
        <x:v>建/优化主站商业页</x:v>
      </x:c>
      <x:c r="AC912" s="9" t="str">
        <x:v>ice vape</x:v>
      </x:c>
      <x:c r="AD912" s="10" t="str">
        <x:v>48</x:v>
      </x:c>
    </x:row>
    <x:row r="913">
      <x:c r="A913" s="34" t="n">
        <x:v>913</x:v>
      </x:c>
      <x:c r="B913" s="9" t="str">
        <x:v>48</x:v>
      </x:c>
      <x:c r="C913" s="9" t="str">
        <x:v>premium vape liquid</x:v>
      </x:c>
      <x:c r="D913" s="9" t="str">
        <x:v>recommended</x:v>
      </x:c>
      <x:c r="E913" s="36" t="n">
        <x:v>40</x:v>
      </x:c>
      <x:c r="F913" s="36" t="n">
        <x:v>41</x:v>
      </x:c>
      <x:c r="G913" s="9" t="str">
        <x:v>transactional</x:v>
      </x:c>
      <x:c r="H913" s="9" t="str">
        <x:v>General Vape</x:v>
      </x:c>
      <x:c r="I913" s="9" t="str">
        <x:v>交易词</x:v>
      </x:c>
      <x:c r="J913" s="9" t="str">
        <x:v>主站</x:v>
      </x:c>
      <x:c r="K913" s="9" t="str"/>
      <x:c r="L913" s="9" t="str">
        <x:f>IF(K913="",J913,K913)</x:f>
        <x:v>主站</x:v>
      </x:c>
      <x:c r="M913" s="9" t="str">
        <x:v>产品集合页/分类页/购买页</x:v>
      </x:c>
      <x:c r="N913" s="9" t="str">
        <x:v>主站商业页：标题围绕购买意图 + 品类 + 关键卖点</x:v>
      </x:c>
      <x:c r="O913" s="9" t="str">
        <x:v>/collections/disposable-vapes</x:v>
      </x:c>
      <x:c r="P913" s="9" t="str">
        <x:v>不适用</x:v>
      </x:c>
      <x:c r="Q913" s="9" t="str">
        <x:v>主站页面自身承接</x:v>
      </x:c>
      <x:c r="R913" s="9" t="str">
        <x:v>商业词：优先给主站，避免博客抢主站排名</x:v>
      </x:c>
      <x:c r="S913" s="9" t="str">
        <x:v>SERP 如为商品列表/品牌站/电商集合页，就建主站页面；若 SERP 全是教程，再拆支持文章。</x:v>
      </x:c>
      <x:c r="T913" s="38" t="n">
        <x:v>4</x:v>
      </x:c>
      <x:c r="U913" s="38" t="n">
        <x:v>9</x:v>
      </x:c>
      <x:c r="V913" s="38" t="n">
        <x:v>20</x:v>
      </x:c>
      <x:c r="W913" s="38" t="n">
        <x:v>7</x:v>
      </x:c>
      <x:c r="X913" s="38" t="n">
        <x:v>15</x:v>
      </x:c>
      <x:c r="Y913" s="38" t="n">
        <x:v>4</x:v>
      </x:c>
      <x:c r="Z913" s="38" t="n">
        <x:f>MAX(0,MIN(100,ROUND(((T913+U913+V913+W913+X913)-Y913)/85*100,0)))</x:f>
        <x:v>60</x:v>
      </x:c>
      <x:c r="AA913" s="9" t="str">
        <x:f>IF(L913="暂不做","P3 暂缓",IF(Z913&gt;=75,"P0 本周做",IF(Z913&gt;=60,"P1 近期做",IF(Z913&gt;=45,"P2 备选","P3 暂缓"))))</x:f>
        <x:v>P1 近期做</x:v>
      </x:c>
      <x:c r="AB913" s="9" t="str">
        <x:f>IF(Y913&gt;=15,"先做合规/相关性复核，不建议直接商业导流",IF(L913="主站","建/优化主站商业页",IF(L913="博客A-知识教程","写知识教程/FAQ文章",IF(L913="博客B-场景人群","写场景需求/选购指南文章",IF(L913="博客C-对比评测","写对比评测/榜单文章","暂不做或人工复核")))))</x:f>
        <x:v>建/优化主站商业页</x:v>
      </x:c>
      <x:c r="AC913" s="9" t="str">
        <x:v>ice vape</x:v>
      </x:c>
      <x:c r="AD913" s="10" t="str">
        <x:v>48</x:v>
      </x:c>
    </x:row>
    <x:row r="914">
      <x:c r="A914" s="34" t="n">
        <x:v>914</x:v>
      </x:c>
      <x:c r="B914" s="9" t="str">
        <x:v>48</x:v>
      </x:c>
      <x:c r="C914" s="9" t="str">
        <x:v>e cigarette flavors</x:v>
      </x:c>
      <x:c r="D914" s="9" t="str">
        <x:v>recommended</x:v>
      </x:c>
      <x:c r="E914" s="36" t="n">
        <x:v>70</x:v>
      </x:c>
      <x:c r="F914" s="36" t="n">
        <x:v>42</x:v>
      </x:c>
      <x:c r="G914" s="9" t="str">
        <x:v>informational</x:v>
      </x:c>
      <x:c r="H914" s="9" t="str">
        <x:v>Flavor / 口味</x:v>
      </x:c>
      <x:c r="I914" s="9" t="str">
        <x:v>场景/需求词</x:v>
      </x:c>
      <x:c r="J914" s="9" t="str">
        <x:v>博客B-场景人群</x:v>
      </x:c>
      <x:c r="K914" s="9" t="str"/>
      <x:c r="L914" s="9" t="str">
        <x:f>IF(K914="",J914,K914)</x:f>
        <x:v>博客B-场景人群</x:v>
      </x:c>
      <x:c r="M914" s="9" t="str">
        <x:v>场景解决方案/选购指南文章</x:v>
      </x:c>
      <x:c r="N914" s="9" t="str">
        <x:v>Scenario angle: how to choose e cigarette flavors based on use case, flavor, nicotine, and budget</x:v>
      </x:c>
      <x:c r="O914" s="9" t="str">
        <x:v>/collections/flavored-disposable-vapes</x:v>
      </x:c>
      <x:c r="P914" s="9" t="str">
        <x:v>是</x:v>
      </x:c>
      <x:c r="Q914" s="9" t="str">
        <x:v>自然句/品类词</x:v>
      </x:c>
      <x:c r="R914" s="9" t="str">
        <x:v>低中风险：适合软性导流，但不要夸大效果或触碰健康疗效</x:v>
      </x:c>
      <x:c r="S914" s="9" t="str">
        <x:v>围绕使用场景、口味、尼古丁需求、便携性等写，不和主站品类页抢词。</x:v>
      </x:c>
      <x:c r="T914" s="38" t="n">
        <x:v>4</x:v>
      </x:c>
      <x:c r="U914" s="38" t="n">
        <x:v>9</x:v>
      </x:c>
      <x:c r="V914" s="38" t="n">
        <x:v>13</x:v>
      </x:c>
      <x:c r="W914" s="38" t="n">
        <x:v>14</x:v>
      </x:c>
      <x:c r="X914" s="38" t="n">
        <x:v>13</x:v>
      </x:c>
      <x:c r="Y914" s="38" t="n">
        <x:v>5</x:v>
      </x:c>
      <x:c r="Z914" s="38" t="n">
        <x:f>MAX(0,MIN(100,ROUND(((T914+U914+V914+W914+X914)-Y914)/85*100,0)))</x:f>
        <x:v>56</x:v>
      </x:c>
      <x:c r="AA914" s="9" t="str">
        <x:f>IF(L914="暂不做","P3 暂缓",IF(Z914&gt;=75,"P0 本周做",IF(Z914&gt;=60,"P1 近期做",IF(Z914&gt;=45,"P2 备选","P3 暂缓"))))</x:f>
        <x:v>P2 备选</x:v>
      </x:c>
      <x:c r="AB914" s="9" t="str">
        <x:f>IF(Y914&gt;=15,"先做合规/相关性复核，不建议直接商业导流",IF(L914="主站","建/优化主站商业页",IF(L914="博客A-知识教程","写知识教程/FAQ文章",IF(L914="博客B-场景人群","写场景需求/选购指南文章",IF(L914="博客C-对比评测","写对比评测/榜单文章","暂不做或人工复核")))))</x:f>
        <x:v>写场景需求/选购指南文章</x:v>
      </x:c>
      <x:c r="AC914" s="9" t="str">
        <x:v>ice vape</x:v>
      </x:c>
      <x:c r="AD914" s="10" t="str">
        <x:v>48</x:v>
      </x:c>
    </x:row>
    <x:row r="915">
      <x:c r="A915" s="34" t="n">
        <x:v>915</x:v>
      </x:c>
      <x:c r="B915" s="9" t="str">
        <x:v>48</x:v>
      </x:c>
      <x:c r="C915" s="9" t="str">
        <x:v>vape banana</x:v>
      </x:c>
      <x:c r="D915" s="9" t="str">
        <x:v>recommended</x:v>
      </x:c>
      <x:c r="E915" s="36" t="n">
        <x:v>70</x:v>
      </x:c>
      <x:c r="F915" s="36" t="n">
        <x:v>19</x:v>
      </x:c>
      <x:c r="G915" s="9" t="str">
        <x:v>informational</x:v>
      </x:c>
      <x:c r="H915" s="9" t="str">
        <x:v>合规科普</x:v>
      </x:c>
      <x:c r="I915" s="9" t="str">
        <x:v>合规/YMYL科普词</x:v>
      </x:c>
      <x:c r="J915" s="9" t="str">
        <x:v>博客A-知识教程</x:v>
      </x:c>
      <x:c r="K915" s="9" t="str"/>
      <x:c r="L915" s="9" t="str">
        <x:f>IF(K915="",J915,K915)</x:f>
        <x:v>博客A-知识教程</x:v>
      </x:c>
      <x:c r="M915" s="9" t="str">
        <x:v>合规/健康风险科普文章</x:v>
      </x:c>
      <x:c r="N915" s="9" t="str">
        <x:v>Guide angle: explain vape banana, answer common questions, and avoid sales-first writing</x:v>
      </x:c>
      <x:c r="O915" s="9" t="str">
        <x:v>无商业内链</x:v>
      </x:c>
      <x:c r="P915" s="9" t="str">
        <x:v>否</x:v>
      </x:c>
      <x:c r="Q915" s="9" t="str">
        <x:v>不导流</x:v>
      </x:c>
      <x:c r="R915" s="9" t="str">
        <x:v>高风险：健康、戒烟、法律等 YMYL 主题，不写疗效承诺，不直接卖货</x:v>
      </x:c>
      <x:c r="S915" s="9" t="str">
        <x:v>需要引用权威资料，语气中立；如果不能做到合规审核，暂缓。</x:v>
      </x:c>
      <x:c r="T915" s="38" t="n">
        <x:v>4</x:v>
      </x:c>
      <x:c r="U915" s="38" t="n">
        <x:v>12</x:v>
      </x:c>
      <x:c r="V915" s="38" t="n">
        <x:v>4</x:v>
      </x:c>
      <x:c r="W915" s="38" t="n">
        <x:v>10</x:v>
      </x:c>
      <x:c r="X915" s="38" t="n">
        <x:v>8</x:v>
      </x:c>
      <x:c r="Y915" s="38" t="n">
        <x:v>15</x:v>
      </x:c>
      <x:c r="Z915" s="38" t="n">
        <x:f>MAX(0,MIN(100,ROUND(((T915+U915+V915+W915+X915)-Y915)/85*100,0)))</x:f>
        <x:v>27</x:v>
      </x:c>
      <x:c r="AA915" s="9" t="str">
        <x:f>IF(L915="暂不做","P3 暂缓",IF(Z915&gt;=75,"P0 本周做",IF(Z915&gt;=60,"P1 近期做",IF(Z915&gt;=45,"P2 备选","P3 暂缓"))))</x:f>
        <x:v>P3 暂缓</x:v>
      </x:c>
      <x:c r="AB915" s="9" t="str">
        <x:f>IF(Y915&gt;=15,"先做合规/相关性复核，不建议直接商业导流",IF(L915="主站","建/优化主站商业页",IF(L915="博客A-知识教程","写知识教程/FAQ文章",IF(L915="博客B-场景人群","写场景需求/选购指南文章",IF(L915="博客C-对比评测","写对比评测/榜单文章","暂不做或人工复核")))))</x:f>
        <x:v>先做合规/相关性复核，不建议直接商业导流</x:v>
      </x:c>
      <x:c r="AC915" s="9" t="str">
        <x:v>ice vape</x:v>
      </x:c>
      <x:c r="AD915" s="10" t="str">
        <x:v>48</x:v>
      </x:c>
    </x:row>
    <x:row r="916">
      <x:c r="A916" s="34" t="n">
        <x:v>916</x:v>
      </x:c>
      <x:c r="B916" s="9" t="str">
        <x:v>48</x:v>
      </x:c>
      <x:c r="C916" s="9" t="str">
        <x:v>perfectvape reviews</x:v>
      </x:c>
      <x:c r="D916" s="9" t="str">
        <x:v>recommended</x:v>
      </x:c>
      <x:c r="E916" s="36" t="n">
        <x:v>70</x:v>
      </x:c>
      <x:c r="F916" s="36" t="n">
        <x:v>18</x:v>
      </x:c>
      <x:c r="G916" s="9" t="str">
        <x:v>commercial</x:v>
      </x:c>
      <x:c r="H916" s="9" t="str">
        <x:v>对比评测</x:v>
      </x:c>
      <x:c r="I916" s="9" t="str">
        <x:v>商业调查词</x:v>
      </x:c>
      <x:c r="J916" s="9" t="str">
        <x:v>博客C-对比评测</x:v>
      </x:c>
      <x:c r="K916" s="9" t="str"/>
      <x:c r="L916" s="9" t="str">
        <x:f>IF(K916="",J916,K916)</x:f>
        <x:v>博客C-对比评测</x:v>
      </x:c>
      <x:c r="M916" s="9" t="str">
        <x:v>Best/Top/Review/VS/替代方案文章</x:v>
      </x:c>
      <x:c r="N916" s="9" t="str">
        <x:v>Best angle: perfectvape reviews - comparison, pros/cons, and which option fits different buyers</x:v>
      </x:c>
      <x:c r="O916" s="9" t="str">
        <x:v>/collections/disposable-vapes</x:v>
      </x:c>
      <x:c r="P916" s="9" t="str">
        <x:v>是</x:v>
      </x:c>
      <x:c r="Q916" s="9" t="str">
        <x:v>自然句/品类词/品牌词</x:v>
      </x:c>
      <x:c r="R916" s="9" t="str">
        <x:v>中风险：榜单和评测必须真实、中立，避免夸大</x:v>
      </x:c>
      <x:c r="S916" s="9" t="str">
        <x:v>这类词不直接给主站，先用博客C教育和比较，再导流到最相关集合页。</x:v>
      </x:c>
      <x:c r="T916" s="38" t="n">
        <x:v>4</x:v>
      </x:c>
      <x:c r="U916" s="38" t="n">
        <x:v>12</x:v>
      </x:c>
      <x:c r="V916" s="38" t="n">
        <x:v>16</x:v>
      </x:c>
      <x:c r="W916" s="38" t="n">
        <x:v>15</x:v>
      </x:c>
      <x:c r="X916" s="38" t="n">
        <x:v>13</x:v>
      </x:c>
      <x:c r="Y916" s="38" t="n">
        <x:v>6</x:v>
      </x:c>
      <x:c r="Z916" s="38" t="n">
        <x:f>MAX(0,MIN(100,ROUND(((T916+U916+V916+W916+X916)-Y916)/85*100,0)))</x:f>
        <x:v>64</x:v>
      </x:c>
      <x:c r="AA916" s="9" t="str">
        <x:f>IF(L916="暂不做","P3 暂缓",IF(Z916&gt;=75,"P0 本周做",IF(Z916&gt;=60,"P1 近期做",IF(Z916&gt;=45,"P2 备选","P3 暂缓"))))</x:f>
        <x:v>P1 近期做</x:v>
      </x:c>
      <x:c r="AB916" s="9" t="str">
        <x:f>IF(Y916&gt;=15,"先做合规/相关性复核，不建议直接商业导流",IF(L916="主站","建/优化主站商业页",IF(L916="博客A-知识教程","写知识教程/FAQ文章",IF(L916="博客B-场景人群","写场景需求/选购指南文章",IF(L916="博客C-对比评测","写对比评测/榜单文章","暂不做或人工复核")))))</x:f>
        <x:v>写对比评测/榜单文章</x:v>
      </x:c>
      <x:c r="AC916" s="9" t="str">
        <x:v>ice vape</x:v>
      </x:c>
      <x:c r="AD916" s="10" t="str">
        <x:v>48</x:v>
      </x:c>
    </x:row>
    <x:row r="917">
      <x:c r="A917" s="34" t="n">
        <x:v>917</x:v>
      </x:c>
      <x:c r="B917" s="9" t="str">
        <x:v>48</x:v>
      </x:c>
      <x:c r="C917" s="9" t="str">
        <x:v>free vapes</x:v>
      </x:c>
      <x:c r="D917" s="9" t="str">
        <x:v>recommended</x:v>
      </x:c>
      <x:c r="E917" s="36" t="n">
        <x:v>1900</x:v>
      </x:c>
      <x:c r="F917" s="36" t="n">
        <x:v>9</x:v>
      </x:c>
      <x:c r="G917" s="9" t="str">
        <x:v>informational, commercial</x:v>
      </x:c>
      <x:c r="H917" s="9" t="str">
        <x:v>General Vape</x:v>
      </x:c>
      <x:c r="I917" s="9" t="str">
        <x:v>品类承接词</x:v>
      </x:c>
      <x:c r="J917" s="9" t="str">
        <x:v>主站</x:v>
      </x:c>
      <x:c r="K917" s="9" t="str"/>
      <x:c r="L917" s="9" t="str">
        <x:f>IF(K917="",J917,K917)</x:f>
        <x:v>主站</x:v>
      </x:c>
      <x:c r="M917" s="9" t="str">
        <x:v>品类页/集合页 + FAQ内容块</x:v>
      </x:c>
      <x:c r="N917" s="9" t="str">
        <x:v>主站品类页：用产品集合 + 选购说明承接</x:v>
      </x:c>
      <x:c r="O917" s="9" t="str">
        <x:v>/collections/disposable-vapes</x:v>
      </x:c>
      <x:c r="P917" s="9" t="str">
        <x:v>不适用</x:v>
      </x:c>
      <x:c r="Q917" s="9" t="str">
        <x:v>主站页面自身承接</x:v>
      </x:c>
      <x:c r="R917" s="9" t="str">
        <x:v>核心品类词：主站优先，博客只做长尾解释，不直接抢同一词</x:v>
      </x:c>
      <x:c r="S917" s="9" t="str">
        <x:v>如果 Google 首页产品页和指南混合，主站页要加 FAQ、选购指南、对比模块。</x:v>
      </x:c>
      <x:c r="T917" s="38" t="n">
        <x:v>13</x:v>
      </x:c>
      <x:c r="U917" s="38" t="n">
        <x:v>15</x:v>
      </x:c>
      <x:c r="V917" s="38" t="n">
        <x:v>18</x:v>
      </x:c>
      <x:c r="W917" s="38" t="n">
        <x:v>8</x:v>
      </x:c>
      <x:c r="X917" s="38" t="n">
        <x:v>15</x:v>
      </x:c>
      <x:c r="Y917" s="38" t="n">
        <x:v>4</x:v>
      </x:c>
      <x:c r="Z917" s="38" t="n">
        <x:f>MAX(0,MIN(100,ROUND(((T917+U917+V917+W917+X917)-Y917)/85*100,0)))</x:f>
        <x:v>76</x:v>
      </x:c>
      <x:c r="AA917" s="9" t="str">
        <x:f>IF(L917="暂不做","P3 暂缓",IF(Z917&gt;=75,"P0 本周做",IF(Z917&gt;=60,"P1 近期做",IF(Z917&gt;=45,"P2 备选","P3 暂缓"))))</x:f>
        <x:v>P0 本周做</x:v>
      </x:c>
      <x:c r="AB917" s="9" t="str">
        <x:f>IF(Y917&gt;=15,"先做合规/相关性复核，不建议直接商业导流",IF(L917="主站","建/优化主站商业页",IF(L917="博客A-知识教程","写知识教程/FAQ文章",IF(L917="博客B-场景人群","写场景需求/选购指南文章",IF(L917="博客C-对比评测","写对比评测/榜单文章","暂不做或人工复核")))))</x:f>
        <x:v>建/优化主站商业页</x:v>
      </x:c>
      <x:c r="AC917" s="9" t="str">
        <x:v>ice vape</x:v>
      </x:c>
      <x:c r="AD917" s="10" t="str">
        <x:v>48</x:v>
      </x:c>
    </x:row>
    <x:row r="918">
      <x:c r="A918" s="34" t="n">
        <x:v>918</x:v>
      </x:c>
      <x:c r="B918" s="9" t="str">
        <x:v>48</x:v>
      </x:c>
      <x:c r="C918" s="9" t="str">
        <x:v>50 bar vape</x:v>
      </x:c>
      <x:c r="D918" s="9" t="str">
        <x:v>recommended</x:v>
      </x:c>
      <x:c r="E918" s="36" t="n">
        <x:v>1900</x:v>
      </x:c>
      <x:c r="F918" s="36" t="n">
        <x:v>10</x:v>
      </x:c>
      <x:c r="G918" s="9" t="str">
        <x:v>informational</x:v>
      </x:c>
      <x:c r="H918" s="9" t="str">
        <x:v>General Vape</x:v>
      </x:c>
      <x:c r="I918" s="9" t="str">
        <x:v>品类承接词</x:v>
      </x:c>
      <x:c r="J918" s="9" t="str">
        <x:v>主站</x:v>
      </x:c>
      <x:c r="K918" s="9" t="str"/>
      <x:c r="L918" s="9" t="str">
        <x:f>IF(K918="",J918,K918)</x:f>
        <x:v>主站</x:v>
      </x:c>
      <x:c r="M918" s="9" t="str">
        <x:v>品类页/集合页 + FAQ内容块</x:v>
      </x:c>
      <x:c r="N918" s="9" t="str">
        <x:v>主站品类页：用产品集合 + 选购说明承接</x:v>
      </x:c>
      <x:c r="O918" s="9" t="str">
        <x:v>/collections/disposable-vapes</x:v>
      </x:c>
      <x:c r="P918" s="9" t="str">
        <x:v>不适用</x:v>
      </x:c>
      <x:c r="Q918" s="9" t="str">
        <x:v>主站页面自身承接</x:v>
      </x:c>
      <x:c r="R918" s="9" t="str">
        <x:v>核心品类词：主站优先，博客只做长尾解释，不直接抢同一词</x:v>
      </x:c>
      <x:c r="S918" s="9" t="str">
        <x:v>如果 Google 首页产品页和指南混合，主站页要加 FAQ、选购指南、对比模块。</x:v>
      </x:c>
      <x:c r="T918" s="38" t="n">
        <x:v>13</x:v>
      </x:c>
      <x:c r="U918" s="38" t="n">
        <x:v>15</x:v>
      </x:c>
      <x:c r="V918" s="38" t="n">
        <x:v>16</x:v>
      </x:c>
      <x:c r="W918" s="38" t="n">
        <x:v>8</x:v>
      </x:c>
      <x:c r="X918" s="38" t="n">
        <x:v>15</x:v>
      </x:c>
      <x:c r="Y918" s="38" t="n">
        <x:v>4</x:v>
      </x:c>
      <x:c r="Z918" s="38" t="n">
        <x:f>MAX(0,MIN(100,ROUND(((T918+U918+V918+W918+X918)-Y918)/85*100,0)))</x:f>
        <x:v>74</x:v>
      </x:c>
      <x:c r="AA918" s="9" t="str">
        <x:f>IF(L918="暂不做","P3 暂缓",IF(Z918&gt;=75,"P0 本周做",IF(Z918&gt;=60,"P1 近期做",IF(Z918&gt;=45,"P2 备选","P3 暂缓"))))</x:f>
        <x:v>P1 近期做</x:v>
      </x:c>
      <x:c r="AB918" s="9" t="str">
        <x:f>IF(Y918&gt;=15,"先做合规/相关性复核，不建议直接商业导流",IF(L918="主站","建/优化主站商业页",IF(L918="博客A-知识教程","写知识教程/FAQ文章",IF(L918="博客B-场景人群","写场景需求/选购指南文章",IF(L918="博客C-对比评测","写对比评测/榜单文章","暂不做或人工复核")))))</x:f>
        <x:v>建/优化主站商业页</x:v>
      </x:c>
      <x:c r="AC918" s="9" t="str">
        <x:v>ice vape</x:v>
      </x:c>
      <x:c r="AD918" s="10" t="str">
        <x:v>48</x:v>
      </x:c>
    </x:row>
    <x:row r="919">
      <x:c r="A919" s="34" t="n">
        <x:v>919</x:v>
      </x:c>
      <x:c r="B919" s="9" t="str">
        <x:v>48</x:v>
      </x:c>
      <x:c r="C919" s="9" t="str">
        <x:v>zero nicotine disposable vape</x:v>
      </x:c>
      <x:c r="D919" s="9" t="str">
        <x:v>recommended</x:v>
      </x:c>
      <x:c r="E919" s="36" t="n">
        <x:v>4400</x:v>
      </x:c>
      <x:c r="F919" s="36" t="n">
        <x:v>18</x:v>
      </x:c>
      <x:c r="G919" s="9" t="str">
        <x:v>informational, commercial</x:v>
      </x:c>
      <x:c r="H919" s="9" t="str">
        <x:v>Disposable Vape</x:v>
      </x:c>
      <x:c r="I919" s="9" t="str">
        <x:v>品类承接词</x:v>
      </x:c>
      <x:c r="J919" s="9" t="str">
        <x:v>主站</x:v>
      </x:c>
      <x:c r="K919" s="9" t="str"/>
      <x:c r="L919" s="9" t="str">
        <x:f>IF(K919="",J919,K919)</x:f>
        <x:v>主站</x:v>
      </x:c>
      <x:c r="M919" s="9" t="str">
        <x:v>品类页/集合页 + FAQ内容块</x:v>
      </x:c>
      <x:c r="N919" s="9" t="str">
        <x:v>主站品类页：用产品集合 + 选购说明承接</x:v>
      </x:c>
      <x:c r="O919" s="9" t="str">
        <x:v>/collections/disposable-vapes</x:v>
      </x:c>
      <x:c r="P919" s="9" t="str">
        <x:v>不适用</x:v>
      </x:c>
      <x:c r="Q919" s="9" t="str">
        <x:v>主站页面自身承接</x:v>
      </x:c>
      <x:c r="R919" s="9" t="str">
        <x:v>核心品类词：主站优先，博客只做长尾解释，不直接抢同一词</x:v>
      </x:c>
      <x:c r="S919" s="9" t="str">
        <x:v>如果 Google 首页产品页和指南混合，主站页要加 FAQ、选购指南、对比模块。</x:v>
      </x:c>
      <x:c r="T919" s="38" t="n">
        <x:v>13</x:v>
      </x:c>
      <x:c r="U919" s="38" t="n">
        <x:v>12</x:v>
      </x:c>
      <x:c r="V919" s="38" t="n">
        <x:v>18</x:v>
      </x:c>
      <x:c r="W919" s="38" t="n">
        <x:v>8</x:v>
      </x:c>
      <x:c r="X919" s="38" t="n">
        <x:v>15</x:v>
      </x:c>
      <x:c r="Y919" s="38" t="n">
        <x:v>4</x:v>
      </x:c>
      <x:c r="Z919" s="38" t="n">
        <x:f>MAX(0,MIN(100,ROUND(((T919+U919+V919+W919+X919)-Y919)/85*100,0)))</x:f>
        <x:v>73</x:v>
      </x:c>
      <x:c r="AA919" s="9" t="str">
        <x:f>IF(L919="暂不做","P3 暂缓",IF(Z919&gt;=75,"P0 本周做",IF(Z919&gt;=60,"P1 近期做",IF(Z919&gt;=45,"P2 备选","P3 暂缓"))))</x:f>
        <x:v>P1 近期做</x:v>
      </x:c>
      <x:c r="AB919" s="9" t="str">
        <x:f>IF(Y919&gt;=15,"先做合规/相关性复核，不建议直接商业导流",IF(L919="主站","建/优化主站商业页",IF(L919="博客A-知识教程","写知识教程/FAQ文章",IF(L919="博客B-场景人群","写场景需求/选购指南文章",IF(L919="博客C-对比评测","写对比评测/榜单文章","暂不做或人工复核")))))</x:f>
        <x:v>建/优化主站商业页</x:v>
      </x:c>
      <x:c r="AC919" s="9" t="str">
        <x:v>ice vape</x:v>
      </x:c>
      <x:c r="AD919" s="10" t="str">
        <x:v>48</x:v>
      </x:c>
    </x:row>
    <x:row r="920">
      <x:c r="A920" s="34" t="n">
        <x:v>920</x:v>
      </x:c>
      <x:c r="B920" s="9" t="str">
        <x:v>48</x:v>
      </x:c>
      <x:c r="C920" s="9" t="str">
        <x:v>best electronic cigarette</x:v>
      </x:c>
      <x:c r="D920" s="9" t="str">
        <x:v>recommended</x:v>
      </x:c>
      <x:c r="E920" s="36" t="n">
        <x:v>1300</x:v>
      </x:c>
      <x:c r="F920" s="36" t="n">
        <x:v>15</x:v>
      </x:c>
      <x:c r="G920" s="9" t="str">
        <x:v>commercial</x:v>
      </x:c>
      <x:c r="H920" s="9" t="str">
        <x:v>E-Cigarette</x:v>
      </x:c>
      <x:c r="I920" s="9" t="str">
        <x:v>商业调查词</x:v>
      </x:c>
      <x:c r="J920" s="9" t="str">
        <x:v>博客C-对比评测</x:v>
      </x:c>
      <x:c r="K920" s="9" t="str"/>
      <x:c r="L920" s="9" t="str">
        <x:f>IF(K920="",J920,K920)</x:f>
        <x:v>博客C-对比评测</x:v>
      </x:c>
      <x:c r="M920" s="9" t="str">
        <x:v>Best/Top/Review/VS/替代方案文章</x:v>
      </x:c>
      <x:c r="N920" s="9" t="str">
        <x:v>Best angle: best electronic cigarette - comparison, pros/cons, and which option fits different buyers</x:v>
      </x:c>
      <x:c r="O920" s="9" t="str">
        <x:v>/collections/e-cigarettes</x:v>
      </x:c>
      <x:c r="P920" s="9" t="str">
        <x:v>是</x:v>
      </x:c>
      <x:c r="Q920" s="9" t="str">
        <x:v>自然句/品类词/品牌词</x:v>
      </x:c>
      <x:c r="R920" s="9" t="str">
        <x:v>中风险：榜单和评测必须真实、中立，避免夸大</x:v>
      </x:c>
      <x:c r="S920" s="9" t="str">
        <x:v>这类词不直接给主站，先用博客C教育和比较，再导流到最相关集合页。</x:v>
      </x:c>
      <x:c r="T920" s="38" t="n">
        <x:v>13</x:v>
      </x:c>
      <x:c r="U920" s="38" t="n">
        <x:v>15</x:v>
      </x:c>
      <x:c r="V920" s="38" t="n">
        <x:v>16</x:v>
      </x:c>
      <x:c r="W920" s="38" t="n">
        <x:v>15</x:v>
      </x:c>
      <x:c r="X920" s="38" t="n">
        <x:v>13</x:v>
      </x:c>
      <x:c r="Y920" s="38" t="n">
        <x:v>6</x:v>
      </x:c>
      <x:c r="Z920" s="38" t="n">
        <x:f>MAX(0,MIN(100,ROUND(((T920+U920+V920+W920+X920)-Y920)/85*100,0)))</x:f>
        <x:v>78</x:v>
      </x:c>
      <x:c r="AA920" s="9" t="str">
        <x:f>IF(L920="暂不做","P3 暂缓",IF(Z920&gt;=75,"P0 本周做",IF(Z920&gt;=60,"P1 近期做",IF(Z920&gt;=45,"P2 备选","P3 暂缓"))))</x:f>
        <x:v>P0 本周做</x:v>
      </x:c>
      <x:c r="AB920" s="9" t="str">
        <x:f>IF(Y920&gt;=15,"先做合规/相关性复核，不建议直接商业导流",IF(L920="主站","建/优化主站商业页",IF(L920="博客A-知识教程","写知识教程/FAQ文章",IF(L920="博客B-场景人群","写场景需求/选购指南文章",IF(L920="博客C-对比评测","写对比评测/榜单文章","暂不做或人工复核")))))</x:f>
        <x:v>写对比评测/榜单文章</x:v>
      </x:c>
      <x:c r="AC920" s="9" t="str">
        <x:v>ice vape</x:v>
      </x:c>
      <x:c r="AD920" s="10" t="str">
        <x:v>48</x:v>
      </x:c>
    </x:row>
    <x:row r="921">
      <x:c r="A921" s="34" t="n">
        <x:v>921</x:v>
      </x:c>
      <x:c r="B921" s="9" t="str">
        <x:v>48</x:v>
      </x:c>
      <x:c r="C921" s="9" t="str">
        <x:v>vapour flavours</x:v>
      </x:c>
      <x:c r="D921" s="9" t="str">
        <x:v>recommended</x:v>
      </x:c>
      <x:c r="E921" s="36" t="n">
        <x:v>8100</x:v>
      </x:c>
      <x:c r="F921" s="36" t="n">
        <x:v>45</x:v>
      </x:c>
      <x:c r="G921" s="9" t="str">
        <x:v>informational</x:v>
      </x:c>
      <x:c r="H921" s="9" t="str">
        <x:v>General Vape</x:v>
      </x:c>
      <x:c r="I921" s="9" t="str">
        <x:v>知识/教程词</x:v>
      </x:c>
      <x:c r="J921" s="9" t="str">
        <x:v>博客A-知识教程</x:v>
      </x:c>
      <x:c r="K921" s="9" t="str"/>
      <x:c r="L921" s="9" t="str">
        <x:f>IF(K921="",J921,K921)</x:f>
        <x:v>博客A-知识教程</x:v>
      </x:c>
      <x:c r="M921" s="9" t="str">
        <x:v>百科/How-to/FAQ文章</x:v>
      </x:c>
      <x:c r="N921" s="9" t="str">
        <x:v>Guide angle: explain vapour flavours, answer common questions, and avoid sales-first writing</x:v>
      </x:c>
      <x:c r="O921" s="9" t="str">
        <x:v>/collections/disposable-vapes</x:v>
      </x:c>
      <x:c r="P921" s="9" t="str">
        <x:v>谨慎</x:v>
      </x:c>
      <x:c r="Q921" s="9" t="str">
        <x:v>自然句/品牌词</x:v>
      </x:c>
      <x:c r="R921" s="9" t="str">
        <x:v>低中风险：先满足信息意图，导流要克制</x:v>
      </x:c>
      <x:c r="S921" s="9" t="str">
        <x:v>如果文章能自然回答下一步购买问题，再放 1 个主站内链；否则只做知识闭环。</x:v>
      </x:c>
      <x:c r="T921" s="38" t="n">
        <x:v>16</x:v>
      </x:c>
      <x:c r="U921" s="38" t="n">
        <x:v>9</x:v>
      </x:c>
      <x:c r="V921" s="38" t="n">
        <x:v>9</x:v>
      </x:c>
      <x:c r="W921" s="38" t="n">
        <x:v>14</x:v>
      </x:c>
      <x:c r="X921" s="38" t="n">
        <x:v>12</x:v>
      </x:c>
      <x:c r="Y921" s="38" t="n">
        <x:v>5</x:v>
      </x:c>
      <x:c r="Z921" s="38" t="n">
        <x:f>MAX(0,MIN(100,ROUND(((T921+U921+V921+W921+X921)-Y921)/85*100,0)))</x:f>
        <x:v>65</x:v>
      </x:c>
      <x:c r="AA921" s="9" t="str">
        <x:f>IF(L921="暂不做","P3 暂缓",IF(Z921&gt;=75,"P0 本周做",IF(Z921&gt;=60,"P1 近期做",IF(Z921&gt;=45,"P2 备选","P3 暂缓"))))</x:f>
        <x:v>P1 近期做</x:v>
      </x:c>
      <x:c r="AB921" s="9" t="str">
        <x:f>IF(Y921&gt;=15,"先做合规/相关性复核，不建议直接商业导流",IF(L921="主站","建/优化主站商业页",IF(L921="博客A-知识教程","写知识教程/FAQ文章",IF(L921="博客B-场景人群","写场景需求/选购指南文章",IF(L921="博客C-对比评测","写对比评测/榜单文章","暂不做或人工复核")))))</x:f>
        <x:v>写知识教程/FAQ文章</x:v>
      </x:c>
      <x:c r="AC921" s="9" t="str">
        <x:v>ice vape</x:v>
      </x:c>
      <x:c r="AD921" s="10" t="str">
        <x:v>48</x:v>
      </x:c>
    </x:row>
    <x:row r="922">
      <x:c r="A922" s="34" t="n">
        <x:v>922</x:v>
      </x:c>
      <x:c r="B922" s="9" t="str">
        <x:v>48</x:v>
      </x:c>
      <x:c r="C922" s="9" t="str">
        <x:v>makeup mirror with lights</x:v>
      </x:c>
      <x:c r="D922" s="9" t="str">
        <x:v>recommended</x:v>
      </x:c>
      <x:c r="E922" s="36" t="n">
        <x:v>6600</x:v>
      </x:c>
      <x:c r="F922" s="36" t="n">
        <x:v>51</x:v>
      </x:c>
      <x:c r="G922" s="9" t="str">
        <x:v>informational, commercial</x:v>
      </x:c>
      <x:c r="H922" s="9" t="str">
        <x:v>General Vape</x:v>
      </x:c>
      <x:c r="I922" s="9" t="str">
        <x:v>场景/需求词</x:v>
      </x:c>
      <x:c r="J922" s="9" t="str">
        <x:v>博客B-场景人群</x:v>
      </x:c>
      <x:c r="K922" s="9" t="str"/>
      <x:c r="L922" s="9" t="str">
        <x:f>IF(K922="",J922,K922)</x:f>
        <x:v>博客B-场景人群</x:v>
      </x:c>
      <x:c r="M922" s="9" t="str">
        <x:v>场景解决方案/选购指南文章</x:v>
      </x:c>
      <x:c r="N922" s="9" t="str">
        <x:v>Scenario angle: how to choose makeup mirror with lights based on use case, flavor, nicotine, and budget</x:v>
      </x:c>
      <x:c r="O922" s="9" t="str">
        <x:v>/collections/disposable-vapes</x:v>
      </x:c>
      <x:c r="P922" s="9" t="str">
        <x:v>是</x:v>
      </x:c>
      <x:c r="Q922" s="9" t="str">
        <x:v>自然句/品类词</x:v>
      </x:c>
      <x:c r="R922" s="9" t="str">
        <x:v>低中风险：适合软性导流，但不要夸大效果或触碰健康疗效</x:v>
      </x:c>
      <x:c r="S922" s="9" t="str">
        <x:v>围绕使用场景、口味、尼古丁需求、便携性等写，不和主站品类页抢词。</x:v>
      </x:c>
      <x:c r="T922" s="38" t="n">
        <x:v>16</x:v>
      </x:c>
      <x:c r="U922" s="38" t="n">
        <x:v>6</x:v>
      </x:c>
      <x:c r="V922" s="38" t="n">
        <x:v>13</x:v>
      </x:c>
      <x:c r="W922" s="38" t="n">
        <x:v>14</x:v>
      </x:c>
      <x:c r="X922" s="38" t="n">
        <x:v>13</x:v>
      </x:c>
      <x:c r="Y922" s="38" t="n">
        <x:v>5</x:v>
      </x:c>
      <x:c r="Z922" s="38" t="n">
        <x:f>MAX(0,MIN(100,ROUND(((T922+U922+V922+W922+X922)-Y922)/85*100,0)))</x:f>
        <x:v>67</x:v>
      </x:c>
      <x:c r="AA922" s="9" t="str">
        <x:f>IF(L922="暂不做","P3 暂缓",IF(Z922&gt;=75,"P0 本周做",IF(Z922&gt;=60,"P1 近期做",IF(Z922&gt;=45,"P2 备选","P3 暂缓"))))</x:f>
        <x:v>P1 近期做</x:v>
      </x:c>
      <x:c r="AB922" s="9" t="str">
        <x:f>IF(Y922&gt;=15,"先做合规/相关性复核，不建议直接商业导流",IF(L922="主站","建/优化主站商业页",IF(L922="博客A-知识教程","写知识教程/FAQ文章",IF(L922="博客B-场景人群","写场景需求/选购指南文章",IF(L922="博客C-对比评测","写对比评测/榜单文章","暂不做或人工复核")))))</x:f>
        <x:v>写场景需求/选购指南文章</x:v>
      </x:c>
      <x:c r="AC922" s="9" t="str">
        <x:v>makeup mirror with lights</x:v>
      </x:c>
      <x:c r="AD922" s="10" t="str">
        <x:v>48</x:v>
      </x:c>
    </x:row>
    <x:row r="923">
      <x:c r="A923" s="34" t="n">
        <x:v>923</x:v>
      </x:c>
      <x:c r="B923" s="9" t="str">
        <x:v>48</x:v>
      </x:c>
      <x:c r="C923" s="9" t="str">
        <x:v>lighted magnifying mirror</x:v>
      </x:c>
      <x:c r="D923" s="9" t="str">
        <x:v>recommended</x:v>
      </x:c>
      <x:c r="E923" s="36" t="n">
        <x:v>1600</x:v>
      </x:c>
      <x:c r="F923" s="36" t="n">
        <x:v>27</x:v>
      </x:c>
      <x:c r="G923" s="9" t="str">
        <x:v>commercial</x:v>
      </x:c>
      <x:c r="H923" s="9" t="str">
        <x:v>General Vape</x:v>
      </x:c>
      <x:c r="I923" s="9" t="str">
        <x:v>弱相关词</x:v>
      </x:c>
      <x:c r="J923" s="9" t="str">
        <x:v>暂不做</x:v>
      </x:c>
      <x:c r="K923" s="9" t="str"/>
      <x:c r="L923" s="9" t="str">
        <x:f>IF(K923="",J923,K923)</x:f>
        <x:v>暂不做</x:v>
      </x:c>
      <x:c r="M923" s="9" t="str">
        <x:v>不建议建页</x:v>
      </x:c>
      <x:c r="N923" s="9" t="str">
        <x:v>不进入内容生产</x:v>
      </x:c>
      <x:c r="O923" s="9" t="str">
        <x:v>无</x:v>
      </x:c>
      <x:c r="P923" s="9" t="str">
        <x:v>否</x:v>
      </x:c>
      <x:c r="Q923" s="9" t="str">
        <x:v>不导流</x:v>
      </x:c>
      <x:c r="R923" s="9" t="str">
        <x:v>相关性弱：可能带来无效流量或偏离产品定位</x:v>
      </x:c>
      <x:c r="S923" s="9" t="str">
        <x:v>除非人工确认与核心产品强相关，否则不要进入内容排期。</x:v>
      </x:c>
      <x:c r="T923" s="38" t="n">
        <x:v>13</x:v>
      </x:c>
      <x:c r="U923" s="38" t="n">
        <x:v>12</x:v>
      </x:c>
      <x:c r="V923" s="38" t="n">
        <x:v>2</x:v>
      </x:c>
      <x:c r="W923" s="38" t="n">
        <x:v>3</x:v>
      </x:c>
      <x:c r="X923" s="38" t="n">
        <x:v>2</x:v>
      </x:c>
      <x:c r="Y923" s="38" t="n">
        <x:v>16</x:v>
      </x:c>
      <x:c r="Z923" s="38" t="n">
        <x:f>MAX(0,MIN(100,ROUND(((T923+U923+V923+W923+X923)-Y923)/85*100,0)))</x:f>
        <x:v>19</x:v>
      </x:c>
      <x:c r="AA923" s="9" t="str">
        <x:f>IF(L923="暂不做","P3 暂缓",IF(Z923&gt;=75,"P0 本周做",IF(Z923&gt;=60,"P1 近期做",IF(Z923&gt;=45,"P2 备选","P3 暂缓"))))</x:f>
        <x:v>P3 暂缓</x:v>
      </x:c>
      <x:c r="AB923" s="9" t="str">
        <x:f>IF(Y923&gt;=15,"先做合规/相关性复核，不建议直接商业导流",IF(L923="主站","建/优化主站商业页",IF(L923="博客A-知识教程","写知识教程/FAQ文章",IF(L923="博客B-场景人群","写场景需求/选购指南文章",IF(L923="博客C-对比评测","写对比评测/榜单文章","暂不做或人工复核")))))</x:f>
        <x:v>先做合规/相关性复核，不建议直接商业导流</x:v>
      </x:c>
      <x:c r="AC923" s="9" t="str">
        <x:v>makeup mirror with lights</x:v>
      </x:c>
      <x:c r="AD923" s="10" t="str">
        <x:v>48</x:v>
      </x:c>
    </x:row>
    <x:row r="924">
      <x:c r="A924" s="34" t="n">
        <x:v>924</x:v>
      </x:c>
      <x:c r="B924" s="9" t="str">
        <x:v>48</x:v>
      </x:c>
      <x:c r="C924" s="9" t="str">
        <x:v>light makeup vanity mirror</x:v>
      </x:c>
      <x:c r="D924" s="9" t="str">
        <x:v>recommended</x:v>
      </x:c>
      <x:c r="E924" s="36" t="n">
        <x:v>880</x:v>
      </x:c>
      <x:c r="F924" s="36" t="n">
        <x:v>23</x:v>
      </x:c>
      <x:c r="G924" s="9" t="str">
        <x:v>informational, transactional</x:v>
      </x:c>
      <x:c r="H924" s="9" t="str">
        <x:v>General Vape</x:v>
      </x:c>
      <x:c r="I924" s="9" t="str">
        <x:v>交易词</x:v>
      </x:c>
      <x:c r="J924" s="9" t="str">
        <x:v>主站</x:v>
      </x:c>
      <x:c r="K924" s="9" t="str"/>
      <x:c r="L924" s="9" t="str">
        <x:f>IF(K924="",J924,K924)</x:f>
        <x:v>主站</x:v>
      </x:c>
      <x:c r="M924" s="9" t="str">
        <x:v>产品集合页/分类页/购买页</x:v>
      </x:c>
      <x:c r="N924" s="9" t="str">
        <x:v>主站商业页：标题围绕购买意图 + 品类 + 关键卖点</x:v>
      </x:c>
      <x:c r="O924" s="9" t="str">
        <x:v>/collections/disposable-vapes</x:v>
      </x:c>
      <x:c r="P924" s="9" t="str">
        <x:v>不适用</x:v>
      </x:c>
      <x:c r="Q924" s="9" t="str">
        <x:v>主站页面自身承接</x:v>
      </x:c>
      <x:c r="R924" s="9" t="str">
        <x:v>商业词：优先给主站，避免博客抢主站排名</x:v>
      </x:c>
      <x:c r="S924" s="9" t="str">
        <x:v>SERP 如为商品列表/品牌站/电商集合页，就建主站页面；若 SERP 全是教程，再拆支持文章。</x:v>
      </x:c>
      <x:c r="T924" s="38" t="n">
        <x:v>10</x:v>
      </x:c>
      <x:c r="U924" s="38" t="n">
        <x:v>12</x:v>
      </x:c>
      <x:c r="V924" s="38" t="n">
        <x:v>20</x:v>
      </x:c>
      <x:c r="W924" s="38" t="n">
        <x:v>7</x:v>
      </x:c>
      <x:c r="X924" s="38" t="n">
        <x:v>15</x:v>
      </x:c>
      <x:c r="Y924" s="38" t="n">
        <x:v>4</x:v>
      </x:c>
      <x:c r="Z924" s="38" t="n">
        <x:f>MAX(0,MIN(100,ROUND(((T924+U924+V924+W924+X924)-Y924)/85*100,0)))</x:f>
        <x:v>71</x:v>
      </x:c>
      <x:c r="AA924" s="9" t="str">
        <x:f>IF(L924="暂不做","P3 暂缓",IF(Z924&gt;=75,"P0 本周做",IF(Z924&gt;=60,"P1 近期做",IF(Z924&gt;=45,"P2 备选","P3 暂缓"))))</x:f>
        <x:v>P1 近期做</x:v>
      </x:c>
      <x:c r="AB924" s="9" t="str">
        <x:f>IF(Y924&gt;=15,"先做合规/相关性复核，不建议直接商业导流",IF(L924="主站","建/优化主站商业页",IF(L924="博客A-知识教程","写知识教程/FAQ文章",IF(L924="博客B-场景人群","写场景需求/选购指南文章",IF(L924="博客C-对比评测","写对比评测/榜单文章","暂不做或人工复核")))))</x:f>
        <x:v>建/优化主站商业页</x:v>
      </x:c>
      <x:c r="AC924" s="9" t="str">
        <x:v>makeup mirror with lights</x:v>
      </x:c>
      <x:c r="AD924" s="10" t="str">
        <x:v>48</x:v>
      </x:c>
    </x:row>
    <x:row r="925">
      <x:c r="A925" s="34" t="n">
        <x:v>925</x:v>
      </x:c>
      <x:c r="B925" s="9" t="str">
        <x:v>48</x:v>
      </x:c>
      <x:c r="C925" s="9" t="str">
        <x:v>makeup mirror with light</x:v>
      </x:c>
      <x:c r="D925" s="9" t="str">
        <x:v>recommended</x:v>
      </x:c>
      <x:c r="E925" s="36" t="n">
        <x:v>1900</x:v>
      </x:c>
      <x:c r="F925" s="36" t="n">
        <x:v>47</x:v>
      </x:c>
      <x:c r="G925" s="9" t="str">
        <x:v>commercial</x:v>
      </x:c>
      <x:c r="H925" s="9" t="str">
        <x:v>General Vape</x:v>
      </x:c>
      <x:c r="I925" s="9" t="str">
        <x:v>场景/需求词</x:v>
      </x:c>
      <x:c r="J925" s="9" t="str">
        <x:v>博客B-场景人群</x:v>
      </x:c>
      <x:c r="K925" s="9" t="str"/>
      <x:c r="L925" s="9" t="str">
        <x:f>IF(K925="",J925,K925)</x:f>
        <x:v>博客B-场景人群</x:v>
      </x:c>
      <x:c r="M925" s="9" t="str">
        <x:v>场景解决方案/选购指南文章</x:v>
      </x:c>
      <x:c r="N925" s="9" t="str">
        <x:v>Scenario angle: how to choose makeup mirror with light based on use case, flavor, nicotine, and budget</x:v>
      </x:c>
      <x:c r="O925" s="9" t="str">
        <x:v>/collections/disposable-vapes</x:v>
      </x:c>
      <x:c r="P925" s="9" t="str">
        <x:v>是</x:v>
      </x:c>
      <x:c r="Q925" s="9" t="str">
        <x:v>自然句/品类词</x:v>
      </x:c>
      <x:c r="R925" s="9" t="str">
        <x:v>低中风险：适合软性导流，但不要夸大效果或触碰健康疗效</x:v>
      </x:c>
      <x:c r="S925" s="9" t="str">
        <x:v>围绕使用场景、口味、尼古丁需求、便携性等写，不和主站品类页抢词。</x:v>
      </x:c>
      <x:c r="T925" s="38" t="n">
        <x:v>13</x:v>
      </x:c>
      <x:c r="U925" s="38" t="n">
        <x:v>6</x:v>
      </x:c>
      <x:c r="V925" s="38" t="n">
        <x:v>13</x:v>
      </x:c>
      <x:c r="W925" s="38" t="n">
        <x:v>14</x:v>
      </x:c>
      <x:c r="X925" s="38" t="n">
        <x:v>13</x:v>
      </x:c>
      <x:c r="Y925" s="38" t="n">
        <x:v>5</x:v>
      </x:c>
      <x:c r="Z925" s="38" t="n">
        <x:f>MAX(0,MIN(100,ROUND(((T925+U925+V925+W925+X925)-Y925)/85*100,0)))</x:f>
        <x:v>64</x:v>
      </x:c>
      <x:c r="AA925" s="9" t="str">
        <x:f>IF(L925="暂不做","P3 暂缓",IF(Z925&gt;=75,"P0 本周做",IF(Z925&gt;=60,"P1 近期做",IF(Z925&gt;=45,"P2 备选","P3 暂缓"))))</x:f>
        <x:v>P1 近期做</x:v>
      </x:c>
      <x:c r="AB925" s="9" t="str">
        <x:f>IF(Y925&gt;=15,"先做合规/相关性复核，不建议直接商业导流",IF(L925="主站","建/优化主站商业页",IF(L925="博客A-知识教程","写知识教程/FAQ文章",IF(L925="博客B-场景人群","写场景需求/选购指南文章",IF(L925="博客C-对比评测","写对比评测/榜单文章","暂不做或人工复核")))))</x:f>
        <x:v>写场景需求/选购指南文章</x:v>
      </x:c>
      <x:c r="AC925" s="9" t="str">
        <x:v>makeup mirror with lights</x:v>
      </x:c>
      <x:c r="AD925" s="10" t="str">
        <x:v>48</x:v>
      </x:c>
    </x:row>
    <x:row r="926">
      <x:c r="A926" s="34" t="n">
        <x:v>926</x:v>
      </x:c>
      <x:c r="B926" s="9" t="str">
        <x:v>48</x:v>
      </x:c>
      <x:c r="C926" s="9" t="str">
        <x:v>magnification mirror with light</x:v>
      </x:c>
      <x:c r="D926" s="9" t="str">
        <x:v>recommended</x:v>
      </x:c>
      <x:c r="E926" s="36" t="n">
        <x:v>390</x:v>
      </x:c>
      <x:c r="F926" s="36" t="n">
        <x:v>17</x:v>
      </x:c>
      <x:c r="G926" s="9" t="str">
        <x:v>informational, transactional</x:v>
      </x:c>
      <x:c r="H926" s="9" t="str">
        <x:v>General Vape</x:v>
      </x:c>
      <x:c r="I926" s="9" t="str">
        <x:v>交易词</x:v>
      </x:c>
      <x:c r="J926" s="9" t="str">
        <x:v>主站</x:v>
      </x:c>
      <x:c r="K926" s="9" t="str"/>
      <x:c r="L926" s="9" t="str">
        <x:f>IF(K926="",J926,K926)</x:f>
        <x:v>主站</x:v>
      </x:c>
      <x:c r="M926" s="9" t="str">
        <x:v>产品集合页/分类页/购买页</x:v>
      </x:c>
      <x:c r="N926" s="9" t="str">
        <x:v>主站商业页：标题围绕购买意图 + 品类 + 关键卖点</x:v>
      </x:c>
      <x:c r="O926" s="9" t="str">
        <x:v>/collections/disposable-vapes</x:v>
      </x:c>
      <x:c r="P926" s="9" t="str">
        <x:v>不适用</x:v>
      </x:c>
      <x:c r="Q926" s="9" t="str">
        <x:v>主站页面自身承接</x:v>
      </x:c>
      <x:c r="R926" s="9" t="str">
        <x:v>商业词：优先给主站，避免博客抢主站排名</x:v>
      </x:c>
      <x:c r="S926" s="9" t="str">
        <x:v>SERP 如为商品列表/品牌站/电商集合页，就建主站页面；若 SERP 全是教程，再拆支持文章。</x:v>
      </x:c>
      <x:c r="T926" s="38" t="n">
        <x:v>7</x:v>
      </x:c>
      <x:c r="U926" s="38" t="n">
        <x:v>12</x:v>
      </x:c>
      <x:c r="V926" s="38" t="n">
        <x:v>20</x:v>
      </x:c>
      <x:c r="W926" s="38" t="n">
        <x:v>7</x:v>
      </x:c>
      <x:c r="X926" s="38" t="n">
        <x:v>15</x:v>
      </x:c>
      <x:c r="Y926" s="38" t="n">
        <x:v>4</x:v>
      </x:c>
      <x:c r="Z926" s="38" t="n">
        <x:f>MAX(0,MIN(100,ROUND(((T926+U926+V926+W926+X926)-Y926)/85*100,0)))</x:f>
        <x:v>67</x:v>
      </x:c>
      <x:c r="AA926" s="9" t="str">
        <x:f>IF(L926="暂不做","P3 暂缓",IF(Z926&gt;=75,"P0 本周做",IF(Z926&gt;=60,"P1 近期做",IF(Z926&gt;=45,"P2 备选","P3 暂缓"))))</x:f>
        <x:v>P1 近期做</x:v>
      </x:c>
      <x:c r="AB926" s="9" t="str">
        <x:f>IF(Y926&gt;=15,"先做合规/相关性复核，不建议直接商业导流",IF(L926="主站","建/优化主站商业页",IF(L926="博客A-知识教程","写知识教程/FAQ文章",IF(L926="博客B-场景人群","写场景需求/选购指南文章",IF(L926="博客C-对比评测","写对比评测/榜单文章","暂不做或人工复核")))))</x:f>
        <x:v>建/优化主站商业页</x:v>
      </x:c>
      <x:c r="AC926" s="9" t="str">
        <x:v>makeup mirror with lights</x:v>
      </x:c>
      <x:c r="AD926" s="10" t="str">
        <x:v>48</x:v>
      </x:c>
    </x:row>
    <x:row r="927">
      <x:c r="A927" s="34" t="n">
        <x:v>927</x:v>
      </x:c>
      <x:c r="B927" s="9" t="str">
        <x:v>48</x:v>
      </x:c>
      <x:c r="C927" s="9" t="str">
        <x:v>make up mirror with lights</x:v>
      </x:c>
      <x:c r="D927" s="9" t="str">
        <x:v>recommended</x:v>
      </x:c>
      <x:c r="E927" s="36" t="n">
        <x:v>1300</x:v>
      </x:c>
      <x:c r="F927" s="36" t="n">
        <x:v>46</x:v>
      </x:c>
      <x:c r="G927" s="9" t="str">
        <x:v>informational, transactional</x:v>
      </x:c>
      <x:c r="H927" s="9" t="str">
        <x:v>General Vape</x:v>
      </x:c>
      <x:c r="I927" s="9" t="str">
        <x:v>交易词</x:v>
      </x:c>
      <x:c r="J927" s="9" t="str">
        <x:v>主站</x:v>
      </x:c>
      <x:c r="K927" s="9" t="str"/>
      <x:c r="L927" s="9" t="str">
        <x:f>IF(K927="",J927,K927)</x:f>
        <x:v>主站</x:v>
      </x:c>
      <x:c r="M927" s="9" t="str">
        <x:v>产品集合页/分类页/购买页</x:v>
      </x:c>
      <x:c r="N927" s="9" t="str">
        <x:v>主站商业页：标题围绕购买意图 + 品类 + 关键卖点</x:v>
      </x:c>
      <x:c r="O927" s="9" t="str">
        <x:v>/collections/disposable-vapes</x:v>
      </x:c>
      <x:c r="P927" s="9" t="str">
        <x:v>不适用</x:v>
      </x:c>
      <x:c r="Q927" s="9" t="str">
        <x:v>主站页面自身承接</x:v>
      </x:c>
      <x:c r="R927" s="9" t="str">
        <x:v>商业词：优先给主站，避免博客抢主站排名</x:v>
      </x:c>
      <x:c r="S927" s="9" t="str">
        <x:v>SERP 如为商品列表/品牌站/电商集合页，就建主站页面；若 SERP 全是教程，再拆支持文章。</x:v>
      </x:c>
      <x:c r="T927" s="38" t="n">
        <x:v>13</x:v>
      </x:c>
      <x:c r="U927" s="38" t="n">
        <x:v>6</x:v>
      </x:c>
      <x:c r="V927" s="38" t="n">
        <x:v>20</x:v>
      </x:c>
      <x:c r="W927" s="38" t="n">
        <x:v>7</x:v>
      </x:c>
      <x:c r="X927" s="38" t="n">
        <x:v>15</x:v>
      </x:c>
      <x:c r="Y927" s="38" t="n">
        <x:v>4</x:v>
      </x:c>
      <x:c r="Z927" s="38" t="n">
        <x:f>MAX(0,MIN(100,ROUND(((T927+U927+V927+W927+X927)-Y927)/85*100,0)))</x:f>
        <x:v>67</x:v>
      </x:c>
      <x:c r="AA927" s="9" t="str">
        <x:f>IF(L927="暂不做","P3 暂缓",IF(Z927&gt;=75,"P0 本周做",IF(Z927&gt;=60,"P1 近期做",IF(Z927&gt;=45,"P2 备选","P3 暂缓"))))</x:f>
        <x:v>P1 近期做</x:v>
      </x:c>
      <x:c r="AB927" s="9" t="str">
        <x:f>IF(Y927&gt;=15,"先做合规/相关性复核，不建议直接商业导流",IF(L927="主站","建/优化主站商业页",IF(L927="博客A-知识教程","写知识教程/FAQ文章",IF(L927="博客B-场景人群","写场景需求/选购指南文章",IF(L927="博客C-对比评测","写对比评测/榜单文章","暂不做或人工复核")))))</x:f>
        <x:v>建/优化主站商业页</x:v>
      </x:c>
      <x:c r="AC927" s="9" t="str">
        <x:v>makeup mirror with lights</x:v>
      </x:c>
      <x:c r="AD927" s="10" t="str">
        <x:v>48</x:v>
      </x:c>
    </x:row>
    <x:row r="928">
      <x:c r="A928" s="34" t="n">
        <x:v>928</x:v>
      </x:c>
      <x:c r="B928" s="9" t="str">
        <x:v>48</x:v>
      </x:c>
      <x:c r="C928" s="9" t="str">
        <x:v>good makeup mirror</x:v>
      </x:c>
      <x:c r="D928" s="9" t="str">
        <x:v>recommended</x:v>
      </x:c>
      <x:c r="E928" s="36" t="n">
        <x:v>390</x:v>
      </x:c>
      <x:c r="F928" s="36" t="n">
        <x:v>24</x:v>
      </x:c>
      <x:c r="G928" s="9" t="str">
        <x:v>informational, transactional</x:v>
      </x:c>
      <x:c r="H928" s="9" t="str">
        <x:v>General Vape</x:v>
      </x:c>
      <x:c r="I928" s="9" t="str">
        <x:v>交易词</x:v>
      </x:c>
      <x:c r="J928" s="9" t="str">
        <x:v>主站</x:v>
      </x:c>
      <x:c r="K928" s="9" t="str"/>
      <x:c r="L928" s="9" t="str">
        <x:f>IF(K928="",J928,K928)</x:f>
        <x:v>主站</x:v>
      </x:c>
      <x:c r="M928" s="9" t="str">
        <x:v>产品集合页/分类页/购买页</x:v>
      </x:c>
      <x:c r="N928" s="9" t="str">
        <x:v>主站商业页：标题围绕购买意图 + 品类 + 关键卖点</x:v>
      </x:c>
      <x:c r="O928" s="9" t="str">
        <x:v>/collections/disposable-vapes</x:v>
      </x:c>
      <x:c r="P928" s="9" t="str">
        <x:v>不适用</x:v>
      </x:c>
      <x:c r="Q928" s="9" t="str">
        <x:v>主站页面自身承接</x:v>
      </x:c>
      <x:c r="R928" s="9" t="str">
        <x:v>商业词：优先给主站，避免博客抢主站排名</x:v>
      </x:c>
      <x:c r="S928" s="9" t="str">
        <x:v>SERP 如为商品列表/品牌站/电商集合页，就建主站页面；若 SERP 全是教程，再拆支持文章。</x:v>
      </x:c>
      <x:c r="T928" s="38" t="n">
        <x:v>7</x:v>
      </x:c>
      <x:c r="U928" s="38" t="n">
        <x:v>12</x:v>
      </x:c>
      <x:c r="V928" s="38" t="n">
        <x:v>20</x:v>
      </x:c>
      <x:c r="W928" s="38" t="n">
        <x:v>7</x:v>
      </x:c>
      <x:c r="X928" s="38" t="n">
        <x:v>15</x:v>
      </x:c>
      <x:c r="Y928" s="38" t="n">
        <x:v>4</x:v>
      </x:c>
      <x:c r="Z928" s="38" t="n">
        <x:f>MAX(0,MIN(100,ROUND(((T928+U928+V928+W928+X928)-Y928)/85*100,0)))</x:f>
        <x:v>67</x:v>
      </x:c>
      <x:c r="AA928" s="9" t="str">
        <x:f>IF(L928="暂不做","P3 暂缓",IF(Z928&gt;=75,"P0 本周做",IF(Z928&gt;=60,"P1 近期做",IF(Z928&gt;=45,"P2 备选","P3 暂缓"))))</x:f>
        <x:v>P1 近期做</x:v>
      </x:c>
      <x:c r="AB928" s="9" t="str">
        <x:f>IF(Y928&gt;=15,"先做合规/相关性复核，不建议直接商业导流",IF(L928="主站","建/优化主站商业页",IF(L928="博客A-知识教程","写知识教程/FAQ文章",IF(L928="博客B-场景人群","写场景需求/选购指南文章",IF(L928="博客C-对比评测","写对比评测/榜单文章","暂不做或人工复核")))))</x:f>
        <x:v>建/优化主站商业页</x:v>
      </x:c>
      <x:c r="AC928" s="9" t="str">
        <x:v>makeup mirror with lights</x:v>
      </x:c>
      <x:c r="AD928" s="10" t="str">
        <x:v>48</x:v>
      </x:c>
    </x:row>
    <x:row r="929">
      <x:c r="A929" s="34" t="n">
        <x:v>929</x:v>
      </x:c>
      <x:c r="B929" s="9" t="str">
        <x:v>48</x:v>
      </x:c>
      <x:c r="C929" s="9" t="str">
        <x:v>mirror with lights for makeup</x:v>
      </x:c>
      <x:c r="D929" s="9" t="str">
        <x:v>recommended</x:v>
      </x:c>
      <x:c r="E929" s="36" t="n">
        <x:v>590</x:v>
      </x:c>
      <x:c r="F929" s="36" t="n">
        <x:v>41</x:v>
      </x:c>
      <x:c r="G929" s="9" t="str">
        <x:v>commercial</x:v>
      </x:c>
      <x:c r="H929" s="9" t="str">
        <x:v>General Vape</x:v>
      </x:c>
      <x:c r="I929" s="9" t="str">
        <x:v>场景/需求词</x:v>
      </x:c>
      <x:c r="J929" s="9" t="str">
        <x:v>博客B-场景人群</x:v>
      </x:c>
      <x:c r="K929" s="9" t="str"/>
      <x:c r="L929" s="9" t="str">
        <x:f>IF(K929="",J929,K929)</x:f>
        <x:v>博客B-场景人群</x:v>
      </x:c>
      <x:c r="M929" s="9" t="str">
        <x:v>场景解决方案/选购指南文章</x:v>
      </x:c>
      <x:c r="N929" s="9" t="str">
        <x:v>Scenario angle: how to choose mirror with lights for makeup based on use case, flavor, nicotine, and budget</x:v>
      </x:c>
      <x:c r="O929" s="9" t="str">
        <x:v>/collections/disposable-vapes</x:v>
      </x:c>
      <x:c r="P929" s="9" t="str">
        <x:v>是</x:v>
      </x:c>
      <x:c r="Q929" s="9" t="str">
        <x:v>自然句/品类词</x:v>
      </x:c>
      <x:c r="R929" s="9" t="str">
        <x:v>低中风险：适合软性导流，但不要夸大效果或触碰健康疗效</x:v>
      </x:c>
      <x:c r="S929" s="9" t="str">
        <x:v>围绕使用场景、口味、尼古丁需求、便携性等写，不和主站品类页抢词。</x:v>
      </x:c>
      <x:c r="T929" s="38" t="n">
        <x:v>10</x:v>
      </x:c>
      <x:c r="U929" s="38" t="n">
        <x:v>9</x:v>
      </x:c>
      <x:c r="V929" s="38" t="n">
        <x:v>13</x:v>
      </x:c>
      <x:c r="W929" s="38" t="n">
        <x:v>14</x:v>
      </x:c>
      <x:c r="X929" s="38" t="n">
        <x:v>13</x:v>
      </x:c>
      <x:c r="Y929" s="38" t="n">
        <x:v>5</x:v>
      </x:c>
      <x:c r="Z929" s="38" t="n">
        <x:f>MAX(0,MIN(100,ROUND(((T929+U929+V929+W929+X929)-Y929)/85*100,0)))</x:f>
        <x:v>64</x:v>
      </x:c>
      <x:c r="AA929" s="9" t="str">
        <x:f>IF(L929="暂不做","P3 暂缓",IF(Z929&gt;=75,"P0 本周做",IF(Z929&gt;=60,"P1 近期做",IF(Z929&gt;=45,"P2 备选","P3 暂缓"))))</x:f>
        <x:v>P1 近期做</x:v>
      </x:c>
      <x:c r="AB929" s="9" t="str">
        <x:f>IF(Y929&gt;=15,"先做合规/相关性复核，不建议直接商业导流",IF(L929="主站","建/优化主站商业页",IF(L929="博客A-知识教程","写知识教程/FAQ文章",IF(L929="博客B-场景人群","写场景需求/选购指南文章",IF(L929="博客C-对比评测","写对比评测/榜单文章","暂不做或人工复核")))))</x:f>
        <x:v>写场景需求/选购指南文章</x:v>
      </x:c>
      <x:c r="AC929" s="9" t="str">
        <x:v>makeup mirror with lights</x:v>
      </x:c>
      <x:c r="AD929" s="10" t="str">
        <x:v>48</x:v>
      </x:c>
    </x:row>
    <x:row r="930">
      <x:c r="A930" s="34" t="n">
        <x:v>930</x:v>
      </x:c>
      <x:c r="B930" s="9" t="str">
        <x:v>48</x:v>
      </x:c>
      <x:c r="C930" s="9" t="str">
        <x:v>mirror magnifying</x:v>
      </x:c>
      <x:c r="D930" s="9" t="str">
        <x:v>recommended</x:v>
      </x:c>
      <x:c r="E930" s="36" t="n">
        <x:v>320</x:v>
      </x:c>
      <x:c r="F930" s="36" t="n">
        <x:v>35</x:v>
      </x:c>
      <x:c r="G930" s="9" t="str">
        <x:v>informational, transactional</x:v>
      </x:c>
      <x:c r="H930" s="9" t="str">
        <x:v>General Vape</x:v>
      </x:c>
      <x:c r="I930" s="9" t="str">
        <x:v>交易词</x:v>
      </x:c>
      <x:c r="J930" s="9" t="str">
        <x:v>主站</x:v>
      </x:c>
      <x:c r="K930" s="9" t="str"/>
      <x:c r="L930" s="9" t="str">
        <x:f>IF(K930="",J930,K930)</x:f>
        <x:v>主站</x:v>
      </x:c>
      <x:c r="M930" s="9" t="str">
        <x:v>产品集合页/分类页/购买页</x:v>
      </x:c>
      <x:c r="N930" s="9" t="str">
        <x:v>主站商业页：标题围绕购买意图 + 品类 + 关键卖点</x:v>
      </x:c>
      <x:c r="O930" s="9" t="str">
        <x:v>/collections/disposable-vapes</x:v>
      </x:c>
      <x:c r="P930" s="9" t="str">
        <x:v>不适用</x:v>
      </x:c>
      <x:c r="Q930" s="9" t="str">
        <x:v>主站页面自身承接</x:v>
      </x:c>
      <x:c r="R930" s="9" t="str">
        <x:v>商业词：优先给主站，避免博客抢主站排名</x:v>
      </x:c>
      <x:c r="S930" s="9" t="str">
        <x:v>SERP 如为商品列表/品牌站/电商集合页，就建主站页面；若 SERP 全是教程，再拆支持文章。</x:v>
      </x:c>
      <x:c r="T930" s="38" t="n">
        <x:v>7</x:v>
      </x:c>
      <x:c r="U930" s="38" t="n">
        <x:v>9</x:v>
      </x:c>
      <x:c r="V930" s="38" t="n">
        <x:v>20</x:v>
      </x:c>
      <x:c r="W930" s="38" t="n">
        <x:v>7</x:v>
      </x:c>
      <x:c r="X930" s="38" t="n">
        <x:v>15</x:v>
      </x:c>
      <x:c r="Y930" s="38" t="n">
        <x:v>4</x:v>
      </x:c>
      <x:c r="Z930" s="38" t="n">
        <x:f>MAX(0,MIN(100,ROUND(((T930+U930+V930+W930+X930)-Y930)/85*100,0)))</x:f>
        <x:v>64</x:v>
      </x:c>
      <x:c r="AA930" s="9" t="str">
        <x:f>IF(L930="暂不做","P3 暂缓",IF(Z930&gt;=75,"P0 本周做",IF(Z930&gt;=60,"P1 近期做",IF(Z930&gt;=45,"P2 备选","P3 暂缓"))))</x:f>
        <x:v>P1 近期做</x:v>
      </x:c>
      <x:c r="AB930" s="9" t="str">
        <x:f>IF(Y930&gt;=15,"先做合规/相关性复核，不建议直接商业导流",IF(L930="主站","建/优化主站商业页",IF(L930="博客A-知识教程","写知识教程/FAQ文章",IF(L930="博客B-场景人群","写场景需求/选购指南文章",IF(L930="博客C-对比评测","写对比评测/榜单文章","暂不做或人工复核")))))</x:f>
        <x:v>建/优化主站商业页</x:v>
      </x:c>
      <x:c r="AC930" s="9" t="str">
        <x:v>makeup mirror with lights</x:v>
      </x:c>
      <x:c r="AD930" s="10" t="str">
        <x:v>48</x:v>
      </x:c>
    </x:row>
    <x:row r="931">
      <x:c r="A931" s="34" t="n">
        <x:v>931</x:v>
      </x:c>
      <x:c r="B931" s="9" t="str">
        <x:v>48</x:v>
      </x:c>
      <x:c r="C931" s="9" t="str">
        <x:v>lighted vanity magnifying mirror</x:v>
      </x:c>
      <x:c r="D931" s="9" t="str">
        <x:v>recommended</x:v>
      </x:c>
      <x:c r="E931" s="36" t="n">
        <x:v>90</x:v>
      </x:c>
      <x:c r="F931" s="36" t="n">
        <x:v>23</x:v>
      </x:c>
      <x:c r="G931" s="9" t="str">
        <x:v>commercial</x:v>
      </x:c>
      <x:c r="H931" s="9" t="str">
        <x:v>General Vape</x:v>
      </x:c>
      <x:c r="I931" s="9" t="str">
        <x:v>弱相关词</x:v>
      </x:c>
      <x:c r="J931" s="9" t="str">
        <x:v>暂不做</x:v>
      </x:c>
      <x:c r="K931" s="9" t="str"/>
      <x:c r="L931" s="9" t="str">
        <x:f>IF(K931="",J931,K931)</x:f>
        <x:v>暂不做</x:v>
      </x:c>
      <x:c r="M931" s="9" t="str">
        <x:v>不建议建页</x:v>
      </x:c>
      <x:c r="N931" s="9" t="str">
        <x:v>不进入内容生产</x:v>
      </x:c>
      <x:c r="O931" s="9" t="str">
        <x:v>无</x:v>
      </x:c>
      <x:c r="P931" s="9" t="str">
        <x:v>否</x:v>
      </x:c>
      <x:c r="Q931" s="9" t="str">
        <x:v>不导流</x:v>
      </x:c>
      <x:c r="R931" s="9" t="str">
        <x:v>相关性弱：可能带来无效流量或偏离产品定位</x:v>
      </x:c>
      <x:c r="S931" s="9" t="str">
        <x:v>除非人工确认与核心产品强相关，否则不要进入内容排期。</x:v>
      </x:c>
      <x:c r="T931" s="38" t="n">
        <x:v>4</x:v>
      </x:c>
      <x:c r="U931" s="38" t="n">
        <x:v>12</x:v>
      </x:c>
      <x:c r="V931" s="38" t="n">
        <x:v>2</x:v>
      </x:c>
      <x:c r="W931" s="38" t="n">
        <x:v>3</x:v>
      </x:c>
      <x:c r="X931" s="38" t="n">
        <x:v>2</x:v>
      </x:c>
      <x:c r="Y931" s="38" t="n">
        <x:v>16</x:v>
      </x:c>
      <x:c r="Z931" s="38" t="n">
        <x:f>MAX(0,MIN(100,ROUND(((T931+U931+V931+W931+X931)-Y931)/85*100,0)))</x:f>
        <x:v>8</x:v>
      </x:c>
      <x:c r="AA931" s="9" t="str">
        <x:f>IF(L931="暂不做","P3 暂缓",IF(Z931&gt;=75,"P0 本周做",IF(Z931&gt;=60,"P1 近期做",IF(Z931&gt;=45,"P2 备选","P3 暂缓"))))</x:f>
        <x:v>P3 暂缓</x:v>
      </x:c>
      <x:c r="AB931" s="9" t="str">
        <x:f>IF(Y931&gt;=15,"先做合规/相关性复核，不建议直接商业导流",IF(L931="主站","建/优化主站商业页",IF(L931="博客A-知识教程","写知识教程/FAQ文章",IF(L931="博客B-场景人群","写场景需求/选购指南文章",IF(L931="博客C-对比评测","写对比评测/榜单文章","暂不做或人工复核")))))</x:f>
        <x:v>先做合规/相关性复核，不建议直接商业导流</x:v>
      </x:c>
      <x:c r="AC931" s="9" t="str">
        <x:v>makeup mirror with lights</x:v>
      </x:c>
      <x:c r="AD931" s="10" t="str">
        <x:v>48</x:v>
      </x:c>
    </x:row>
    <x:row r="932">
      <x:c r="A932" s="34" t="n">
        <x:v>932</x:v>
      </x:c>
      <x:c r="B932" s="9" t="str">
        <x:v>48</x:v>
      </x:c>
      <x:c r="C932" s="9" t="str">
        <x:v>best makeup mirror lighted</x:v>
      </x:c>
      <x:c r="D932" s="9" t="str">
        <x:v>recommended</x:v>
      </x:c>
      <x:c r="E932" s="36" t="n">
        <x:v>70</x:v>
      </x:c>
      <x:c r="F932" s="36" t="n">
        <x:v>19</x:v>
      </x:c>
      <x:c r="G932" s="9" t="str">
        <x:v>commercial</x:v>
      </x:c>
      <x:c r="H932" s="9" t="str">
        <x:v>对比评测</x:v>
      </x:c>
      <x:c r="I932" s="9" t="str">
        <x:v>商业调查词</x:v>
      </x:c>
      <x:c r="J932" s="9" t="str">
        <x:v>博客C-对比评测</x:v>
      </x:c>
      <x:c r="K932" s="9" t="str"/>
      <x:c r="L932" s="9" t="str">
        <x:f>IF(K932="",J932,K932)</x:f>
        <x:v>博客C-对比评测</x:v>
      </x:c>
      <x:c r="M932" s="9" t="str">
        <x:v>Best/Top/Review/VS/替代方案文章</x:v>
      </x:c>
      <x:c r="N932" s="9" t="str">
        <x:v>Best angle: best makeup mirror lighted - comparison, pros/cons, and which option fits different buyers</x:v>
      </x:c>
      <x:c r="O932" s="9" t="str">
        <x:v>/collections/disposable-vapes</x:v>
      </x:c>
      <x:c r="P932" s="9" t="str">
        <x:v>是</x:v>
      </x:c>
      <x:c r="Q932" s="9" t="str">
        <x:v>自然句/品类词/品牌词</x:v>
      </x:c>
      <x:c r="R932" s="9" t="str">
        <x:v>中风险：榜单和评测必须真实、中立，避免夸大</x:v>
      </x:c>
      <x:c r="S932" s="9" t="str">
        <x:v>这类词不直接给主站，先用博客C教育和比较，再导流到最相关集合页。</x:v>
      </x:c>
      <x:c r="T932" s="38" t="n">
        <x:v>4</x:v>
      </x:c>
      <x:c r="U932" s="38" t="n">
        <x:v>12</x:v>
      </x:c>
      <x:c r="V932" s="38" t="n">
        <x:v>16</x:v>
      </x:c>
      <x:c r="W932" s="38" t="n">
        <x:v>15</x:v>
      </x:c>
      <x:c r="X932" s="38" t="n">
        <x:v>13</x:v>
      </x:c>
      <x:c r="Y932" s="38" t="n">
        <x:v>6</x:v>
      </x:c>
      <x:c r="Z932" s="38" t="n">
        <x:f>MAX(0,MIN(100,ROUND(((T932+U932+V932+W932+X932)-Y932)/85*100,0)))</x:f>
        <x:v>64</x:v>
      </x:c>
      <x:c r="AA932" s="9" t="str">
        <x:f>IF(L932="暂不做","P3 暂缓",IF(Z932&gt;=75,"P0 本周做",IF(Z932&gt;=60,"P1 近期做",IF(Z932&gt;=45,"P2 备选","P3 暂缓"))))</x:f>
        <x:v>P1 近期做</x:v>
      </x:c>
      <x:c r="AB932" s="9" t="str">
        <x:f>IF(Y932&gt;=15,"先做合规/相关性复核，不建议直接商业导流",IF(L932="主站","建/优化主站商业页",IF(L932="博客A-知识教程","写知识教程/FAQ文章",IF(L932="博客B-场景人群","写场景需求/选购指南文章",IF(L932="博客C-对比评测","写对比评测/榜单文章","暂不做或人工复核")))))</x:f>
        <x:v>写对比评测/榜单文章</x:v>
      </x:c>
      <x:c r="AC932" s="9" t="str">
        <x:v>makeup mirror with lights</x:v>
      </x:c>
      <x:c r="AD932" s="10" t="str">
        <x:v>48</x:v>
      </x:c>
    </x:row>
    <x:row r="933">
      <x:c r="A933" s="34" t="n">
        <x:v>933</x:v>
      </x:c>
      <x:c r="B933" s="9" t="str">
        <x:v>48</x:v>
      </x:c>
      <x:c r="C933" s="9" t="str">
        <x:v>close up mirror</x:v>
      </x:c>
      <x:c r="D933" s="9" t="str">
        <x:v>recommended</x:v>
      </x:c>
      <x:c r="E933" s="36" t="n">
        <x:v>140</x:v>
      </x:c>
      <x:c r="F933" s="36" t="n">
        <x:v>36</x:v>
      </x:c>
      <x:c r="G933" s="9" t="str">
        <x:v>informational, transactional</x:v>
      </x:c>
      <x:c r="H933" s="9" t="str">
        <x:v>General Vape</x:v>
      </x:c>
      <x:c r="I933" s="9" t="str">
        <x:v>交易词</x:v>
      </x:c>
      <x:c r="J933" s="9" t="str">
        <x:v>主站</x:v>
      </x:c>
      <x:c r="K933" s="9" t="str"/>
      <x:c r="L933" s="9" t="str">
        <x:f>IF(K933="",J933,K933)</x:f>
        <x:v>主站</x:v>
      </x:c>
      <x:c r="M933" s="9" t="str">
        <x:v>产品集合页/分类页/购买页</x:v>
      </x:c>
      <x:c r="N933" s="9" t="str">
        <x:v>主站商业页：标题围绕购买意图 + 品类 + 关键卖点</x:v>
      </x:c>
      <x:c r="O933" s="9" t="str">
        <x:v>/collections/disposable-vapes</x:v>
      </x:c>
      <x:c r="P933" s="9" t="str">
        <x:v>不适用</x:v>
      </x:c>
      <x:c r="Q933" s="9" t="str">
        <x:v>主站页面自身承接</x:v>
      </x:c>
      <x:c r="R933" s="9" t="str">
        <x:v>商业词：优先给主站，避免博客抢主站排名</x:v>
      </x:c>
      <x:c r="S933" s="9" t="str">
        <x:v>SERP 如为商品列表/品牌站/电商集合页，就建主站页面；若 SERP 全是教程，再拆支持文章。</x:v>
      </x:c>
      <x:c r="T933" s="38" t="n">
        <x:v>7</x:v>
      </x:c>
      <x:c r="U933" s="38" t="n">
        <x:v>9</x:v>
      </x:c>
      <x:c r="V933" s="38" t="n">
        <x:v>20</x:v>
      </x:c>
      <x:c r="W933" s="38" t="n">
        <x:v>7</x:v>
      </x:c>
      <x:c r="X933" s="38" t="n">
        <x:v>15</x:v>
      </x:c>
      <x:c r="Y933" s="38" t="n">
        <x:v>4</x:v>
      </x:c>
      <x:c r="Z933" s="38" t="n">
        <x:f>MAX(0,MIN(100,ROUND(((T933+U933+V933+W933+X933)-Y933)/85*100,0)))</x:f>
        <x:v>64</x:v>
      </x:c>
      <x:c r="AA933" s="9" t="str">
        <x:f>IF(L933="暂不做","P3 暂缓",IF(Z933&gt;=75,"P0 本周做",IF(Z933&gt;=60,"P1 近期做",IF(Z933&gt;=45,"P2 备选","P3 暂缓"))))</x:f>
        <x:v>P1 近期做</x:v>
      </x:c>
      <x:c r="AB933" s="9" t="str">
        <x:f>IF(Y933&gt;=15,"先做合规/相关性复核，不建议直接商业导流",IF(L933="主站","建/优化主站商业页",IF(L933="博客A-知识教程","写知识教程/FAQ文章",IF(L933="博客B-场景人群","写场景需求/选购指南文章",IF(L933="博客C-对比评测","写对比评测/榜单文章","暂不做或人工复核")))))</x:f>
        <x:v>建/优化主站商业页</x:v>
      </x:c>
      <x:c r="AC933" s="9" t="str">
        <x:v>makeup mirror with lights</x:v>
      </x:c>
      <x:c r="AD933" s="10" t="str">
        <x:v>48</x:v>
      </x:c>
    </x:row>
    <x:row r="934">
      <x:c r="A934" s="34" t="n">
        <x:v>934</x:v>
      </x:c>
      <x:c r="B934" s="9" t="str">
        <x:v>48</x:v>
      </x:c>
      <x:c r="C934" s="9" t="str">
        <x:v>beauty mirror with lights</x:v>
      </x:c>
      <x:c r="D934" s="9" t="str">
        <x:v>recommended</x:v>
      </x:c>
      <x:c r="E934" s="36" t="n">
        <x:v>170</x:v>
      </x:c>
      <x:c r="F934" s="36" t="n">
        <x:v>41</x:v>
      </x:c>
      <x:c r="G934" s="9" t="str">
        <x:v>commercial</x:v>
      </x:c>
      <x:c r="H934" s="9" t="str">
        <x:v>General Vape</x:v>
      </x:c>
      <x:c r="I934" s="9" t="str">
        <x:v>场景/需求词</x:v>
      </x:c>
      <x:c r="J934" s="9" t="str">
        <x:v>博客B-场景人群</x:v>
      </x:c>
      <x:c r="K934" s="9" t="str"/>
      <x:c r="L934" s="9" t="str">
        <x:f>IF(K934="",J934,K934)</x:f>
        <x:v>博客B-场景人群</x:v>
      </x:c>
      <x:c r="M934" s="9" t="str">
        <x:v>场景解决方案/选购指南文章</x:v>
      </x:c>
      <x:c r="N934" s="9" t="str">
        <x:v>Scenario angle: how to choose beauty mirror with lights based on use case, flavor, nicotine, and budget</x:v>
      </x:c>
      <x:c r="O934" s="9" t="str">
        <x:v>/collections/disposable-vapes</x:v>
      </x:c>
      <x:c r="P934" s="9" t="str">
        <x:v>是</x:v>
      </x:c>
      <x:c r="Q934" s="9" t="str">
        <x:v>自然句/品类词</x:v>
      </x:c>
      <x:c r="R934" s="9" t="str">
        <x:v>低中风险：适合软性导流，但不要夸大效果或触碰健康疗效</x:v>
      </x:c>
      <x:c r="S934" s="9" t="str">
        <x:v>围绕使用场景、口味、尼古丁需求、便携性等写，不和主站品类页抢词。</x:v>
      </x:c>
      <x:c r="T934" s="38" t="n">
        <x:v>7</x:v>
      </x:c>
      <x:c r="U934" s="38" t="n">
        <x:v>9</x:v>
      </x:c>
      <x:c r="V934" s="38" t="n">
        <x:v>13</x:v>
      </x:c>
      <x:c r="W934" s="38" t="n">
        <x:v>14</x:v>
      </x:c>
      <x:c r="X934" s="38" t="n">
        <x:v>13</x:v>
      </x:c>
      <x:c r="Y934" s="38" t="n">
        <x:v>5</x:v>
      </x:c>
      <x:c r="Z934" s="38" t="n">
        <x:f>MAX(0,MIN(100,ROUND(((T934+U934+V934+W934+X934)-Y934)/85*100,0)))</x:f>
        <x:v>60</x:v>
      </x:c>
      <x:c r="AA934" s="9" t="str">
        <x:f>IF(L934="暂不做","P3 暂缓",IF(Z934&gt;=75,"P0 本周做",IF(Z934&gt;=60,"P1 近期做",IF(Z934&gt;=45,"P2 备选","P3 暂缓"))))</x:f>
        <x:v>P1 近期做</x:v>
      </x:c>
      <x:c r="AB934" s="9" t="str">
        <x:f>IF(Y934&gt;=15,"先做合规/相关性复核，不建议直接商业导流",IF(L934="主站","建/优化主站商业页",IF(L934="博客A-知识教程","写知识教程/FAQ文章",IF(L934="博客B-场景人群","写场景需求/选购指南文章",IF(L934="博客C-对比评测","写对比评测/榜单文章","暂不做或人工复核")))))</x:f>
        <x:v>写场景需求/选购指南文章</x:v>
      </x:c>
      <x:c r="AC934" s="9" t="str">
        <x:v>makeup mirror with lights</x:v>
      </x:c>
      <x:c r="AD934" s="10" t="str">
        <x:v>48</x:v>
      </x:c>
    </x:row>
    <x:row r="935">
      <x:c r="A935" s="34" t="n">
        <x:v>935</x:v>
      </x:c>
      <x:c r="B935" s="9" t="str">
        <x:v>48</x:v>
      </x:c>
      <x:c r="C935" s="9" t="str">
        <x:v>magnifying light up mirror</x:v>
      </x:c>
      <x:c r="D935" s="9" t="str">
        <x:v>recommended</x:v>
      </x:c>
      <x:c r="E935" s="36" t="n">
        <x:v>110</x:v>
      </x:c>
      <x:c r="F935" s="36" t="n">
        <x:v>31</x:v>
      </x:c>
      <x:c r="G935" s="9" t="str">
        <x:v>informational, transactional</x:v>
      </x:c>
      <x:c r="H935" s="9" t="str">
        <x:v>General Vape</x:v>
      </x:c>
      <x:c r="I935" s="9" t="str">
        <x:v>交易词</x:v>
      </x:c>
      <x:c r="J935" s="9" t="str">
        <x:v>主站</x:v>
      </x:c>
      <x:c r="K935" s="9" t="str"/>
      <x:c r="L935" s="9" t="str">
        <x:f>IF(K935="",J935,K935)</x:f>
        <x:v>主站</x:v>
      </x:c>
      <x:c r="M935" s="9" t="str">
        <x:v>产品集合页/分类页/购买页</x:v>
      </x:c>
      <x:c r="N935" s="9" t="str">
        <x:v>主站商业页：标题围绕购买意图 + 品类 + 关键卖点</x:v>
      </x:c>
      <x:c r="O935" s="9" t="str">
        <x:v>/collections/disposable-vapes</x:v>
      </x:c>
      <x:c r="P935" s="9" t="str">
        <x:v>不适用</x:v>
      </x:c>
      <x:c r="Q935" s="9" t="str">
        <x:v>主站页面自身承接</x:v>
      </x:c>
      <x:c r="R935" s="9" t="str">
        <x:v>商业词：优先给主站，避免博客抢主站排名</x:v>
      </x:c>
      <x:c r="S935" s="9" t="str">
        <x:v>SERP 如为商品列表/品牌站/电商集合页，就建主站页面；若 SERP 全是教程，再拆支持文章。</x:v>
      </x:c>
      <x:c r="T935" s="38" t="n">
        <x:v>7</x:v>
      </x:c>
      <x:c r="U935" s="38" t="n">
        <x:v>9</x:v>
      </x:c>
      <x:c r="V935" s="38" t="n">
        <x:v>20</x:v>
      </x:c>
      <x:c r="W935" s="38" t="n">
        <x:v>7</x:v>
      </x:c>
      <x:c r="X935" s="38" t="n">
        <x:v>15</x:v>
      </x:c>
      <x:c r="Y935" s="38" t="n">
        <x:v>4</x:v>
      </x:c>
      <x:c r="Z935" s="38" t="n">
        <x:f>MAX(0,MIN(100,ROUND(((T935+U935+V935+W935+X935)-Y935)/85*100,0)))</x:f>
        <x:v>64</x:v>
      </x:c>
      <x:c r="AA935" s="9" t="str">
        <x:f>IF(L935="暂不做","P3 暂缓",IF(Z935&gt;=75,"P0 本周做",IF(Z935&gt;=60,"P1 近期做",IF(Z935&gt;=45,"P2 备选","P3 暂缓"))))</x:f>
        <x:v>P1 近期做</x:v>
      </x:c>
      <x:c r="AB935" s="9" t="str">
        <x:f>IF(Y935&gt;=15,"先做合规/相关性复核，不建议直接商业导流",IF(L935="主站","建/优化主站商业页",IF(L935="博客A-知识教程","写知识教程/FAQ文章",IF(L935="博客B-场景人群","写场景需求/选购指南文章",IF(L935="博客C-对比评测","写对比评测/榜单文章","暂不做或人工复核")))))</x:f>
        <x:v>建/优化主站商业页</x:v>
      </x:c>
      <x:c r="AC935" s="9" t="str">
        <x:v>makeup mirror with lights</x:v>
      </x:c>
      <x:c r="AD935" s="10" t="str">
        <x:v>48</x:v>
      </x:c>
    </x:row>
    <x:row r="936">
      <x:c r="A936" s="34" t="n">
        <x:v>936</x:v>
      </x:c>
      <x:c r="B936" s="9" t="str">
        <x:v>48</x:v>
      </x:c>
      <x:c r="C936" s="9" t="str">
        <x:v>lighted makeup mirror large</x:v>
      </x:c>
      <x:c r="D936" s="9" t="str">
        <x:v>recommended</x:v>
      </x:c>
      <x:c r="E936" s="36" t="n">
        <x:v>140</x:v>
      </x:c>
      <x:c r="F936" s="36" t="n">
        <x:v>37</x:v>
      </x:c>
      <x:c r="G936" s="9" t="str">
        <x:v>informational, transactional</x:v>
      </x:c>
      <x:c r="H936" s="9" t="str">
        <x:v>General Vape</x:v>
      </x:c>
      <x:c r="I936" s="9" t="str">
        <x:v>交易词</x:v>
      </x:c>
      <x:c r="J936" s="9" t="str">
        <x:v>主站</x:v>
      </x:c>
      <x:c r="K936" s="9" t="str"/>
      <x:c r="L936" s="9" t="str">
        <x:f>IF(K936="",J936,K936)</x:f>
        <x:v>主站</x:v>
      </x:c>
      <x:c r="M936" s="9" t="str">
        <x:v>产品集合页/分类页/购买页</x:v>
      </x:c>
      <x:c r="N936" s="9" t="str">
        <x:v>主站商业页：标题围绕购买意图 + 品类 + 关键卖点</x:v>
      </x:c>
      <x:c r="O936" s="9" t="str">
        <x:v>/collections/disposable-vapes</x:v>
      </x:c>
      <x:c r="P936" s="9" t="str">
        <x:v>不适用</x:v>
      </x:c>
      <x:c r="Q936" s="9" t="str">
        <x:v>主站页面自身承接</x:v>
      </x:c>
      <x:c r="R936" s="9" t="str">
        <x:v>商业词：优先给主站，避免博客抢主站排名</x:v>
      </x:c>
      <x:c r="S936" s="9" t="str">
        <x:v>SERP 如为商品列表/品牌站/电商集合页，就建主站页面；若 SERP 全是教程，再拆支持文章。</x:v>
      </x:c>
      <x:c r="T936" s="38" t="n">
        <x:v>7</x:v>
      </x:c>
      <x:c r="U936" s="38" t="n">
        <x:v>9</x:v>
      </x:c>
      <x:c r="V936" s="38" t="n">
        <x:v>20</x:v>
      </x:c>
      <x:c r="W936" s="38" t="n">
        <x:v>7</x:v>
      </x:c>
      <x:c r="X936" s="38" t="n">
        <x:v>15</x:v>
      </x:c>
      <x:c r="Y936" s="38" t="n">
        <x:v>4</x:v>
      </x:c>
      <x:c r="Z936" s="38" t="n">
        <x:f>MAX(0,MIN(100,ROUND(((T936+U936+V936+W936+X936)-Y936)/85*100,0)))</x:f>
        <x:v>64</x:v>
      </x:c>
      <x:c r="AA936" s="9" t="str">
        <x:f>IF(L936="暂不做","P3 暂缓",IF(Z936&gt;=75,"P0 本周做",IF(Z936&gt;=60,"P1 近期做",IF(Z936&gt;=45,"P2 备选","P3 暂缓"))))</x:f>
        <x:v>P1 近期做</x:v>
      </x:c>
      <x:c r="AB936" s="9" t="str">
        <x:f>IF(Y936&gt;=15,"先做合规/相关性复核，不建议直接商业导流",IF(L936="主站","建/优化主站商业页",IF(L936="博客A-知识教程","写知识教程/FAQ文章",IF(L936="博客B-场景人群","写场景需求/选购指南文章",IF(L936="博客C-对比评测","写对比评测/榜单文章","暂不做或人工复核")))))</x:f>
        <x:v>建/优化主站商业页</x:v>
      </x:c>
      <x:c r="AC936" s="9" t="str">
        <x:v>makeup mirror with lights</x:v>
      </x:c>
      <x:c r="AD936" s="10" t="str">
        <x:v>48</x:v>
      </x:c>
    </x:row>
    <x:row r="937">
      <x:c r="A937" s="34" t="n">
        <x:v>937</x:v>
      </x:c>
      <x:c r="B937" s="9" t="str">
        <x:v>48</x:v>
      </x:c>
      <x:c r="C937" s="9" t="str">
        <x:v>lighted magnifier mirror</x:v>
      </x:c>
      <x:c r="D937" s="9" t="str">
        <x:v>recommended</x:v>
      </x:c>
      <x:c r="E937" s="36" t="n">
        <x:v>90</x:v>
      </x:c>
      <x:c r="F937" s="36" t="n">
        <x:v>28</x:v>
      </x:c>
      <x:c r="G937" s="9" t="str">
        <x:v>transactional</x:v>
      </x:c>
      <x:c r="H937" s="9" t="str">
        <x:v>General Vape</x:v>
      </x:c>
      <x:c r="I937" s="9" t="str">
        <x:v>交易词</x:v>
      </x:c>
      <x:c r="J937" s="9" t="str">
        <x:v>主站</x:v>
      </x:c>
      <x:c r="K937" s="9" t="str"/>
      <x:c r="L937" s="9" t="str">
        <x:f>IF(K937="",J937,K937)</x:f>
        <x:v>主站</x:v>
      </x:c>
      <x:c r="M937" s="9" t="str">
        <x:v>产品集合页/分类页/购买页</x:v>
      </x:c>
      <x:c r="N937" s="9" t="str">
        <x:v>主站商业页：标题围绕购买意图 + 品类 + 关键卖点</x:v>
      </x:c>
      <x:c r="O937" s="9" t="str">
        <x:v>/collections/disposable-vapes</x:v>
      </x:c>
      <x:c r="P937" s="9" t="str">
        <x:v>不适用</x:v>
      </x:c>
      <x:c r="Q937" s="9" t="str">
        <x:v>主站页面自身承接</x:v>
      </x:c>
      <x:c r="R937" s="9" t="str">
        <x:v>商业词：优先给主站，避免博客抢主站排名</x:v>
      </x:c>
      <x:c r="S937" s="9" t="str">
        <x:v>SERP 如为商品列表/品牌站/电商集合页，就建主站页面；若 SERP 全是教程，再拆支持文章。</x:v>
      </x:c>
      <x:c r="T937" s="38" t="n">
        <x:v>4</x:v>
      </x:c>
      <x:c r="U937" s="38" t="n">
        <x:v>12</x:v>
      </x:c>
      <x:c r="V937" s="38" t="n">
        <x:v>20</x:v>
      </x:c>
      <x:c r="W937" s="38" t="n">
        <x:v>7</x:v>
      </x:c>
      <x:c r="X937" s="38" t="n">
        <x:v>15</x:v>
      </x:c>
      <x:c r="Y937" s="38" t="n">
        <x:v>4</x:v>
      </x:c>
      <x:c r="Z937" s="38" t="n">
        <x:f>MAX(0,MIN(100,ROUND(((T937+U937+V937+W937+X937)-Y937)/85*100,0)))</x:f>
        <x:v>64</x:v>
      </x:c>
      <x:c r="AA937" s="9" t="str">
        <x:f>IF(L937="暂不做","P3 暂缓",IF(Z937&gt;=75,"P0 本周做",IF(Z937&gt;=60,"P1 近期做",IF(Z937&gt;=45,"P2 备选","P3 暂缓"))))</x:f>
        <x:v>P1 近期做</x:v>
      </x:c>
      <x:c r="AB937" s="9" t="str">
        <x:f>IF(Y937&gt;=15,"先做合规/相关性复核，不建议直接商业导流",IF(L937="主站","建/优化主站商业页",IF(L937="博客A-知识教程","写知识教程/FAQ文章",IF(L937="博客B-场景人群","写场景需求/选购指南文章",IF(L937="博客C-对比评测","写对比评测/榜单文章","暂不做或人工复核")))))</x:f>
        <x:v>建/优化主站商业页</x:v>
      </x:c>
      <x:c r="AC937" s="9" t="str">
        <x:v>makeup mirror with lights</x:v>
      </x:c>
      <x:c r="AD937" s="10" t="str">
        <x:v>48</x:v>
      </x:c>
    </x:row>
    <x:row r="938">
      <x:c r="A938" s="34" t="n">
        <x:v>938</x:v>
      </x:c>
      <x:c r="B938" s="9" t="str">
        <x:v>48</x:v>
      </x:c>
      <x:c r="C938" s="9" t="str">
        <x:v>lighted magnification mirror</x:v>
      </x:c>
      <x:c r="D938" s="9" t="str">
        <x:v>recommended</x:v>
      </x:c>
      <x:c r="E938" s="36" t="n">
        <x:v>50</x:v>
      </x:c>
      <x:c r="F938" s="36" t="n">
        <x:v>15</x:v>
      </x:c>
      <x:c r="G938" s="9" t="str">
        <x:v>informational, transactional</x:v>
      </x:c>
      <x:c r="H938" s="9" t="str">
        <x:v>General Vape</x:v>
      </x:c>
      <x:c r="I938" s="9" t="str">
        <x:v>交易词</x:v>
      </x:c>
      <x:c r="J938" s="9" t="str">
        <x:v>主站</x:v>
      </x:c>
      <x:c r="K938" s="9" t="str"/>
      <x:c r="L938" s="9" t="str">
        <x:f>IF(K938="",J938,K938)</x:f>
        <x:v>主站</x:v>
      </x:c>
      <x:c r="M938" s="9" t="str">
        <x:v>产品集合页/分类页/购买页</x:v>
      </x:c>
      <x:c r="N938" s="9" t="str">
        <x:v>主站商业页：标题围绕购买意图 + 品类 + 关键卖点</x:v>
      </x:c>
      <x:c r="O938" s="9" t="str">
        <x:v>/collections/disposable-vapes</x:v>
      </x:c>
      <x:c r="P938" s="9" t="str">
        <x:v>不适用</x:v>
      </x:c>
      <x:c r="Q938" s="9" t="str">
        <x:v>主站页面自身承接</x:v>
      </x:c>
      <x:c r="R938" s="9" t="str">
        <x:v>商业词：优先给主站，避免博客抢主站排名</x:v>
      </x:c>
      <x:c r="S938" s="9" t="str">
        <x:v>SERP 如为商品列表/品牌站/电商集合页，就建主站页面；若 SERP 全是教程，再拆支持文章。</x:v>
      </x:c>
      <x:c r="T938" s="38" t="n">
        <x:v>4</x:v>
      </x:c>
      <x:c r="U938" s="38" t="n">
        <x:v>15</x:v>
      </x:c>
      <x:c r="V938" s="38" t="n">
        <x:v>20</x:v>
      </x:c>
      <x:c r="W938" s="38" t="n">
        <x:v>7</x:v>
      </x:c>
      <x:c r="X938" s="38" t="n">
        <x:v>15</x:v>
      </x:c>
      <x:c r="Y938" s="38" t="n">
        <x:v>4</x:v>
      </x:c>
      <x:c r="Z938" s="38" t="n">
        <x:f>MAX(0,MIN(100,ROUND(((T938+U938+V938+W938+X938)-Y938)/85*100,0)))</x:f>
        <x:v>67</x:v>
      </x:c>
      <x:c r="AA938" s="9" t="str">
        <x:f>IF(L938="暂不做","P3 暂缓",IF(Z938&gt;=75,"P0 本周做",IF(Z938&gt;=60,"P1 近期做",IF(Z938&gt;=45,"P2 备选","P3 暂缓"))))</x:f>
        <x:v>P1 近期做</x:v>
      </x:c>
      <x:c r="AB938" s="9" t="str">
        <x:f>IF(Y938&gt;=15,"先做合规/相关性复核，不建议直接商业导流",IF(L938="主站","建/优化主站商业页",IF(L938="博客A-知识教程","写知识教程/FAQ文章",IF(L938="博客B-场景人群","写场景需求/选购指南文章",IF(L938="博客C-对比评测","写对比评测/榜单文章","暂不做或人工复核")))))</x:f>
        <x:v>建/优化主站商业页</x:v>
      </x:c>
      <x:c r="AC938" s="9" t="str">
        <x:v>makeup mirror with lights</x:v>
      </x:c>
      <x:c r="AD938" s="10" t="str">
        <x:v>48</x:v>
      </x:c>
    </x:row>
    <x:row r="939">
      <x:c r="A939" s="34" t="n">
        <x:v>939</x:v>
      </x:c>
      <x:c r="B939" s="9" t="str">
        <x:v>48</x:v>
      </x:c>
      <x:c r="C939" s="9" t="str">
        <x:v>magnified mirror with light</x:v>
      </x:c>
      <x:c r="D939" s="9" t="str">
        <x:v>recommended</x:v>
      </x:c>
      <x:c r="E939" s="36" t="n">
        <x:v>110</x:v>
      </x:c>
      <x:c r="F939" s="36" t="n">
        <x:v>34</x:v>
      </x:c>
      <x:c r="G939" s="9" t="str">
        <x:v>informational, commercial</x:v>
      </x:c>
      <x:c r="H939" s="9" t="str">
        <x:v>General Vape</x:v>
      </x:c>
      <x:c r="I939" s="9" t="str">
        <x:v>场景/需求词</x:v>
      </x:c>
      <x:c r="J939" s="9" t="str">
        <x:v>博客B-场景人群</x:v>
      </x:c>
      <x:c r="K939" s="9" t="str"/>
      <x:c r="L939" s="9" t="str">
        <x:f>IF(K939="",J939,K939)</x:f>
        <x:v>博客B-场景人群</x:v>
      </x:c>
      <x:c r="M939" s="9" t="str">
        <x:v>场景解决方案/选购指南文章</x:v>
      </x:c>
      <x:c r="N939" s="9" t="str">
        <x:v>Scenario angle: how to choose magnified mirror with light based on use case, flavor, nicotine, and budget</x:v>
      </x:c>
      <x:c r="O939" s="9" t="str">
        <x:v>/collections/disposable-vapes</x:v>
      </x:c>
      <x:c r="P939" s="9" t="str">
        <x:v>是</x:v>
      </x:c>
      <x:c r="Q939" s="9" t="str">
        <x:v>自然句/品类词</x:v>
      </x:c>
      <x:c r="R939" s="9" t="str">
        <x:v>低中风险：适合软性导流，但不要夸大效果或触碰健康疗效</x:v>
      </x:c>
      <x:c r="S939" s="9" t="str">
        <x:v>围绕使用场景、口味、尼古丁需求、便携性等写，不和主站品类页抢词。</x:v>
      </x:c>
      <x:c r="T939" s="38" t="n">
        <x:v>7</x:v>
      </x:c>
      <x:c r="U939" s="38" t="n">
        <x:v>9</x:v>
      </x:c>
      <x:c r="V939" s="38" t="n">
        <x:v>13</x:v>
      </x:c>
      <x:c r="W939" s="38" t="n">
        <x:v>14</x:v>
      </x:c>
      <x:c r="X939" s="38" t="n">
        <x:v>13</x:v>
      </x:c>
      <x:c r="Y939" s="38" t="n">
        <x:v>5</x:v>
      </x:c>
      <x:c r="Z939" s="38" t="n">
        <x:f>MAX(0,MIN(100,ROUND(((T939+U939+V939+W939+X939)-Y939)/85*100,0)))</x:f>
        <x:v>60</x:v>
      </x:c>
      <x:c r="AA939" s="9" t="str">
        <x:f>IF(L939="暂不做","P3 暂缓",IF(Z939&gt;=75,"P0 本周做",IF(Z939&gt;=60,"P1 近期做",IF(Z939&gt;=45,"P2 备选","P3 暂缓"))))</x:f>
        <x:v>P1 近期做</x:v>
      </x:c>
      <x:c r="AB939" s="9" t="str">
        <x:f>IF(Y939&gt;=15,"先做合规/相关性复核，不建议直接商业导流",IF(L939="主站","建/优化主站商业页",IF(L939="博客A-知识教程","写知识教程/FAQ文章",IF(L939="博客B-场景人群","写场景需求/选购指南文章",IF(L939="博客C-对比评测","写对比评测/榜单文章","暂不做或人工复核")))))</x:f>
        <x:v>写场景需求/选购指南文章</x:v>
      </x:c>
      <x:c r="AC939" s="9" t="str">
        <x:v>makeup mirror with lights</x:v>
      </x:c>
      <x:c r="AD939" s="10" t="str">
        <x:v>48</x:v>
      </x:c>
    </x:row>
    <x:row r="940">
      <x:c r="A940" s="34" t="n">
        <x:v>940</x:v>
      </x:c>
      <x:c r="B940" s="9" t="str">
        <x:v>48</x:v>
      </x:c>
      <x:c r="C940" s="9" t="str">
        <x:v>brightest lighted makeup mirror</x:v>
      </x:c>
      <x:c r="D940" s="9" t="str">
        <x:v>recommended</x:v>
      </x:c>
      <x:c r="E940" s="36" t="n">
        <x:v>50</x:v>
      </x:c>
      <x:c r="F940" s="36" t="n">
        <x:v>17</x:v>
      </x:c>
      <x:c r="G940" s="9" t="str">
        <x:v>informational, commercial</x:v>
      </x:c>
      <x:c r="H940" s="9" t="str">
        <x:v>General Vape</x:v>
      </x:c>
      <x:c r="I940" s="9" t="str">
        <x:v>知识/教程词</x:v>
      </x:c>
      <x:c r="J940" s="9" t="str">
        <x:v>博客A-知识教程</x:v>
      </x:c>
      <x:c r="K940" s="9" t="str"/>
      <x:c r="L940" s="9" t="str">
        <x:f>IF(K940="",J940,K940)</x:f>
        <x:v>博客A-知识教程</x:v>
      </x:c>
      <x:c r="M940" s="9" t="str">
        <x:v>百科/How-to/FAQ文章</x:v>
      </x:c>
      <x:c r="N940" s="9" t="str">
        <x:v>Guide angle: explain brightest lighted makeup mirror, answer common questions, and avoid sales-first writing</x:v>
      </x:c>
      <x:c r="O940" s="9" t="str">
        <x:v>/collections/disposable-vapes</x:v>
      </x:c>
      <x:c r="P940" s="9" t="str">
        <x:v>谨慎</x:v>
      </x:c>
      <x:c r="Q940" s="9" t="str">
        <x:v>自然句/品牌词</x:v>
      </x:c>
      <x:c r="R940" s="9" t="str">
        <x:v>低中风险：先满足信息意图，导流要克制</x:v>
      </x:c>
      <x:c r="S940" s="9" t="str">
        <x:v>如果文章能自然回答下一步购买问题，再放 1 个主站内链；否则只做知识闭环。</x:v>
      </x:c>
      <x:c r="T940" s="38" t="n">
        <x:v>4</x:v>
      </x:c>
      <x:c r="U940" s="38" t="n">
        <x:v>12</x:v>
      </x:c>
      <x:c r="V940" s="38" t="n">
        <x:v>9</x:v>
      </x:c>
      <x:c r="W940" s="38" t="n">
        <x:v>14</x:v>
      </x:c>
      <x:c r="X940" s="38" t="n">
        <x:v>12</x:v>
      </x:c>
      <x:c r="Y940" s="38" t="n">
        <x:v>5</x:v>
      </x:c>
      <x:c r="Z940" s="38" t="n">
        <x:f>MAX(0,MIN(100,ROUND(((T940+U940+V940+W940+X940)-Y940)/85*100,0)))</x:f>
        <x:v>54</x:v>
      </x:c>
      <x:c r="AA940" s="9" t="str">
        <x:f>IF(L940="暂不做","P3 暂缓",IF(Z940&gt;=75,"P0 本周做",IF(Z940&gt;=60,"P1 近期做",IF(Z940&gt;=45,"P2 备选","P3 暂缓"))))</x:f>
        <x:v>P2 备选</x:v>
      </x:c>
      <x:c r="AB940" s="9" t="str">
        <x:f>IF(Y940&gt;=15,"先做合规/相关性复核，不建议直接商业导流",IF(L940="主站","建/优化主站商业页",IF(L940="博客A-知识教程","写知识教程/FAQ文章",IF(L940="博客B-场景人群","写场景需求/选购指南文章",IF(L940="博客C-对比评测","写对比评测/榜单文章","暂不做或人工复核")))))</x:f>
        <x:v>写知识教程/FAQ文章</x:v>
      </x:c>
      <x:c r="AC940" s="9" t="str">
        <x:v>makeup mirror with lights</x:v>
      </x:c>
      <x:c r="AD940" s="10" t="str">
        <x:v>48</x:v>
      </x:c>
    </x:row>
    <x:row r="941">
      <x:c r="A941" s="34" t="n">
        <x:v>941</x:v>
      </x:c>
      <x:c r="B941" s="9" t="str">
        <x:v>48</x:v>
      </x:c>
      <x:c r="C941" s="9" t="str">
        <x:v>light face mirror</x:v>
      </x:c>
      <x:c r="D941" s="9" t="str">
        <x:v>recommended</x:v>
      </x:c>
      <x:c r="E941" s="36" t="n">
        <x:v>70</x:v>
      </x:c>
      <x:c r="F941" s="36" t="n">
        <x:v>26</x:v>
      </x:c>
      <x:c r="G941" s="9" t="str">
        <x:v>transactional</x:v>
      </x:c>
      <x:c r="H941" s="9" t="str">
        <x:v>General Vape</x:v>
      </x:c>
      <x:c r="I941" s="9" t="str">
        <x:v>交易词</x:v>
      </x:c>
      <x:c r="J941" s="9" t="str">
        <x:v>主站</x:v>
      </x:c>
      <x:c r="K941" s="9" t="str"/>
      <x:c r="L941" s="9" t="str">
        <x:f>IF(K941="",J941,K941)</x:f>
        <x:v>主站</x:v>
      </x:c>
      <x:c r="M941" s="9" t="str">
        <x:v>产品集合页/分类页/购买页</x:v>
      </x:c>
      <x:c r="N941" s="9" t="str">
        <x:v>主站商业页：标题围绕购买意图 + 品类 + 关键卖点</x:v>
      </x:c>
      <x:c r="O941" s="9" t="str">
        <x:v>/collections/disposable-vapes</x:v>
      </x:c>
      <x:c r="P941" s="9" t="str">
        <x:v>不适用</x:v>
      </x:c>
      <x:c r="Q941" s="9" t="str">
        <x:v>主站页面自身承接</x:v>
      </x:c>
      <x:c r="R941" s="9" t="str">
        <x:v>商业词：优先给主站，避免博客抢主站排名</x:v>
      </x:c>
      <x:c r="S941" s="9" t="str">
        <x:v>SERP 如为商品列表/品牌站/电商集合页，就建主站页面；若 SERP 全是教程，再拆支持文章。</x:v>
      </x:c>
      <x:c r="T941" s="38" t="n">
        <x:v>4</x:v>
      </x:c>
      <x:c r="U941" s="38" t="n">
        <x:v>12</x:v>
      </x:c>
      <x:c r="V941" s="38" t="n">
        <x:v>20</x:v>
      </x:c>
      <x:c r="W941" s="38" t="n">
        <x:v>7</x:v>
      </x:c>
      <x:c r="X941" s="38" t="n">
        <x:v>15</x:v>
      </x:c>
      <x:c r="Y941" s="38" t="n">
        <x:v>4</x:v>
      </x:c>
      <x:c r="Z941" s="38" t="n">
        <x:f>MAX(0,MIN(100,ROUND(((T941+U941+V941+W941+X941)-Y941)/85*100,0)))</x:f>
        <x:v>64</x:v>
      </x:c>
      <x:c r="AA941" s="9" t="str">
        <x:f>IF(L941="暂不做","P3 暂缓",IF(Z941&gt;=75,"P0 本周做",IF(Z941&gt;=60,"P1 近期做",IF(Z941&gt;=45,"P2 备选","P3 暂缓"))))</x:f>
        <x:v>P1 近期做</x:v>
      </x:c>
      <x:c r="AB941" s="9" t="str">
        <x:f>IF(Y941&gt;=15,"先做合规/相关性复核，不建议直接商业导流",IF(L941="主站","建/优化主站商业页",IF(L941="博客A-知识教程","写知识教程/FAQ文章",IF(L941="博客B-场景人群","写场景需求/选购指南文章",IF(L941="博客C-对比评测","写对比评测/榜单文章","暂不做或人工复核")))))</x:f>
        <x:v>建/优化主站商业页</x:v>
      </x:c>
      <x:c r="AC941" s="9" t="str">
        <x:v>makeup mirror with lights</x:v>
      </x:c>
      <x:c r="AD941" s="10" t="str">
        <x:v>48</x:v>
      </x:c>
    </x:row>
    <x:row r="942">
      <x:c r="A942" s="34" t="n">
        <x:v>942</x:v>
      </x:c>
      <x:c r="B942" s="9" t="str">
        <x:v>48</x:v>
      </x:c>
      <x:c r="C942" s="9" t="str">
        <x:v>face mirror with light</x:v>
      </x:c>
      <x:c r="D942" s="9" t="str">
        <x:v>recommended</x:v>
      </x:c>
      <x:c r="E942" s="36" t="n">
        <x:v>70</x:v>
      </x:c>
      <x:c r="F942" s="36" t="n">
        <x:v>37</x:v>
      </x:c>
      <x:c r="G942" s="9" t="str">
        <x:v>informational, transactional</x:v>
      </x:c>
      <x:c r="H942" s="9" t="str">
        <x:v>General Vape</x:v>
      </x:c>
      <x:c r="I942" s="9" t="str">
        <x:v>交易词</x:v>
      </x:c>
      <x:c r="J942" s="9" t="str">
        <x:v>主站</x:v>
      </x:c>
      <x:c r="K942" s="9" t="str"/>
      <x:c r="L942" s="9" t="str">
        <x:f>IF(K942="",J942,K942)</x:f>
        <x:v>主站</x:v>
      </x:c>
      <x:c r="M942" s="9" t="str">
        <x:v>产品集合页/分类页/购买页</x:v>
      </x:c>
      <x:c r="N942" s="9" t="str">
        <x:v>主站商业页：标题围绕购买意图 + 品类 + 关键卖点</x:v>
      </x:c>
      <x:c r="O942" s="9" t="str">
        <x:v>/collections/disposable-vapes</x:v>
      </x:c>
      <x:c r="P942" s="9" t="str">
        <x:v>不适用</x:v>
      </x:c>
      <x:c r="Q942" s="9" t="str">
        <x:v>主站页面自身承接</x:v>
      </x:c>
      <x:c r="R942" s="9" t="str">
        <x:v>商业词：优先给主站，避免博客抢主站排名</x:v>
      </x:c>
      <x:c r="S942" s="9" t="str">
        <x:v>SERP 如为商品列表/品牌站/电商集合页，就建主站页面；若 SERP 全是教程，再拆支持文章。</x:v>
      </x:c>
      <x:c r="T942" s="38" t="n">
        <x:v>4</x:v>
      </x:c>
      <x:c r="U942" s="38" t="n">
        <x:v>9</x:v>
      </x:c>
      <x:c r="V942" s="38" t="n">
        <x:v>20</x:v>
      </x:c>
      <x:c r="W942" s="38" t="n">
        <x:v>7</x:v>
      </x:c>
      <x:c r="X942" s="38" t="n">
        <x:v>15</x:v>
      </x:c>
      <x:c r="Y942" s="38" t="n">
        <x:v>4</x:v>
      </x:c>
      <x:c r="Z942" s="38" t="n">
        <x:f>MAX(0,MIN(100,ROUND(((T942+U942+V942+W942+X942)-Y942)/85*100,0)))</x:f>
        <x:v>60</x:v>
      </x:c>
      <x:c r="AA942" s="9" t="str">
        <x:f>IF(L942="暂不做","P3 暂缓",IF(Z942&gt;=75,"P0 本周做",IF(Z942&gt;=60,"P1 近期做",IF(Z942&gt;=45,"P2 备选","P3 暂缓"))))</x:f>
        <x:v>P1 近期做</x:v>
      </x:c>
      <x:c r="AB942" s="9" t="str">
        <x:f>IF(Y942&gt;=15,"先做合规/相关性复核，不建议直接商业导流",IF(L942="主站","建/优化主站商业页",IF(L942="博客A-知识教程","写知识教程/FAQ文章",IF(L942="博客B-场景人群","写场景需求/选购指南文章",IF(L942="博客C-对比评测","写对比评测/榜单文章","暂不做或人工复核")))))</x:f>
        <x:v>建/优化主站商业页</x:v>
      </x:c>
      <x:c r="AC942" s="9" t="str">
        <x:v>makeup mirror with lights</x:v>
      </x:c>
      <x:c r="AD942" s="10" t="str">
        <x:v>48</x:v>
      </x:c>
    </x:row>
    <x:row r="943">
      <x:c r="A943" s="34" t="n">
        <x:v>943</x:v>
      </x:c>
      <x:c r="B943" s="9" t="str">
        <x:v>48</x:v>
      </x:c>
      <x:c r="C943" s="9" t="str">
        <x:v>mirror for makeup</x:v>
      </x:c>
      <x:c r="D943" s="9" t="str">
        <x:v>recommended</x:v>
      </x:c>
      <x:c r="E943" s="36" t="n">
        <x:v>320</x:v>
      </x:c>
      <x:c r="F943" s="36" t="n">
        <x:v>25</x:v>
      </x:c>
      <x:c r="G943" s="9" t="str">
        <x:v>informational, transactional</x:v>
      </x:c>
      <x:c r="H943" s="9" t="str">
        <x:v>General Vape</x:v>
      </x:c>
      <x:c r="I943" s="9" t="str">
        <x:v>交易词</x:v>
      </x:c>
      <x:c r="J943" s="9" t="str">
        <x:v>主站</x:v>
      </x:c>
      <x:c r="K943" s="9" t="str"/>
      <x:c r="L943" s="9" t="str">
        <x:f>IF(K943="",J943,K943)</x:f>
        <x:v>主站</x:v>
      </x:c>
      <x:c r="M943" s="9" t="str">
        <x:v>产品集合页/分类页/购买页</x:v>
      </x:c>
      <x:c r="N943" s="9" t="str">
        <x:v>主站商业页：标题围绕购买意图 + 品类 + 关键卖点</x:v>
      </x:c>
      <x:c r="O943" s="9" t="str">
        <x:v>/collections/disposable-vapes</x:v>
      </x:c>
      <x:c r="P943" s="9" t="str">
        <x:v>不适用</x:v>
      </x:c>
      <x:c r="Q943" s="9" t="str">
        <x:v>主站页面自身承接</x:v>
      </x:c>
      <x:c r="R943" s="9" t="str">
        <x:v>商业词：优先给主站，避免博客抢主站排名</x:v>
      </x:c>
      <x:c r="S943" s="9" t="str">
        <x:v>SERP 如为商品列表/品牌站/电商集合页，就建主站页面；若 SERP 全是教程，再拆支持文章。</x:v>
      </x:c>
      <x:c r="T943" s="38" t="n">
        <x:v>7</x:v>
      </x:c>
      <x:c r="U943" s="38" t="n">
        <x:v>12</x:v>
      </x:c>
      <x:c r="V943" s="38" t="n">
        <x:v>20</x:v>
      </x:c>
      <x:c r="W943" s="38" t="n">
        <x:v>7</x:v>
      </x:c>
      <x:c r="X943" s="38" t="n">
        <x:v>15</x:v>
      </x:c>
      <x:c r="Y943" s="38" t="n">
        <x:v>4</x:v>
      </x:c>
      <x:c r="Z943" s="38" t="n">
        <x:f>MAX(0,MIN(100,ROUND(((T943+U943+V943+W943+X943)-Y943)/85*100,0)))</x:f>
        <x:v>67</x:v>
      </x:c>
      <x:c r="AA943" s="9" t="str">
        <x:f>IF(L943="暂不做","P3 暂缓",IF(Z943&gt;=75,"P0 本周做",IF(Z943&gt;=60,"P1 近期做",IF(Z943&gt;=45,"P2 备选","P3 暂缓"))))</x:f>
        <x:v>P1 近期做</x:v>
      </x:c>
      <x:c r="AB943" s="9" t="str">
        <x:f>IF(Y943&gt;=15,"先做合规/相关性复核，不建议直接商业导流",IF(L943="主站","建/优化主站商业页",IF(L943="博客A-知识教程","写知识教程/FAQ文章",IF(L943="博客B-场景人群","写场景需求/选购指南文章",IF(L943="博客C-对比评测","写对比评测/榜单文章","暂不做或人工复核")))))</x:f>
        <x:v>建/优化主站商业页</x:v>
      </x:c>
      <x:c r="AC943" s="9" t="str">
        <x:v>makeup mirror with lights</x:v>
      </x:c>
      <x:c r="AD943" s="10" t="str">
        <x:v>48</x:v>
      </x:c>
    </x:row>
    <x:row r="944">
      <x:c r="A944" s="34" t="n">
        <x:v>944</x:v>
      </x:c>
      <x:c r="B944" s="9" t="str">
        <x:v>48</x:v>
      </x:c>
      <x:c r="C944" s="9" t="str">
        <x:v>light makeup mirror</x:v>
      </x:c>
      <x:c r="D944" s="9" t="str">
        <x:v>recommended</x:v>
      </x:c>
      <x:c r="E944" s="36" t="n">
        <x:v>140</x:v>
      </x:c>
      <x:c r="F944" s="36" t="n">
        <x:v>14</x:v>
      </x:c>
      <x:c r="G944" s="9" t="str">
        <x:v>commercial</x:v>
      </x:c>
      <x:c r="H944" s="9" t="str">
        <x:v>General Vape</x:v>
      </x:c>
      <x:c r="I944" s="9" t="str">
        <x:v>弱相关词</x:v>
      </x:c>
      <x:c r="J944" s="9" t="str">
        <x:v>暂不做</x:v>
      </x:c>
      <x:c r="K944" s="9" t="str"/>
      <x:c r="L944" s="9" t="str">
        <x:f>IF(K944="",J944,K944)</x:f>
        <x:v>暂不做</x:v>
      </x:c>
      <x:c r="M944" s="9" t="str">
        <x:v>不建议建页</x:v>
      </x:c>
      <x:c r="N944" s="9" t="str">
        <x:v>不进入内容生产</x:v>
      </x:c>
      <x:c r="O944" s="9" t="str">
        <x:v>无</x:v>
      </x:c>
      <x:c r="P944" s="9" t="str">
        <x:v>否</x:v>
      </x:c>
      <x:c r="Q944" s="9" t="str">
        <x:v>不导流</x:v>
      </x:c>
      <x:c r="R944" s="9" t="str">
        <x:v>相关性弱：可能带来无效流量或偏离产品定位</x:v>
      </x:c>
      <x:c r="S944" s="9" t="str">
        <x:v>除非人工确认与核心产品强相关，否则不要进入内容排期。</x:v>
      </x:c>
      <x:c r="T944" s="38" t="n">
        <x:v>7</x:v>
      </x:c>
      <x:c r="U944" s="38" t="n">
        <x:v>15</x:v>
      </x:c>
      <x:c r="V944" s="38" t="n">
        <x:v>2</x:v>
      </x:c>
      <x:c r="W944" s="38" t="n">
        <x:v>3</x:v>
      </x:c>
      <x:c r="X944" s="38" t="n">
        <x:v>2</x:v>
      </x:c>
      <x:c r="Y944" s="38" t="n">
        <x:v>16</x:v>
      </x:c>
      <x:c r="Z944" s="38" t="n">
        <x:f>MAX(0,MIN(100,ROUND(((T944+U944+V944+W944+X944)-Y944)/85*100,0)))</x:f>
        <x:v>15</x:v>
      </x:c>
      <x:c r="AA944" s="9" t="str">
        <x:f>IF(L944="暂不做","P3 暂缓",IF(Z944&gt;=75,"P0 本周做",IF(Z944&gt;=60,"P1 近期做",IF(Z944&gt;=45,"P2 备选","P3 暂缓"))))</x:f>
        <x:v>P3 暂缓</x:v>
      </x:c>
      <x:c r="AB944" s="9" t="str">
        <x:f>IF(Y944&gt;=15,"先做合规/相关性复核，不建议直接商业导流",IF(L944="主站","建/优化主站商业页",IF(L944="博客A-知识教程","写知识教程/FAQ文章",IF(L944="博客B-场景人群","写场景需求/选购指南文章",IF(L944="博客C-对比评测","写对比评测/榜单文章","暂不做或人工复核")))))</x:f>
        <x:v>先做合规/相关性复核，不建议直接商业导流</x:v>
      </x:c>
      <x:c r="AC944" s="9" t="str">
        <x:v>makeup mirror with lights</x:v>
      </x:c>
      <x:c r="AD944" s="10" t="str">
        <x:v>48</x:v>
      </x:c>
    </x:row>
    <x:row r="945">
      <x:c r="A945" s="34" t="n">
        <x:v>945</x:v>
      </x:c>
      <x:c r="B945" s="9" t="str">
        <x:v>48</x:v>
      </x:c>
      <x:c r="C945" s="9" t="str">
        <x:v>high quality makeup mirror</x:v>
      </x:c>
      <x:c r="D945" s="9" t="str">
        <x:v>recommended</x:v>
      </x:c>
      <x:c r="E945" s="36" t="n">
        <x:v>170</x:v>
      </x:c>
      <x:c r="F945" s="36" t="n">
        <x:v>18</x:v>
      </x:c>
      <x:c r="G945" s="9" t="str">
        <x:v>commercial</x:v>
      </x:c>
      <x:c r="H945" s="9" t="str">
        <x:v>General Vape</x:v>
      </x:c>
      <x:c r="I945" s="9" t="str">
        <x:v>弱相关词</x:v>
      </x:c>
      <x:c r="J945" s="9" t="str">
        <x:v>暂不做</x:v>
      </x:c>
      <x:c r="K945" s="9" t="str"/>
      <x:c r="L945" s="9" t="str">
        <x:f>IF(K945="",J945,K945)</x:f>
        <x:v>暂不做</x:v>
      </x:c>
      <x:c r="M945" s="9" t="str">
        <x:v>不建议建页</x:v>
      </x:c>
      <x:c r="N945" s="9" t="str">
        <x:v>不进入内容生产</x:v>
      </x:c>
      <x:c r="O945" s="9" t="str">
        <x:v>无</x:v>
      </x:c>
      <x:c r="P945" s="9" t="str">
        <x:v>否</x:v>
      </x:c>
      <x:c r="Q945" s="9" t="str">
        <x:v>不导流</x:v>
      </x:c>
      <x:c r="R945" s="9" t="str">
        <x:v>相关性弱：可能带来无效流量或偏离产品定位</x:v>
      </x:c>
      <x:c r="S945" s="9" t="str">
        <x:v>除非人工确认与核心产品强相关，否则不要进入内容排期。</x:v>
      </x:c>
      <x:c r="T945" s="38" t="n">
        <x:v>7</x:v>
      </x:c>
      <x:c r="U945" s="38" t="n">
        <x:v>12</x:v>
      </x:c>
      <x:c r="V945" s="38" t="n">
        <x:v>2</x:v>
      </x:c>
      <x:c r="W945" s="38" t="n">
        <x:v>3</x:v>
      </x:c>
      <x:c r="X945" s="38" t="n">
        <x:v>2</x:v>
      </x:c>
      <x:c r="Y945" s="38" t="n">
        <x:v>16</x:v>
      </x:c>
      <x:c r="Z945" s="38" t="n">
        <x:f>MAX(0,MIN(100,ROUND(((T945+U945+V945+W945+X945)-Y945)/85*100,0)))</x:f>
        <x:v>12</x:v>
      </x:c>
      <x:c r="AA945" s="9" t="str">
        <x:f>IF(L945="暂不做","P3 暂缓",IF(Z945&gt;=75,"P0 本周做",IF(Z945&gt;=60,"P1 近期做",IF(Z945&gt;=45,"P2 备选","P3 暂缓"))))</x:f>
        <x:v>P3 暂缓</x:v>
      </x:c>
      <x:c r="AB945" s="9" t="str">
        <x:f>IF(Y945&gt;=15,"先做合规/相关性复核，不建议直接商业导流",IF(L945="主站","建/优化主站商业页",IF(L945="博客A-知识教程","写知识教程/FAQ文章",IF(L945="博客B-场景人群","写场景需求/选购指南文章",IF(L945="博客C-对比评测","写对比评测/榜单文章","暂不做或人工复核")))))</x:f>
        <x:v>先做合规/相关性复核，不建议直接商业导流</x:v>
      </x:c>
      <x:c r="AC945" s="9" t="str">
        <x:v>makeup mirror with lights</x:v>
      </x:c>
      <x:c r="AD945" s="10" t="str">
        <x:v>48</x:v>
      </x:c>
    </x:row>
    <x:row r="946">
      <x:c r="A946" s="34" t="n">
        <x:v>946</x:v>
      </x:c>
      <x:c r="B946" s="9" t="str">
        <x:v>48</x:v>
      </x:c>
      <x:c r="C946" s="9" t="str">
        <x:v>light magnifying mirror</x:v>
      </x:c>
      <x:c r="D946" s="9" t="str">
        <x:v>recommended</x:v>
      </x:c>
      <x:c r="E946" s="36" t="n">
        <x:v>30</x:v>
      </x:c>
      <x:c r="F946" s="36" t="n">
        <x:v>32</x:v>
      </x:c>
      <x:c r="G946" s="9" t="str">
        <x:v>informational, transactional</x:v>
      </x:c>
      <x:c r="H946" s="9" t="str">
        <x:v>General Vape</x:v>
      </x:c>
      <x:c r="I946" s="9" t="str">
        <x:v>交易词</x:v>
      </x:c>
      <x:c r="J946" s="9" t="str">
        <x:v>主站</x:v>
      </x:c>
      <x:c r="K946" s="9" t="str"/>
      <x:c r="L946" s="9" t="str">
        <x:f>IF(K946="",J946,K946)</x:f>
        <x:v>主站</x:v>
      </x:c>
      <x:c r="M946" s="9" t="str">
        <x:v>产品集合页/分类页/购买页</x:v>
      </x:c>
      <x:c r="N946" s="9" t="str">
        <x:v>主站商业页：标题围绕购买意图 + 品类 + 关键卖点</x:v>
      </x:c>
      <x:c r="O946" s="9" t="str">
        <x:v>/collections/disposable-vapes</x:v>
      </x:c>
      <x:c r="P946" s="9" t="str">
        <x:v>不适用</x:v>
      </x:c>
      <x:c r="Q946" s="9" t="str">
        <x:v>主站页面自身承接</x:v>
      </x:c>
      <x:c r="R946" s="9" t="str">
        <x:v>商业词：优先给主站，避免博客抢主站排名</x:v>
      </x:c>
      <x:c r="S946" s="9" t="str">
        <x:v>SERP 如为商品列表/品牌站/电商集合页，就建主站页面；若 SERP 全是教程，再拆支持文章。</x:v>
      </x:c>
      <x:c r="T946" s="38" t="n">
        <x:v>4</x:v>
      </x:c>
      <x:c r="U946" s="38" t="n">
        <x:v>9</x:v>
      </x:c>
      <x:c r="V946" s="38" t="n">
        <x:v>20</x:v>
      </x:c>
      <x:c r="W946" s="38" t="n">
        <x:v>7</x:v>
      </x:c>
      <x:c r="X946" s="38" t="n">
        <x:v>15</x:v>
      </x:c>
      <x:c r="Y946" s="38" t="n">
        <x:v>4</x:v>
      </x:c>
      <x:c r="Z946" s="38" t="n">
        <x:f>MAX(0,MIN(100,ROUND(((T946+U946+V946+W946+X946)-Y946)/85*100,0)))</x:f>
        <x:v>60</x:v>
      </x:c>
      <x:c r="AA946" s="9" t="str">
        <x:f>IF(L946="暂不做","P3 暂缓",IF(Z946&gt;=75,"P0 本周做",IF(Z946&gt;=60,"P1 近期做",IF(Z946&gt;=45,"P2 备选","P3 暂缓"))))</x:f>
        <x:v>P1 近期做</x:v>
      </x:c>
      <x:c r="AB946" s="9" t="str">
        <x:f>IF(Y946&gt;=15,"先做合规/相关性复核，不建议直接商业导流",IF(L946="主站","建/优化主站商业页",IF(L946="博客A-知识教程","写知识教程/FAQ文章",IF(L946="博客B-场景人群","写场景需求/选购指南文章",IF(L946="博客C-对比评测","写对比评测/榜单文章","暂不做或人工复核")))))</x:f>
        <x:v>建/优化主站商业页</x:v>
      </x:c>
      <x:c r="AC946" s="9" t="str">
        <x:v>makeup mirror with lights</x:v>
      </x:c>
      <x:c r="AD946" s="10" t="str">
        <x:v>48</x:v>
      </x:c>
    </x:row>
    <x:row r="947">
      <x:c r="A947" s="34" t="n">
        <x:v>947</x:v>
      </x:c>
      <x:c r="B947" s="9" t="str">
        <x:v>48</x:v>
      </x:c>
      <x:c r="C947" s="9" t="str">
        <x:v>magnifying beauty mirror</x:v>
      </x:c>
      <x:c r="D947" s="9" t="str">
        <x:v>recommended</x:v>
      </x:c>
      <x:c r="E947" s="36" t="n">
        <x:v>30</x:v>
      </x:c>
      <x:c r="F947" s="36" t="n">
        <x:v>34</x:v>
      </x:c>
      <x:c r="G947" s="9" t="str">
        <x:v>commercial</x:v>
      </x:c>
      <x:c r="H947" s="9" t="str">
        <x:v>General Vape</x:v>
      </x:c>
      <x:c r="I947" s="9" t="str">
        <x:v>弱相关词</x:v>
      </x:c>
      <x:c r="J947" s="9" t="str">
        <x:v>暂不做</x:v>
      </x:c>
      <x:c r="K947" s="9" t="str"/>
      <x:c r="L947" s="9" t="str">
        <x:f>IF(K947="",J947,K947)</x:f>
        <x:v>暂不做</x:v>
      </x:c>
      <x:c r="M947" s="9" t="str">
        <x:v>不建议建页</x:v>
      </x:c>
      <x:c r="N947" s="9" t="str">
        <x:v>不进入内容生产</x:v>
      </x:c>
      <x:c r="O947" s="9" t="str">
        <x:v>无</x:v>
      </x:c>
      <x:c r="P947" s="9" t="str">
        <x:v>否</x:v>
      </x:c>
      <x:c r="Q947" s="9" t="str">
        <x:v>不导流</x:v>
      </x:c>
      <x:c r="R947" s="9" t="str">
        <x:v>相关性弱：可能带来无效流量或偏离产品定位</x:v>
      </x:c>
      <x:c r="S947" s="9" t="str">
        <x:v>除非人工确认与核心产品强相关，否则不要进入内容排期。</x:v>
      </x:c>
      <x:c r="T947" s="38" t="n">
        <x:v>4</x:v>
      </x:c>
      <x:c r="U947" s="38" t="n">
        <x:v>9</x:v>
      </x:c>
      <x:c r="V947" s="38" t="n">
        <x:v>2</x:v>
      </x:c>
      <x:c r="W947" s="38" t="n">
        <x:v>3</x:v>
      </x:c>
      <x:c r="X947" s="38" t="n">
        <x:v>2</x:v>
      </x:c>
      <x:c r="Y947" s="38" t="n">
        <x:v>16</x:v>
      </x:c>
      <x:c r="Z947" s="38" t="n">
        <x:f>MAX(0,MIN(100,ROUND(((T947+U947+V947+W947+X947)-Y947)/85*100,0)))</x:f>
        <x:v>5</x:v>
      </x:c>
      <x:c r="AA947" s="9" t="str">
        <x:f>IF(L947="暂不做","P3 暂缓",IF(Z947&gt;=75,"P0 本周做",IF(Z947&gt;=60,"P1 近期做",IF(Z947&gt;=45,"P2 备选","P3 暂缓"))))</x:f>
        <x:v>P3 暂缓</x:v>
      </x:c>
      <x:c r="AB947" s="9" t="str">
        <x:f>IF(Y947&gt;=15,"先做合规/相关性复核，不建议直接商业导流",IF(L947="主站","建/优化主站商业页",IF(L947="博客A-知识教程","写知识教程/FAQ文章",IF(L947="博客B-场景人群","写场景需求/选购指南文章",IF(L947="博客C-对比评测","写对比评测/榜单文章","暂不做或人工复核")))))</x:f>
        <x:v>先做合规/相关性复核，不建议直接商业导流</x:v>
      </x:c>
      <x:c r="AC947" s="9" t="str">
        <x:v>makeup mirror with lights</x:v>
      </x:c>
      <x:c r="AD947" s="10" t="str">
        <x:v>48</x:v>
      </x:c>
    </x:row>
    <x:row r="948">
      <x:c r="A948" s="34" t="n">
        <x:v>948</x:v>
      </x:c>
      <x:c r="B948" s="9" t="str">
        <x:v>48</x:v>
      </x:c>
      <x:c r="C948" s="9" t="str">
        <x:v>small mirror with light</x:v>
      </x:c>
      <x:c r="D948" s="9" t="str">
        <x:v>recommended</x:v>
      </x:c>
      <x:c r="E948" s="36" t="n">
        <x:v>50</x:v>
      </x:c>
      <x:c r="F948" s="36" t="n">
        <x:v>31</x:v>
      </x:c>
      <x:c r="G948" s="9" t="str">
        <x:v>informational, transactional</x:v>
      </x:c>
      <x:c r="H948" s="9" t="str">
        <x:v>General Vape</x:v>
      </x:c>
      <x:c r="I948" s="9" t="str">
        <x:v>交易词</x:v>
      </x:c>
      <x:c r="J948" s="9" t="str">
        <x:v>主站</x:v>
      </x:c>
      <x:c r="K948" s="9" t="str"/>
      <x:c r="L948" s="9" t="str">
        <x:f>IF(K948="",J948,K948)</x:f>
        <x:v>主站</x:v>
      </x:c>
      <x:c r="M948" s="9" t="str">
        <x:v>产品集合页/分类页/购买页</x:v>
      </x:c>
      <x:c r="N948" s="9" t="str">
        <x:v>主站商业页：标题围绕购买意图 + 品类 + 关键卖点</x:v>
      </x:c>
      <x:c r="O948" s="9" t="str">
        <x:v>/collections/disposable-vapes</x:v>
      </x:c>
      <x:c r="P948" s="9" t="str">
        <x:v>不适用</x:v>
      </x:c>
      <x:c r="Q948" s="9" t="str">
        <x:v>主站页面自身承接</x:v>
      </x:c>
      <x:c r="R948" s="9" t="str">
        <x:v>商业词：优先给主站，避免博客抢主站排名</x:v>
      </x:c>
      <x:c r="S948" s="9" t="str">
        <x:v>SERP 如为商品列表/品牌站/电商集合页，就建主站页面；若 SERP 全是教程，再拆支持文章。</x:v>
      </x:c>
      <x:c r="T948" s="38" t="n">
        <x:v>4</x:v>
      </x:c>
      <x:c r="U948" s="38" t="n">
        <x:v>9</x:v>
      </x:c>
      <x:c r="V948" s="38" t="n">
        <x:v>20</x:v>
      </x:c>
      <x:c r="W948" s="38" t="n">
        <x:v>7</x:v>
      </x:c>
      <x:c r="X948" s="38" t="n">
        <x:v>15</x:v>
      </x:c>
      <x:c r="Y948" s="38" t="n">
        <x:v>4</x:v>
      </x:c>
      <x:c r="Z948" s="38" t="n">
        <x:f>MAX(0,MIN(100,ROUND(((T948+U948+V948+W948+X948)-Y948)/85*100,0)))</x:f>
        <x:v>60</x:v>
      </x:c>
      <x:c r="AA948" s="9" t="str">
        <x:f>IF(L948="暂不做","P3 暂缓",IF(Z948&gt;=75,"P0 本周做",IF(Z948&gt;=60,"P1 近期做",IF(Z948&gt;=45,"P2 备选","P3 暂缓"))))</x:f>
        <x:v>P1 近期做</x:v>
      </x:c>
      <x:c r="AB948" s="9" t="str">
        <x:f>IF(Y948&gt;=15,"先做合规/相关性复核，不建议直接商业导流",IF(L948="主站","建/优化主站商业页",IF(L948="博客A-知识教程","写知识教程/FAQ文章",IF(L948="博客B-场景人群","写场景需求/选购指南文章",IF(L948="博客C-对比评测","写对比评测/榜单文章","暂不做或人工复核")))))</x:f>
        <x:v>建/优化主站商业页</x:v>
      </x:c>
      <x:c r="AC948" s="9" t="str">
        <x:v>makeup mirror with lights</x:v>
      </x:c>
      <x:c r="AD948" s="10" t="str">
        <x:v>48</x:v>
      </x:c>
    </x:row>
    <x:row r="949">
      <x:c r="A949" s="34" t="n">
        <x:v>949</x:v>
      </x:c>
      <x:c r="B949" s="9" t="str">
        <x:v>48</x:v>
      </x:c>
      <x:c r="C949" s="9" t="str">
        <x:v>safest disposable vape</x:v>
      </x:c>
      <x:c r="D949" s="9" t="str">
        <x:v>recommended</x:v>
      </x:c>
      <x:c r="E949" s="36" t="n">
        <x:v>210</x:v>
      </x:c>
      <x:c r="F949" s="36" t="n">
        <x:v>0</x:v>
      </x:c>
      <x:c r="G949" s="9" t="str">
        <x:v>informational</x:v>
      </x:c>
      <x:c r="H949" s="9" t="str">
        <x:v>合规科普</x:v>
      </x:c>
      <x:c r="I949" s="9" t="str">
        <x:v>合规/YMYL科普词</x:v>
      </x:c>
      <x:c r="J949" s="9" t="str">
        <x:v>博客A-知识教程</x:v>
      </x:c>
      <x:c r="K949" s="9" t="str"/>
      <x:c r="L949" s="9" t="str">
        <x:f>IF(K949="",J949,K949)</x:f>
        <x:v>博客A-知识教程</x:v>
      </x:c>
      <x:c r="M949" s="9" t="str">
        <x:v>合规/健康风险科普文章</x:v>
      </x:c>
      <x:c r="N949" s="9" t="str">
        <x:v>Guide angle: explain safest disposable vape, answer common questions, and avoid sales-first writing</x:v>
      </x:c>
      <x:c r="O949" s="9" t="str">
        <x:v>无商业内链</x:v>
      </x:c>
      <x:c r="P949" s="9" t="str">
        <x:v>否</x:v>
      </x:c>
      <x:c r="Q949" s="9" t="str">
        <x:v>不导流</x:v>
      </x:c>
      <x:c r="R949" s="9" t="str">
        <x:v>高风险：健康、戒烟、法律等 YMYL 主题，不写疗效承诺，不直接卖货</x:v>
      </x:c>
      <x:c r="S949" s="9" t="str">
        <x:v>需要引用权威资料，语气中立；如果不能做到合规审核，暂缓。</x:v>
      </x:c>
      <x:c r="T949" s="38" t="n">
        <x:v>7</x:v>
      </x:c>
      <x:c r="U949" s="38" t="n">
        <x:v>15</x:v>
      </x:c>
      <x:c r="V949" s="38" t="n">
        <x:v>4</x:v>
      </x:c>
      <x:c r="W949" s="38" t="n">
        <x:v>10</x:v>
      </x:c>
      <x:c r="X949" s="38" t="n">
        <x:v>8</x:v>
      </x:c>
      <x:c r="Y949" s="38" t="n">
        <x:v>15</x:v>
      </x:c>
      <x:c r="Z949" s="38" t="n">
        <x:f>MAX(0,MIN(100,ROUND(((T949+U949+V949+W949+X949)-Y949)/85*100,0)))</x:f>
        <x:v>34</x:v>
      </x:c>
      <x:c r="AA949" s="9" t="str">
        <x:f>IF(L949="暂不做","P3 暂缓",IF(Z949&gt;=75,"P0 本周做",IF(Z949&gt;=60,"P1 近期做",IF(Z949&gt;=45,"P2 备选","P3 暂缓"))))</x:f>
        <x:v>P3 暂缓</x:v>
      </x:c>
      <x:c r="AB949" s="9" t="str">
        <x:f>IF(Y949&gt;=15,"先做合规/相关性复核，不建议直接商业导流",IF(L949="主站","建/优化主站商业页",IF(L949="博客A-知识教程","写知识教程/FAQ文章",IF(L949="博客B-场景人群","写场景需求/选购指南文章",IF(L949="博客C-对比评测","写对比评测/榜单文章","暂不做或人工复核")))))</x:f>
        <x:v>先做合规/相关性复核，不建议直接商业导流</x:v>
      </x:c>
      <x:c r="AC949" s="9" t="str">
        <x:v>safest disposable vape</x:v>
      </x:c>
      <x:c r="AD949" s="10" t="str">
        <x:v>48</x:v>
      </x:c>
    </x:row>
    <x:row r="950">
      <x:c r="A950" s="34" t="n">
        <x:v>950</x:v>
      </x:c>
      <x:c r="B950" s="9" t="str">
        <x:v>48</x:v>
      </x:c>
      <x:c r="C950" s="9" t="str">
        <x:v>healthier vape options</x:v>
      </x:c>
      <x:c r="D950" s="9" t="str">
        <x:v>recommended</x:v>
      </x:c>
      <x:c r="E950" s="36" t="n">
        <x:v>40</x:v>
      </x:c>
      <x:c r="F950" s="36" t="n">
        <x:v>2</x:v>
      </x:c>
      <x:c r="G950" s="9" t="str">
        <x:v>informational</x:v>
      </x:c>
      <x:c r="H950" s="9" t="str">
        <x:v>合规科普</x:v>
      </x:c>
      <x:c r="I950" s="9" t="str">
        <x:v>合规/YMYL科普词</x:v>
      </x:c>
      <x:c r="J950" s="9" t="str">
        <x:v>博客A-知识教程</x:v>
      </x:c>
      <x:c r="K950" s="9" t="str"/>
      <x:c r="L950" s="9" t="str">
        <x:f>IF(K950="",J950,K950)</x:f>
        <x:v>博客A-知识教程</x:v>
      </x:c>
      <x:c r="M950" s="9" t="str">
        <x:v>合规/健康风险科普文章</x:v>
      </x:c>
      <x:c r="N950" s="9" t="str">
        <x:v>Guide angle: explain healthier vape options, answer common questions, and avoid sales-first writing</x:v>
      </x:c>
      <x:c r="O950" s="9" t="str">
        <x:v>无商业内链</x:v>
      </x:c>
      <x:c r="P950" s="9" t="str">
        <x:v>否</x:v>
      </x:c>
      <x:c r="Q950" s="9" t="str">
        <x:v>不导流</x:v>
      </x:c>
      <x:c r="R950" s="9" t="str">
        <x:v>高风险：健康、戒烟、法律等 YMYL 主题，不写疗效承诺，不直接卖货</x:v>
      </x:c>
      <x:c r="S950" s="9" t="str">
        <x:v>需要引用权威资料，语气中立；如果不能做到合规审核，暂缓。</x:v>
      </x:c>
      <x:c r="T950" s="38" t="n">
        <x:v>4</x:v>
      </x:c>
      <x:c r="U950" s="38" t="n">
        <x:v>15</x:v>
      </x:c>
      <x:c r="V950" s="38" t="n">
        <x:v>4</x:v>
      </x:c>
      <x:c r="W950" s="38" t="n">
        <x:v>10</x:v>
      </x:c>
      <x:c r="X950" s="38" t="n">
        <x:v>8</x:v>
      </x:c>
      <x:c r="Y950" s="38" t="n">
        <x:v>15</x:v>
      </x:c>
      <x:c r="Z950" s="38" t="n">
        <x:f>MAX(0,MIN(100,ROUND(((T950+U950+V950+W950+X950)-Y950)/85*100,0)))</x:f>
        <x:v>31</x:v>
      </x:c>
      <x:c r="AA950" s="9" t="str">
        <x:f>IF(L950="暂不做","P3 暂缓",IF(Z950&gt;=75,"P0 本周做",IF(Z950&gt;=60,"P1 近期做",IF(Z950&gt;=45,"P2 备选","P3 暂缓"))))</x:f>
        <x:v>P3 暂缓</x:v>
      </x:c>
      <x:c r="AB950" s="9" t="str">
        <x:f>IF(Y950&gt;=15,"先做合规/相关性复核，不建议直接商业导流",IF(L950="主站","建/优化主站商业页",IF(L950="博客A-知识教程","写知识教程/FAQ文章",IF(L950="博客B-场景人群","写场景需求/选购指南文章",IF(L950="博客C-对比评测","写对比评测/榜单文章","暂不做或人工复核")))))</x:f>
        <x:v>先做合规/相关性复核，不建议直接商业导流</x:v>
      </x:c>
      <x:c r="AC950" s="9" t="str">
        <x:v>safest disposable vape</x:v>
      </x:c>
      <x:c r="AD950" s="10" t="str">
        <x:v>48</x:v>
      </x:c>
    </x:row>
    <x:row r="951">
      <x:c r="A951" s="34" t="n">
        <x:v>951</x:v>
      </x:c>
      <x:c r="B951" s="9" t="str">
        <x:v>48</x:v>
      </x:c>
      <x:c r="C951" s="9" t="str">
        <x:v>cleanest vapes</x:v>
      </x:c>
      <x:c r="D951" s="9" t="str">
        <x:v>recommended</x:v>
      </x:c>
      <x:c r="E951" s="36" t="n">
        <x:v>70</x:v>
      </x:c>
      <x:c r="F951" s="36" t="n">
        <x:v>18</x:v>
      </x:c>
      <x:c r="G951" s="9" t="str">
        <x:v>informational</x:v>
      </x:c>
      <x:c r="H951" s="9" t="str">
        <x:v>知识教程</x:v>
      </x:c>
      <x:c r="I951" s="9" t="str">
        <x:v>品类承接词</x:v>
      </x:c>
      <x:c r="J951" s="9" t="str">
        <x:v>主站</x:v>
      </x:c>
      <x:c r="K951" s="9" t="str"/>
      <x:c r="L951" s="9" t="str">
        <x:f>IF(K951="",J951,K951)</x:f>
        <x:v>主站</x:v>
      </x:c>
      <x:c r="M951" s="9" t="str">
        <x:v>品类页/集合页 + FAQ内容块</x:v>
      </x:c>
      <x:c r="N951" s="9" t="str">
        <x:v>主站品类页：用产品集合 + 选购说明承接</x:v>
      </x:c>
      <x:c r="O951" s="9" t="str">
        <x:v>/collections/disposable-vapes</x:v>
      </x:c>
      <x:c r="P951" s="9" t="str">
        <x:v>不适用</x:v>
      </x:c>
      <x:c r="Q951" s="9" t="str">
        <x:v>主站页面自身承接</x:v>
      </x:c>
      <x:c r="R951" s="9" t="str">
        <x:v>核心品类词：主站优先，博客只做长尾解释，不直接抢同一词</x:v>
      </x:c>
      <x:c r="S951" s="9" t="str">
        <x:v>如果 Google 首页产品页和指南混合，主站页要加 FAQ、选购指南、对比模块。</x:v>
      </x:c>
      <x:c r="T951" s="38" t="n">
        <x:v>4</x:v>
      </x:c>
      <x:c r="U951" s="38" t="n">
        <x:v>12</x:v>
      </x:c>
      <x:c r="V951" s="38" t="n">
        <x:v>16</x:v>
      </x:c>
      <x:c r="W951" s="38" t="n">
        <x:v>8</x:v>
      </x:c>
      <x:c r="X951" s="38" t="n">
        <x:v>15</x:v>
      </x:c>
      <x:c r="Y951" s="38" t="n">
        <x:v>4</x:v>
      </x:c>
      <x:c r="Z951" s="38" t="n">
        <x:f>MAX(0,MIN(100,ROUND(((T951+U951+V951+W951+X951)-Y951)/85*100,0)))</x:f>
        <x:v>60</x:v>
      </x:c>
      <x:c r="AA951" s="9" t="str">
        <x:f>IF(L951="暂不做","P3 暂缓",IF(Z951&gt;=75,"P0 本周做",IF(Z951&gt;=60,"P1 近期做",IF(Z951&gt;=45,"P2 备选","P3 暂缓"))))</x:f>
        <x:v>P1 近期做</x:v>
      </x:c>
      <x:c r="AB951" s="9" t="str">
        <x:f>IF(Y951&gt;=15,"先做合规/相关性复核，不建议直接商业导流",IF(L951="主站","建/优化主站商业页",IF(L951="博客A-知识教程","写知识教程/FAQ文章",IF(L951="博客B-场景人群","写场景需求/选购指南文章",IF(L951="博客C-对比评测","写对比评测/榜单文章","暂不做或人工复核")))))</x:f>
        <x:v>建/优化主站商业页</x:v>
      </x:c>
      <x:c r="AC951" s="9" t="str">
        <x:v>safest disposable vape</x:v>
      </x:c>
      <x:c r="AD951" s="10" t="str">
        <x:v>48</x:v>
      </x:c>
    </x:row>
    <x:row r="952">
      <x:c r="A952" s="34" t="n">
        <x:v>952</x:v>
      </x:c>
      <x:c r="B952" s="9" t="str">
        <x:v>48</x:v>
      </x:c>
      <x:c r="C952" s="9" t="str">
        <x:v>vape with handle</x:v>
      </x:c>
      <x:c r="D952" s="9" t="str">
        <x:v>recommended</x:v>
      </x:c>
      <x:c r="E952" s="36" t="n">
        <x:v>50</x:v>
      </x:c>
      <x:c r="F952" s="36" t="n">
        <x:v>7</x:v>
      </x:c>
      <x:c r="G952" s="9" t="str">
        <x:v>informational</x:v>
      </x:c>
      <x:c r="H952" s="9" t="str">
        <x:v>General Vape</x:v>
      </x:c>
      <x:c r="I952" s="9" t="str">
        <x:v>场景/需求词</x:v>
      </x:c>
      <x:c r="J952" s="9" t="str">
        <x:v>博客B-场景人群</x:v>
      </x:c>
      <x:c r="K952" s="9" t="str"/>
      <x:c r="L952" s="9" t="str">
        <x:f>IF(K952="",J952,K952)</x:f>
        <x:v>博客B-场景人群</x:v>
      </x:c>
      <x:c r="M952" s="9" t="str">
        <x:v>场景解决方案/选购指南文章</x:v>
      </x:c>
      <x:c r="N952" s="9" t="str">
        <x:v>Scenario angle: how to choose vape with handle based on use case, flavor, nicotine, and budget</x:v>
      </x:c>
      <x:c r="O952" s="9" t="str">
        <x:v>/collections/disposable-vapes</x:v>
      </x:c>
      <x:c r="P952" s="9" t="str">
        <x:v>是</x:v>
      </x:c>
      <x:c r="Q952" s="9" t="str">
        <x:v>自然句/品类词</x:v>
      </x:c>
      <x:c r="R952" s="9" t="str">
        <x:v>低中风险：适合软性导流，但不要夸大效果或触碰健康疗效</x:v>
      </x:c>
      <x:c r="S952" s="9" t="str">
        <x:v>围绕使用场景、口味、尼古丁需求、便携性等写，不和主站品类页抢词。</x:v>
      </x:c>
      <x:c r="T952" s="38" t="n">
        <x:v>4</x:v>
      </x:c>
      <x:c r="U952" s="38" t="n">
        <x:v>15</x:v>
      </x:c>
      <x:c r="V952" s="38" t="n">
        <x:v>13</x:v>
      </x:c>
      <x:c r="W952" s="38" t="n">
        <x:v>14</x:v>
      </x:c>
      <x:c r="X952" s="38" t="n">
        <x:v>13</x:v>
      </x:c>
      <x:c r="Y952" s="38" t="n">
        <x:v>5</x:v>
      </x:c>
      <x:c r="Z952" s="38" t="n">
        <x:f>MAX(0,MIN(100,ROUND(((T952+U952+V952+W952+X952)-Y952)/85*100,0)))</x:f>
        <x:v>64</x:v>
      </x:c>
      <x:c r="AA952" s="9" t="str">
        <x:f>IF(L952="暂不做","P3 暂缓",IF(Z952&gt;=75,"P0 本周做",IF(Z952&gt;=60,"P1 近期做",IF(Z952&gt;=45,"P2 备选","P3 暂缓"))))</x:f>
        <x:v>P1 近期做</x:v>
      </x:c>
      <x:c r="AB952" s="9" t="str">
        <x:f>IF(Y952&gt;=15,"先做合规/相关性复核，不建议直接商业导流",IF(L952="主站","建/优化主站商业页",IF(L952="博客A-知识教程","写知识教程/FAQ文章",IF(L952="博客B-场景人群","写场景需求/选购指南文章",IF(L952="博客C-对比评测","写对比评测/榜单文章","暂不做或人工复核")))))</x:f>
        <x:v>写场景需求/选购指南文章</x:v>
      </x:c>
      <x:c r="AC952" s="9" t="str">
        <x:v>safest disposable vape</x:v>
      </x:c>
      <x:c r="AD952" s="10" t="str">
        <x:v>48</x:v>
      </x:c>
    </x:row>
    <x:row r="953">
      <x:c r="A953" s="34" t="n">
        <x:v>953</x:v>
      </x:c>
      <x:c r="B953" s="9" t="str">
        <x:v>48</x:v>
      </x:c>
      <x:c r="C953" s="9" t="str">
        <x:v>nicotine free vape</x:v>
      </x:c>
      <x:c r="D953" s="9" t="str">
        <x:v>recommended</x:v>
      </x:c>
      <x:c r="E953" s="36" t="n">
        <x:v>27100</x:v>
      </x:c>
      <x:c r="F953" s="36" t="n">
        <x:v>15</x:v>
      </x:c>
      <x:c r="G953" s="9" t="str">
        <x:v>informational</x:v>
      </x:c>
      <x:c r="H953" s="9" t="str">
        <x:v>Nicotine / 尼古丁</x:v>
      </x:c>
      <x:c r="I953" s="9" t="str">
        <x:v>场景/需求词</x:v>
      </x:c>
      <x:c r="J953" s="9" t="str">
        <x:v>博客B-场景人群</x:v>
      </x:c>
      <x:c r="K953" s="9" t="str"/>
      <x:c r="L953" s="9" t="str">
        <x:f>IF(K953="",J953,K953)</x:f>
        <x:v>博客B-场景人群</x:v>
      </x:c>
      <x:c r="M953" s="9" t="str">
        <x:v>场景解决方案/选购指南文章</x:v>
      </x:c>
      <x:c r="N953" s="9" t="str">
        <x:v>Scenario angle: how to choose nicotine free vape based on use case, flavor, nicotine, and budget</x:v>
      </x:c>
      <x:c r="O953" s="9" t="str">
        <x:v>/collections/nicotine-free-vapes</x:v>
      </x:c>
      <x:c r="P953" s="9" t="str">
        <x:v>是</x:v>
      </x:c>
      <x:c r="Q953" s="9" t="str">
        <x:v>自然句/品类词</x:v>
      </x:c>
      <x:c r="R953" s="9" t="str">
        <x:v>低中风险：适合软性导流，但不要夸大效果或触碰健康疗效</x:v>
      </x:c>
      <x:c r="S953" s="9" t="str">
        <x:v>围绕使用场景、口味、尼古丁需求、便携性等写，不和主站品类页抢词。</x:v>
      </x:c>
      <x:c r="T953" s="38" t="n">
        <x:v>20</x:v>
      </x:c>
      <x:c r="U953" s="38" t="n">
        <x:v>15</x:v>
      </x:c>
      <x:c r="V953" s="38" t="n">
        <x:v>13</x:v>
      </x:c>
      <x:c r="W953" s="38" t="n">
        <x:v>14</x:v>
      </x:c>
      <x:c r="X953" s="38" t="n">
        <x:v>13</x:v>
      </x:c>
      <x:c r="Y953" s="38" t="n">
        <x:v>5</x:v>
      </x:c>
      <x:c r="Z953" s="38" t="n">
        <x:f>MAX(0,MIN(100,ROUND(((T953+U953+V953+W953+X953)-Y953)/85*100,0)))</x:f>
        <x:v>82</x:v>
      </x:c>
      <x:c r="AA953" s="9" t="str">
        <x:f>IF(L953="暂不做","P3 暂缓",IF(Z953&gt;=75,"P0 本周做",IF(Z953&gt;=60,"P1 近期做",IF(Z953&gt;=45,"P2 备选","P3 暂缓"))))</x:f>
        <x:v>P0 本周做</x:v>
      </x:c>
      <x:c r="AB953" s="9" t="str">
        <x:f>IF(Y953&gt;=15,"先做合规/相关性复核，不建议直接商业导流",IF(L953="主站","建/优化主站商业页",IF(L953="博客A-知识教程","写知识教程/FAQ文章",IF(L953="博客B-场景人群","写场景需求/选购指南文章",IF(L953="博客C-对比评测","写对比评测/榜单文章","暂不做或人工复核")))))</x:f>
        <x:v>写场景需求/选购指南文章</x:v>
      </x:c>
      <x:c r="AC953" s="9" t="str">
        <x:v>safest disposable vape</x:v>
      </x:c>
      <x:c r="AD953" s="10" t="str">
        <x:v>48</x:v>
      </x:c>
    </x:row>
    <x:row r="954">
      <x:c r="A954" s="34" t="n">
        <x:v>954</x:v>
      </x:c>
      <x:c r="B954" s="9" t="str">
        <x:v>48</x:v>
      </x:c>
      <x:c r="C954" s="9" t="str">
        <x:v>vapes to help quit smoking</x:v>
      </x:c>
      <x:c r="D954" s="9" t="str">
        <x:v>recommended</x:v>
      </x:c>
      <x:c r="E954" s="36" t="n">
        <x:v>50</x:v>
      </x:c>
      <x:c r="F954" s="36" t="n">
        <x:v>34</x:v>
      </x:c>
      <x:c r="G954" s="9" t="str">
        <x:v>informational</x:v>
      </x:c>
      <x:c r="H954" s="9" t="str">
        <x:v>合规科普</x:v>
      </x:c>
      <x:c r="I954" s="9" t="str">
        <x:v>合规/YMYL科普词</x:v>
      </x:c>
      <x:c r="J954" s="9" t="str">
        <x:v>博客A-知识教程</x:v>
      </x:c>
      <x:c r="K954" s="9" t="str"/>
      <x:c r="L954" s="9" t="str">
        <x:f>IF(K954="",J954,K954)</x:f>
        <x:v>博客A-知识教程</x:v>
      </x:c>
      <x:c r="M954" s="9" t="str">
        <x:v>合规/健康风险科普文章</x:v>
      </x:c>
      <x:c r="N954" s="9" t="str">
        <x:v>Guide angle: explain vapes to help quit smoking, answer common questions, and avoid sales-first writing</x:v>
      </x:c>
      <x:c r="O954" s="9" t="str">
        <x:v>无商业内链</x:v>
      </x:c>
      <x:c r="P954" s="9" t="str">
        <x:v>否</x:v>
      </x:c>
      <x:c r="Q954" s="9" t="str">
        <x:v>不导流</x:v>
      </x:c>
      <x:c r="R954" s="9" t="str">
        <x:v>高风险：健康、戒烟、法律等 YMYL 主题，不写疗效承诺，不直接卖货</x:v>
      </x:c>
      <x:c r="S954" s="9" t="str">
        <x:v>需要引用权威资料，语气中立；如果不能做到合规审核，暂缓。</x:v>
      </x:c>
      <x:c r="T954" s="38" t="n">
        <x:v>4</x:v>
      </x:c>
      <x:c r="U954" s="38" t="n">
        <x:v>9</x:v>
      </x:c>
      <x:c r="V954" s="38" t="n">
        <x:v>4</x:v>
      </x:c>
      <x:c r="W954" s="38" t="n">
        <x:v>10</x:v>
      </x:c>
      <x:c r="X954" s="38" t="n">
        <x:v>8</x:v>
      </x:c>
      <x:c r="Y954" s="38" t="n">
        <x:v>15</x:v>
      </x:c>
      <x:c r="Z954" s="38" t="n">
        <x:f>MAX(0,MIN(100,ROUND(((T954+U954+V954+W954+X954)-Y954)/85*100,0)))</x:f>
        <x:v>24</x:v>
      </x:c>
      <x:c r="AA954" s="9" t="str">
        <x:f>IF(L954="暂不做","P3 暂缓",IF(Z954&gt;=75,"P0 本周做",IF(Z954&gt;=60,"P1 近期做",IF(Z954&gt;=45,"P2 备选","P3 暂缓"))))</x:f>
        <x:v>P3 暂缓</x:v>
      </x:c>
      <x:c r="AB954" s="9" t="str">
        <x:f>IF(Y954&gt;=15,"先做合规/相关性复核，不建议直接商业导流",IF(L954="主站","建/优化主站商业页",IF(L954="博客A-知识教程","写知识教程/FAQ文章",IF(L954="博客B-场景人群","写场景需求/选购指南文章",IF(L954="博客C-对比评测","写对比评测/榜单文章","暂不做或人工复核")))))</x:f>
        <x:v>先做合规/相关性复核，不建议直接商业导流</x:v>
      </x:c>
      <x:c r="AC954" s="9" t="str">
        <x:v>safest disposable vape</x:v>
      </x:c>
      <x:c r="AD954" s="10" t="str">
        <x:v>48</x:v>
      </x:c>
    </x:row>
    <x:row r="955">
      <x:c r="A955" s="34" t="n">
        <x:v>955</x:v>
      </x:c>
      <x:c r="B955" s="9" t="str">
        <x:v>48</x:v>
      </x:c>
      <x:c r="C955" s="9" t="str">
        <x:v>black vape</x:v>
      </x:c>
      <x:c r="D955" s="9" t="str">
        <x:v>recommended</x:v>
      </x:c>
      <x:c r="E955" s="36" t="n">
        <x:v>1900</x:v>
      </x:c>
      <x:c r="F955" s="36" t="n">
        <x:v>6</x:v>
      </x:c>
      <x:c r="G955" s="9" t="str">
        <x:v>informational</x:v>
      </x:c>
      <x:c r="H955" s="9" t="str">
        <x:v>General Vape</x:v>
      </x:c>
      <x:c r="I955" s="9" t="str">
        <x:v>品类承接词</x:v>
      </x:c>
      <x:c r="J955" s="9" t="str">
        <x:v>主站</x:v>
      </x:c>
      <x:c r="K955" s="9" t="str"/>
      <x:c r="L955" s="9" t="str">
        <x:f>IF(K955="",J955,K955)</x:f>
        <x:v>主站</x:v>
      </x:c>
      <x:c r="M955" s="9" t="str">
        <x:v>品类页/集合页 + FAQ内容块</x:v>
      </x:c>
      <x:c r="N955" s="9" t="str">
        <x:v>主站品类页：用产品集合 + 选购说明承接</x:v>
      </x:c>
      <x:c r="O955" s="9" t="str">
        <x:v>/collections/disposable-vapes</x:v>
      </x:c>
      <x:c r="P955" s="9" t="str">
        <x:v>不适用</x:v>
      </x:c>
      <x:c r="Q955" s="9" t="str">
        <x:v>主站页面自身承接</x:v>
      </x:c>
      <x:c r="R955" s="9" t="str">
        <x:v>核心品类词：主站优先，博客只做长尾解释，不直接抢同一词</x:v>
      </x:c>
      <x:c r="S955" s="9" t="str">
        <x:v>如果 Google 首页产品页和指南混合，主站页要加 FAQ、选购指南、对比模块。</x:v>
      </x:c>
      <x:c r="T955" s="38" t="n">
        <x:v>13</x:v>
      </x:c>
      <x:c r="U955" s="38" t="n">
        <x:v>15</x:v>
      </x:c>
      <x:c r="V955" s="38" t="n">
        <x:v>16</x:v>
      </x:c>
      <x:c r="W955" s="38" t="n">
        <x:v>8</x:v>
      </x:c>
      <x:c r="X955" s="38" t="n">
        <x:v>15</x:v>
      </x:c>
      <x:c r="Y955" s="38" t="n">
        <x:v>4</x:v>
      </x:c>
      <x:c r="Z955" s="38" t="n">
        <x:f>MAX(0,MIN(100,ROUND(((T955+U955+V955+W955+X955)-Y955)/85*100,0)))</x:f>
        <x:v>74</x:v>
      </x:c>
      <x:c r="AA955" s="9" t="str">
        <x:f>IF(L955="暂不做","P3 暂缓",IF(Z955&gt;=75,"P0 本周做",IF(Z955&gt;=60,"P1 近期做",IF(Z955&gt;=45,"P2 备选","P3 暂缓"))))</x:f>
        <x:v>P1 近期做</x:v>
      </x:c>
      <x:c r="AB955" s="9" t="str">
        <x:f>IF(Y955&gt;=15,"先做合规/相关性复核，不建议直接商业导流",IF(L955="主站","建/优化主站商业页",IF(L955="博客A-知识教程","写知识教程/FAQ文章",IF(L955="博客B-场景人群","写场景需求/选购指南文章",IF(L955="博客C-对比评测","写对比评测/榜单文章","暂不做或人工复核")))))</x:f>
        <x:v>建/优化主站商业页</x:v>
      </x:c>
      <x:c r="AC955" s="9" t="str">
        <x:v>safest disposable vape</x:v>
      </x:c>
      <x:c r="AD955" s="10" t="str">
        <x:v>48</x:v>
      </x:c>
    </x:row>
    <x:row r="956">
      <x:c r="A956" s="34" t="n">
        <x:v>956</x:v>
      </x:c>
      <x:c r="B956" s="9" t="str">
        <x:v>48</x:v>
      </x:c>
      <x:c r="C956" s="9" t="str">
        <x:v>non toxic vapes</x:v>
      </x:c>
      <x:c r="D956" s="9" t="str">
        <x:v>recommended</x:v>
      </x:c>
      <x:c r="E956" s="36" t="n">
        <x:v>50</x:v>
      </x:c>
      <x:c r="F956" s="36" t="n">
        <x:v>15</x:v>
      </x:c>
      <x:c r="G956" s="9" t="str">
        <x:v>informational</x:v>
      </x:c>
      <x:c r="H956" s="9" t="str">
        <x:v>General Vape</x:v>
      </x:c>
      <x:c r="I956" s="9" t="str">
        <x:v>品类承接词</x:v>
      </x:c>
      <x:c r="J956" s="9" t="str">
        <x:v>主站</x:v>
      </x:c>
      <x:c r="K956" s="9" t="str"/>
      <x:c r="L956" s="9" t="str">
        <x:f>IF(K956="",J956,K956)</x:f>
        <x:v>主站</x:v>
      </x:c>
      <x:c r="M956" s="9" t="str">
        <x:v>品类页/集合页 + FAQ内容块</x:v>
      </x:c>
      <x:c r="N956" s="9" t="str">
        <x:v>主站品类页：用产品集合 + 选购说明承接</x:v>
      </x:c>
      <x:c r="O956" s="9" t="str">
        <x:v>/collections/disposable-vapes</x:v>
      </x:c>
      <x:c r="P956" s="9" t="str">
        <x:v>不适用</x:v>
      </x:c>
      <x:c r="Q956" s="9" t="str">
        <x:v>主站页面自身承接</x:v>
      </x:c>
      <x:c r="R956" s="9" t="str">
        <x:v>核心品类词：主站优先，博客只做长尾解释，不直接抢同一词</x:v>
      </x:c>
      <x:c r="S956" s="9" t="str">
        <x:v>如果 Google 首页产品页和指南混合，主站页要加 FAQ、选购指南、对比模块。</x:v>
      </x:c>
      <x:c r="T956" s="38" t="n">
        <x:v>4</x:v>
      </x:c>
      <x:c r="U956" s="38" t="n">
        <x:v>15</x:v>
      </x:c>
      <x:c r="V956" s="38" t="n">
        <x:v>16</x:v>
      </x:c>
      <x:c r="W956" s="38" t="n">
        <x:v>8</x:v>
      </x:c>
      <x:c r="X956" s="38" t="n">
        <x:v>15</x:v>
      </x:c>
      <x:c r="Y956" s="38" t="n">
        <x:v>4</x:v>
      </x:c>
      <x:c r="Z956" s="38" t="n">
        <x:f>MAX(0,MIN(100,ROUND(((T956+U956+V956+W956+X956)-Y956)/85*100,0)))</x:f>
        <x:v>64</x:v>
      </x:c>
      <x:c r="AA956" s="9" t="str">
        <x:f>IF(L956="暂不做","P3 暂缓",IF(Z956&gt;=75,"P0 本周做",IF(Z956&gt;=60,"P1 近期做",IF(Z956&gt;=45,"P2 备选","P3 暂缓"))))</x:f>
        <x:v>P1 近期做</x:v>
      </x:c>
      <x:c r="AB956" s="9" t="str">
        <x:f>IF(Y956&gt;=15,"先做合规/相关性复核，不建议直接商业导流",IF(L956="主站","建/优化主站商业页",IF(L956="博客A-知识教程","写知识教程/FAQ文章",IF(L956="博客B-场景人群","写场景需求/选购指南文章",IF(L956="博客C-对比评测","写对比评测/榜单文章","暂不做或人工复核")))))</x:f>
        <x:v>建/优化主站商业页</x:v>
      </x:c>
      <x:c r="AC956" s="9" t="str">
        <x:v>safest disposable vape</x:v>
      </x:c>
      <x:c r="AD956" s="10" t="str">
        <x:v>48</x:v>
      </x:c>
    </x:row>
    <x:row r="957">
      <x:c r="A957" s="34" t="n">
        <x:v>957</x:v>
      </x:c>
      <x:c r="B957" s="9" t="str">
        <x:v>48</x:v>
      </x:c>
      <x:c r="C957" s="9" t="str">
        <x:v>air vape</x:v>
      </x:c>
      <x:c r="D957" s="9" t="str">
        <x:v>recommended</x:v>
      </x:c>
      <x:c r="E957" s="36" t="n">
        <x:v>1900</x:v>
      </x:c>
      <x:c r="F957" s="36" t="n">
        <x:v>20</x:v>
      </x:c>
      <x:c r="G957" s="9" t="str">
        <x:v>informational</x:v>
      </x:c>
      <x:c r="H957" s="9" t="str">
        <x:v>General Vape</x:v>
      </x:c>
      <x:c r="I957" s="9" t="str">
        <x:v>品类承接词</x:v>
      </x:c>
      <x:c r="J957" s="9" t="str">
        <x:v>主站</x:v>
      </x:c>
      <x:c r="K957" s="9" t="str"/>
      <x:c r="L957" s="9" t="str">
        <x:f>IF(K957="",J957,K957)</x:f>
        <x:v>主站</x:v>
      </x:c>
      <x:c r="M957" s="9" t="str">
        <x:v>品类页/集合页 + FAQ内容块</x:v>
      </x:c>
      <x:c r="N957" s="9" t="str">
        <x:v>主站品类页：用产品集合 + 选购说明承接</x:v>
      </x:c>
      <x:c r="O957" s="9" t="str">
        <x:v>/collections/disposable-vapes</x:v>
      </x:c>
      <x:c r="P957" s="9" t="str">
        <x:v>不适用</x:v>
      </x:c>
      <x:c r="Q957" s="9" t="str">
        <x:v>主站页面自身承接</x:v>
      </x:c>
      <x:c r="R957" s="9" t="str">
        <x:v>核心品类词：主站优先，博客只做长尾解释，不直接抢同一词</x:v>
      </x:c>
      <x:c r="S957" s="9" t="str">
        <x:v>如果 Google 首页产品页和指南混合，主站页要加 FAQ、选购指南、对比模块。</x:v>
      </x:c>
      <x:c r="T957" s="38" t="n">
        <x:v>13</x:v>
      </x:c>
      <x:c r="U957" s="38" t="n">
        <x:v>12</x:v>
      </x:c>
      <x:c r="V957" s="38" t="n">
        <x:v>16</x:v>
      </x:c>
      <x:c r="W957" s="38" t="n">
        <x:v>8</x:v>
      </x:c>
      <x:c r="X957" s="38" t="n">
        <x:v>15</x:v>
      </x:c>
      <x:c r="Y957" s="38" t="n">
        <x:v>4</x:v>
      </x:c>
      <x:c r="Z957" s="38" t="n">
        <x:f>MAX(0,MIN(100,ROUND(((T957+U957+V957+W957+X957)-Y957)/85*100,0)))</x:f>
        <x:v>71</x:v>
      </x:c>
      <x:c r="AA957" s="9" t="str">
        <x:f>IF(L957="暂不做","P3 暂缓",IF(Z957&gt;=75,"P0 本周做",IF(Z957&gt;=60,"P1 近期做",IF(Z957&gt;=45,"P2 备选","P3 暂缓"))))</x:f>
        <x:v>P1 近期做</x:v>
      </x:c>
      <x:c r="AB957" s="9" t="str">
        <x:f>IF(Y957&gt;=15,"先做合规/相关性复核，不建议直接商业导流",IF(L957="主站","建/优化主站商业页",IF(L957="博客A-知识教程","写知识教程/FAQ文章",IF(L957="博客B-场景人群","写场景需求/选购指南文章",IF(L957="博客C-对比评测","写对比评测/榜单文章","暂不做或人工复核")))))</x:f>
        <x:v>建/优化主站商业页</x:v>
      </x:c>
      <x:c r="AC957" s="9" t="str">
        <x:v>safest disposable vape</x:v>
      </x:c>
      <x:c r="AD957" s="10" t="str">
        <x:v>48</x:v>
      </x:c>
    </x:row>
    <x:row r="958">
      <x:c r="A958" s="34" t="n">
        <x:v>958</x:v>
      </x:c>
      <x:c r="B958" s="9" t="str">
        <x:v>48</x:v>
      </x:c>
      <x:c r="C958" s="9" t="str">
        <x:v>fake vape</x:v>
      </x:c>
      <x:c r="D958" s="9" t="str">
        <x:v>recommended</x:v>
      </x:c>
      <x:c r="E958" s="36" t="n">
        <x:v>3600</x:v>
      </x:c>
      <x:c r="F958" s="36" t="n">
        <x:v>31</x:v>
      </x:c>
      <x:c r="G958" s="9" t="str">
        <x:v>informational</x:v>
      </x:c>
      <x:c r="H958" s="9" t="str">
        <x:v>General Vape</x:v>
      </x:c>
      <x:c r="I958" s="9" t="str">
        <x:v>品类承接词</x:v>
      </x:c>
      <x:c r="J958" s="9" t="str">
        <x:v>主站</x:v>
      </x:c>
      <x:c r="K958" s="9" t="str"/>
      <x:c r="L958" s="9" t="str">
        <x:f>IF(K958="",J958,K958)</x:f>
        <x:v>主站</x:v>
      </x:c>
      <x:c r="M958" s="9" t="str">
        <x:v>品类页/集合页 + FAQ内容块</x:v>
      </x:c>
      <x:c r="N958" s="9" t="str">
        <x:v>主站品类页：用产品集合 + 选购说明承接</x:v>
      </x:c>
      <x:c r="O958" s="9" t="str">
        <x:v>/collections/disposable-vapes</x:v>
      </x:c>
      <x:c r="P958" s="9" t="str">
        <x:v>不适用</x:v>
      </x:c>
      <x:c r="Q958" s="9" t="str">
        <x:v>主站页面自身承接</x:v>
      </x:c>
      <x:c r="R958" s="9" t="str">
        <x:v>核心品类词：主站优先，博客只做长尾解释，不直接抢同一词</x:v>
      </x:c>
      <x:c r="S958" s="9" t="str">
        <x:v>如果 Google 首页产品页和指南混合，主站页要加 FAQ、选购指南、对比模块。</x:v>
      </x:c>
      <x:c r="T958" s="38" t="n">
        <x:v>13</x:v>
      </x:c>
      <x:c r="U958" s="38" t="n">
        <x:v>9</x:v>
      </x:c>
      <x:c r="V958" s="38" t="n">
        <x:v>16</x:v>
      </x:c>
      <x:c r="W958" s="38" t="n">
        <x:v>8</x:v>
      </x:c>
      <x:c r="X958" s="38" t="n">
        <x:v>15</x:v>
      </x:c>
      <x:c r="Y958" s="38" t="n">
        <x:v>4</x:v>
      </x:c>
      <x:c r="Z958" s="38" t="n">
        <x:f>MAX(0,MIN(100,ROUND(((T958+U958+V958+W958+X958)-Y958)/85*100,0)))</x:f>
        <x:v>67</x:v>
      </x:c>
      <x:c r="AA958" s="9" t="str">
        <x:f>IF(L958="暂不做","P3 暂缓",IF(Z958&gt;=75,"P0 本周做",IF(Z958&gt;=60,"P1 近期做",IF(Z958&gt;=45,"P2 备选","P3 暂缓"))))</x:f>
        <x:v>P1 近期做</x:v>
      </x:c>
      <x:c r="AB958" s="9" t="str">
        <x:f>IF(Y958&gt;=15,"先做合规/相关性复核，不建议直接商业导流",IF(L958="主站","建/优化主站商业页",IF(L958="博客A-知识教程","写知识教程/FAQ文章",IF(L958="博客B-场景人群","写场景需求/选购指南文章",IF(L958="博客C-对比评测","写对比评测/榜单文章","暂不做或人工复核")))))</x:f>
        <x:v>建/优化主站商业页</x:v>
      </x:c>
      <x:c r="AC958" s="9" t="str">
        <x:v>safest disposable vape</x:v>
      </x:c>
      <x:c r="AD958" s="10" t="str">
        <x:v>48</x:v>
      </x:c>
    </x:row>
    <x:row r="959">
      <x:c r="A959" s="34" t="n">
        <x:v>959</x:v>
      </x:c>
      <x:c r="B959" s="9" t="str">
        <x:v>48</x:v>
      </x:c>
      <x:c r="C959" s="9" t="str">
        <x:v>vapes without nicotine</x:v>
      </x:c>
      <x:c r="D959" s="9" t="str">
        <x:v>recommended</x:v>
      </x:c>
      <x:c r="E959" s="36" t="n">
        <x:v>2900</x:v>
      </x:c>
      <x:c r="F959" s="36" t="n">
        <x:v>50</x:v>
      </x:c>
      <x:c r="G959" s="9" t="str">
        <x:v>informational</x:v>
      </x:c>
      <x:c r="H959" s="9" t="str">
        <x:v>Nicotine / 尼古丁</x:v>
      </x:c>
      <x:c r="I959" s="9" t="str">
        <x:v>场景/需求词</x:v>
      </x:c>
      <x:c r="J959" s="9" t="str">
        <x:v>博客B-场景人群</x:v>
      </x:c>
      <x:c r="K959" s="9" t="str"/>
      <x:c r="L959" s="9" t="str">
        <x:f>IF(K959="",J959,K959)</x:f>
        <x:v>博客B-场景人群</x:v>
      </x:c>
      <x:c r="M959" s="9" t="str">
        <x:v>场景解决方案/选购指南文章</x:v>
      </x:c>
      <x:c r="N959" s="9" t="str">
        <x:v>Scenario angle: how to choose vapes without nicotine based on use case, flavor, nicotine, and budget</x:v>
      </x:c>
      <x:c r="O959" s="9" t="str">
        <x:v>/collections/disposable-vapes</x:v>
      </x:c>
      <x:c r="P959" s="9" t="str">
        <x:v>是</x:v>
      </x:c>
      <x:c r="Q959" s="9" t="str">
        <x:v>自然句/品类词</x:v>
      </x:c>
      <x:c r="R959" s="9" t="str">
        <x:v>低中风险：适合软性导流，但不要夸大效果或触碰健康疗效</x:v>
      </x:c>
      <x:c r="S959" s="9" t="str">
        <x:v>围绕使用场景、口味、尼古丁需求、便携性等写，不和主站品类页抢词。</x:v>
      </x:c>
      <x:c r="T959" s="38" t="n">
        <x:v>13</x:v>
      </x:c>
      <x:c r="U959" s="38" t="n">
        <x:v>6</x:v>
      </x:c>
      <x:c r="V959" s="38" t="n">
        <x:v>13</x:v>
      </x:c>
      <x:c r="W959" s="38" t="n">
        <x:v>14</x:v>
      </x:c>
      <x:c r="X959" s="38" t="n">
        <x:v>13</x:v>
      </x:c>
      <x:c r="Y959" s="38" t="n">
        <x:v>5</x:v>
      </x:c>
      <x:c r="Z959" s="38" t="n">
        <x:f>MAX(0,MIN(100,ROUND(((T959+U959+V959+W959+X959)-Y959)/85*100,0)))</x:f>
        <x:v>64</x:v>
      </x:c>
      <x:c r="AA959" s="9" t="str">
        <x:f>IF(L959="暂不做","P3 暂缓",IF(Z959&gt;=75,"P0 本周做",IF(Z959&gt;=60,"P1 近期做",IF(Z959&gt;=45,"P2 备选","P3 暂缓"))))</x:f>
        <x:v>P1 近期做</x:v>
      </x:c>
      <x:c r="AB959" s="9" t="str">
        <x:f>IF(Y959&gt;=15,"先做合规/相关性复核，不建议直接商业导流",IF(L959="主站","建/优化主站商业页",IF(L959="博客A-知识教程","写知识教程/FAQ文章",IF(L959="博客B-场景人群","写场景需求/选购指南文章",IF(L959="博客C-对比评测","写对比评测/榜单文章","暂不做或人工复核")))))</x:f>
        <x:v>写场景需求/选购指南文章</x:v>
      </x:c>
      <x:c r="AC959" s="9" t="str">
        <x:v>safest disposable vape</x:v>
      </x:c>
      <x:c r="AD959" s="10" t="str">
        <x:v>48</x:v>
      </x:c>
    </x:row>
    <x:row r="960">
      <x:c r="A960" s="34" t="n">
        <x:v>960</x:v>
      </x:c>
      <x:c r="B960" s="9" t="str">
        <x:v>48</x:v>
      </x:c>
      <x:c r="C960" s="9" t="str">
        <x:v>non nicotine vapes</x:v>
      </x:c>
      <x:c r="D960" s="9" t="str">
        <x:v>recommended</x:v>
      </x:c>
      <x:c r="E960" s="36" t="n">
        <x:v>2400</x:v>
      </x:c>
      <x:c r="F960" s="36" t="n">
        <x:v>50</x:v>
      </x:c>
      <x:c r="G960" s="9" t="str">
        <x:v>informational</x:v>
      </x:c>
      <x:c r="H960" s="9" t="str">
        <x:v>Nicotine / 尼古丁</x:v>
      </x:c>
      <x:c r="I960" s="9" t="str">
        <x:v>品类承接词</x:v>
      </x:c>
      <x:c r="J960" s="9" t="str">
        <x:v>主站</x:v>
      </x:c>
      <x:c r="K960" s="9" t="str"/>
      <x:c r="L960" s="9" t="str">
        <x:f>IF(K960="",J960,K960)</x:f>
        <x:v>主站</x:v>
      </x:c>
      <x:c r="M960" s="9" t="str">
        <x:v>品类页/集合页 + FAQ内容块</x:v>
      </x:c>
      <x:c r="N960" s="9" t="str">
        <x:v>主站品类页：用产品集合 + 选购说明承接</x:v>
      </x:c>
      <x:c r="O960" s="9" t="str">
        <x:v>/collections/disposable-vapes</x:v>
      </x:c>
      <x:c r="P960" s="9" t="str">
        <x:v>不适用</x:v>
      </x:c>
      <x:c r="Q960" s="9" t="str">
        <x:v>主站页面自身承接</x:v>
      </x:c>
      <x:c r="R960" s="9" t="str">
        <x:v>核心品类词：主站优先，博客只做长尾解释，不直接抢同一词</x:v>
      </x:c>
      <x:c r="S960" s="9" t="str">
        <x:v>如果 Google 首页产品页和指南混合，主站页要加 FAQ、选购指南、对比模块。</x:v>
      </x:c>
      <x:c r="T960" s="38" t="n">
        <x:v>13</x:v>
      </x:c>
      <x:c r="U960" s="38" t="n">
        <x:v>6</x:v>
      </x:c>
      <x:c r="V960" s="38" t="n">
        <x:v>16</x:v>
      </x:c>
      <x:c r="W960" s="38" t="n">
        <x:v>8</x:v>
      </x:c>
      <x:c r="X960" s="38" t="n">
        <x:v>15</x:v>
      </x:c>
      <x:c r="Y960" s="38" t="n">
        <x:v>4</x:v>
      </x:c>
      <x:c r="Z960" s="38" t="n">
        <x:f>MAX(0,MIN(100,ROUND(((T960+U960+V960+W960+X960)-Y960)/85*100,0)))</x:f>
        <x:v>64</x:v>
      </x:c>
      <x:c r="AA960" s="9" t="str">
        <x:f>IF(L960="暂不做","P3 暂缓",IF(Z960&gt;=75,"P0 本周做",IF(Z960&gt;=60,"P1 近期做",IF(Z960&gt;=45,"P2 备选","P3 暂缓"))))</x:f>
        <x:v>P1 近期做</x:v>
      </x:c>
      <x:c r="AB960" s="9" t="str">
        <x:f>IF(Y960&gt;=15,"先做合规/相关性复核，不建议直接商业导流",IF(L960="主站","建/优化主站商业页",IF(L960="博客A-知识教程","写知识教程/FAQ文章",IF(L960="博客B-场景人群","写场景需求/选购指南文章",IF(L960="博客C-对比评测","写对比评测/榜单文章","暂不做或人工复核")))))</x:f>
        <x:v>建/优化主站商业页</x:v>
      </x:c>
      <x:c r="AC960" s="9" t="str">
        <x:v>safest disposable vape</x:v>
      </x:c>
      <x:c r="AD960" s="10" t="str">
        <x:v>48</x:v>
      </x:c>
    </x:row>
    <x:row r="961">
      <x:c r="A961" s="34" t="n">
        <x:v>961</x:v>
      </x:c>
      <x:c r="B961" s="9" t="str">
        <x:v>48</x:v>
      </x:c>
      <x:c r="C961" s="9" t="str">
        <x:v>vape effects</x:v>
      </x:c>
      <x:c r="D961" s="9" t="str">
        <x:v>recommended</x:v>
      </x:c>
      <x:c r="E961" s="36" t="n">
        <x:v>260</x:v>
      </x:c>
      <x:c r="F961" s="36" t="n">
        <x:v>72</x:v>
      </x:c>
      <x:c r="G961" s="9" t="str">
        <x:v>informational</x:v>
      </x:c>
      <x:c r="H961" s="9" t="str">
        <x:v>General Vape</x:v>
      </x:c>
      <x:c r="I961" s="9" t="str">
        <x:v>品类承接词</x:v>
      </x:c>
      <x:c r="J961" s="9" t="str">
        <x:v>主站</x:v>
      </x:c>
      <x:c r="K961" s="9" t="str"/>
      <x:c r="L961" s="9" t="str">
        <x:f>IF(K961="",J961,K961)</x:f>
        <x:v>主站</x:v>
      </x:c>
      <x:c r="M961" s="9" t="str">
        <x:v>品类页/集合页 + FAQ内容块</x:v>
      </x:c>
      <x:c r="N961" s="9" t="str">
        <x:v>主站品类页：用产品集合 + 选购说明承接</x:v>
      </x:c>
      <x:c r="O961" s="9" t="str">
        <x:v>/collections/disposable-vapes</x:v>
      </x:c>
      <x:c r="P961" s="9" t="str">
        <x:v>不适用</x:v>
      </x:c>
      <x:c r="Q961" s="9" t="str">
        <x:v>主站页面自身承接</x:v>
      </x:c>
      <x:c r="R961" s="9" t="str">
        <x:v>核心品类词：主站优先，博客只做长尾解释，不直接抢同一词</x:v>
      </x:c>
      <x:c r="S961" s="9" t="str">
        <x:v>如果 Google 首页产品页和指南混合，主站页要加 FAQ、选购指南、对比模块。</x:v>
      </x:c>
      <x:c r="T961" s="38" t="n">
        <x:v>7</x:v>
      </x:c>
      <x:c r="U961" s="38" t="n">
        <x:v>3</x:v>
      </x:c>
      <x:c r="V961" s="38" t="n">
        <x:v>16</x:v>
      </x:c>
      <x:c r="W961" s="38" t="n">
        <x:v>8</x:v>
      </x:c>
      <x:c r="X961" s="38" t="n">
        <x:v>15</x:v>
      </x:c>
      <x:c r="Y961" s="38" t="n">
        <x:v>4</x:v>
      </x:c>
      <x:c r="Z961" s="38" t="n">
        <x:f>MAX(0,MIN(100,ROUND(((T961+U961+V961+W961+X961)-Y961)/85*100,0)))</x:f>
        <x:v>53</x:v>
      </x:c>
      <x:c r="AA961" s="9" t="str">
        <x:f>IF(L961="暂不做","P3 暂缓",IF(Z961&gt;=75,"P0 本周做",IF(Z961&gt;=60,"P1 近期做",IF(Z961&gt;=45,"P2 备选","P3 暂缓"))))</x:f>
        <x:v>P2 备选</x:v>
      </x:c>
      <x:c r="AB961" s="9" t="str">
        <x:f>IF(Y961&gt;=15,"先做合规/相关性复核，不建议直接商业导流",IF(L961="主站","建/优化主站商业页",IF(L961="博客A-知识教程","写知识教程/FAQ文章",IF(L961="博客B-场景人群","写场景需求/选购指南文章",IF(L961="博客C-对比评测","写对比评测/榜单文章","暂不做或人工复核")))))</x:f>
        <x:v>建/优化主站商业页</x:v>
      </x:c>
      <x:c r="AC961" s="9" t="str">
        <x:v>safest disposable vape</x:v>
      </x:c>
      <x:c r="AD961" s="10" t="str">
        <x:v>48</x:v>
      </x:c>
    </x:row>
    <x:row r="962">
      <x:c r="A962" s="34" t="n">
        <x:v>962</x:v>
      </x:c>
      <x:c r="B962" s="9" t="str">
        <x:v>48</x:v>
      </x:c>
      <x:c r="C962" s="9" t="str">
        <x:v>least harmful vapes</x:v>
      </x:c>
      <x:c r="D962" s="9" t="str">
        <x:v>recommended</x:v>
      </x:c>
      <x:c r="E962" s="36" t="n">
        <x:v>40</x:v>
      </x:c>
      <x:c r="F962" s="36" t="n">
        <x:v>5</x:v>
      </x:c>
      <x:c r="G962" s="9" t="str">
        <x:v>informational</x:v>
      </x:c>
      <x:c r="H962" s="9" t="str">
        <x:v>General Vape</x:v>
      </x:c>
      <x:c r="I962" s="9" t="str">
        <x:v>品类承接词</x:v>
      </x:c>
      <x:c r="J962" s="9" t="str">
        <x:v>主站</x:v>
      </x:c>
      <x:c r="K962" s="9" t="str"/>
      <x:c r="L962" s="9" t="str">
        <x:f>IF(K962="",J962,K962)</x:f>
        <x:v>主站</x:v>
      </x:c>
      <x:c r="M962" s="9" t="str">
        <x:v>品类页/集合页 + FAQ内容块</x:v>
      </x:c>
      <x:c r="N962" s="9" t="str">
        <x:v>主站品类页：用产品集合 + 选购说明承接</x:v>
      </x:c>
      <x:c r="O962" s="9" t="str">
        <x:v>/collections/disposable-vapes</x:v>
      </x:c>
      <x:c r="P962" s="9" t="str">
        <x:v>不适用</x:v>
      </x:c>
      <x:c r="Q962" s="9" t="str">
        <x:v>主站页面自身承接</x:v>
      </x:c>
      <x:c r="R962" s="9" t="str">
        <x:v>核心品类词：主站优先，博客只做长尾解释，不直接抢同一词</x:v>
      </x:c>
      <x:c r="S962" s="9" t="str">
        <x:v>如果 Google 首页产品页和指南混合，主站页要加 FAQ、选购指南、对比模块。</x:v>
      </x:c>
      <x:c r="T962" s="38" t="n">
        <x:v>4</x:v>
      </x:c>
      <x:c r="U962" s="38" t="n">
        <x:v>15</x:v>
      </x:c>
      <x:c r="V962" s="38" t="n">
        <x:v>16</x:v>
      </x:c>
      <x:c r="W962" s="38" t="n">
        <x:v>8</x:v>
      </x:c>
      <x:c r="X962" s="38" t="n">
        <x:v>15</x:v>
      </x:c>
      <x:c r="Y962" s="38" t="n">
        <x:v>4</x:v>
      </x:c>
      <x:c r="Z962" s="38" t="n">
        <x:f>MAX(0,MIN(100,ROUND(((T962+U962+V962+W962+X962)-Y962)/85*100,0)))</x:f>
        <x:v>64</x:v>
      </x:c>
      <x:c r="AA962" s="9" t="str">
        <x:f>IF(L962="暂不做","P3 暂缓",IF(Z962&gt;=75,"P0 本周做",IF(Z962&gt;=60,"P1 近期做",IF(Z962&gt;=45,"P2 备选","P3 暂缓"))))</x:f>
        <x:v>P1 近期做</x:v>
      </x:c>
      <x:c r="AB962" s="9" t="str">
        <x:f>IF(Y962&gt;=15,"先做合规/相关性复核，不建议直接商业导流",IF(L962="主站","建/优化主站商业页",IF(L962="博客A-知识教程","写知识教程/FAQ文章",IF(L962="博客B-场景人群","写场景需求/选购指南文章",IF(L962="博客C-对比评测","写对比评测/榜单文章","暂不做或人工复核")))))</x:f>
        <x:v>建/优化主站商业页</x:v>
      </x:c>
      <x:c r="AC962" s="9" t="str">
        <x:v>least harmful vapes</x:v>
      </x:c>
      <x:c r="AD962" s="10" t="str">
        <x:v>48</x:v>
      </x:c>
    </x:row>
    <x:row r="963">
      <x:c r="A963" s="34" t="n">
        <x:v>963</x:v>
      </x:c>
      <x:c r="B963" s="9" t="str">
        <x:v>48</x:v>
      </x:c>
      <x:c r="C963" s="9" t="str">
        <x:v>facts about vapes</x:v>
      </x:c>
      <x:c r="D963" s="9" t="str">
        <x:v>recommended</x:v>
      </x:c>
      <x:c r="E963" s="36" t="n">
        <x:v>1000</x:v>
      </x:c>
      <x:c r="F963" s="36" t="n">
        <x:v>66</x:v>
      </x:c>
      <x:c r="G963" s="9" t="str">
        <x:v>informational</x:v>
      </x:c>
      <x:c r="H963" s="9" t="str">
        <x:v>General Vape</x:v>
      </x:c>
      <x:c r="I963" s="9" t="str">
        <x:v>品类承接词</x:v>
      </x:c>
      <x:c r="J963" s="9" t="str">
        <x:v>主站</x:v>
      </x:c>
      <x:c r="K963" s="9" t="str"/>
      <x:c r="L963" s="9" t="str">
        <x:f>IF(K963="",J963,K963)</x:f>
        <x:v>主站</x:v>
      </x:c>
      <x:c r="M963" s="9" t="str">
        <x:v>品类页/集合页 + FAQ内容块</x:v>
      </x:c>
      <x:c r="N963" s="9" t="str">
        <x:v>主站品类页：用产品集合 + 选购说明承接</x:v>
      </x:c>
      <x:c r="O963" s="9" t="str">
        <x:v>/collections/disposable-vapes</x:v>
      </x:c>
      <x:c r="P963" s="9" t="str">
        <x:v>不适用</x:v>
      </x:c>
      <x:c r="Q963" s="9" t="str">
        <x:v>主站页面自身承接</x:v>
      </x:c>
      <x:c r="R963" s="9" t="str">
        <x:v>核心品类词：主站优先，博客只做长尾解释，不直接抢同一词</x:v>
      </x:c>
      <x:c r="S963" s="9" t="str">
        <x:v>如果 Google 首页产品页和指南混合，主站页要加 FAQ、选购指南、对比模块。</x:v>
      </x:c>
      <x:c r="T963" s="38" t="n">
        <x:v>13</x:v>
      </x:c>
      <x:c r="U963" s="38" t="n">
        <x:v>3</x:v>
      </x:c>
      <x:c r="V963" s="38" t="n">
        <x:v>16</x:v>
      </x:c>
      <x:c r="W963" s="38" t="n">
        <x:v>8</x:v>
      </x:c>
      <x:c r="X963" s="38" t="n">
        <x:v>15</x:v>
      </x:c>
      <x:c r="Y963" s="38" t="n">
        <x:v>4</x:v>
      </x:c>
      <x:c r="Z963" s="38" t="n">
        <x:f>MAX(0,MIN(100,ROUND(((T963+U963+V963+W963+X963)-Y963)/85*100,0)))</x:f>
        <x:v>60</x:v>
      </x:c>
      <x:c r="AA963" s="9" t="str">
        <x:f>IF(L963="暂不做","P3 暂缓",IF(Z963&gt;=75,"P0 本周做",IF(Z963&gt;=60,"P1 近期做",IF(Z963&gt;=45,"P2 备选","P3 暂缓"))))</x:f>
        <x:v>P1 近期做</x:v>
      </x:c>
      <x:c r="AB963" s="9" t="str">
        <x:f>IF(Y963&gt;=15,"先做合规/相关性复核，不建议直接商业导流",IF(L963="主站","建/优化主站商业页",IF(L963="博客A-知识教程","写知识教程/FAQ文章",IF(L963="博客B-场景人群","写场景需求/选购指南文章",IF(L963="博客C-对比评测","写对比评测/榜单文章","暂不做或人工复核")))))</x:f>
        <x:v>建/优化主站商业页</x:v>
      </x:c>
      <x:c r="AC963" s="9" t="str">
        <x:v>least harmful vapes</x:v>
      </x:c>
      <x:c r="AD963" s="10" t="str">
        <x:v>48</x:v>
      </x:c>
    </x:row>
    <x:row r="964">
      <x:c r="A964" s="34" t="n">
        <x:v>964</x:v>
      </x:c>
      <x:c r="B964" s="9" t="str">
        <x:v>48</x:v>
      </x:c>
      <x:c r="C964" s="9" t="str">
        <x:v>how do you vape</x:v>
      </x:c>
      <x:c r="D964" s="9" t="str">
        <x:v>recommended</x:v>
      </x:c>
      <x:c r="E964" s="36" t="n">
        <x:v>590</x:v>
      </x:c>
      <x:c r="F964" s="36" t="n">
        <x:v>13</x:v>
      </x:c>
      <x:c r="G964" s="9" t="str">
        <x:v>informational</x:v>
      </x:c>
      <x:c r="H964" s="9" t="str">
        <x:v>知识教程</x:v>
      </x:c>
      <x:c r="I964" s="9" t="str">
        <x:v>知识/教程词</x:v>
      </x:c>
      <x:c r="J964" s="9" t="str">
        <x:v>博客A-知识教程</x:v>
      </x:c>
      <x:c r="K964" s="9" t="str"/>
      <x:c r="L964" s="9" t="str">
        <x:f>IF(K964="",J964,K964)</x:f>
        <x:v>博客A-知识教程</x:v>
      </x:c>
      <x:c r="M964" s="9" t="str">
        <x:v>百科/How-to/FAQ文章</x:v>
      </x:c>
      <x:c r="N964" s="9" t="str">
        <x:v>Guide angle: explain how do you vape, answer common questions, and avoid sales-first writing</x:v>
      </x:c>
      <x:c r="O964" s="9" t="str">
        <x:v>/collections/disposable-vapes</x:v>
      </x:c>
      <x:c r="P964" s="9" t="str">
        <x:v>谨慎</x:v>
      </x:c>
      <x:c r="Q964" s="9" t="str">
        <x:v>自然句/品牌词</x:v>
      </x:c>
      <x:c r="R964" s="9" t="str">
        <x:v>低中风险：先满足信息意图，导流要克制</x:v>
      </x:c>
      <x:c r="S964" s="9" t="str">
        <x:v>如果文章能自然回答下一步购买问题，再放 1 个主站内链；否则只做知识闭环。</x:v>
      </x:c>
      <x:c r="T964" s="38" t="n">
        <x:v>10</x:v>
      </x:c>
      <x:c r="U964" s="38" t="n">
        <x:v>15</x:v>
      </x:c>
      <x:c r="V964" s="38" t="n">
        <x:v>9</x:v>
      </x:c>
      <x:c r="W964" s="38" t="n">
        <x:v>14</x:v>
      </x:c>
      <x:c r="X964" s="38" t="n">
        <x:v>12</x:v>
      </x:c>
      <x:c r="Y964" s="38" t="n">
        <x:v>5</x:v>
      </x:c>
      <x:c r="Z964" s="38" t="n">
        <x:f>MAX(0,MIN(100,ROUND(((T964+U964+V964+W964+X964)-Y964)/85*100,0)))</x:f>
        <x:v>65</x:v>
      </x:c>
      <x:c r="AA964" s="9" t="str">
        <x:f>IF(L964="暂不做","P3 暂缓",IF(Z964&gt;=75,"P0 本周做",IF(Z964&gt;=60,"P1 近期做",IF(Z964&gt;=45,"P2 备选","P3 暂缓"))))</x:f>
        <x:v>P1 近期做</x:v>
      </x:c>
      <x:c r="AB964" s="9" t="str">
        <x:f>IF(Y964&gt;=15,"先做合规/相关性复核，不建议直接商业导流",IF(L964="主站","建/优化主站商业页",IF(L964="博客A-知识教程","写知识教程/FAQ文章",IF(L964="博客B-场景人群","写场景需求/选购指南文章",IF(L964="博客C-对比评测","写对比评测/榜单文章","暂不做或人工复核")))))</x:f>
        <x:v>写知识教程/FAQ文章</x:v>
      </x:c>
      <x:c r="AC964" s="9" t="str">
        <x:v>least harmful vapes</x:v>
      </x:c>
      <x:c r="AD964" s="10" t="str">
        <x:v>48</x:v>
      </x:c>
    </x:row>
    <x:row r="965">
      <x:c r="A965" s="34" t="n">
        <x:v>965</x:v>
      </x:c>
      <x:c r="B965" s="9" t="str">
        <x:v>48</x:v>
      </x:c>
      <x:c r="C965" s="9" t="str">
        <x:v>how many flavors of vapes are there</x:v>
      </x:c>
      <x:c r="D965" s="9" t="str">
        <x:v>recommended</x:v>
      </x:c>
      <x:c r="E965" s="36" t="n">
        <x:v>50</x:v>
      </x:c>
      <x:c r="F965" s="36" t="n">
        <x:v>25</x:v>
      </x:c>
      <x:c r="G965" s="9" t="str">
        <x:v>informational</x:v>
      </x:c>
      <x:c r="H965" s="9" t="str">
        <x:v>Flavor / 口味</x:v>
      </x:c>
      <x:c r="I965" s="9" t="str">
        <x:v>场景/需求词</x:v>
      </x:c>
      <x:c r="J965" s="9" t="str">
        <x:v>博客B-场景人群</x:v>
      </x:c>
      <x:c r="K965" s="9" t="str"/>
      <x:c r="L965" s="9" t="str">
        <x:f>IF(K965="",J965,K965)</x:f>
        <x:v>博客B-场景人群</x:v>
      </x:c>
      <x:c r="M965" s="9" t="str">
        <x:v>场景解决方案/选购指南文章</x:v>
      </x:c>
      <x:c r="N965" s="9" t="str">
        <x:v>Scenario angle: how to choose how many flavors of vapes are there based on use case, flavor, nicotine, and budget</x:v>
      </x:c>
      <x:c r="O965" s="9" t="str">
        <x:v>/collections/flavored-disposable-vapes</x:v>
      </x:c>
      <x:c r="P965" s="9" t="str">
        <x:v>是</x:v>
      </x:c>
      <x:c r="Q965" s="9" t="str">
        <x:v>自然句/品类词</x:v>
      </x:c>
      <x:c r="R965" s="9" t="str">
        <x:v>低中风险：适合软性导流，但不要夸大效果或触碰健康疗效</x:v>
      </x:c>
      <x:c r="S965" s="9" t="str">
        <x:v>围绕使用场景、口味、尼古丁需求、便携性等写，不和主站品类页抢词。</x:v>
      </x:c>
      <x:c r="T965" s="38" t="n">
        <x:v>4</x:v>
      </x:c>
      <x:c r="U965" s="38" t="n">
        <x:v>12</x:v>
      </x:c>
      <x:c r="V965" s="38" t="n">
        <x:v>13</x:v>
      </x:c>
      <x:c r="W965" s="38" t="n">
        <x:v>14</x:v>
      </x:c>
      <x:c r="X965" s="38" t="n">
        <x:v>13</x:v>
      </x:c>
      <x:c r="Y965" s="38" t="n">
        <x:v>5</x:v>
      </x:c>
      <x:c r="Z965" s="38" t="n">
        <x:f>MAX(0,MIN(100,ROUND(((T965+U965+V965+W965+X965)-Y965)/85*100,0)))</x:f>
        <x:v>60</x:v>
      </x:c>
      <x:c r="AA965" s="9" t="str">
        <x:f>IF(L965="暂不做","P3 暂缓",IF(Z965&gt;=75,"P0 本周做",IF(Z965&gt;=60,"P1 近期做",IF(Z965&gt;=45,"P2 备选","P3 暂缓"))))</x:f>
        <x:v>P1 近期做</x:v>
      </x:c>
      <x:c r="AB965" s="9" t="str">
        <x:f>IF(Y965&gt;=15,"先做合规/相关性复核，不建议直接商业导流",IF(L965="主站","建/优化主站商业页",IF(L965="博客A-知识教程","写知识教程/FAQ文章",IF(L965="博客B-场景人群","写场景需求/选购指南文章",IF(L965="博客C-对比评测","写对比评测/榜单文章","暂不做或人工复核")))))</x:f>
        <x:v>写场景需求/选购指南文章</x:v>
      </x:c>
      <x:c r="AC965" s="9" t="str">
        <x:v>least harmful vapes</x:v>
      </x:c>
      <x:c r="AD965" s="10" t="str">
        <x:v>48</x:v>
      </x:c>
    </x:row>
    <x:row r="966">
      <x:c r="A966" s="34" t="n">
        <x:v>966</x:v>
      </x:c>
      <x:c r="B966" s="9" t="str">
        <x:v>48</x:v>
      </x:c>
      <x:c r="C966" s="9" t="str">
        <x:v>what is the vape</x:v>
      </x:c>
      <x:c r="D966" s="9" t="str">
        <x:v>recommended</x:v>
      </x:c>
      <x:c r="E966" s="36" t="n">
        <x:v>2900</x:v>
      </x:c>
      <x:c r="F966" s="36" t="n">
        <x:v>84</x:v>
      </x:c>
      <x:c r="G966" s="9" t="str">
        <x:v>informational</x:v>
      </x:c>
      <x:c r="H966" s="9" t="str">
        <x:v>知识教程</x:v>
      </x:c>
      <x:c r="I966" s="9" t="str">
        <x:v>知识/教程词</x:v>
      </x:c>
      <x:c r="J966" s="9" t="str">
        <x:v>博客A-知识教程</x:v>
      </x:c>
      <x:c r="K966" s="9" t="str"/>
      <x:c r="L966" s="9" t="str">
        <x:f>IF(K966="",J966,K966)</x:f>
        <x:v>博客A-知识教程</x:v>
      </x:c>
      <x:c r="M966" s="9" t="str">
        <x:v>百科/How-to/FAQ文章</x:v>
      </x:c>
      <x:c r="N966" s="9" t="str">
        <x:v>Guide angle: explain what is the vape, answer common questions, and avoid sales-first writing</x:v>
      </x:c>
      <x:c r="O966" s="9" t="str">
        <x:v>/collections/disposable-vapes</x:v>
      </x:c>
      <x:c r="P966" s="9" t="str">
        <x:v>谨慎</x:v>
      </x:c>
      <x:c r="Q966" s="9" t="str">
        <x:v>自然句/品牌词</x:v>
      </x:c>
      <x:c r="R966" s="9" t="str">
        <x:v>低中风险：先满足信息意图，导流要克制</x:v>
      </x:c>
      <x:c r="S966" s="9" t="str">
        <x:v>如果文章能自然回答下一步购买问题，再放 1 个主站内链；否则只做知识闭环。</x:v>
      </x:c>
      <x:c r="T966" s="38" t="n">
        <x:v>13</x:v>
      </x:c>
      <x:c r="U966" s="38" t="n">
        <x:v>1</x:v>
      </x:c>
      <x:c r="V966" s="38" t="n">
        <x:v>9</x:v>
      </x:c>
      <x:c r="W966" s="38" t="n">
        <x:v>14</x:v>
      </x:c>
      <x:c r="X966" s="38" t="n">
        <x:v>12</x:v>
      </x:c>
      <x:c r="Y966" s="38" t="n">
        <x:v>5</x:v>
      </x:c>
      <x:c r="Z966" s="38" t="n">
        <x:f>MAX(0,MIN(100,ROUND(((T966+U966+V966+W966+X966)-Y966)/85*100,0)))</x:f>
        <x:v>52</x:v>
      </x:c>
      <x:c r="AA966" s="9" t="str">
        <x:f>IF(L966="暂不做","P3 暂缓",IF(Z966&gt;=75,"P0 本周做",IF(Z966&gt;=60,"P1 近期做",IF(Z966&gt;=45,"P2 备选","P3 暂缓"))))</x:f>
        <x:v>P2 备选</x:v>
      </x:c>
      <x:c r="AB966" s="9" t="str">
        <x:f>IF(Y966&gt;=15,"先做合规/相关性复核，不建议直接商业导流",IF(L966="主站","建/优化主站商业页",IF(L966="博客A-知识教程","写知识教程/FAQ文章",IF(L966="博客B-场景人群","写场景需求/选购指南文章",IF(L966="博客C-对比评测","写对比评测/榜单文章","暂不做或人工复核")))))</x:f>
        <x:v>写知识教程/FAQ文章</x:v>
      </x:c>
      <x:c r="AC966" s="9" t="str">
        <x:v>least harmful vapes</x:v>
      </x:c>
      <x:c r="AD966" s="10" t="str">
        <x:v>48</x:v>
      </x:c>
    </x:row>
    <x:row r="967">
      <x:c r="A967" s="34" t="n">
        <x:v>967</x:v>
      </x:c>
      <x:c r="B967" s="9" t="str">
        <x:v>48</x:v>
      </x:c>
      <x:c r="C967" s="9" t="str">
        <x:v>the truth about vaping</x:v>
      </x:c>
      <x:c r="D967" s="9" t="str">
        <x:v>recommended</x:v>
      </x:c>
      <x:c r="E967" s="36" t="n">
        <x:v>480</x:v>
      </x:c>
      <x:c r="F967" s="36" t="n">
        <x:v>66</x:v>
      </x:c>
      <x:c r="G967" s="9" t="str">
        <x:v>informational</x:v>
      </x:c>
      <x:c r="H967" s="9" t="str">
        <x:v>General Vape</x:v>
      </x:c>
      <x:c r="I967" s="9" t="str">
        <x:v>知识/教程词</x:v>
      </x:c>
      <x:c r="J967" s="9" t="str">
        <x:v>博客A-知识教程</x:v>
      </x:c>
      <x:c r="K967" s="9" t="str"/>
      <x:c r="L967" s="9" t="str">
        <x:f>IF(K967="",J967,K967)</x:f>
        <x:v>博客A-知识教程</x:v>
      </x:c>
      <x:c r="M967" s="9" t="str">
        <x:v>百科/How-to/FAQ文章</x:v>
      </x:c>
      <x:c r="N967" s="9" t="str">
        <x:v>Guide angle: explain the truth about vaping, answer common questions, and avoid sales-first writing</x:v>
      </x:c>
      <x:c r="O967" s="9" t="str">
        <x:v>/collections/disposable-vapes</x:v>
      </x:c>
      <x:c r="P967" s="9" t="str">
        <x:v>谨慎</x:v>
      </x:c>
      <x:c r="Q967" s="9" t="str">
        <x:v>自然句/品牌词</x:v>
      </x:c>
      <x:c r="R967" s="9" t="str">
        <x:v>低中风险：先满足信息意图，导流要克制</x:v>
      </x:c>
      <x:c r="S967" s="9" t="str">
        <x:v>如果文章能自然回答下一步购买问题，再放 1 个主站内链；否则只做知识闭环。</x:v>
      </x:c>
      <x:c r="T967" s="38" t="n">
        <x:v>7</x:v>
      </x:c>
      <x:c r="U967" s="38" t="n">
        <x:v>3</x:v>
      </x:c>
      <x:c r="V967" s="38" t="n">
        <x:v>9</x:v>
      </x:c>
      <x:c r="W967" s="38" t="n">
        <x:v>14</x:v>
      </x:c>
      <x:c r="X967" s="38" t="n">
        <x:v>12</x:v>
      </x:c>
      <x:c r="Y967" s="38" t="n">
        <x:v>5</x:v>
      </x:c>
      <x:c r="Z967" s="38" t="n">
        <x:f>MAX(0,MIN(100,ROUND(((T967+U967+V967+W967+X967)-Y967)/85*100,0)))</x:f>
        <x:v>47</x:v>
      </x:c>
      <x:c r="AA967" s="9" t="str">
        <x:f>IF(L967="暂不做","P3 暂缓",IF(Z967&gt;=75,"P0 本周做",IF(Z967&gt;=60,"P1 近期做",IF(Z967&gt;=45,"P2 备选","P3 暂缓"))))</x:f>
        <x:v>P2 备选</x:v>
      </x:c>
      <x:c r="AB967" s="9" t="str">
        <x:f>IF(Y967&gt;=15,"先做合规/相关性复核，不建议直接商业导流",IF(L967="主站","建/优化主站商业页",IF(L967="博客A-知识教程","写知识教程/FAQ文章",IF(L967="博客B-场景人群","写场景需求/选购指南文章",IF(L967="博客C-对比评测","写对比评测/榜单文章","暂不做或人工复核")))))</x:f>
        <x:v>写知识教程/FAQ文章</x:v>
      </x:c>
      <x:c r="AC967" s="9" t="str">
        <x:v>least harmful vapes</x:v>
      </x:c>
      <x:c r="AD967" s="10" t="str">
        <x:v>48</x:v>
      </x:c>
    </x:row>
    <x:row r="968">
      <x:c r="A968" s="34" t="n">
        <x:v>968</x:v>
      </x:c>
      <x:c r="B968" s="9" t="str">
        <x:v>48</x:v>
      </x:c>
      <x:c r="C968" s="9" t="str">
        <x:v>first time vaping</x:v>
      </x:c>
      <x:c r="D968" s="9" t="str">
        <x:v>recommended</x:v>
      </x:c>
      <x:c r="E968" s="36" t="n">
        <x:v>170</x:v>
      </x:c>
      <x:c r="F968" s="36" t="n">
        <x:v>13</x:v>
      </x:c>
      <x:c r="G968" s="9" t="str">
        <x:v>informational</x:v>
      </x:c>
      <x:c r="H968" s="9" t="str">
        <x:v>General Vape</x:v>
      </x:c>
      <x:c r="I968" s="9" t="str">
        <x:v>品类承接词</x:v>
      </x:c>
      <x:c r="J968" s="9" t="str">
        <x:v>主站</x:v>
      </x:c>
      <x:c r="K968" s="9" t="str"/>
      <x:c r="L968" s="9" t="str">
        <x:f>IF(K968="",J968,K968)</x:f>
        <x:v>主站</x:v>
      </x:c>
      <x:c r="M968" s="9" t="str">
        <x:v>品类页/集合页 + FAQ内容块</x:v>
      </x:c>
      <x:c r="N968" s="9" t="str">
        <x:v>主站品类页：用产品集合 + 选购说明承接</x:v>
      </x:c>
      <x:c r="O968" s="9" t="str">
        <x:v>/collections/disposable-vapes</x:v>
      </x:c>
      <x:c r="P968" s="9" t="str">
        <x:v>不适用</x:v>
      </x:c>
      <x:c r="Q968" s="9" t="str">
        <x:v>主站页面自身承接</x:v>
      </x:c>
      <x:c r="R968" s="9" t="str">
        <x:v>核心品类词：主站优先，博客只做长尾解释，不直接抢同一词</x:v>
      </x:c>
      <x:c r="S968" s="9" t="str">
        <x:v>如果 Google 首页产品页和指南混合，主站页要加 FAQ、选购指南、对比模块。</x:v>
      </x:c>
      <x:c r="T968" s="38" t="n">
        <x:v>7</x:v>
      </x:c>
      <x:c r="U968" s="38" t="n">
        <x:v>15</x:v>
      </x:c>
      <x:c r="V968" s="38" t="n">
        <x:v>16</x:v>
      </x:c>
      <x:c r="W968" s="38" t="n">
        <x:v>8</x:v>
      </x:c>
      <x:c r="X968" s="38" t="n">
        <x:v>15</x:v>
      </x:c>
      <x:c r="Y968" s="38" t="n">
        <x:v>4</x:v>
      </x:c>
      <x:c r="Z968" s="38" t="n">
        <x:f>MAX(0,MIN(100,ROUND(((T968+U968+V968+W968+X968)-Y968)/85*100,0)))</x:f>
        <x:v>67</x:v>
      </x:c>
      <x:c r="AA968" s="9" t="str">
        <x:f>IF(L968="暂不做","P3 暂缓",IF(Z968&gt;=75,"P0 本周做",IF(Z968&gt;=60,"P1 近期做",IF(Z968&gt;=45,"P2 备选","P3 暂缓"))))</x:f>
        <x:v>P1 近期做</x:v>
      </x:c>
      <x:c r="AB968" s="9" t="str">
        <x:f>IF(Y968&gt;=15,"先做合规/相关性复核，不建议直接商业导流",IF(L968="主站","建/优化主站商业页",IF(L968="博客A-知识教程","写知识教程/FAQ文章",IF(L968="博客B-场景人群","写场景需求/选购指南文章",IF(L968="博客C-对比评测","写对比评测/榜单文章","暂不做或人工复核")))))</x:f>
        <x:v>建/优化主站商业页</x:v>
      </x:c>
      <x:c r="AC968" s="9" t="str">
        <x:v>least harmful vapes</x:v>
      </x:c>
      <x:c r="AD968" s="10" t="str">
        <x:v>48</x:v>
      </x:c>
    </x:row>
    <x:row r="969">
      <x:c r="A969" s="34" t="n">
        <x:v>969</x:v>
      </x:c>
      <x:c r="B969" s="9" t="str">
        <x:v>48</x:v>
      </x:c>
      <x:c r="C969" s="9" t="str">
        <x:v>vapes what is it</x:v>
      </x:c>
      <x:c r="D969" s="9" t="str">
        <x:v>recommended</x:v>
      </x:c>
      <x:c r="E969" s="36" t="n">
        <x:v>30</x:v>
      </x:c>
      <x:c r="F969" s="36" t="n">
        <x:v>63</x:v>
      </x:c>
      <x:c r="G969" s="9" t="str">
        <x:v>informational</x:v>
      </x:c>
      <x:c r="H969" s="9" t="str">
        <x:v>知识教程</x:v>
      </x:c>
      <x:c r="I969" s="9" t="str">
        <x:v>知识/教程词</x:v>
      </x:c>
      <x:c r="J969" s="9" t="str">
        <x:v>博客A-知识教程</x:v>
      </x:c>
      <x:c r="K969" s="9" t="str"/>
      <x:c r="L969" s="9" t="str">
        <x:f>IF(K969="",J969,K969)</x:f>
        <x:v>博客A-知识教程</x:v>
      </x:c>
      <x:c r="M969" s="9" t="str">
        <x:v>百科/How-to/FAQ文章</x:v>
      </x:c>
      <x:c r="N969" s="9" t="str">
        <x:v>Guide angle: explain vapes what is it, answer common questions, and avoid sales-first writing</x:v>
      </x:c>
      <x:c r="O969" s="9" t="str">
        <x:v>/collections/disposable-vapes</x:v>
      </x:c>
      <x:c r="P969" s="9" t="str">
        <x:v>谨慎</x:v>
      </x:c>
      <x:c r="Q969" s="9" t="str">
        <x:v>自然句/品牌词</x:v>
      </x:c>
      <x:c r="R969" s="9" t="str">
        <x:v>低中风险：先满足信息意图，导流要克制</x:v>
      </x:c>
      <x:c r="S969" s="9" t="str">
        <x:v>如果文章能自然回答下一步购买问题，再放 1 个主站内链；否则只做知识闭环。</x:v>
      </x:c>
      <x:c r="T969" s="38" t="n">
        <x:v>4</x:v>
      </x:c>
      <x:c r="U969" s="38" t="n">
        <x:v>3</x:v>
      </x:c>
      <x:c r="V969" s="38" t="n">
        <x:v>9</x:v>
      </x:c>
      <x:c r="W969" s="38" t="n">
        <x:v>14</x:v>
      </x:c>
      <x:c r="X969" s="38" t="n">
        <x:v>12</x:v>
      </x:c>
      <x:c r="Y969" s="38" t="n">
        <x:v>5</x:v>
      </x:c>
      <x:c r="Z969" s="38" t="n">
        <x:f>MAX(0,MIN(100,ROUND(((T969+U969+V969+W969+X969)-Y969)/85*100,0)))</x:f>
        <x:v>44</x:v>
      </x:c>
      <x:c r="AA969" s="9" t="str">
        <x:f>IF(L969="暂不做","P3 暂缓",IF(Z969&gt;=75,"P0 本周做",IF(Z969&gt;=60,"P1 近期做",IF(Z969&gt;=45,"P2 备选","P3 暂缓"))))</x:f>
        <x:v>P3 暂缓</x:v>
      </x:c>
      <x:c r="AB969" s="9" t="str">
        <x:f>IF(Y969&gt;=15,"先做合规/相关性复核，不建议直接商业导流",IF(L969="主站","建/优化主站商业页",IF(L969="博客A-知识教程","写知识教程/FAQ文章",IF(L969="博客B-场景人群","写场景需求/选购指南文章",IF(L969="博客C-对比评测","写对比评测/榜单文章","暂不做或人工复核")))))</x:f>
        <x:v>写知识教程/FAQ文章</x:v>
      </x:c>
      <x:c r="AC969" s="9" t="str">
        <x:v>least harmful vapes</x:v>
      </x:c>
      <x:c r="AD969" s="10" t="str">
        <x:v>48</x:v>
      </x:c>
    </x:row>
    <x:row r="970">
      <x:c r="A970" s="34" t="n">
        <x:v>970</x:v>
      </x:c>
      <x:c r="B970" s="9" t="str">
        <x:v>48</x:v>
      </x:c>
      <x:c r="C970" s="9" t="str">
        <x:v>is it illegal to have a vape under 21</x:v>
      </x:c>
      <x:c r="D970" s="9" t="str">
        <x:v>recommended</x:v>
      </x:c>
      <x:c r="E970" s="36" t="n">
        <x:v>70</x:v>
      </x:c>
      <x:c r="F970" s="36" t="n">
        <x:v>26</x:v>
      </x:c>
      <x:c r="G970" s="9" t="str">
        <x:v>informational</x:v>
      </x:c>
      <x:c r="H970" s="9" t="str">
        <x:v>合规科普</x:v>
      </x:c>
      <x:c r="I970" s="9" t="str">
        <x:v>合规/YMYL科普词</x:v>
      </x:c>
      <x:c r="J970" s="9" t="str">
        <x:v>博客A-知识教程</x:v>
      </x:c>
      <x:c r="K970" s="9" t="str"/>
      <x:c r="L970" s="9" t="str">
        <x:f>IF(K970="",J970,K970)</x:f>
        <x:v>博客A-知识教程</x:v>
      </x:c>
      <x:c r="M970" s="9" t="str">
        <x:v>合规/健康风险科普文章</x:v>
      </x:c>
      <x:c r="N970" s="9" t="str">
        <x:v>Guide angle: explain is it illegal to have a vape under 21, answer common questions, and avoid sales-first writing</x:v>
      </x:c>
      <x:c r="O970" s="9" t="str">
        <x:v>无商业内链</x:v>
      </x:c>
      <x:c r="P970" s="9" t="str">
        <x:v>否</x:v>
      </x:c>
      <x:c r="Q970" s="9" t="str">
        <x:v>不导流</x:v>
      </x:c>
      <x:c r="R970" s="9" t="str">
        <x:v>高风险：健康、戒烟、法律等 YMYL 主题，不写疗效承诺，不直接卖货</x:v>
      </x:c>
      <x:c r="S970" s="9" t="str">
        <x:v>需要引用权威资料，语气中立；如果不能做到合规审核，暂缓。</x:v>
      </x:c>
      <x:c r="T970" s="38" t="n">
        <x:v>4</x:v>
      </x:c>
      <x:c r="U970" s="38" t="n">
        <x:v>12</x:v>
      </x:c>
      <x:c r="V970" s="38" t="n">
        <x:v>4</x:v>
      </x:c>
      <x:c r="W970" s="38" t="n">
        <x:v>10</x:v>
      </x:c>
      <x:c r="X970" s="38" t="n">
        <x:v>8</x:v>
      </x:c>
      <x:c r="Y970" s="38" t="n">
        <x:v>15</x:v>
      </x:c>
      <x:c r="Z970" s="38" t="n">
        <x:f>MAX(0,MIN(100,ROUND(((T970+U970+V970+W970+X970)-Y970)/85*100,0)))</x:f>
        <x:v>27</x:v>
      </x:c>
      <x:c r="AA970" s="9" t="str">
        <x:f>IF(L970="暂不做","P3 暂缓",IF(Z970&gt;=75,"P0 本周做",IF(Z970&gt;=60,"P1 近期做",IF(Z970&gt;=45,"P2 备选","P3 暂缓"))))</x:f>
        <x:v>P3 暂缓</x:v>
      </x:c>
      <x:c r="AB970" s="9" t="str">
        <x:f>IF(Y970&gt;=15,"先做合规/相关性复核，不建议直接商业导流",IF(L970="主站","建/优化主站商业页",IF(L970="博客A-知识教程","写知识教程/FAQ文章",IF(L970="博客B-场景人群","写场景需求/选购指南文章",IF(L970="博客C-对比评测","写对比评测/榜单文章","暂不做或人工复核")))))</x:f>
        <x:v>先做合规/相关性复核，不建议直接商业导流</x:v>
      </x:c>
      <x:c r="AC970" s="9" t="str">
        <x:v>least harmful vapes</x:v>
      </x:c>
      <x:c r="AD970" s="10" t="str">
        <x:v>48</x:v>
      </x:c>
    </x:row>
    <x:row r="971">
      <x:c r="A971" s="34" t="n">
        <x:v>971</x:v>
      </x:c>
      <x:c r="B971" s="9" t="str">
        <x:v>48</x:v>
      </x:c>
      <x:c r="C971" s="9" t="str">
        <x:v>can you buy a vape at 18</x:v>
      </x:c>
      <x:c r="D971" s="9" t="str">
        <x:v>recommended</x:v>
      </x:c>
      <x:c r="E971" s="36" t="n">
        <x:v>320</x:v>
      </x:c>
      <x:c r="F971" s="36" t="n">
        <x:v>32</x:v>
      </x:c>
      <x:c r="G971" s="9" t="str">
        <x:v>informational</x:v>
      </x:c>
      <x:c r="H971" s="9" t="str">
        <x:v>知识教程</x:v>
      </x:c>
      <x:c r="I971" s="9" t="str">
        <x:v>交易词</x:v>
      </x:c>
      <x:c r="J971" s="9" t="str">
        <x:v>主站</x:v>
      </x:c>
      <x:c r="K971" s="9" t="str"/>
      <x:c r="L971" s="9" t="str">
        <x:f>IF(K971="",J971,K971)</x:f>
        <x:v>主站</x:v>
      </x:c>
      <x:c r="M971" s="9" t="str">
        <x:v>产品集合页/分类页/购买页</x:v>
      </x:c>
      <x:c r="N971" s="9" t="str">
        <x:v>主站商业页：标题围绕购买意图 + 品类 + 关键卖点</x:v>
      </x:c>
      <x:c r="O971" s="9" t="str">
        <x:v>/collections/disposable-vapes</x:v>
      </x:c>
      <x:c r="P971" s="9" t="str">
        <x:v>不适用</x:v>
      </x:c>
      <x:c r="Q971" s="9" t="str">
        <x:v>主站页面自身承接</x:v>
      </x:c>
      <x:c r="R971" s="9" t="str">
        <x:v>商业词：优先给主站，避免博客抢主站排名</x:v>
      </x:c>
      <x:c r="S971" s="9" t="str">
        <x:v>SERP 如为商品列表/品牌站/电商集合页，就建主站页面；若 SERP 全是教程，再拆支持文章。</x:v>
      </x:c>
      <x:c r="T971" s="38" t="n">
        <x:v>7</x:v>
      </x:c>
      <x:c r="U971" s="38" t="n">
        <x:v>9</x:v>
      </x:c>
      <x:c r="V971" s="38" t="n">
        <x:v>20</x:v>
      </x:c>
      <x:c r="W971" s="38" t="n">
        <x:v>7</x:v>
      </x:c>
      <x:c r="X971" s="38" t="n">
        <x:v>15</x:v>
      </x:c>
      <x:c r="Y971" s="38" t="n">
        <x:v>4</x:v>
      </x:c>
      <x:c r="Z971" s="38" t="n">
        <x:f>MAX(0,MIN(100,ROUND(((T971+U971+V971+W971+X971)-Y971)/85*100,0)))</x:f>
        <x:v>64</x:v>
      </x:c>
      <x:c r="AA971" s="9" t="str">
        <x:f>IF(L971="暂不做","P3 暂缓",IF(Z971&gt;=75,"P0 本周做",IF(Z971&gt;=60,"P1 近期做",IF(Z971&gt;=45,"P2 备选","P3 暂缓"))))</x:f>
        <x:v>P1 近期做</x:v>
      </x:c>
      <x:c r="AB971" s="9" t="str">
        <x:f>IF(Y971&gt;=15,"先做合规/相关性复核，不建议直接商业导流",IF(L971="主站","建/优化主站商业页",IF(L971="博客A-知识教程","写知识教程/FAQ文章",IF(L971="博客B-场景人群","写场景需求/选购指南文章",IF(L971="博客C-对比评测","写对比评测/榜单文章","暂不做或人工复核")))))</x:f>
        <x:v>建/优化主站商业页</x:v>
      </x:c>
      <x:c r="AC971" s="9" t="str">
        <x:v>least harmful vapes</x:v>
      </x:c>
      <x:c r="AD971" s="10" t="str">
        <x:v>48</x:v>
      </x:c>
    </x:row>
    <x:row r="972">
      <x:c r="A972" s="34" t="n">
        <x:v>972</x:v>
      </x:c>
      <x:c r="B972" s="9" t="str">
        <x:v>48</x:v>
      </x:c>
      <x:c r="C972" s="9" t="str">
        <x:v>how vapes work</x:v>
      </x:c>
      <x:c r="D972" s="9" t="str">
        <x:v>recommended</x:v>
      </x:c>
      <x:c r="E972" s="36" t="n">
        <x:v>40</x:v>
      </x:c>
      <x:c r="F972" s="36" t="n">
        <x:v>52</x:v>
      </x:c>
      <x:c r="G972" s="9" t="str">
        <x:v>informational</x:v>
      </x:c>
      <x:c r="H972" s="9" t="str">
        <x:v>知识教程</x:v>
      </x:c>
      <x:c r="I972" s="9" t="str">
        <x:v>知识/教程词</x:v>
      </x:c>
      <x:c r="J972" s="9" t="str">
        <x:v>博客A-知识教程</x:v>
      </x:c>
      <x:c r="K972" s="9" t="str"/>
      <x:c r="L972" s="9" t="str">
        <x:f>IF(K972="",J972,K972)</x:f>
        <x:v>博客A-知识教程</x:v>
      </x:c>
      <x:c r="M972" s="9" t="str">
        <x:v>百科/How-to/FAQ文章</x:v>
      </x:c>
      <x:c r="N972" s="9" t="str">
        <x:v>Guide angle: explain how vapes work, answer common questions, and avoid sales-first writing</x:v>
      </x:c>
      <x:c r="O972" s="9" t="str">
        <x:v>/collections/disposable-vapes</x:v>
      </x:c>
      <x:c r="P972" s="9" t="str">
        <x:v>谨慎</x:v>
      </x:c>
      <x:c r="Q972" s="9" t="str">
        <x:v>自然句/品牌词</x:v>
      </x:c>
      <x:c r="R972" s="9" t="str">
        <x:v>低中风险：先满足信息意图，导流要克制</x:v>
      </x:c>
      <x:c r="S972" s="9" t="str">
        <x:v>如果文章能自然回答下一步购买问题，再放 1 个主站内链；否则只做知识闭环。</x:v>
      </x:c>
      <x:c r="T972" s="38" t="n">
        <x:v>4</x:v>
      </x:c>
      <x:c r="U972" s="38" t="n">
        <x:v>6</x:v>
      </x:c>
      <x:c r="V972" s="38" t="n">
        <x:v>9</x:v>
      </x:c>
      <x:c r="W972" s="38" t="n">
        <x:v>14</x:v>
      </x:c>
      <x:c r="X972" s="38" t="n">
        <x:v>12</x:v>
      </x:c>
      <x:c r="Y972" s="38" t="n">
        <x:v>5</x:v>
      </x:c>
      <x:c r="Z972" s="38" t="n">
        <x:f>MAX(0,MIN(100,ROUND(((T972+U972+V972+W972+X972)-Y972)/85*100,0)))</x:f>
        <x:v>47</x:v>
      </x:c>
      <x:c r="AA972" s="9" t="str">
        <x:f>IF(L972="暂不做","P3 暂缓",IF(Z972&gt;=75,"P0 本周做",IF(Z972&gt;=60,"P1 近期做",IF(Z972&gt;=45,"P2 备选","P3 暂缓"))))</x:f>
        <x:v>P2 备选</x:v>
      </x:c>
      <x:c r="AB972" s="9" t="str">
        <x:f>IF(Y972&gt;=15,"先做合规/相关性复核，不建议直接商业导流",IF(L972="主站","建/优化主站商业页",IF(L972="博客A-知识教程","写知识教程/FAQ文章",IF(L972="博客B-场景人群","写场景需求/选购指南文章",IF(L972="博客C-对比评测","写对比评测/榜单文章","暂不做或人工复核")))))</x:f>
        <x:v>写知识教程/FAQ文章</x:v>
      </x:c>
      <x:c r="AC972" s="9" t="str">
        <x:v>least harmful vapes</x:v>
      </x:c>
      <x:c r="AD972" s="10" t="str">
        <x:v>48</x:v>
      </x:c>
    </x:row>
    <x:row r="973">
      <x:c r="A973" s="34" t="n">
        <x:v>973</x:v>
      </x:c>
      <x:c r="B973" s="9" t="str">
        <x:v>48</x:v>
      </x:c>
      <x:c r="C973" s="9" t="str">
        <x:v>rl vape flavors</x:v>
      </x:c>
      <x:c r="D973" s="9" t="str">
        <x:v>recommended</x:v>
      </x:c>
      <x:c r="E973" s="36" t="n">
        <x:v>260</x:v>
      </x:c>
      <x:c r="F973" s="36" t="n">
        <x:v>2</x:v>
      </x:c>
      <x:c r="G973" s="9" t="str">
        <x:v>informational</x:v>
      </x:c>
      <x:c r="H973" s="9" t="str">
        <x:v>Flavor / 口味</x:v>
      </x:c>
      <x:c r="I973" s="9" t="str">
        <x:v>场景/需求词</x:v>
      </x:c>
      <x:c r="J973" s="9" t="str">
        <x:v>博客B-场景人群</x:v>
      </x:c>
      <x:c r="K973" s="9" t="str"/>
      <x:c r="L973" s="9" t="str">
        <x:f>IF(K973="",J973,K973)</x:f>
        <x:v>博客B-场景人群</x:v>
      </x:c>
      <x:c r="M973" s="9" t="str">
        <x:v>场景解决方案/选购指南文章</x:v>
      </x:c>
      <x:c r="N973" s="9" t="str">
        <x:v>Scenario angle: how to choose rl vape flavors based on use case, flavor, nicotine, and budget</x:v>
      </x:c>
      <x:c r="O973" s="9" t="str">
        <x:v>/collections/flavored-disposable-vapes</x:v>
      </x:c>
      <x:c r="P973" s="9" t="str">
        <x:v>是</x:v>
      </x:c>
      <x:c r="Q973" s="9" t="str">
        <x:v>自然句/品类词</x:v>
      </x:c>
      <x:c r="R973" s="9" t="str">
        <x:v>低中风险：适合软性导流，但不要夸大效果或触碰健康疗效</x:v>
      </x:c>
      <x:c r="S973" s="9" t="str">
        <x:v>围绕使用场景、口味、尼古丁需求、便携性等写，不和主站品类页抢词。</x:v>
      </x:c>
      <x:c r="T973" s="38" t="n">
        <x:v>7</x:v>
      </x:c>
      <x:c r="U973" s="38" t="n">
        <x:v>15</x:v>
      </x:c>
      <x:c r="V973" s="38" t="n">
        <x:v>13</x:v>
      </x:c>
      <x:c r="W973" s="38" t="n">
        <x:v>14</x:v>
      </x:c>
      <x:c r="X973" s="38" t="n">
        <x:v>13</x:v>
      </x:c>
      <x:c r="Y973" s="38" t="n">
        <x:v>5</x:v>
      </x:c>
      <x:c r="Z973" s="38" t="n">
        <x:f>MAX(0,MIN(100,ROUND(((T973+U973+V973+W973+X973)-Y973)/85*100,0)))</x:f>
        <x:v>67</x:v>
      </x:c>
      <x:c r="AA973" s="9" t="str">
        <x:f>IF(L973="暂不做","P3 暂缓",IF(Z973&gt;=75,"P0 本周做",IF(Z973&gt;=60,"P1 近期做",IF(Z973&gt;=45,"P2 备选","P3 暂缓"))))</x:f>
        <x:v>P1 近期做</x:v>
      </x:c>
      <x:c r="AB973" s="9" t="str">
        <x:f>IF(Y973&gt;=15,"先做合规/相关性复核，不建议直接商业导流",IF(L973="主站","建/优化主站商业页",IF(L973="博客A-知识教程","写知识教程/FAQ文章",IF(L973="博客B-场景人群","写场景需求/选购指南文章",IF(L973="博客C-对比评测","写对比评测/榜单文章","暂不做或人工复核")))))</x:f>
        <x:v>写场景需求/选购指南文章</x:v>
      </x:c>
      <x:c r="AC973" s="9" t="str">
        <x:v>rl vape flavors</x:v>
      </x:c>
      <x:c r="AD973" s="10" t="str">
        <x:v>48</x:v>
      </x:c>
    </x:row>
    <x:row r="974">
      <x:c r="A974" s="34" t="n">
        <x:v>974</x:v>
      </x:c>
      <x:c r="B974" s="9" t="str">
        <x:v>48</x:v>
      </x:c>
      <x:c r="C974" s="9" t="str">
        <x:v>rl disposable vape</x:v>
      </x:c>
      <x:c r="D974" s="9" t="str">
        <x:v>recommended</x:v>
      </x:c>
      <x:c r="E974" s="36" t="n">
        <x:v>90</x:v>
      </x:c>
      <x:c r="F974" s="36" t="n">
        <x:v>3</x:v>
      </x:c>
      <x:c r="G974" s="9" t="str">
        <x:v>informational</x:v>
      </x:c>
      <x:c r="H974" s="9" t="str">
        <x:v>Disposable Vape</x:v>
      </x:c>
      <x:c r="I974" s="9" t="str">
        <x:v>品类承接词</x:v>
      </x:c>
      <x:c r="J974" s="9" t="str">
        <x:v>主站</x:v>
      </x:c>
      <x:c r="K974" s="9" t="str"/>
      <x:c r="L974" s="9" t="str">
        <x:f>IF(K974="",J974,K974)</x:f>
        <x:v>主站</x:v>
      </x:c>
      <x:c r="M974" s="9" t="str">
        <x:v>品类页/集合页 + FAQ内容块</x:v>
      </x:c>
      <x:c r="N974" s="9" t="str">
        <x:v>主站品类页：用产品集合 + 选购说明承接</x:v>
      </x:c>
      <x:c r="O974" s="9" t="str">
        <x:v>/collections/disposable-vapes</x:v>
      </x:c>
      <x:c r="P974" s="9" t="str">
        <x:v>不适用</x:v>
      </x:c>
      <x:c r="Q974" s="9" t="str">
        <x:v>主站页面自身承接</x:v>
      </x:c>
      <x:c r="R974" s="9" t="str">
        <x:v>核心品类词：主站优先，博客只做长尾解释，不直接抢同一词</x:v>
      </x:c>
      <x:c r="S974" s="9" t="str">
        <x:v>如果 Google 首页产品页和指南混合，主站页要加 FAQ、选购指南、对比模块。</x:v>
      </x:c>
      <x:c r="T974" s="38" t="n">
        <x:v>4</x:v>
      </x:c>
      <x:c r="U974" s="38" t="n">
        <x:v>15</x:v>
      </x:c>
      <x:c r="V974" s="38" t="n">
        <x:v>16</x:v>
      </x:c>
      <x:c r="W974" s="38" t="n">
        <x:v>8</x:v>
      </x:c>
      <x:c r="X974" s="38" t="n">
        <x:v>15</x:v>
      </x:c>
      <x:c r="Y974" s="38" t="n">
        <x:v>4</x:v>
      </x:c>
      <x:c r="Z974" s="38" t="n">
        <x:f>MAX(0,MIN(100,ROUND(((T974+U974+V974+W974+X974)-Y974)/85*100,0)))</x:f>
        <x:v>64</x:v>
      </x:c>
      <x:c r="AA974" s="9" t="str">
        <x:f>IF(L974="暂不做","P3 暂缓",IF(Z974&gt;=75,"P0 本周做",IF(Z974&gt;=60,"P1 近期做",IF(Z974&gt;=45,"P2 备选","P3 暂缓"))))</x:f>
        <x:v>P1 近期做</x:v>
      </x:c>
      <x:c r="AB974" s="9" t="str">
        <x:f>IF(Y974&gt;=15,"先做合规/相关性复核，不建议直接商业导流",IF(L974="主站","建/优化主站商业页",IF(L974="博客A-知识教程","写知识教程/FAQ文章",IF(L974="博客B-场景人群","写场景需求/选购指南文章",IF(L974="博客C-对比评测","写对比评测/榜单文章","暂不做或人工复核")))))</x:f>
        <x:v>建/优化主站商业页</x:v>
      </x:c>
      <x:c r="AC974" s="9" t="str">
        <x:v>rl vape flavors</x:v>
      </x:c>
      <x:c r="AD974" s="10" t="str">
        <x:v>48</x:v>
      </x:c>
    </x:row>
    <x:row r="975">
      <x:c r="A975" s="34" t="n">
        <x:v>975</x:v>
      </x:c>
      <x:c r="B975" s="9" t="str">
        <x:v>48</x:v>
      </x:c>
      <x:c r="C975" s="9" t="str">
        <x:v>vape purse flavors</x:v>
      </x:c>
      <x:c r="D975" s="9" t="str">
        <x:v>recommended</x:v>
      </x:c>
      <x:c r="E975" s="36" t="n">
        <x:v>90</x:v>
      </x:c>
      <x:c r="F975" s="36" t="n">
        <x:v>7</x:v>
      </x:c>
      <x:c r="G975" s="9" t="str">
        <x:v>informational</x:v>
      </x:c>
      <x:c r="H975" s="9" t="str">
        <x:v>Flavor / 口味</x:v>
      </x:c>
      <x:c r="I975" s="9" t="str">
        <x:v>场景/需求词</x:v>
      </x:c>
      <x:c r="J975" s="9" t="str">
        <x:v>博客B-场景人群</x:v>
      </x:c>
      <x:c r="K975" s="9" t="str"/>
      <x:c r="L975" s="9" t="str">
        <x:f>IF(K975="",J975,K975)</x:f>
        <x:v>博客B-场景人群</x:v>
      </x:c>
      <x:c r="M975" s="9" t="str">
        <x:v>场景解决方案/选购指南文章</x:v>
      </x:c>
      <x:c r="N975" s="9" t="str">
        <x:v>Scenario angle: how to choose vape purse flavors based on use case, flavor, nicotine, and budget</x:v>
      </x:c>
      <x:c r="O975" s="9" t="str">
        <x:v>/collections/flavored-disposable-vapes</x:v>
      </x:c>
      <x:c r="P975" s="9" t="str">
        <x:v>是</x:v>
      </x:c>
      <x:c r="Q975" s="9" t="str">
        <x:v>自然句/品类词</x:v>
      </x:c>
      <x:c r="R975" s="9" t="str">
        <x:v>低中风险：适合软性导流，但不要夸大效果或触碰健康疗效</x:v>
      </x:c>
      <x:c r="S975" s="9" t="str">
        <x:v>围绕使用场景、口味、尼古丁需求、便携性等写，不和主站品类页抢词。</x:v>
      </x:c>
      <x:c r="T975" s="38" t="n">
        <x:v>4</x:v>
      </x:c>
      <x:c r="U975" s="38" t="n">
        <x:v>15</x:v>
      </x:c>
      <x:c r="V975" s="38" t="n">
        <x:v>13</x:v>
      </x:c>
      <x:c r="W975" s="38" t="n">
        <x:v>14</x:v>
      </x:c>
      <x:c r="X975" s="38" t="n">
        <x:v>13</x:v>
      </x:c>
      <x:c r="Y975" s="38" t="n">
        <x:v>5</x:v>
      </x:c>
      <x:c r="Z975" s="38" t="n">
        <x:f>MAX(0,MIN(100,ROUND(((T975+U975+V975+W975+X975)-Y975)/85*100,0)))</x:f>
        <x:v>64</x:v>
      </x:c>
      <x:c r="AA975" s="9" t="str">
        <x:f>IF(L975="暂不做","P3 暂缓",IF(Z975&gt;=75,"P0 本周做",IF(Z975&gt;=60,"P1 近期做",IF(Z975&gt;=45,"P2 备选","P3 暂缓"))))</x:f>
        <x:v>P1 近期做</x:v>
      </x:c>
      <x:c r="AB975" s="9" t="str">
        <x:f>IF(Y975&gt;=15,"先做合规/相关性复核，不建议直接商业导流",IF(L975="主站","建/优化主站商业页",IF(L975="博客A-知识教程","写知识教程/FAQ文章",IF(L975="博客B-场景人群","写场景需求/选购指南文章",IF(L975="博客C-对比评测","写对比评测/榜单文章","暂不做或人工复核")))))</x:f>
        <x:v>写场景需求/选购指南文章</x:v>
      </x:c>
      <x:c r="AC975" s="9" t="str">
        <x:v>rl vape flavors</x:v>
      </x:c>
      <x:c r="AD975" s="10" t="str">
        <x:v>48</x:v>
      </x:c>
    </x:row>
    <x:row r="976">
      <x:c r="A976" s="34" t="n">
        <x:v>976</x:v>
      </x:c>
      <x:c r="B976" s="9" t="str">
        <x:v>48</x:v>
      </x:c>
      <x:c r="C976" s="9" t="str">
        <x:v>raze vapes</x:v>
      </x:c>
      <x:c r="D976" s="9" t="str">
        <x:v>recommended</x:v>
      </x:c>
      <x:c r="E976" s="36" t="n">
        <x:v>70</x:v>
      </x:c>
      <x:c r="F976" s="36" t="n">
        <x:v>28</x:v>
      </x:c>
      <x:c r="G976" s="9" t="str">
        <x:v>informational, commercial</x:v>
      </x:c>
      <x:c r="H976" s="9" t="str">
        <x:v>竞品/品牌词</x:v>
      </x:c>
      <x:c r="I976" s="9" t="str">
        <x:v>竞品品牌词</x:v>
      </x:c>
      <x:c r="J976" s="9" t="str">
        <x:v>暂不做</x:v>
      </x:c>
      <x:c r="K976" s="9" t="str"/>
      <x:c r="L976" s="9" t="str">
        <x:f>IF(K976="",J976,K976)</x:f>
        <x:v>暂不做</x:v>
      </x:c>
      <x:c r="M976" s="9" t="str">
        <x:v>人工确认后再决定</x:v>
      </x:c>
      <x:c r="N976" s="9" t="str">
        <x:v>人工确认是否可做客观对比</x:v>
      </x:c>
      <x:c r="O976" s="9" t="str">
        <x:v>无</x:v>
      </x:c>
      <x:c r="P976" s="9" t="str">
        <x:v>否</x:v>
      </x:c>
      <x:c r="Q976" s="9" t="str">
        <x:v>不导流</x:v>
      </x:c>
      <x:c r="R976" s="9" t="str">
        <x:v>中高风险：纯竞品品牌词容易产生商标/相关性问题</x:v>
      </x:c>
      <x:c r="S976" s="9" t="str">
        <x:v>只有带 alternative / vs / review / best 这类明确比较意图时，才考虑博客C。</x:v>
      </x:c>
      <x:c r="T976" s="38" t="n">
        <x:v>4</x:v>
      </x:c>
      <x:c r="U976" s="38" t="n">
        <x:v>12</x:v>
      </x:c>
      <x:c r="V976" s="38" t="n">
        <x:v>5</x:v>
      </x:c>
      <x:c r="W976" s="38" t="n">
        <x:v>7</x:v>
      </x:c>
      <x:c r="X976" s="38" t="n">
        <x:v>4</x:v>
      </x:c>
      <x:c r="Y976" s="38" t="n">
        <x:v>14</x:v>
      </x:c>
      <x:c r="Z976" s="38" t="n">
        <x:f>MAX(0,MIN(100,ROUND(((T976+U976+V976+W976+X976)-Y976)/85*100,0)))</x:f>
        <x:v>21</x:v>
      </x:c>
      <x:c r="AA976" s="9" t="str">
        <x:f>IF(L976="暂不做","P3 暂缓",IF(Z976&gt;=75,"P0 本周做",IF(Z976&gt;=60,"P1 近期做",IF(Z976&gt;=45,"P2 备选","P3 暂缓"))))</x:f>
        <x:v>P3 暂缓</x:v>
      </x:c>
      <x:c r="AB976" s="9" t="str">
        <x:f>IF(Y976&gt;=15,"先做合规/相关性复核，不建议直接商业导流",IF(L976="主站","建/优化主站商业页",IF(L976="博客A-知识教程","写知识教程/FAQ文章",IF(L976="博客B-场景人群","写场景需求/选购指南文章",IF(L976="博客C-对比评测","写对比评测/榜单文章","暂不做或人工复核")))))</x:f>
        <x:v>暂不做或人工复核</x:v>
      </x:c>
      <x:c r="AC976" s="9" t="str">
        <x:v>rl vape flavors</x:v>
      </x:c>
      <x:c r="AD976" s="10" t="str">
        <x:v>48</x:v>
      </x:c>
    </x:row>
    <x:row r="977">
      <x:c r="A977" s="34" t="n">
        <x:v>977</x:v>
      </x:c>
      <x:c r="B977" s="9" t="str">
        <x:v>48</x:v>
      </x:c>
      <x:c r="C977" s="9" t="str">
        <x:v>purse vape</x:v>
      </x:c>
      <x:c r="D977" s="9" t="str">
        <x:v>recommended</x:v>
      </x:c>
      <x:c r="E977" s="36" t="n">
        <x:v>12100</x:v>
      </x:c>
      <x:c r="F977" s="36" t="n">
        <x:v>11</x:v>
      </x:c>
      <x:c r="G977" s="9" t="str">
        <x:v>informational</x:v>
      </x:c>
      <x:c r="H977" s="9" t="str">
        <x:v>General Vape</x:v>
      </x:c>
      <x:c r="I977" s="9" t="str">
        <x:v>品类承接词</x:v>
      </x:c>
      <x:c r="J977" s="9" t="str">
        <x:v>主站</x:v>
      </x:c>
      <x:c r="K977" s="9" t="str"/>
      <x:c r="L977" s="9" t="str">
        <x:f>IF(K977="",J977,K977)</x:f>
        <x:v>主站</x:v>
      </x:c>
      <x:c r="M977" s="9" t="str">
        <x:v>品类页/集合页 + FAQ内容块</x:v>
      </x:c>
      <x:c r="N977" s="9" t="str">
        <x:v>主站品类页：用产品集合 + 选购说明承接</x:v>
      </x:c>
      <x:c r="O977" s="9" t="str">
        <x:v>/collections/disposable-vapes</x:v>
      </x:c>
      <x:c r="P977" s="9" t="str">
        <x:v>不适用</x:v>
      </x:c>
      <x:c r="Q977" s="9" t="str">
        <x:v>主站页面自身承接</x:v>
      </x:c>
      <x:c r="R977" s="9" t="str">
        <x:v>核心品类词：主站优先，博客只做长尾解释，不直接抢同一词</x:v>
      </x:c>
      <x:c r="S977" s="9" t="str">
        <x:v>如果 Google 首页产品页和指南混合，主站页要加 FAQ、选购指南、对比模块。</x:v>
      </x:c>
      <x:c r="T977" s="38" t="n">
        <x:v>18</x:v>
      </x:c>
      <x:c r="U977" s="38" t="n">
        <x:v>15</x:v>
      </x:c>
      <x:c r="V977" s="38" t="n">
        <x:v>16</x:v>
      </x:c>
      <x:c r="W977" s="38" t="n">
        <x:v>8</x:v>
      </x:c>
      <x:c r="X977" s="38" t="n">
        <x:v>15</x:v>
      </x:c>
      <x:c r="Y977" s="38" t="n">
        <x:v>4</x:v>
      </x:c>
      <x:c r="Z977" s="38" t="n">
        <x:f>MAX(0,MIN(100,ROUND(((T977+U977+V977+W977+X977)-Y977)/85*100,0)))</x:f>
        <x:v>80</x:v>
      </x:c>
      <x:c r="AA977" s="9" t="str">
        <x:f>IF(L977="暂不做","P3 暂缓",IF(Z977&gt;=75,"P0 本周做",IF(Z977&gt;=60,"P1 近期做",IF(Z977&gt;=45,"P2 备选","P3 暂缓"))))</x:f>
        <x:v>P0 本周做</x:v>
      </x:c>
      <x:c r="AB977" s="9" t="str">
        <x:f>IF(Y977&gt;=15,"先做合规/相关性复核，不建议直接商业导流",IF(L977="主站","建/优化主站商业页",IF(L977="博客A-知识教程","写知识教程/FAQ文章",IF(L977="博客B-场景人群","写场景需求/选购指南文章",IF(L977="博客C-对比评测","写对比评测/榜单文章","暂不做或人工复核")))))</x:f>
        <x:v>建/优化主站商业页</x:v>
      </x:c>
      <x:c r="AC977" s="9" t="str">
        <x:v>rl vape flavors</x:v>
      </x:c>
      <x:c r="AD977" s="10" t="str">
        <x:v>48</x:v>
      </x:c>
    </x:row>
    <x:row r="978">
      <x:c r="A978" s="34" t="n">
        <x:v>978</x:v>
      </x:c>
      <x:c r="B978" s="9" t="str">
        <x:v>48</x:v>
      </x:c>
      <x:c r="C978" s="9" t="str">
        <x:v>raz purse vape</x:v>
      </x:c>
      <x:c r="D978" s="9" t="str">
        <x:v>recommended</x:v>
      </x:c>
      <x:c r="E978" s="36" t="n">
        <x:v>1900</x:v>
      </x:c>
      <x:c r="F978" s="36" t="n">
        <x:v>5</x:v>
      </x:c>
      <x:c r="G978" s="9" t="str">
        <x:v>informational</x:v>
      </x:c>
      <x:c r="H978" s="9" t="str">
        <x:v>竞品/品牌词</x:v>
      </x:c>
      <x:c r="I978" s="9" t="str">
        <x:v>竞品品牌词</x:v>
      </x:c>
      <x:c r="J978" s="9" t="str">
        <x:v>暂不做</x:v>
      </x:c>
      <x:c r="K978" s="9" t="str"/>
      <x:c r="L978" s="9" t="str">
        <x:f>IF(K978="",J978,K978)</x:f>
        <x:v>暂不做</x:v>
      </x:c>
      <x:c r="M978" s="9" t="str">
        <x:v>人工确认后再决定</x:v>
      </x:c>
      <x:c r="N978" s="9" t="str">
        <x:v>人工确认是否可做客观对比</x:v>
      </x:c>
      <x:c r="O978" s="9" t="str">
        <x:v>无</x:v>
      </x:c>
      <x:c r="P978" s="9" t="str">
        <x:v>否</x:v>
      </x:c>
      <x:c r="Q978" s="9" t="str">
        <x:v>不导流</x:v>
      </x:c>
      <x:c r="R978" s="9" t="str">
        <x:v>中高风险：纯竞品品牌词容易产生商标/相关性问题</x:v>
      </x:c>
      <x:c r="S978" s="9" t="str">
        <x:v>只有带 alternative / vs / review / best 这类明确比较意图时，才考虑博客C。</x:v>
      </x:c>
      <x:c r="T978" s="38" t="n">
        <x:v>13</x:v>
      </x:c>
      <x:c r="U978" s="38" t="n">
        <x:v>15</x:v>
      </x:c>
      <x:c r="V978" s="38" t="n">
        <x:v>5</x:v>
      </x:c>
      <x:c r="W978" s="38" t="n">
        <x:v>7</x:v>
      </x:c>
      <x:c r="X978" s="38" t="n">
        <x:v>4</x:v>
      </x:c>
      <x:c r="Y978" s="38" t="n">
        <x:v>14</x:v>
      </x:c>
      <x:c r="Z978" s="38" t="n">
        <x:f>MAX(0,MIN(100,ROUND(((T978+U978+V978+W978+X978)-Y978)/85*100,0)))</x:f>
        <x:v>35</x:v>
      </x:c>
      <x:c r="AA978" s="9" t="str">
        <x:f>IF(L978="暂不做","P3 暂缓",IF(Z978&gt;=75,"P0 本周做",IF(Z978&gt;=60,"P1 近期做",IF(Z978&gt;=45,"P2 备选","P3 暂缓"))))</x:f>
        <x:v>P3 暂缓</x:v>
      </x:c>
      <x:c r="AB978" s="9" t="str">
        <x:f>IF(Y978&gt;=15,"先做合规/相关性复核，不建议直接商业导流",IF(L978="主站","建/优化主站商业页",IF(L978="博客A-知识教程","写知识教程/FAQ文章",IF(L978="博客B-场景人群","写场景需求/选购指南文章",IF(L978="博客C-对比评测","写对比评测/榜单文章","暂不做或人工复核")))))</x:f>
        <x:v>暂不做或人工复核</x:v>
      </x:c>
      <x:c r="AC978" s="9" t="str">
        <x:v>rl vape flavors</x:v>
      </x:c>
      <x:c r="AD978" s="10" t="str">
        <x:v>48</x:v>
      </x:c>
    </x:row>
    <x:row r="979">
      <x:c r="A979" s="34" t="n">
        <x:v>979</x:v>
      </x:c>
      <x:c r="B979" s="9" t="str">
        <x:v>48</x:v>
      </x:c>
      <x:c r="C979" s="9" t="str">
        <x:v>rl vapes</x:v>
      </x:c>
      <x:c r="D979" s="9" t="str">
        <x:v>recommended</x:v>
      </x:c>
      <x:c r="E979" s="36" t="n">
        <x:v>1900</x:v>
      </x:c>
      <x:c r="F979" s="36" t="n">
        <x:v>9</x:v>
      </x:c>
      <x:c r="G979" s="9" t="str">
        <x:v>informational, commercial</x:v>
      </x:c>
      <x:c r="H979" s="9" t="str">
        <x:v>General Vape</x:v>
      </x:c>
      <x:c r="I979" s="9" t="str">
        <x:v>品类承接词</x:v>
      </x:c>
      <x:c r="J979" s="9" t="str">
        <x:v>主站</x:v>
      </x:c>
      <x:c r="K979" s="9" t="str"/>
      <x:c r="L979" s="9" t="str">
        <x:f>IF(K979="",J979,K979)</x:f>
        <x:v>主站</x:v>
      </x:c>
      <x:c r="M979" s="9" t="str">
        <x:v>品类页/集合页 + FAQ内容块</x:v>
      </x:c>
      <x:c r="N979" s="9" t="str">
        <x:v>主站品类页：用产品集合 + 选购说明承接</x:v>
      </x:c>
      <x:c r="O979" s="9" t="str">
        <x:v>/collections/disposable-vapes</x:v>
      </x:c>
      <x:c r="P979" s="9" t="str">
        <x:v>不适用</x:v>
      </x:c>
      <x:c r="Q979" s="9" t="str">
        <x:v>主站页面自身承接</x:v>
      </x:c>
      <x:c r="R979" s="9" t="str">
        <x:v>核心品类词：主站优先，博客只做长尾解释，不直接抢同一词</x:v>
      </x:c>
      <x:c r="S979" s="9" t="str">
        <x:v>如果 Google 首页产品页和指南混合，主站页要加 FAQ、选购指南、对比模块。</x:v>
      </x:c>
      <x:c r="T979" s="38" t="n">
        <x:v>13</x:v>
      </x:c>
      <x:c r="U979" s="38" t="n">
        <x:v>15</x:v>
      </x:c>
      <x:c r="V979" s="38" t="n">
        <x:v>18</x:v>
      </x:c>
      <x:c r="W979" s="38" t="n">
        <x:v>8</x:v>
      </x:c>
      <x:c r="X979" s="38" t="n">
        <x:v>15</x:v>
      </x:c>
      <x:c r="Y979" s="38" t="n">
        <x:v>4</x:v>
      </x:c>
      <x:c r="Z979" s="38" t="n">
        <x:f>MAX(0,MIN(100,ROUND(((T979+U979+V979+W979+X979)-Y979)/85*100,0)))</x:f>
        <x:v>76</x:v>
      </x:c>
      <x:c r="AA979" s="9" t="str">
        <x:f>IF(L979="暂不做","P3 暂缓",IF(Z979&gt;=75,"P0 本周做",IF(Z979&gt;=60,"P1 近期做",IF(Z979&gt;=45,"P2 备选","P3 暂缓"))))</x:f>
        <x:v>P0 本周做</x:v>
      </x:c>
      <x:c r="AB979" s="9" t="str">
        <x:f>IF(Y979&gt;=15,"先做合规/相关性复核，不建议直接商业导流",IF(L979="主站","建/优化主站商业页",IF(L979="博客A-知识教程","写知识教程/FAQ文章",IF(L979="博客B-场景人群","写场景需求/选购指南文章",IF(L979="博客C-对比评测","写对比评测/榜单文章","暂不做或人工复核")))))</x:f>
        <x:v>建/优化主站商业页</x:v>
      </x:c>
      <x:c r="AC979" s="9" t="str">
        <x:v>rl vape flavors</x:v>
      </x:c>
      <x:c r="AD979" s="10" t="str">
        <x:v>48</x:v>
      </x:c>
    </x:row>
    <x:row r="980">
      <x:c r="A980" s="34" t="n">
        <x:v>980</x:v>
      </x:c>
      <x:c r="B980" s="9" t="str">
        <x:v>48</x:v>
      </x:c>
      <x:c r="C980" s="9" t="str">
        <x:v>35k vape flavor review</x:v>
      </x:c>
      <x:c r="D980" s="9" t="str">
        <x:v>recommended</x:v>
      </x:c>
      <x:c r="E980" s="36" t="n">
        <x:v>0</x:v>
      </x:c>
      <x:c r="F980" s="36" t="n">
        <x:v>0</x:v>
      </x:c>
      <x:c r="G980" s="9" t="str">
        <x:v>48</x:v>
      </x:c>
      <x:c r="H980" s="9" t="str">
        <x:v>Flavor / 口味</x:v>
      </x:c>
      <x:c r="I980" s="9" t="str">
        <x:v>商业调查词</x:v>
      </x:c>
      <x:c r="J980" s="9" t="str">
        <x:v>博客C-对比评测</x:v>
      </x:c>
      <x:c r="K980" s="9" t="str"/>
      <x:c r="L980" s="9" t="str">
        <x:f>IF(K980="",J980,K980)</x:f>
        <x:v>博客C-对比评测</x:v>
      </x:c>
      <x:c r="M980" s="9" t="str">
        <x:v>Best/Top/Review/VS/替代方案文章</x:v>
      </x:c>
      <x:c r="N980" s="9" t="str">
        <x:v>Best angle: 35k vape flavor review - comparison, pros/cons, and which option fits different buyers</x:v>
      </x:c>
      <x:c r="O980" s="9" t="str">
        <x:v>/collections/flavored-disposable-vapes</x:v>
      </x:c>
      <x:c r="P980" s="9" t="str">
        <x:v>是</x:v>
      </x:c>
      <x:c r="Q980" s="9" t="str">
        <x:v>自然句/品类词/品牌词</x:v>
      </x:c>
      <x:c r="R980" s="9" t="str">
        <x:v>中风险：榜单和评测必须真实、中立，避免夸大</x:v>
      </x:c>
      <x:c r="S980" s="9" t="str">
        <x:v>这类词不直接给主站，先用博客C教育和比较，再导流到最相关集合页。</x:v>
      </x:c>
      <x:c r="T980" s="38" t="n">
        <x:v>1</x:v>
      </x:c>
      <x:c r="U980" s="38" t="n">
        <x:v>15</x:v>
      </x:c>
      <x:c r="V980" s="38" t="n">
        <x:v>16</x:v>
      </x:c>
      <x:c r="W980" s="38" t="n">
        <x:v>15</x:v>
      </x:c>
      <x:c r="X980" s="38" t="n">
        <x:v>13</x:v>
      </x:c>
      <x:c r="Y980" s="38" t="n">
        <x:v>6</x:v>
      </x:c>
      <x:c r="Z980" s="38" t="n">
        <x:f>MAX(0,MIN(100,ROUND(((T980+U980+V980+W980+X980)-Y980)/85*100,0)))</x:f>
        <x:v>64</x:v>
      </x:c>
      <x:c r="AA980" s="9" t="str">
        <x:f>IF(L980="暂不做","P3 暂缓",IF(Z980&gt;=75,"P0 本周做",IF(Z980&gt;=60,"P1 近期做",IF(Z980&gt;=45,"P2 备选","P3 暂缓"))))</x:f>
        <x:v>P1 近期做</x:v>
      </x:c>
      <x:c r="AB980" s="9" t="str">
        <x:f>IF(Y980&gt;=15,"先做合规/相关性复核，不建议直接商业导流",IF(L980="主站","建/优化主站商业页",IF(L980="博客A-知识教程","写知识教程/FAQ文章",IF(L980="博客B-场景人群","写场景需求/选购指南文章",IF(L980="博客C-对比评测","写对比评测/榜单文章","暂不做或人工复核")))))</x:f>
        <x:v>写对比评测/榜单文章</x:v>
      </x:c>
      <x:c r="AC980" s="9" t="str">
        <x:v>rl vape flavors</x:v>
      </x:c>
      <x:c r="AD980" s="10" t="str">
        <x:v>48</x:v>
      </x:c>
    </x:row>
    <x:row r="981">
      <x:c r="A981" s="34" t="n">
        <x:v>981</x:v>
      </x:c>
      <x:c r="B981" s="9" t="str">
        <x:v>48</x:v>
      </x:c>
      <x:c r="C981" s="9" t="str">
        <x:v>raz ryl classic 35k disposable vape</x:v>
      </x:c>
      <x:c r="D981" s="9" t="str">
        <x:v>recommended</x:v>
      </x:c>
      <x:c r="E981" s="36" t="n">
        <x:v>70</x:v>
      </x:c>
      <x:c r="F981" s="36" t="n">
        <x:v>4</x:v>
      </x:c>
      <x:c r="G981" s="9" t="str">
        <x:v>informational, commercial</x:v>
      </x:c>
      <x:c r="H981" s="9" t="str">
        <x:v>竞品/品牌词</x:v>
      </x:c>
      <x:c r="I981" s="9" t="str">
        <x:v>竞品品牌词</x:v>
      </x:c>
      <x:c r="J981" s="9" t="str">
        <x:v>暂不做</x:v>
      </x:c>
      <x:c r="K981" s="9" t="str"/>
      <x:c r="L981" s="9" t="str">
        <x:f>IF(K981="",J981,K981)</x:f>
        <x:v>暂不做</x:v>
      </x:c>
      <x:c r="M981" s="9" t="str">
        <x:v>人工确认后再决定</x:v>
      </x:c>
      <x:c r="N981" s="9" t="str">
        <x:v>人工确认是否可做客观对比</x:v>
      </x:c>
      <x:c r="O981" s="9" t="str">
        <x:v>无</x:v>
      </x:c>
      <x:c r="P981" s="9" t="str">
        <x:v>否</x:v>
      </x:c>
      <x:c r="Q981" s="9" t="str">
        <x:v>不导流</x:v>
      </x:c>
      <x:c r="R981" s="9" t="str">
        <x:v>中高风险：纯竞品品牌词容易产生商标/相关性问题</x:v>
      </x:c>
      <x:c r="S981" s="9" t="str">
        <x:v>只有带 alternative / vs / review / best 这类明确比较意图时，才考虑博客C。</x:v>
      </x:c>
      <x:c r="T981" s="38" t="n">
        <x:v>4</x:v>
      </x:c>
      <x:c r="U981" s="38" t="n">
        <x:v>15</x:v>
      </x:c>
      <x:c r="V981" s="38" t="n">
        <x:v>5</x:v>
      </x:c>
      <x:c r="W981" s="38" t="n">
        <x:v>7</x:v>
      </x:c>
      <x:c r="X981" s="38" t="n">
        <x:v>4</x:v>
      </x:c>
      <x:c r="Y981" s="38" t="n">
        <x:v>14</x:v>
      </x:c>
      <x:c r="Z981" s="38" t="n">
        <x:f>MAX(0,MIN(100,ROUND(((T981+U981+V981+W981+X981)-Y981)/85*100,0)))</x:f>
        <x:v>25</x:v>
      </x:c>
      <x:c r="AA981" s="9" t="str">
        <x:f>IF(L981="暂不做","P3 暂缓",IF(Z981&gt;=75,"P0 本周做",IF(Z981&gt;=60,"P1 近期做",IF(Z981&gt;=45,"P2 备选","P3 暂缓"))))</x:f>
        <x:v>P3 暂缓</x:v>
      </x:c>
      <x:c r="AB981" s="9" t="str">
        <x:f>IF(Y981&gt;=15,"先做合规/相关性复核，不建议直接商业导流",IF(L981="主站","建/优化主站商业页",IF(L981="博客A-知识教程","写知识教程/FAQ文章",IF(L981="博客B-场景人群","写场景需求/选购指南文章",IF(L981="博客C-对比评测","写对比评测/榜单文章","暂不做或人工复核")))))</x:f>
        <x:v>暂不做或人工复核</x:v>
      </x:c>
      <x:c r="AC981" s="9" t="str">
        <x:v>rl vape flavors</x:v>
      </x:c>
      <x:c r="AD981" s="10" t="str">
        <x:v>48</x:v>
      </x:c>
    </x:row>
    <x:row r="982">
      <x:c r="A982" s="34" t="n">
        <x:v>982</x:v>
      </x:c>
      <x:c r="B982" s="9" t="str">
        <x:v>48</x:v>
      </x:c>
      <x:c r="C982" s="9" t="str">
        <x:v>vaping strawberry</x:v>
      </x:c>
      <x:c r="D982" s="9" t="str">
        <x:v>recommended</x:v>
      </x:c>
      <x:c r="E982" s="36" t="n">
        <x:v>260</x:v>
      </x:c>
      <x:c r="F982" s="36" t="n">
        <x:v>9</x:v>
      </x:c>
      <x:c r="G982" s="9" t="str">
        <x:v>informational</x:v>
      </x:c>
      <x:c r="H982" s="9" t="str">
        <x:v>General Vape</x:v>
      </x:c>
      <x:c r="I982" s="9" t="str">
        <x:v>品类承接词</x:v>
      </x:c>
      <x:c r="J982" s="9" t="str">
        <x:v>主站</x:v>
      </x:c>
      <x:c r="K982" s="9" t="str"/>
      <x:c r="L982" s="9" t="str">
        <x:f>IF(K982="",J982,K982)</x:f>
        <x:v>主站</x:v>
      </x:c>
      <x:c r="M982" s="9" t="str">
        <x:v>品类页/集合页 + FAQ内容块</x:v>
      </x:c>
      <x:c r="N982" s="9" t="str">
        <x:v>主站品类页：用产品集合 + 选购说明承接</x:v>
      </x:c>
      <x:c r="O982" s="9" t="str">
        <x:v>/collections/disposable-vapes</x:v>
      </x:c>
      <x:c r="P982" s="9" t="str">
        <x:v>不适用</x:v>
      </x:c>
      <x:c r="Q982" s="9" t="str">
        <x:v>主站页面自身承接</x:v>
      </x:c>
      <x:c r="R982" s="9" t="str">
        <x:v>核心品类词：主站优先，博客只做长尾解释，不直接抢同一词</x:v>
      </x:c>
      <x:c r="S982" s="9" t="str">
        <x:v>如果 Google 首页产品页和指南混合，主站页要加 FAQ、选购指南、对比模块。</x:v>
      </x:c>
      <x:c r="T982" s="38" t="n">
        <x:v>7</x:v>
      </x:c>
      <x:c r="U982" s="38" t="n">
        <x:v>15</x:v>
      </x:c>
      <x:c r="V982" s="38" t="n">
        <x:v>16</x:v>
      </x:c>
      <x:c r="W982" s="38" t="n">
        <x:v>8</x:v>
      </x:c>
      <x:c r="X982" s="38" t="n">
        <x:v>15</x:v>
      </x:c>
      <x:c r="Y982" s="38" t="n">
        <x:v>4</x:v>
      </x:c>
      <x:c r="Z982" s="38" t="n">
        <x:f>MAX(0,MIN(100,ROUND(((T982+U982+V982+W982+X982)-Y982)/85*100,0)))</x:f>
        <x:v>67</x:v>
      </x:c>
      <x:c r="AA982" s="9" t="str">
        <x:f>IF(L982="暂不做","P3 暂缓",IF(Z982&gt;=75,"P0 本周做",IF(Z982&gt;=60,"P1 近期做",IF(Z982&gt;=45,"P2 备选","P3 暂缓"))))</x:f>
        <x:v>P1 近期做</x:v>
      </x:c>
      <x:c r="AB982" s="9" t="str">
        <x:f>IF(Y982&gt;=15,"先做合规/相关性复核，不建议直接商业导流",IF(L982="主站","建/优化主站商业页",IF(L982="博客A-知识教程","写知识教程/FAQ文章",IF(L982="博客B-场景人群","写场景需求/选购指南文章",IF(L982="博客C-对比评测","写对比评测/榜单文章","暂不做或人工复核")))))</x:f>
        <x:v>建/优化主站商业页</x:v>
      </x:c>
      <x:c r="AC982" s="9" t="str">
        <x:v>vaping strawberry</x:v>
      </x:c>
      <x:c r="AD982" s="10" t="str">
        <x:v>48</x:v>
      </x:c>
    </x:row>
    <x:row r="983">
      <x:c r="A983" s="34" t="n">
        <x:v>983</x:v>
      </x:c>
      <x:c r="B983" s="9" t="str">
        <x:v>48</x:v>
      </x:c>
      <x:c r="C983" s="9" t="str">
        <x:v>strawberry cream vape</x:v>
      </x:c>
      <x:c r="D983" s="9" t="str">
        <x:v>recommended</x:v>
      </x:c>
      <x:c r="E983" s="36" t="n">
        <x:v>140</x:v>
      </x:c>
      <x:c r="F983" s="36" t="n">
        <x:v>3</x:v>
      </x:c>
      <x:c r="G983" s="9" t="str">
        <x:v>informational</x:v>
      </x:c>
      <x:c r="H983" s="9" t="str">
        <x:v>General Vape</x:v>
      </x:c>
      <x:c r="I983" s="9" t="str">
        <x:v>品类承接词</x:v>
      </x:c>
      <x:c r="J983" s="9" t="str">
        <x:v>主站</x:v>
      </x:c>
      <x:c r="K983" s="9" t="str"/>
      <x:c r="L983" s="9" t="str">
        <x:f>IF(K983="",J983,K983)</x:f>
        <x:v>主站</x:v>
      </x:c>
      <x:c r="M983" s="9" t="str">
        <x:v>品类页/集合页 + FAQ内容块</x:v>
      </x:c>
      <x:c r="N983" s="9" t="str">
        <x:v>主站品类页：用产品集合 + 选购说明承接</x:v>
      </x:c>
      <x:c r="O983" s="9" t="str">
        <x:v>/collections/disposable-vapes</x:v>
      </x:c>
      <x:c r="P983" s="9" t="str">
        <x:v>不适用</x:v>
      </x:c>
      <x:c r="Q983" s="9" t="str">
        <x:v>主站页面自身承接</x:v>
      </x:c>
      <x:c r="R983" s="9" t="str">
        <x:v>核心品类词：主站优先，博客只做长尾解释，不直接抢同一词</x:v>
      </x:c>
      <x:c r="S983" s="9" t="str">
        <x:v>如果 Google 首页产品页和指南混合，主站页要加 FAQ、选购指南、对比模块。</x:v>
      </x:c>
      <x:c r="T983" s="38" t="n">
        <x:v>7</x:v>
      </x:c>
      <x:c r="U983" s="38" t="n">
        <x:v>15</x:v>
      </x:c>
      <x:c r="V983" s="38" t="n">
        <x:v>16</x:v>
      </x:c>
      <x:c r="W983" s="38" t="n">
        <x:v>8</x:v>
      </x:c>
      <x:c r="X983" s="38" t="n">
        <x:v>15</x:v>
      </x:c>
      <x:c r="Y983" s="38" t="n">
        <x:v>4</x:v>
      </x:c>
      <x:c r="Z983" s="38" t="n">
        <x:f>MAX(0,MIN(100,ROUND(((T983+U983+V983+W983+X983)-Y983)/85*100,0)))</x:f>
        <x:v>67</x:v>
      </x:c>
      <x:c r="AA983" s="9" t="str">
        <x:f>IF(L983="暂不做","P3 暂缓",IF(Z983&gt;=75,"P0 本周做",IF(Z983&gt;=60,"P1 近期做",IF(Z983&gt;=45,"P2 备选","P3 暂缓"))))</x:f>
        <x:v>P1 近期做</x:v>
      </x:c>
      <x:c r="AB983" s="9" t="str">
        <x:f>IF(Y983&gt;=15,"先做合规/相关性复核，不建议直接商业导流",IF(L983="主站","建/优化主站商业页",IF(L983="博客A-知识教程","写知识教程/FAQ文章",IF(L983="博客B-场景人群","写场景需求/选购指南文章",IF(L983="博客C-对比评测","写对比评测/榜单文章","暂不做或人工复核")))))</x:f>
        <x:v>建/优化主站商业页</x:v>
      </x:c>
      <x:c r="AC983" s="9" t="str">
        <x:v>vaping strawberry</x:v>
      </x:c>
      <x:c r="AD983" s="10" t="str">
        <x:v>48</x:v>
      </x:c>
    </x:row>
    <x:row r="984">
      <x:c r="A984" s="34" t="n">
        <x:v>984</x:v>
      </x:c>
      <x:c r="B984" s="9" t="str">
        <x:v>48</x:v>
      </x:c>
      <x:c r="C984" s="9" t="str">
        <x:v>vape strawberry</x:v>
      </x:c>
      <x:c r="D984" s="9" t="str">
        <x:v>recommended</x:v>
      </x:c>
      <x:c r="E984" s="36" t="n">
        <x:v>260</x:v>
      </x:c>
      <x:c r="F984" s="36" t="n">
        <x:v>18</x:v>
      </x:c>
      <x:c r="G984" s="9" t="str">
        <x:v>informational, transactional</x:v>
      </x:c>
      <x:c r="H984" s="9" t="str">
        <x:v>General Vape</x:v>
      </x:c>
      <x:c r="I984" s="9" t="str">
        <x:v>交易词</x:v>
      </x:c>
      <x:c r="J984" s="9" t="str">
        <x:v>主站</x:v>
      </x:c>
      <x:c r="K984" s="9" t="str"/>
      <x:c r="L984" s="9" t="str">
        <x:f>IF(K984="",J984,K984)</x:f>
        <x:v>主站</x:v>
      </x:c>
      <x:c r="M984" s="9" t="str">
        <x:v>产品集合页/分类页/购买页</x:v>
      </x:c>
      <x:c r="N984" s="9" t="str">
        <x:v>主站商业页：标题围绕购买意图 + 品类 + 关键卖点</x:v>
      </x:c>
      <x:c r="O984" s="9" t="str">
        <x:v>/collections/disposable-vapes</x:v>
      </x:c>
      <x:c r="P984" s="9" t="str">
        <x:v>不适用</x:v>
      </x:c>
      <x:c r="Q984" s="9" t="str">
        <x:v>主站页面自身承接</x:v>
      </x:c>
      <x:c r="R984" s="9" t="str">
        <x:v>商业词：优先给主站，避免博客抢主站排名</x:v>
      </x:c>
      <x:c r="S984" s="9" t="str">
        <x:v>SERP 如为商品列表/品牌站/电商集合页，就建主站页面；若 SERP 全是教程，再拆支持文章。</x:v>
      </x:c>
      <x:c r="T984" s="38" t="n">
        <x:v>7</x:v>
      </x:c>
      <x:c r="U984" s="38" t="n">
        <x:v>12</x:v>
      </x:c>
      <x:c r="V984" s="38" t="n">
        <x:v>20</x:v>
      </x:c>
      <x:c r="W984" s="38" t="n">
        <x:v>7</x:v>
      </x:c>
      <x:c r="X984" s="38" t="n">
        <x:v>15</x:v>
      </x:c>
      <x:c r="Y984" s="38" t="n">
        <x:v>4</x:v>
      </x:c>
      <x:c r="Z984" s="38" t="n">
        <x:f>MAX(0,MIN(100,ROUND(((T984+U984+V984+W984+X984)-Y984)/85*100,0)))</x:f>
        <x:v>67</x:v>
      </x:c>
      <x:c r="AA984" s="9" t="str">
        <x:f>IF(L984="暂不做","P3 暂缓",IF(Z984&gt;=75,"P0 本周做",IF(Z984&gt;=60,"P1 近期做",IF(Z984&gt;=45,"P2 备选","P3 暂缓"))))</x:f>
        <x:v>P1 近期做</x:v>
      </x:c>
      <x:c r="AB984" s="9" t="str">
        <x:f>IF(Y984&gt;=15,"先做合规/相关性复核，不建议直接商业导流",IF(L984="主站","建/优化主站商业页",IF(L984="博客A-知识教程","写知识教程/FAQ文章",IF(L984="博客B-场景人群","写场景需求/选购指南文章",IF(L984="博客C-对比评测","写对比评测/榜单文章","暂不做或人工复核")))))</x:f>
        <x:v>建/优化主站商业页</x:v>
      </x:c>
      <x:c r="AC984" s="9" t="str">
        <x:v>vaping strawberry</x:v>
      </x:c>
      <x:c r="AD984" s="10" t="str">
        <x:v>48</x:v>
      </x:c>
    </x:row>
    <x:row r="985">
      <x:c r="A985" s="34" t="n">
        <x:v>985</x:v>
      </x:c>
      <x:c r="B985" s="9" t="str">
        <x:v>48</x:v>
      </x:c>
      <x:c r="C985" s="9" t="str">
        <x:v>strawberry vapes</x:v>
      </x:c>
      <x:c r="D985" s="9" t="str">
        <x:v>recommended</x:v>
      </x:c>
      <x:c r="E985" s="36" t="n">
        <x:v>210</x:v>
      </x:c>
      <x:c r="F985" s="36" t="n">
        <x:v>17</x:v>
      </x:c>
      <x:c r="G985" s="9" t="str">
        <x:v>informational, commercial</x:v>
      </x:c>
      <x:c r="H985" s="9" t="str">
        <x:v>General Vape</x:v>
      </x:c>
      <x:c r="I985" s="9" t="str">
        <x:v>品类承接词</x:v>
      </x:c>
      <x:c r="J985" s="9" t="str">
        <x:v>主站</x:v>
      </x:c>
      <x:c r="K985" s="9" t="str"/>
      <x:c r="L985" s="9" t="str">
        <x:f>IF(K985="",J985,K985)</x:f>
        <x:v>主站</x:v>
      </x:c>
      <x:c r="M985" s="9" t="str">
        <x:v>品类页/集合页 + FAQ内容块</x:v>
      </x:c>
      <x:c r="N985" s="9" t="str">
        <x:v>主站品类页：用产品集合 + 选购说明承接</x:v>
      </x:c>
      <x:c r="O985" s="9" t="str">
        <x:v>/collections/disposable-vapes</x:v>
      </x:c>
      <x:c r="P985" s="9" t="str">
        <x:v>不适用</x:v>
      </x:c>
      <x:c r="Q985" s="9" t="str">
        <x:v>主站页面自身承接</x:v>
      </x:c>
      <x:c r="R985" s="9" t="str">
        <x:v>核心品类词：主站优先，博客只做长尾解释，不直接抢同一词</x:v>
      </x:c>
      <x:c r="S985" s="9" t="str">
        <x:v>如果 Google 首页产品页和指南混合，主站页要加 FAQ、选购指南、对比模块。</x:v>
      </x:c>
      <x:c r="T985" s="38" t="n">
        <x:v>7</x:v>
      </x:c>
      <x:c r="U985" s="38" t="n">
        <x:v>12</x:v>
      </x:c>
      <x:c r="V985" s="38" t="n">
        <x:v>18</x:v>
      </x:c>
      <x:c r="W985" s="38" t="n">
        <x:v>8</x:v>
      </x:c>
      <x:c r="X985" s="38" t="n">
        <x:v>15</x:v>
      </x:c>
      <x:c r="Y985" s="38" t="n">
        <x:v>4</x:v>
      </x:c>
      <x:c r="Z985" s="38" t="n">
        <x:f>MAX(0,MIN(100,ROUND(((T985+U985+V985+W985+X985)-Y985)/85*100,0)))</x:f>
        <x:v>66</x:v>
      </x:c>
      <x:c r="AA985" s="9" t="str">
        <x:f>IF(L985="暂不做","P3 暂缓",IF(Z985&gt;=75,"P0 本周做",IF(Z985&gt;=60,"P1 近期做",IF(Z985&gt;=45,"P2 备选","P3 暂缓"))))</x:f>
        <x:v>P1 近期做</x:v>
      </x:c>
      <x:c r="AB985" s="9" t="str">
        <x:f>IF(Y985&gt;=15,"先做合规/相关性复核，不建议直接商业导流",IF(L985="主站","建/优化主站商业页",IF(L985="博客A-知识教程","写知识教程/FAQ文章",IF(L985="博客B-场景人群","写场景需求/选购指南文章",IF(L985="博客C-对比评测","写对比评测/榜单文章","暂不做或人工复核")))))</x:f>
        <x:v>建/优化主站商业页</x:v>
      </x:c>
      <x:c r="AC985" s="9" t="str">
        <x:v>vaping strawberry</x:v>
      </x:c>
      <x:c r="AD985" s="10" t="str">
        <x:v>48</x:v>
      </x:c>
    </x:row>
    <x:row r="986">
      <x:c r="A986" s="34" t="n">
        <x:v>986</x:v>
      </x:c>
      <x:c r="B986" s="9" t="str">
        <x:v>48</x:v>
      </x:c>
      <x:c r="C986" s="9" t="str">
        <x:v>strawberries and cream vape</x:v>
      </x:c>
      <x:c r="D986" s="9" t="str">
        <x:v>recommended</x:v>
      </x:c>
      <x:c r="E986" s="36" t="n">
        <x:v>50</x:v>
      </x:c>
      <x:c r="F986" s="36" t="n">
        <x:v>0</x:v>
      </x:c>
      <x:c r="G986" s="9" t="str">
        <x:v>informational</x:v>
      </x:c>
      <x:c r="H986" s="9" t="str">
        <x:v>General Vape</x:v>
      </x:c>
      <x:c r="I986" s="9" t="str">
        <x:v>知识/教程词</x:v>
      </x:c>
      <x:c r="J986" s="9" t="str">
        <x:v>博客A-知识教程</x:v>
      </x:c>
      <x:c r="K986" s="9" t="str"/>
      <x:c r="L986" s="9" t="str">
        <x:f>IF(K986="",J986,K986)</x:f>
        <x:v>博客A-知识教程</x:v>
      </x:c>
      <x:c r="M986" s="9" t="str">
        <x:v>百科/How-to/FAQ文章</x:v>
      </x:c>
      <x:c r="N986" s="9" t="str">
        <x:v>Guide angle: explain strawberries and cream vape, answer common questions, and avoid sales-first writing</x:v>
      </x:c>
      <x:c r="O986" s="9" t="str">
        <x:v>/collections/disposable-vapes</x:v>
      </x:c>
      <x:c r="P986" s="9" t="str">
        <x:v>谨慎</x:v>
      </x:c>
      <x:c r="Q986" s="9" t="str">
        <x:v>自然句/品牌词</x:v>
      </x:c>
      <x:c r="R986" s="9" t="str">
        <x:v>低中风险：先满足信息意图，导流要克制</x:v>
      </x:c>
      <x:c r="S986" s="9" t="str">
        <x:v>如果文章能自然回答下一步购买问题，再放 1 个主站内链；否则只做知识闭环。</x:v>
      </x:c>
      <x:c r="T986" s="38" t="n">
        <x:v>4</x:v>
      </x:c>
      <x:c r="U986" s="38" t="n">
        <x:v>15</x:v>
      </x:c>
      <x:c r="V986" s="38" t="n">
        <x:v>9</x:v>
      </x:c>
      <x:c r="W986" s="38" t="n">
        <x:v>14</x:v>
      </x:c>
      <x:c r="X986" s="38" t="n">
        <x:v>12</x:v>
      </x:c>
      <x:c r="Y986" s="38" t="n">
        <x:v>5</x:v>
      </x:c>
      <x:c r="Z986" s="38" t="n">
        <x:f>MAX(0,MIN(100,ROUND(((T986+U986+V986+W986+X986)-Y986)/85*100,0)))</x:f>
        <x:v>58</x:v>
      </x:c>
      <x:c r="AA986" s="9" t="str">
        <x:f>IF(L986="暂不做","P3 暂缓",IF(Z986&gt;=75,"P0 本周做",IF(Z986&gt;=60,"P1 近期做",IF(Z986&gt;=45,"P2 备选","P3 暂缓"))))</x:f>
        <x:v>P2 备选</x:v>
      </x:c>
      <x:c r="AB986" s="9" t="str">
        <x:f>IF(Y986&gt;=15,"先做合规/相关性复核，不建议直接商业导流",IF(L986="主站","建/优化主站商业页",IF(L986="博客A-知识教程","写知识教程/FAQ文章",IF(L986="博客B-场景人群","写场景需求/选购指南文章",IF(L986="博客C-对比评测","写对比评测/榜单文章","暂不做或人工复核")))))</x:f>
        <x:v>写知识教程/FAQ文章</x:v>
      </x:c>
      <x:c r="AC986" s="9" t="str">
        <x:v>vaping strawberry</x:v>
      </x:c>
      <x:c r="AD986" s="10" t="str">
        <x:v>48</x:v>
      </x:c>
    </x:row>
    <x:row r="987">
      <x:c r="A987" s="34" t="n">
        <x:v>987</x:v>
      </x:c>
      <x:c r="B987" s="9" t="str">
        <x:v>48</x:v>
      </x:c>
      <x:c r="C987" s="9" t="str">
        <x:v>strawberry vape pen</x:v>
      </x:c>
      <x:c r="D987" s="9" t="str">
        <x:v>recommended</x:v>
      </x:c>
      <x:c r="E987" s="36" t="n">
        <x:v>40</x:v>
      </x:c>
      <x:c r="F987" s="36" t="n">
        <x:v>6</x:v>
      </x:c>
      <x:c r="G987" s="9" t="str">
        <x:v>commercial</x:v>
      </x:c>
      <x:c r="H987" s="9" t="str">
        <x:v>General Vape</x:v>
      </x:c>
      <x:c r="I987" s="9" t="str">
        <x:v>品类承接词</x:v>
      </x:c>
      <x:c r="J987" s="9" t="str">
        <x:v>主站</x:v>
      </x:c>
      <x:c r="K987" s="9" t="str"/>
      <x:c r="L987" s="9" t="str">
        <x:f>IF(K987="",J987,K987)</x:f>
        <x:v>主站</x:v>
      </x:c>
      <x:c r="M987" s="9" t="str">
        <x:v>品类页/集合页 + FAQ内容块</x:v>
      </x:c>
      <x:c r="N987" s="9" t="str">
        <x:v>主站品类页：用产品集合 + 选购说明承接</x:v>
      </x:c>
      <x:c r="O987" s="9" t="str">
        <x:v>/collections/disposable-vapes</x:v>
      </x:c>
      <x:c r="P987" s="9" t="str">
        <x:v>不适用</x:v>
      </x:c>
      <x:c r="Q987" s="9" t="str">
        <x:v>主站页面自身承接</x:v>
      </x:c>
      <x:c r="R987" s="9" t="str">
        <x:v>核心品类词：主站优先，博客只做长尾解释，不直接抢同一词</x:v>
      </x:c>
      <x:c r="S987" s="9" t="str">
        <x:v>如果 Google 首页产品页和指南混合，主站页要加 FAQ、选购指南、对比模块。</x:v>
      </x:c>
      <x:c r="T987" s="38" t="n">
        <x:v>4</x:v>
      </x:c>
      <x:c r="U987" s="38" t="n">
        <x:v>15</x:v>
      </x:c>
      <x:c r="V987" s="38" t="n">
        <x:v>18</x:v>
      </x:c>
      <x:c r="W987" s="38" t="n">
        <x:v>8</x:v>
      </x:c>
      <x:c r="X987" s="38" t="n">
        <x:v>15</x:v>
      </x:c>
      <x:c r="Y987" s="38" t="n">
        <x:v>4</x:v>
      </x:c>
      <x:c r="Z987" s="38" t="n">
        <x:f>MAX(0,MIN(100,ROUND(((T987+U987+V987+W987+X987)-Y987)/85*100,0)))</x:f>
        <x:v>66</x:v>
      </x:c>
      <x:c r="AA987" s="9" t="str">
        <x:f>IF(L987="暂不做","P3 暂缓",IF(Z987&gt;=75,"P0 本周做",IF(Z987&gt;=60,"P1 近期做",IF(Z987&gt;=45,"P2 备选","P3 暂缓"))))</x:f>
        <x:v>P1 近期做</x:v>
      </x:c>
      <x:c r="AB987" s="9" t="str">
        <x:f>IF(Y987&gt;=15,"先做合规/相关性复核，不建议直接商业导流",IF(L987="主站","建/优化主站商业页",IF(L987="博客A-知识教程","写知识教程/FAQ文章",IF(L987="博客B-场景人群","写场景需求/选购指南文章",IF(L987="博客C-对比评测","写对比评测/榜单文章","暂不做或人工复核")))))</x:f>
        <x:v>建/优化主站商业页</x:v>
      </x:c>
      <x:c r="AC987" s="9" t="str">
        <x:v>vaping strawberry</x:v>
      </x:c>
      <x:c r="AD987" s="10" t="str">
        <x:v>48</x:v>
      </x:c>
    </x:row>
    <x:row r="988">
      <x:c r="A988" s="34" t="n">
        <x:v>988</x:v>
      </x:c>
      <x:c r="B988" s="9" t="str">
        <x:v>48</x:v>
      </x:c>
      <x:c r="C988" s="9" t="str">
        <x:v>vaping facts</x:v>
      </x:c>
      <x:c r="D988" s="9" t="str">
        <x:v>recommended</x:v>
      </x:c>
      <x:c r="E988" s="36" t="n">
        <x:v>2400</x:v>
      </x:c>
      <x:c r="F988" s="36" t="n">
        <x:v>78</x:v>
      </x:c>
      <x:c r="G988" s="9" t="str">
        <x:v>informational</x:v>
      </x:c>
      <x:c r="H988" s="9" t="str">
        <x:v>General Vape</x:v>
      </x:c>
      <x:c r="I988" s="9" t="str">
        <x:v>品类承接词</x:v>
      </x:c>
      <x:c r="J988" s="9" t="str">
        <x:v>主站</x:v>
      </x:c>
      <x:c r="K988" s="9" t="str"/>
      <x:c r="L988" s="9" t="str">
        <x:f>IF(K988="",J988,K988)</x:f>
        <x:v>主站</x:v>
      </x:c>
      <x:c r="M988" s="9" t="str">
        <x:v>品类页/集合页 + FAQ内容块</x:v>
      </x:c>
      <x:c r="N988" s="9" t="str">
        <x:v>主站品类页：用产品集合 + 选购说明承接</x:v>
      </x:c>
      <x:c r="O988" s="9" t="str">
        <x:v>/collections/disposable-vapes</x:v>
      </x:c>
      <x:c r="P988" s="9" t="str">
        <x:v>不适用</x:v>
      </x:c>
      <x:c r="Q988" s="9" t="str">
        <x:v>主站页面自身承接</x:v>
      </x:c>
      <x:c r="R988" s="9" t="str">
        <x:v>核心品类词：主站优先，博客只做长尾解释，不直接抢同一词</x:v>
      </x:c>
      <x:c r="S988" s="9" t="str">
        <x:v>如果 Google 首页产品页和指南混合，主站页要加 FAQ、选购指南、对比模块。</x:v>
      </x:c>
      <x:c r="T988" s="38" t="n">
        <x:v>13</x:v>
      </x:c>
      <x:c r="U988" s="38" t="n">
        <x:v>1</x:v>
      </x:c>
      <x:c r="V988" s="38" t="n">
        <x:v>16</x:v>
      </x:c>
      <x:c r="W988" s="38" t="n">
        <x:v>8</x:v>
      </x:c>
      <x:c r="X988" s="38" t="n">
        <x:v>15</x:v>
      </x:c>
      <x:c r="Y988" s="38" t="n">
        <x:v>4</x:v>
      </x:c>
      <x:c r="Z988" s="38" t="n">
        <x:f>MAX(0,MIN(100,ROUND(((T988+U988+V988+W988+X988)-Y988)/85*100,0)))</x:f>
        <x:v>58</x:v>
      </x:c>
      <x:c r="AA988" s="9" t="str">
        <x:f>IF(L988="暂不做","P3 暂缓",IF(Z988&gt;=75,"P0 本周做",IF(Z988&gt;=60,"P1 近期做",IF(Z988&gt;=45,"P2 备选","P3 暂缓"))))</x:f>
        <x:v>P2 备选</x:v>
      </x:c>
      <x:c r="AB988" s="9" t="str">
        <x:f>IF(Y988&gt;=15,"先做合规/相关性复核，不建议直接商业导流",IF(L988="主站","建/优化主站商业页",IF(L988="博客A-知识教程","写知识教程/FAQ文章",IF(L988="博客B-场景人群","写场景需求/选购指南文章",IF(L988="博客C-对比评测","写对比评测/榜单文章","暂不做或人工复核")))))</x:f>
        <x:v>建/优化主站商业页</x:v>
      </x:c>
      <x:c r="AC988" s="9" t="str">
        <x:v>vaping facts</x:v>
      </x:c>
      <x:c r="AD988" s="10" t="str">
        <x:v>48</x:v>
      </x:c>
    </x:row>
    <x:row r="989">
      <x:c r="A989" s="34" t="n">
        <x:v>989</x:v>
      </x:c>
      <x:c r="B989" s="9" t="str">
        <x:v>48</x:v>
      </x:c>
      <x:c r="C989" s="9" t="str">
        <x:v>vaping or smoking</x:v>
      </x:c>
      <x:c r="D989" s="9" t="str">
        <x:v>recommended</x:v>
      </x:c>
      <x:c r="E989" s="36" t="n">
        <x:v>880</x:v>
      </x:c>
      <x:c r="F989" s="36" t="n">
        <x:v>79</x:v>
      </x:c>
      <x:c r="G989" s="9" t="str">
        <x:v>informational</x:v>
      </x:c>
      <x:c r="H989" s="9" t="str">
        <x:v>竞品/品牌词</x:v>
      </x:c>
      <x:c r="I989" s="9" t="str">
        <x:v>竞品品牌词</x:v>
      </x:c>
      <x:c r="J989" s="9" t="str">
        <x:v>暂不做</x:v>
      </x:c>
      <x:c r="K989" s="9" t="str"/>
      <x:c r="L989" s="9" t="str">
        <x:f>IF(K989="",J989,K989)</x:f>
        <x:v>暂不做</x:v>
      </x:c>
      <x:c r="M989" s="9" t="str">
        <x:v>人工确认后再决定</x:v>
      </x:c>
      <x:c r="N989" s="9" t="str">
        <x:v>人工确认是否可做客观对比</x:v>
      </x:c>
      <x:c r="O989" s="9" t="str">
        <x:v>无</x:v>
      </x:c>
      <x:c r="P989" s="9" t="str">
        <x:v>否</x:v>
      </x:c>
      <x:c r="Q989" s="9" t="str">
        <x:v>不导流</x:v>
      </x:c>
      <x:c r="R989" s="9" t="str">
        <x:v>中高风险：纯竞品品牌词容易产生商标/相关性问题</x:v>
      </x:c>
      <x:c r="S989" s="9" t="str">
        <x:v>只有带 alternative / vs / review / best 这类明确比较意图时，才考虑博客C。</x:v>
      </x:c>
      <x:c r="T989" s="38" t="n">
        <x:v>10</x:v>
      </x:c>
      <x:c r="U989" s="38" t="n">
        <x:v>1</x:v>
      </x:c>
      <x:c r="V989" s="38" t="n">
        <x:v>5</x:v>
      </x:c>
      <x:c r="W989" s="38" t="n">
        <x:v>7</x:v>
      </x:c>
      <x:c r="X989" s="38" t="n">
        <x:v>4</x:v>
      </x:c>
      <x:c r="Y989" s="38" t="n">
        <x:v>14</x:v>
      </x:c>
      <x:c r="Z989" s="38" t="n">
        <x:f>MAX(0,MIN(100,ROUND(((T989+U989+V989+W989+X989)-Y989)/85*100,0)))</x:f>
        <x:v>15</x:v>
      </x:c>
      <x:c r="AA989" s="9" t="str">
        <x:f>IF(L989="暂不做","P3 暂缓",IF(Z989&gt;=75,"P0 本周做",IF(Z989&gt;=60,"P1 近期做",IF(Z989&gt;=45,"P2 备选","P3 暂缓"))))</x:f>
        <x:v>P3 暂缓</x:v>
      </x:c>
      <x:c r="AB989" s="9" t="str">
        <x:f>IF(Y989&gt;=15,"先做合规/相关性复核，不建议直接商业导流",IF(L989="主站","建/优化主站商业页",IF(L989="博客A-知识教程","写知识教程/FAQ文章",IF(L989="博客B-场景人群","写场景需求/选购指南文章",IF(L989="博客C-对比评测","写对比评测/榜单文章","暂不做或人工复核")))))</x:f>
        <x:v>暂不做或人工复核</x:v>
      </x:c>
      <x:c r="AC989" s="9" t="str">
        <x:v>vaping facts</x:v>
      </x:c>
      <x:c r="AD989" s="10" t="str">
        <x:v>48</x:v>
      </x:c>
    </x:row>
    <x:row r="990">
      <x:c r="A990" s="34" t="n">
        <x:v>990</x:v>
      </x:c>
      <x:c r="B990" s="9" t="str">
        <x:v>48</x:v>
      </x:c>
      <x:c r="C990" s="9" t="str">
        <x:v>new to vaping</x:v>
      </x:c>
      <x:c r="D990" s="9" t="str">
        <x:v>recommended</x:v>
      </x:c>
      <x:c r="E990" s="36" t="n">
        <x:v>50</x:v>
      </x:c>
      <x:c r="F990" s="36" t="n">
        <x:v>18</x:v>
      </x:c>
      <x:c r="G990" s="9" t="str">
        <x:v>informational</x:v>
      </x:c>
      <x:c r="H990" s="9" t="str">
        <x:v>General Vape</x:v>
      </x:c>
      <x:c r="I990" s="9" t="str">
        <x:v>品类承接词</x:v>
      </x:c>
      <x:c r="J990" s="9" t="str">
        <x:v>主站</x:v>
      </x:c>
      <x:c r="K990" s="9" t="str"/>
      <x:c r="L990" s="9" t="str">
        <x:f>IF(K990="",J990,K990)</x:f>
        <x:v>主站</x:v>
      </x:c>
      <x:c r="M990" s="9" t="str">
        <x:v>品类页/集合页 + FAQ内容块</x:v>
      </x:c>
      <x:c r="N990" s="9" t="str">
        <x:v>主站品类页：用产品集合 + 选购说明承接</x:v>
      </x:c>
      <x:c r="O990" s="9" t="str">
        <x:v>/collections/disposable-vapes</x:v>
      </x:c>
      <x:c r="P990" s="9" t="str">
        <x:v>不适用</x:v>
      </x:c>
      <x:c r="Q990" s="9" t="str">
        <x:v>主站页面自身承接</x:v>
      </x:c>
      <x:c r="R990" s="9" t="str">
        <x:v>核心品类词：主站优先，博客只做长尾解释，不直接抢同一词</x:v>
      </x:c>
      <x:c r="S990" s="9" t="str">
        <x:v>如果 Google 首页产品页和指南混合，主站页要加 FAQ、选购指南、对比模块。</x:v>
      </x:c>
      <x:c r="T990" s="38" t="n">
        <x:v>4</x:v>
      </x:c>
      <x:c r="U990" s="38" t="n">
        <x:v>12</x:v>
      </x:c>
      <x:c r="V990" s="38" t="n">
        <x:v>16</x:v>
      </x:c>
      <x:c r="W990" s="38" t="n">
        <x:v>8</x:v>
      </x:c>
      <x:c r="X990" s="38" t="n">
        <x:v>15</x:v>
      </x:c>
      <x:c r="Y990" s="38" t="n">
        <x:v>4</x:v>
      </x:c>
      <x:c r="Z990" s="38" t="n">
        <x:f>MAX(0,MIN(100,ROUND(((T990+U990+V990+W990+X990)-Y990)/85*100,0)))</x:f>
        <x:v>60</x:v>
      </x:c>
      <x:c r="AA990" s="9" t="str">
        <x:f>IF(L990="暂不做","P3 暂缓",IF(Z990&gt;=75,"P0 本周做",IF(Z990&gt;=60,"P1 近期做",IF(Z990&gt;=45,"P2 备选","P3 暂缓"))))</x:f>
        <x:v>P1 近期做</x:v>
      </x:c>
      <x:c r="AB990" s="9" t="str">
        <x:f>IF(Y990&gt;=15,"先做合规/相关性复核，不建议直接商业导流",IF(L990="主站","建/优化主站商业页",IF(L990="博客A-知识教程","写知识教程/FAQ文章",IF(L990="博客B-场景人群","写场景需求/选购指南文章",IF(L990="博客C-对比评测","写对比评测/榜单文章","暂不做或人工复核")))))</x:f>
        <x:v>建/优化主站商业页</x:v>
      </x:c>
      <x:c r="AC990" s="9" t="str">
        <x:v>vaping facts</x:v>
      </x:c>
      <x:c r="AD990" s="10" t="str">
        <x:v>48</x:v>
      </x:c>
    </x:row>
    <x:row r="991">
      <x:c r="A991" s="34" t="n">
        <x:v>991</x:v>
      </x:c>
      <x:c r="B991" s="9" t="str">
        <x:v>48</x:v>
      </x:c>
      <x:c r="C991" s="9" t="str">
        <x:v>3 facts about vaping</x:v>
      </x:c>
      <x:c r="D991" s="9" t="str">
        <x:v>recommended</x:v>
      </x:c>
      <x:c r="E991" s="36" t="n">
        <x:v>210</x:v>
      </x:c>
      <x:c r="F991" s="36" t="n">
        <x:v>52</x:v>
      </x:c>
      <x:c r="G991" s="9" t="str">
        <x:v>informational</x:v>
      </x:c>
      <x:c r="H991" s="9" t="str">
        <x:v>General Vape</x:v>
      </x:c>
      <x:c r="I991" s="9" t="str">
        <x:v>知识/教程词</x:v>
      </x:c>
      <x:c r="J991" s="9" t="str">
        <x:v>博客A-知识教程</x:v>
      </x:c>
      <x:c r="K991" s="9" t="str"/>
      <x:c r="L991" s="9" t="str">
        <x:f>IF(K991="",J991,K991)</x:f>
        <x:v>博客A-知识教程</x:v>
      </x:c>
      <x:c r="M991" s="9" t="str">
        <x:v>百科/How-to/FAQ文章</x:v>
      </x:c>
      <x:c r="N991" s="9" t="str">
        <x:v>Guide angle: explain 3 facts about vaping, answer common questions, and avoid sales-first writing</x:v>
      </x:c>
      <x:c r="O991" s="9" t="str">
        <x:v>/collections/disposable-vapes</x:v>
      </x:c>
      <x:c r="P991" s="9" t="str">
        <x:v>谨慎</x:v>
      </x:c>
      <x:c r="Q991" s="9" t="str">
        <x:v>自然句/品牌词</x:v>
      </x:c>
      <x:c r="R991" s="9" t="str">
        <x:v>低中风险：先满足信息意图，导流要克制</x:v>
      </x:c>
      <x:c r="S991" s="9" t="str">
        <x:v>如果文章能自然回答下一步购买问题，再放 1 个主站内链；否则只做知识闭环。</x:v>
      </x:c>
      <x:c r="T991" s="38" t="n">
        <x:v>7</x:v>
      </x:c>
      <x:c r="U991" s="38" t="n">
        <x:v>6</x:v>
      </x:c>
      <x:c r="V991" s="38" t="n">
        <x:v>9</x:v>
      </x:c>
      <x:c r="W991" s="38" t="n">
        <x:v>14</x:v>
      </x:c>
      <x:c r="X991" s="38" t="n">
        <x:v>12</x:v>
      </x:c>
      <x:c r="Y991" s="38" t="n">
        <x:v>5</x:v>
      </x:c>
      <x:c r="Z991" s="38" t="n">
        <x:f>MAX(0,MIN(100,ROUND(((T991+U991+V991+W991+X991)-Y991)/85*100,0)))</x:f>
        <x:v>51</x:v>
      </x:c>
      <x:c r="AA991" s="9" t="str">
        <x:f>IF(L991="暂不做","P3 暂缓",IF(Z991&gt;=75,"P0 本周做",IF(Z991&gt;=60,"P1 近期做",IF(Z991&gt;=45,"P2 备选","P3 暂缓"))))</x:f>
        <x:v>P2 备选</x:v>
      </x:c>
      <x:c r="AB991" s="9" t="str">
        <x:f>IF(Y991&gt;=15,"先做合规/相关性复核，不建议直接商业导流",IF(L991="主站","建/优化主站商业页",IF(L991="博客A-知识教程","写知识教程/FAQ文章",IF(L991="博客B-场景人群","写场景需求/选购指南文章",IF(L991="博客C-对比评测","写对比评测/榜单文章","暂不做或人工复核")))))</x:f>
        <x:v>写知识教程/FAQ文章</x:v>
      </x:c>
      <x:c r="AC991" s="9" t="str">
        <x:v>vaping facts</x:v>
      </x:c>
      <x:c r="AD991" s="10" t="str">
        <x:v>48</x:v>
      </x:c>
    </x:row>
    <x:row r="992">
      <x:c r="A992" s="34" t="n">
        <x:v>992</x:v>
      </x:c>
      <x:c r="B992" s="9" t="str">
        <x:v>48</x:v>
      </x:c>
      <x:c r="C992" s="9" t="str">
        <x:v>vaping news today</x:v>
      </x:c>
      <x:c r="D992" s="9" t="str">
        <x:v>recommended</x:v>
      </x:c>
      <x:c r="E992" s="36" t="n">
        <x:v>110</x:v>
      </x:c>
      <x:c r="F992" s="36" t="n">
        <x:v>40</x:v>
      </x:c>
      <x:c r="G992" s="9" t="str">
        <x:v>informational</x:v>
      </x:c>
      <x:c r="H992" s="9" t="str">
        <x:v>General Vape</x:v>
      </x:c>
      <x:c r="I992" s="9" t="str">
        <x:v>品类承接词</x:v>
      </x:c>
      <x:c r="J992" s="9" t="str">
        <x:v>主站</x:v>
      </x:c>
      <x:c r="K992" s="9" t="str"/>
      <x:c r="L992" s="9" t="str">
        <x:f>IF(K992="",J992,K992)</x:f>
        <x:v>主站</x:v>
      </x:c>
      <x:c r="M992" s="9" t="str">
        <x:v>品类页/集合页 + FAQ内容块</x:v>
      </x:c>
      <x:c r="N992" s="9" t="str">
        <x:v>主站品类页：用产品集合 + 选购说明承接</x:v>
      </x:c>
      <x:c r="O992" s="9" t="str">
        <x:v>/collections/disposable-vapes</x:v>
      </x:c>
      <x:c r="P992" s="9" t="str">
        <x:v>不适用</x:v>
      </x:c>
      <x:c r="Q992" s="9" t="str">
        <x:v>主站页面自身承接</x:v>
      </x:c>
      <x:c r="R992" s="9" t="str">
        <x:v>核心品类词：主站优先，博客只做长尾解释，不直接抢同一词</x:v>
      </x:c>
      <x:c r="S992" s="9" t="str">
        <x:v>如果 Google 首页产品页和指南混合，主站页要加 FAQ、选购指南、对比模块。</x:v>
      </x:c>
      <x:c r="T992" s="38" t="n">
        <x:v>7</x:v>
      </x:c>
      <x:c r="U992" s="38" t="n">
        <x:v>9</x:v>
      </x:c>
      <x:c r="V992" s="38" t="n">
        <x:v>16</x:v>
      </x:c>
      <x:c r="W992" s="38" t="n">
        <x:v>8</x:v>
      </x:c>
      <x:c r="X992" s="38" t="n">
        <x:v>15</x:v>
      </x:c>
      <x:c r="Y992" s="38" t="n">
        <x:v>4</x:v>
      </x:c>
      <x:c r="Z992" s="38" t="n">
        <x:f>MAX(0,MIN(100,ROUND(((T992+U992+V992+W992+X992)-Y992)/85*100,0)))</x:f>
        <x:v>60</x:v>
      </x:c>
      <x:c r="AA992" s="9" t="str">
        <x:f>IF(L992="暂不做","P3 暂缓",IF(Z992&gt;=75,"P0 本周做",IF(Z992&gt;=60,"P1 近期做",IF(Z992&gt;=45,"P2 备选","P3 暂缓"))))</x:f>
        <x:v>P1 近期做</x:v>
      </x:c>
      <x:c r="AB992" s="9" t="str">
        <x:f>IF(Y992&gt;=15,"先做合规/相关性复核，不建议直接商业导流",IF(L992="主站","建/优化主站商业页",IF(L992="博客A-知识教程","写知识教程/FAQ文章",IF(L992="博客B-场景人群","写场景需求/选购指南文章",IF(L992="博客C-对比评测","写对比评测/榜单文章","暂不做或人工复核")))))</x:f>
        <x:v>建/优化主站商业页</x:v>
      </x:c>
      <x:c r="AC992" s="9" t="str">
        <x:v>vaping facts</x:v>
      </x:c>
      <x:c r="AD992" s="10" t="str">
        <x:v>48</x:v>
      </x:c>
    </x:row>
    <x:row r="993">
      <x:c r="A993" s="34" t="n">
        <x:v>993</x:v>
      </x:c>
      <x:c r="B993" s="9" t="str">
        <x:v>48</x:v>
      </x:c>
      <x:c r="C993" s="9" t="str">
        <x:v>start vaping</x:v>
      </x:c>
      <x:c r="D993" s="9" t="str">
        <x:v>recommended</x:v>
      </x:c>
      <x:c r="E993" s="36" t="n">
        <x:v>70</x:v>
      </x:c>
      <x:c r="F993" s="36" t="n">
        <x:v>46</x:v>
      </x:c>
      <x:c r="G993" s="9" t="str">
        <x:v>informational</x:v>
      </x:c>
      <x:c r="H993" s="9" t="str">
        <x:v>General Vape</x:v>
      </x:c>
      <x:c r="I993" s="9" t="str">
        <x:v>品类承接词</x:v>
      </x:c>
      <x:c r="J993" s="9" t="str">
        <x:v>主站</x:v>
      </x:c>
      <x:c r="K993" s="9" t="str"/>
      <x:c r="L993" s="9" t="str">
        <x:f>IF(K993="",J993,K993)</x:f>
        <x:v>主站</x:v>
      </x:c>
      <x:c r="M993" s="9" t="str">
        <x:v>品类页/集合页 + FAQ内容块</x:v>
      </x:c>
      <x:c r="N993" s="9" t="str">
        <x:v>主站品类页：用产品集合 + 选购说明承接</x:v>
      </x:c>
      <x:c r="O993" s="9" t="str">
        <x:v>/collections/disposable-vapes</x:v>
      </x:c>
      <x:c r="P993" s="9" t="str">
        <x:v>不适用</x:v>
      </x:c>
      <x:c r="Q993" s="9" t="str">
        <x:v>主站页面自身承接</x:v>
      </x:c>
      <x:c r="R993" s="9" t="str">
        <x:v>核心品类词：主站优先，博客只做长尾解释，不直接抢同一词</x:v>
      </x:c>
      <x:c r="S993" s="9" t="str">
        <x:v>如果 Google 首页产品页和指南混合，主站页要加 FAQ、选购指南、对比模块。</x:v>
      </x:c>
      <x:c r="T993" s="38" t="n">
        <x:v>4</x:v>
      </x:c>
      <x:c r="U993" s="38" t="n">
        <x:v>6</x:v>
      </x:c>
      <x:c r="V993" s="38" t="n">
        <x:v>16</x:v>
      </x:c>
      <x:c r="W993" s="38" t="n">
        <x:v>8</x:v>
      </x:c>
      <x:c r="X993" s="38" t="n">
        <x:v>15</x:v>
      </x:c>
      <x:c r="Y993" s="38" t="n">
        <x:v>4</x:v>
      </x:c>
      <x:c r="Z993" s="38" t="n">
        <x:f>MAX(0,MIN(100,ROUND(((T993+U993+V993+W993+X993)-Y993)/85*100,0)))</x:f>
        <x:v>53</x:v>
      </x:c>
      <x:c r="AA993" s="9" t="str">
        <x:f>IF(L993="暂不做","P3 暂缓",IF(Z993&gt;=75,"P0 本周做",IF(Z993&gt;=60,"P1 近期做",IF(Z993&gt;=45,"P2 备选","P3 暂缓"))))</x:f>
        <x:v>P2 备选</x:v>
      </x:c>
      <x:c r="AB993" s="9" t="str">
        <x:f>IF(Y993&gt;=15,"先做合规/相关性复核，不建议直接商业导流",IF(L993="主站","建/优化主站商业页",IF(L993="博客A-知识教程","写知识教程/FAQ文章",IF(L993="博客B-场景人群","写场景需求/选购指南文章",IF(L993="博客C-对比评测","写对比评测/榜单文章","暂不做或人工复核")))))</x:f>
        <x:v>建/优化主站商业页</x:v>
      </x:c>
      <x:c r="AC993" s="9" t="str">
        <x:v>vaping facts</x:v>
      </x:c>
      <x:c r="AD993" s="10" t="str">
        <x:v>48</x:v>
      </x:c>
    </x:row>
    <x:row r="994">
      <x:c r="A994" s="34" t="n">
        <x:v>994</x:v>
      </x:c>
      <x:c r="B994" s="9" t="str">
        <x:v>48</x:v>
      </x:c>
      <x:c r="C994" s="9" t="str">
        <x:v>kuz 25k triple mango flavor</x:v>
      </x:c>
      <x:c r="D994" s="9" t="str">
        <x:v>recommended</x:v>
      </x:c>
      <x:c r="E994" s="36" t="n">
        <x:v>0</x:v>
      </x:c>
      <x:c r="F994" s="36" t="n">
        <x:v>0</x:v>
      </x:c>
      <x:c r="G994" s="9" t="str">
        <x:v>48</x:v>
      </x:c>
      <x:c r="H994" s="9" t="str">
        <x:v>Flavor / 口味</x:v>
      </x:c>
      <x:c r="I994" s="9" t="str">
        <x:v>场景/需求词</x:v>
      </x:c>
      <x:c r="J994" s="9" t="str">
        <x:v>博客B-场景人群</x:v>
      </x:c>
      <x:c r="K994" s="9" t="str"/>
      <x:c r="L994" s="9" t="str">
        <x:f>IF(K994="",J994,K994)</x:f>
        <x:v>博客B-场景人群</x:v>
      </x:c>
      <x:c r="M994" s="9" t="str">
        <x:v>场景解决方案/选购指南文章</x:v>
      </x:c>
      <x:c r="N994" s="9" t="str">
        <x:v>Scenario angle: how to choose kuz 25k triple mango flavor based on use case, flavor, nicotine, and budget</x:v>
      </x:c>
      <x:c r="O994" s="9" t="str">
        <x:v>/collections/flavored-disposable-vapes</x:v>
      </x:c>
      <x:c r="P994" s="9" t="str">
        <x:v>是</x:v>
      </x:c>
      <x:c r="Q994" s="9" t="str">
        <x:v>自然句/品类词</x:v>
      </x:c>
      <x:c r="R994" s="9" t="str">
        <x:v>低中风险：适合软性导流，但不要夸大效果或触碰健康疗效</x:v>
      </x:c>
      <x:c r="S994" s="9" t="str">
        <x:v>围绕使用场景、口味、尼古丁需求、便携性等写，不和主站品类页抢词。</x:v>
      </x:c>
      <x:c r="T994" s="38" t="n">
        <x:v>1</x:v>
      </x:c>
      <x:c r="U994" s="38" t="n">
        <x:v>15</x:v>
      </x:c>
      <x:c r="V994" s="38" t="n">
        <x:v>13</x:v>
      </x:c>
      <x:c r="W994" s="38" t="n">
        <x:v>14</x:v>
      </x:c>
      <x:c r="X994" s="38" t="n">
        <x:v>13</x:v>
      </x:c>
      <x:c r="Y994" s="38" t="n">
        <x:v>5</x:v>
      </x:c>
      <x:c r="Z994" s="38" t="n">
        <x:f>MAX(0,MIN(100,ROUND(((T994+U994+V994+W994+X994)-Y994)/85*100,0)))</x:f>
        <x:v>60</x:v>
      </x:c>
      <x:c r="AA994" s="9" t="str">
        <x:f>IF(L994="暂不做","P3 暂缓",IF(Z994&gt;=75,"P0 本周做",IF(Z994&gt;=60,"P1 近期做",IF(Z994&gt;=45,"P2 备选","P3 暂缓"))))</x:f>
        <x:v>P1 近期做</x:v>
      </x:c>
      <x:c r="AB994" s="9" t="str">
        <x:f>IF(Y994&gt;=15,"先做合规/相关性复核，不建议直接商业导流",IF(L994="主站","建/优化主站商业页",IF(L994="博客A-知识教程","写知识教程/FAQ文章",IF(L994="博客B-场景人群","写场景需求/选购指南文章",IF(L994="博客C-对比评测","写对比评测/榜单文章","暂不做或人工复核")))))</x:f>
        <x:v>写场景需求/选购指南文章</x:v>
      </x:c>
      <x:c r="AC994" s="9" t="str">
        <x:v>kuz 25k lemon lime flavor</x:v>
      </x:c>
      <x:c r="AD994" s="10" t="str">
        <x:v>48</x:v>
      </x:c>
    </x:row>
    <x:row r="995">
      <x:c r="A995" s="34" t="n">
        <x:v>995</x:v>
      </x:c>
      <x:c r="B995" s="9" t="str">
        <x:v>48</x:v>
      </x:c>
      <x:c r="C995" s="9" t="str">
        <x:v>kuz 25k strawberry watermelon pods</x:v>
      </x:c>
      <x:c r="D995" s="9" t="str">
        <x:v>recommended</x:v>
      </x:c>
      <x:c r="E995" s="36" t="n">
        <x:v>0</x:v>
      </x:c>
      <x:c r="F995" s="36" t="n">
        <x:v>0</x:v>
      </x:c>
      <x:c r="G995" s="9" t="str">
        <x:v>48</x:v>
      </x:c>
      <x:c r="H995" s="9" t="str">
        <x:v>Pod Kit / Pod System</x:v>
      </x:c>
      <x:c r="I995" s="9" t="str">
        <x:v>内容词</x:v>
      </x:c>
      <x:c r="J995" s="9" t="str">
        <x:v>博客A-知识教程</x:v>
      </x:c>
      <x:c r="K995" s="9" t="str"/>
      <x:c r="L995" s="9" t="str">
        <x:f>IF(K995="",J995,K995)</x:f>
        <x:v>博客A-知识教程</x:v>
      </x:c>
      <x:c r="M995" s="9" t="str">
        <x:v>知识/教程文章</x:v>
      </x:c>
      <x:c r="N995" s="9" t="str">
        <x:v>Guide angle: explain kuz 25k strawberry watermelon pods, answer common questions, and avoid sales-first writing</x:v>
      </x:c>
      <x:c r="O995" s="9" t="str">
        <x:v>/collections/disposable-vapes 或最接近的产品集合页</x:v>
      </x:c>
      <x:c r="P995" s="9" t="str">
        <x:v>谨慎</x:v>
      </x:c>
      <x:c r="Q995" s="9" t="str">
        <x:v>品牌词/自然句</x:v>
      </x:c>
      <x:c r="R995" s="9" t="str">
        <x:v>低风险：按常规内容质量和搜索意图校验</x:v>
      </x:c>
      <x:c r="S995" s="9" t="str">
        <x:v>先看 Google SERP：如果首页多数为产品集合页，改回主站；如果多数为教程/问答，保持博客。</x:v>
      </x:c>
      <x:c r="T995" s="38" t="n">
        <x:v>1</x:v>
      </x:c>
      <x:c r="U995" s="38" t="n">
        <x:v>15</x:v>
      </x:c>
      <x:c r="V995" s="38" t="n">
        <x:v>10</x:v>
      </x:c>
      <x:c r="W995" s="38" t="n">
        <x:v>12</x:v>
      </x:c>
      <x:c r="X995" s="38" t="n">
        <x:v>12</x:v>
      </x:c>
      <x:c r="Y995" s="38" t="n">
        <x:v>4</x:v>
      </x:c>
      <x:c r="Z995" s="38" t="n">
        <x:f>MAX(0,MIN(100,ROUND(((T995+U995+V995+W995+X995)-Y995)/85*100,0)))</x:f>
        <x:v>54</x:v>
      </x:c>
      <x:c r="AA995" s="9" t="str">
        <x:f>IF(L995="暂不做","P3 暂缓",IF(Z995&gt;=75,"P0 本周做",IF(Z995&gt;=60,"P1 近期做",IF(Z995&gt;=45,"P2 备选","P3 暂缓"))))</x:f>
        <x:v>P2 备选</x:v>
      </x:c>
      <x:c r="AB995" s="9" t="str">
        <x:f>IF(Y995&gt;=15,"先做合规/相关性复核，不建议直接商业导流",IF(L995="主站","建/优化主站商业页",IF(L995="博客A-知识教程","写知识教程/FAQ文章",IF(L995="博客B-场景人群","写场景需求/选购指南文章",IF(L995="博客C-对比评测","写对比评测/榜单文章","暂不做或人工复核")))))</x:f>
        <x:v>写知识教程/FAQ文章</x:v>
      </x:c>
      <x:c r="AC995" s="9" t="str">
        <x:v>kuz 25k lemon lime flavor</x:v>
      </x:c>
      <x:c r="AD995" s="10" t="str">
        <x:v>48</x:v>
      </x:c>
    </x:row>
    <x:row r="996">
      <x:c r="A996" s="34" t="n">
        <x:v>996</x:v>
      </x:c>
      <x:c r="B996" s="9" t="str">
        <x:v>48</x:v>
      </x:c>
      <x:c r="C996" s="9" t="str">
        <x:v>kuz 25k lemon lime flavor</x:v>
      </x:c>
      <x:c r="D996" s="9" t="str">
        <x:v>recommended</x:v>
      </x:c>
      <x:c r="E996" s="36" t="n">
        <x:v>0</x:v>
      </x:c>
      <x:c r="F996" s="36" t="n">
        <x:v>0</x:v>
      </x:c>
      <x:c r="G996" s="9" t="str">
        <x:v>48</x:v>
      </x:c>
      <x:c r="H996" s="9" t="str">
        <x:v>Flavor / 口味</x:v>
      </x:c>
      <x:c r="I996" s="9" t="str">
        <x:v>场景/需求词</x:v>
      </x:c>
      <x:c r="J996" s="9" t="str">
        <x:v>博客B-场景人群</x:v>
      </x:c>
      <x:c r="K996" s="9" t="str"/>
      <x:c r="L996" s="9" t="str">
        <x:f>IF(K996="",J996,K996)</x:f>
        <x:v>博客B-场景人群</x:v>
      </x:c>
      <x:c r="M996" s="9" t="str">
        <x:v>场景解决方案/选购指南文章</x:v>
      </x:c>
      <x:c r="N996" s="9" t="str">
        <x:v>Scenario angle: how to choose kuz 25k lemon lime flavor based on use case, flavor, nicotine, and budget</x:v>
      </x:c>
      <x:c r="O996" s="9" t="str">
        <x:v>/collections/flavored-disposable-vapes</x:v>
      </x:c>
      <x:c r="P996" s="9" t="str">
        <x:v>是</x:v>
      </x:c>
      <x:c r="Q996" s="9" t="str">
        <x:v>自然句/品类词</x:v>
      </x:c>
      <x:c r="R996" s="9" t="str">
        <x:v>低中风险：适合软性导流，但不要夸大效果或触碰健康疗效</x:v>
      </x:c>
      <x:c r="S996" s="9" t="str">
        <x:v>围绕使用场景、口味、尼古丁需求、便携性等写，不和主站品类页抢词。</x:v>
      </x:c>
      <x:c r="T996" s="38" t="n">
        <x:v>1</x:v>
      </x:c>
      <x:c r="U996" s="38" t="n">
        <x:v>15</x:v>
      </x:c>
      <x:c r="V996" s="38" t="n">
        <x:v>13</x:v>
      </x:c>
      <x:c r="W996" s="38" t="n">
        <x:v>14</x:v>
      </x:c>
      <x:c r="X996" s="38" t="n">
        <x:v>13</x:v>
      </x:c>
      <x:c r="Y996" s="38" t="n">
        <x:v>5</x:v>
      </x:c>
      <x:c r="Z996" s="38" t="n">
        <x:f>MAX(0,MIN(100,ROUND(((T996+U996+V996+W996+X996)-Y996)/85*100,0)))</x:f>
        <x:v>60</x:v>
      </x:c>
      <x:c r="AA996" s="9" t="str">
        <x:f>IF(L996="暂不做","P3 暂缓",IF(Z996&gt;=75,"P0 本周做",IF(Z996&gt;=60,"P1 近期做",IF(Z996&gt;=45,"P2 备选","P3 暂缓"))))</x:f>
        <x:v>P1 近期做</x:v>
      </x:c>
      <x:c r="AB996" s="9" t="str">
        <x:f>IF(Y996&gt;=15,"先做合规/相关性复核，不建议直接商业导流",IF(L996="主站","建/优化主站商业页",IF(L996="博客A-知识教程","写知识教程/FAQ文章",IF(L996="博客B-场景人群","写场景需求/选购指南文章",IF(L996="博客C-对比评测","写对比评测/榜单文章","暂不做或人工复核")))))</x:f>
        <x:v>写场景需求/选购指南文章</x:v>
      </x:c>
      <x:c r="AC996" s="9" t="str">
        <x:v>kuz 25k lemon lime flavor</x:v>
      </x:c>
      <x:c r="AD996" s="10" t="str">
        <x:v>48</x:v>
      </x:c>
    </x:row>
    <x:row r="997">
      <x:c r="A997" s="34" t="n">
        <x:v>997</x:v>
      </x:c>
      <x:c r="B997" s="9" t="str">
        <x:v>48</x:v>
      </x:c>
      <x:c r="C997" s="9" t="str">
        <x:v>lime vape</x:v>
      </x:c>
      <x:c r="D997" s="9" t="str">
        <x:v>recommended</x:v>
      </x:c>
      <x:c r="E997" s="36" t="n">
        <x:v>50</x:v>
      </x:c>
      <x:c r="F997" s="36" t="n">
        <x:v>1</x:v>
      </x:c>
      <x:c r="G997" s="9" t="str">
        <x:v>informational</x:v>
      </x:c>
      <x:c r="H997" s="9" t="str">
        <x:v>General Vape</x:v>
      </x:c>
      <x:c r="I997" s="9" t="str">
        <x:v>品类承接词</x:v>
      </x:c>
      <x:c r="J997" s="9" t="str">
        <x:v>主站</x:v>
      </x:c>
      <x:c r="K997" s="9" t="str"/>
      <x:c r="L997" s="9" t="str">
        <x:f>IF(K997="",J997,K997)</x:f>
        <x:v>主站</x:v>
      </x:c>
      <x:c r="M997" s="9" t="str">
        <x:v>品类页/集合页 + FAQ内容块</x:v>
      </x:c>
      <x:c r="N997" s="9" t="str">
        <x:v>主站品类页：用产品集合 + 选购说明承接</x:v>
      </x:c>
      <x:c r="O997" s="9" t="str">
        <x:v>/collections/disposable-vapes</x:v>
      </x:c>
      <x:c r="P997" s="9" t="str">
        <x:v>不适用</x:v>
      </x:c>
      <x:c r="Q997" s="9" t="str">
        <x:v>主站页面自身承接</x:v>
      </x:c>
      <x:c r="R997" s="9" t="str">
        <x:v>核心品类词：主站优先，博客只做长尾解释，不直接抢同一词</x:v>
      </x:c>
      <x:c r="S997" s="9" t="str">
        <x:v>如果 Google 首页产品页和指南混合，主站页要加 FAQ、选购指南、对比模块。</x:v>
      </x:c>
      <x:c r="T997" s="38" t="n">
        <x:v>4</x:v>
      </x:c>
      <x:c r="U997" s="38" t="n">
        <x:v>15</x:v>
      </x:c>
      <x:c r="V997" s="38" t="n">
        <x:v>16</x:v>
      </x:c>
      <x:c r="W997" s="38" t="n">
        <x:v>8</x:v>
      </x:c>
      <x:c r="X997" s="38" t="n">
        <x:v>15</x:v>
      </x:c>
      <x:c r="Y997" s="38" t="n">
        <x:v>4</x:v>
      </x:c>
      <x:c r="Z997" s="38" t="n">
        <x:f>MAX(0,MIN(100,ROUND(((T997+U997+V997+W997+X997)-Y997)/85*100,0)))</x:f>
        <x:v>64</x:v>
      </x:c>
      <x:c r="AA997" s="9" t="str">
        <x:f>IF(L997="暂不做","P3 暂缓",IF(Z997&gt;=75,"P0 本周做",IF(Z997&gt;=60,"P1 近期做",IF(Z997&gt;=45,"P2 备选","P3 暂缓"))))</x:f>
        <x:v>P1 近期做</x:v>
      </x:c>
      <x:c r="AB997" s="9" t="str">
        <x:f>IF(Y997&gt;=15,"先做合规/相关性复核，不建议直接商业导流",IF(L997="主站","建/优化主站商业页",IF(L997="博客A-知识教程","写知识教程/FAQ文章",IF(L997="博客B-场景人群","写场景需求/选购指南文章",IF(L997="博客C-对比评测","写对比评测/榜单文章","暂不做或人工复核")))))</x:f>
        <x:v>建/优化主站商业页</x:v>
      </x:c>
      <x:c r="AC997" s="9" t="str">
        <x:v>kuz 25k lemon lime flavor</x:v>
      </x:c>
      <x:c r="AD997" s="10" t="str">
        <x:v>48</x:v>
      </x:c>
    </x:row>
    <x:row r="998">
      <x:c r="A998" s="34" t="n">
        <x:v>998</x:v>
      </x:c>
      <x:c r="B998" s="9" t="str">
        <x:v>48</x:v>
      </x:c>
      <x:c r="C998" s="9" t="str">
        <x:v>vape mods for sale</x:v>
      </x:c>
      <x:c r="D998" s="9" t="str">
        <x:v>recommended</x:v>
      </x:c>
      <x:c r="E998" s="36" t="n">
        <x:v>1300</x:v>
      </x:c>
      <x:c r="F998" s="36" t="n">
        <x:v>47</x:v>
      </x:c>
      <x:c r="G998" s="9" t="str">
        <x:v>transactional</x:v>
      </x:c>
      <x:c r="H998" s="9" t="str">
        <x:v>购买交易</x:v>
      </x:c>
      <x:c r="I998" s="9" t="str">
        <x:v>交易词</x:v>
      </x:c>
      <x:c r="J998" s="9" t="str">
        <x:v>主站</x:v>
      </x:c>
      <x:c r="K998" s="9" t="str"/>
      <x:c r="L998" s="9" t="str">
        <x:f>IF(K998="",J998,K998)</x:f>
        <x:v>主站</x:v>
      </x:c>
      <x:c r="M998" s="9" t="str">
        <x:v>产品集合页/分类页/购买页</x:v>
      </x:c>
      <x:c r="N998" s="9" t="str">
        <x:v>主站商业页：标题围绕购买意图 + 品类 + 关键卖点</x:v>
      </x:c>
      <x:c r="O998" s="9" t="str">
        <x:v>/collections/disposable-vapes</x:v>
      </x:c>
      <x:c r="P998" s="9" t="str">
        <x:v>不适用</x:v>
      </x:c>
      <x:c r="Q998" s="9" t="str">
        <x:v>主站页面自身承接</x:v>
      </x:c>
      <x:c r="R998" s="9" t="str">
        <x:v>商业词：优先给主站，避免博客抢主站排名</x:v>
      </x:c>
      <x:c r="S998" s="9" t="str">
        <x:v>SERP 如为商品列表/品牌站/电商集合页，就建主站页面；若 SERP 全是教程，再拆支持文章。</x:v>
      </x:c>
      <x:c r="T998" s="38" t="n">
        <x:v>13</x:v>
      </x:c>
      <x:c r="U998" s="38" t="n">
        <x:v>6</x:v>
      </x:c>
      <x:c r="V998" s="38" t="n">
        <x:v>20</x:v>
      </x:c>
      <x:c r="W998" s="38" t="n">
        <x:v>7</x:v>
      </x:c>
      <x:c r="X998" s="38" t="n">
        <x:v>15</x:v>
      </x:c>
      <x:c r="Y998" s="38" t="n">
        <x:v>4</x:v>
      </x:c>
      <x:c r="Z998" s="38" t="n">
        <x:f>MAX(0,MIN(100,ROUND(((T998+U998+V998+W998+X998)-Y998)/85*100,0)))</x:f>
        <x:v>67</x:v>
      </x:c>
      <x:c r="AA998" s="9" t="str">
        <x:f>IF(L998="暂不做","P3 暂缓",IF(Z998&gt;=75,"P0 本周做",IF(Z998&gt;=60,"P1 近期做",IF(Z998&gt;=45,"P2 备选","P3 暂缓"))))</x:f>
        <x:v>P1 近期做</x:v>
      </x:c>
      <x:c r="AB998" s="9" t="str">
        <x:f>IF(Y998&gt;=15,"先做合规/相关性复核，不建议直接商业导流",IF(L998="主站","建/优化主站商业页",IF(L998="博客A-知识教程","写知识教程/FAQ文章",IF(L998="博客B-场景人群","写场景需求/选购指南文章",IF(L998="博客C-对比评测","写对比评测/榜单文章","暂不做或人工复核")))))</x:f>
        <x:v>建/优化主站商业页</x:v>
      </x:c>
      <x:c r="AC998" s="9" t="str">
        <x:v>vape mods for sale</x:v>
      </x:c>
      <x:c r="AD998" s="10" t="str">
        <x:v>48</x:v>
      </x:c>
    </x:row>
    <x:row r="999">
      <x:c r="A999" s="34" t="n">
        <x:v>999</x:v>
      </x:c>
      <x:c r="B999" s="9" t="str">
        <x:v>48</x:v>
      </x:c>
      <x:c r="C999" s="9" t="str">
        <x:v>types of vapes brands</x:v>
      </x:c>
      <x:c r="D999" s="9" t="str">
        <x:v>recommended</x:v>
      </x:c>
      <x:c r="E999" s="36" t="n">
        <x:v>390</x:v>
      </x:c>
      <x:c r="F999" s="36" t="n">
        <x:v>23</x:v>
      </x:c>
      <x:c r="G999" s="9" t="str">
        <x:v>commercial</x:v>
      </x:c>
      <x:c r="H999" s="9" t="str">
        <x:v>对比评测</x:v>
      </x:c>
      <x:c r="I999" s="9" t="str">
        <x:v>商业调查词</x:v>
      </x:c>
      <x:c r="J999" s="9" t="str">
        <x:v>博客C-对比评测</x:v>
      </x:c>
      <x:c r="K999" s="9" t="str"/>
      <x:c r="L999" s="9" t="str">
        <x:f>IF(K999="",J999,K999)</x:f>
        <x:v>博客C-对比评测</x:v>
      </x:c>
      <x:c r="M999" s="9" t="str">
        <x:v>Best/Top/Review/VS/替代方案文章</x:v>
      </x:c>
      <x:c r="N999" s="9" t="str">
        <x:v>Best angle: types of vapes brands - comparison, pros/cons, and which option fits different buyers</x:v>
      </x:c>
      <x:c r="O999" s="9" t="str">
        <x:v>/collections/disposable-vapes</x:v>
      </x:c>
      <x:c r="P999" s="9" t="str">
        <x:v>是</x:v>
      </x:c>
      <x:c r="Q999" s="9" t="str">
        <x:v>自然句/品类词/品牌词</x:v>
      </x:c>
      <x:c r="R999" s="9" t="str">
        <x:v>中风险：榜单和评测必须真实、中立，避免夸大</x:v>
      </x:c>
      <x:c r="S999" s="9" t="str">
        <x:v>这类词不直接给主站，先用博客C教育和比较，再导流到最相关集合页。</x:v>
      </x:c>
      <x:c r="T999" s="38" t="n">
        <x:v>7</x:v>
      </x:c>
      <x:c r="U999" s="38" t="n">
        <x:v>12</x:v>
      </x:c>
      <x:c r="V999" s="38" t="n">
        <x:v>16</x:v>
      </x:c>
      <x:c r="W999" s="38" t="n">
        <x:v>15</x:v>
      </x:c>
      <x:c r="X999" s="38" t="n">
        <x:v>13</x:v>
      </x:c>
      <x:c r="Y999" s="38" t="n">
        <x:v>6</x:v>
      </x:c>
      <x:c r="Z999" s="38" t="n">
        <x:f>MAX(0,MIN(100,ROUND(((T999+U999+V999+W999+X999)-Y999)/85*100,0)))</x:f>
        <x:v>67</x:v>
      </x:c>
      <x:c r="AA999" s="9" t="str">
        <x:f>IF(L999="暂不做","P3 暂缓",IF(Z999&gt;=75,"P0 本周做",IF(Z999&gt;=60,"P1 近期做",IF(Z999&gt;=45,"P2 备选","P3 暂缓"))))</x:f>
        <x:v>P1 近期做</x:v>
      </x:c>
      <x:c r="AB999" s="9" t="str">
        <x:f>IF(Y999&gt;=15,"先做合规/相关性复核，不建议直接商业导流",IF(L999="主站","建/优化主站商业页",IF(L999="博客A-知识教程","写知识教程/FAQ文章",IF(L999="博客B-场景人群","写场景需求/选购指南文章",IF(L999="博客C-对比评测","写对比评测/榜单文章","暂不做或人工复核")))))</x:f>
        <x:v>写对比评测/榜单文章</x:v>
      </x:c>
      <x:c r="AC999" s="9" t="str">
        <x:v>vape mods for sale</x:v>
      </x:c>
      <x:c r="AD999" s="10" t="str">
        <x:v>48</x:v>
      </x:c>
    </x:row>
    <x:row r="1000">
      <x:c r="A1000" s="34" t="n">
        <x:v>1000</x:v>
      </x:c>
      <x:c r="B1000" s="9" t="str">
        <x:v>48</x:v>
      </x:c>
      <x:c r="C1000" s="9" t="str">
        <x:v>best for ecigs</x:v>
      </x:c>
      <x:c r="D1000" s="9" t="str">
        <x:v>recommended</x:v>
      </x:c>
      <x:c r="E1000" s="36" t="n">
        <x:v>1000</x:v>
      </x:c>
      <x:c r="F1000" s="36" t="n">
        <x:v>54</x:v>
      </x:c>
      <x:c r="G1000" s="9" t="str">
        <x:v>commercial</x:v>
      </x:c>
      <x:c r="H1000" s="9" t="str">
        <x:v>对比评测</x:v>
      </x:c>
      <x:c r="I1000" s="9" t="str">
        <x:v>商业调查词</x:v>
      </x:c>
      <x:c r="J1000" s="9" t="str">
        <x:v>博客C-对比评测</x:v>
      </x:c>
      <x:c r="K1000" s="9" t="str"/>
      <x:c r="L1000" s="9" t="str">
        <x:f>IF(K1000="",J1000,K1000)</x:f>
        <x:v>博客C-对比评测</x:v>
      </x:c>
      <x:c r="M1000" s="9" t="str">
        <x:v>Best/Top/Review/VS/替代方案文章</x:v>
      </x:c>
      <x:c r="N1000" s="9" t="str">
        <x:v>Best angle: best for ecigs - comparison, pros/cons, and which option fits different buyers</x:v>
      </x:c>
      <x:c r="O1000" s="9" t="str">
        <x:v>/collections/disposable-vapes</x:v>
      </x:c>
      <x:c r="P1000" s="9" t="str">
        <x:v>是</x:v>
      </x:c>
      <x:c r="Q1000" s="9" t="str">
        <x:v>自然句/品类词/品牌词</x:v>
      </x:c>
      <x:c r="R1000" s="9" t="str">
        <x:v>中风险：榜单和评测必须真实、中立，避免夸大</x:v>
      </x:c>
      <x:c r="S1000" s="9" t="str">
        <x:v>这类词不直接给主站，先用博客C教育和比较，再导流到最相关集合页。</x:v>
      </x:c>
      <x:c r="T1000" s="38" t="n">
        <x:v>13</x:v>
      </x:c>
      <x:c r="U1000" s="38" t="n">
        <x:v>6</x:v>
      </x:c>
      <x:c r="V1000" s="38" t="n">
        <x:v>16</x:v>
      </x:c>
      <x:c r="W1000" s="38" t="n">
        <x:v>15</x:v>
      </x:c>
      <x:c r="X1000" s="38" t="n">
        <x:v>13</x:v>
      </x:c>
      <x:c r="Y1000" s="38" t="n">
        <x:v>6</x:v>
      </x:c>
      <x:c r="Z1000" s="38" t="n">
        <x:f>MAX(0,MIN(100,ROUND(((T1000+U1000+V1000+W1000+X1000)-Y1000)/85*100,0)))</x:f>
        <x:v>67</x:v>
      </x:c>
      <x:c r="AA1000" s="9" t="str">
        <x:f>IF(L1000="暂不做","P3 暂缓",IF(Z1000&gt;=75,"P0 本周做",IF(Z1000&gt;=60,"P1 近期做",IF(Z1000&gt;=45,"P2 备选","P3 暂缓"))))</x:f>
        <x:v>P1 近期做</x:v>
      </x:c>
      <x:c r="AB1000" s="9" t="str">
        <x:f>IF(Y1000&gt;=15,"先做合规/相关性复核，不建议直接商业导流",IF(L1000="主站","建/优化主站商业页",IF(L1000="博客A-知识教程","写知识教程/FAQ文章",IF(L1000="博客B-场景人群","写场景需求/选购指南文章",IF(L1000="博客C-对比评测","写对比评测/榜单文章","暂不做或人工复核")))))</x:f>
        <x:v>写对比评测/榜单文章</x:v>
      </x:c>
      <x:c r="AC1000" s="9" t="str">
        <x:v>vape mods for sale</x:v>
      </x:c>
      <x:c r="AD1000" s="10" t="str">
        <x:v>48</x:v>
      </x:c>
    </x:row>
    <x:row r="1001">
      <x:c r="A1001" s="34" t="n">
        <x:v>1001</x:v>
      </x:c>
      <x:c r="B1001" s="9" t="str">
        <x:v>48</x:v>
      </x:c>
      <x:c r="C1001" s="9" t="str">
        <x:v>smoke vape</x:v>
      </x:c>
      <x:c r="D1001" s="9" t="str">
        <x:v>recommended</x:v>
      </x:c>
      <x:c r="E1001" s="36" t="n">
        <x:v>4400</x:v>
      </x:c>
      <x:c r="F1001" s="36" t="n">
        <x:v>82</x:v>
      </x:c>
      <x:c r="G1001" s="9" t="str">
        <x:v>commercial</x:v>
      </x:c>
      <x:c r="H1001" s="9" t="str">
        <x:v>竞品/品牌词</x:v>
      </x:c>
      <x:c r="I1001" s="9" t="str">
        <x:v>竞品品牌词</x:v>
      </x:c>
      <x:c r="J1001" s="9" t="str">
        <x:v>暂不做</x:v>
      </x:c>
      <x:c r="K1001" s="9" t="str"/>
      <x:c r="L1001" s="9" t="str">
        <x:f>IF(K1001="",J1001,K1001)</x:f>
        <x:v>暂不做</x:v>
      </x:c>
      <x:c r="M1001" s="9" t="str">
        <x:v>人工确认后再决定</x:v>
      </x:c>
      <x:c r="N1001" s="9" t="str">
        <x:v>人工确认是否可做客观对比</x:v>
      </x:c>
      <x:c r="O1001" s="9" t="str">
        <x:v>无</x:v>
      </x:c>
      <x:c r="P1001" s="9" t="str">
        <x:v>否</x:v>
      </x:c>
      <x:c r="Q1001" s="9" t="str">
        <x:v>不导流</x:v>
      </x:c>
      <x:c r="R1001" s="9" t="str">
        <x:v>中高风险：纯竞品品牌词容易产生商标/相关性问题</x:v>
      </x:c>
      <x:c r="S1001" s="9" t="str">
        <x:v>只有带 alternative / vs / review / best 这类明确比较意图时，才考虑博客C。</x:v>
      </x:c>
      <x:c r="T1001" s="38" t="n">
        <x:v>13</x:v>
      </x:c>
      <x:c r="U1001" s="38" t="n">
        <x:v>1</x:v>
      </x:c>
      <x:c r="V1001" s="38" t="n">
        <x:v>5</x:v>
      </x:c>
      <x:c r="W1001" s="38" t="n">
        <x:v>7</x:v>
      </x:c>
      <x:c r="X1001" s="38" t="n">
        <x:v>4</x:v>
      </x:c>
      <x:c r="Y1001" s="38" t="n">
        <x:v>14</x:v>
      </x:c>
      <x:c r="Z1001" s="38" t="n">
        <x:f>MAX(0,MIN(100,ROUND(((T1001+U1001+V1001+W1001+X1001)-Y1001)/85*100,0)))</x:f>
        <x:v>19</x:v>
      </x:c>
      <x:c r="AA1001" s="9" t="str">
        <x:f>IF(L1001="暂不做","P3 暂缓",IF(Z1001&gt;=75,"P0 本周做",IF(Z1001&gt;=60,"P1 近期做",IF(Z1001&gt;=45,"P2 备选","P3 暂缓"))))</x:f>
        <x:v>P3 暂缓</x:v>
      </x:c>
      <x:c r="AB1001" s="9" t="str">
        <x:f>IF(Y1001&gt;=15,"先做合规/相关性复核，不建议直接商业导流",IF(L1001="主站","建/优化主站商业页",IF(L1001="博客A-知识教程","写知识教程/FAQ文章",IF(L1001="博客B-场景人群","写场景需求/选购指南文章",IF(L1001="博客C-对比评测","写对比评测/榜单文章","暂不做或人工复核")))))</x:f>
        <x:v>暂不做或人工复核</x:v>
      </x:c>
      <x:c r="AC1001" s="9" t="str">
        <x:v>vape mods for sale</x:v>
      </x:c>
      <x:c r="AD1001" s="10" t="str">
        <x:v>48</x:v>
      </x:c>
    </x:row>
    <x:row r="1002">
      <x:c r="A1002" s="34" t="n">
        <x:v>1002</x:v>
      </x:c>
      <x:c r="B1002" s="9" t="str">
        <x:v>48</x:v>
      </x:c>
      <x:c r="C1002" s="9" t="str">
        <x:v>which vapes last the longest</x:v>
      </x:c>
      <x:c r="D1002" s="9" t="str">
        <x:v>recommended</x:v>
      </x:c>
      <x:c r="E1002" s="36" t="n">
        <x:v>70</x:v>
      </x:c>
      <x:c r="F1002" s="36" t="n">
        <x:v>6</x:v>
      </x:c>
      <x:c r="G1002" s="9" t="str">
        <x:v>informational, commercial</x:v>
      </x:c>
      <x:c r="H1002" s="9" t="str">
        <x:v>知识教程</x:v>
      </x:c>
      <x:c r="I1002" s="9" t="str">
        <x:v>知识/教程词</x:v>
      </x:c>
      <x:c r="J1002" s="9" t="str">
        <x:v>博客A-知识教程</x:v>
      </x:c>
      <x:c r="K1002" s="9" t="str"/>
      <x:c r="L1002" s="9" t="str">
        <x:f>IF(K1002="",J1002,K1002)</x:f>
        <x:v>博客A-知识教程</x:v>
      </x:c>
      <x:c r="M1002" s="9" t="str">
        <x:v>百科/How-to/FAQ文章</x:v>
      </x:c>
      <x:c r="N1002" s="9" t="str">
        <x:v>Guide angle: explain which vapes last the longest, answer common questions, and avoid sales-first writing</x:v>
      </x:c>
      <x:c r="O1002" s="9" t="str">
        <x:v>/collections/disposable-vapes</x:v>
      </x:c>
      <x:c r="P1002" s="9" t="str">
        <x:v>谨慎</x:v>
      </x:c>
      <x:c r="Q1002" s="9" t="str">
        <x:v>自然句/品牌词</x:v>
      </x:c>
      <x:c r="R1002" s="9" t="str">
        <x:v>低中风险：先满足信息意图，导流要克制</x:v>
      </x:c>
      <x:c r="S1002" s="9" t="str">
        <x:v>如果文章能自然回答下一步购买问题，再放 1 个主站内链；否则只做知识闭环。</x:v>
      </x:c>
      <x:c r="T1002" s="38" t="n">
        <x:v>4</x:v>
      </x:c>
      <x:c r="U1002" s="38" t="n">
        <x:v>15</x:v>
      </x:c>
      <x:c r="V1002" s="38" t="n">
        <x:v>9</x:v>
      </x:c>
      <x:c r="W1002" s="38" t="n">
        <x:v>14</x:v>
      </x:c>
      <x:c r="X1002" s="38" t="n">
        <x:v>12</x:v>
      </x:c>
      <x:c r="Y1002" s="38" t="n">
        <x:v>5</x:v>
      </x:c>
      <x:c r="Z1002" s="38" t="n">
        <x:f>MAX(0,MIN(100,ROUND(((T1002+U1002+V1002+W1002+X1002)-Y1002)/85*100,0)))</x:f>
        <x:v>58</x:v>
      </x:c>
      <x:c r="AA1002" s="9" t="str">
        <x:f>IF(L1002="暂不做","P3 暂缓",IF(Z1002&gt;=75,"P0 本周做",IF(Z1002&gt;=60,"P1 近期做",IF(Z1002&gt;=45,"P2 备选","P3 暂缓"))))</x:f>
        <x:v>P2 备选</x:v>
      </x:c>
      <x:c r="AB1002" s="9" t="str">
        <x:f>IF(Y1002&gt;=15,"先做合规/相关性复核，不建议直接商业导流",IF(L1002="主站","建/优化主站商业页",IF(L1002="博客A-知识教程","写知识教程/FAQ文章",IF(L1002="博客B-场景人群","写场景需求/选购指南文章",IF(L1002="博客C-对比评测","写对比评测/榜单文章","暂不做或人工复核")))))</x:f>
        <x:v>写知识教程/FAQ文章</x:v>
      </x:c>
      <x:c r="AC1002" s="9" t="str">
        <x:v>vape mods for sale</x:v>
      </x:c>
      <x:c r="AD1002" s="10" t="str">
        <x:v>48</x:v>
      </x:c>
    </x:row>
    <x:row r="1003">
      <x:c r="A1003" s="34" t="n">
        <x:v>1003</x:v>
      </x:c>
      <x:c r="B1003" s="9" t="str">
        <x:v>48</x:v>
      </x:c>
      <x:c r="C1003" s="9" t="str">
        <x:v>refillable vape brands</x:v>
      </x:c>
      <x:c r="D1003" s="9" t="str">
        <x:v>recommended</x:v>
      </x:c>
      <x:c r="E1003" s="36" t="n">
        <x:v>90</x:v>
      </x:c>
      <x:c r="F1003" s="36" t="n">
        <x:v>13</x:v>
      </x:c>
      <x:c r="G1003" s="9" t="str">
        <x:v>informational</x:v>
      </x:c>
      <x:c r="H1003" s="9" t="str">
        <x:v>Reusable / Rechargeable</x:v>
      </x:c>
      <x:c r="I1003" s="9" t="str">
        <x:v>商业调查词</x:v>
      </x:c>
      <x:c r="J1003" s="9" t="str">
        <x:v>博客C-对比评测</x:v>
      </x:c>
      <x:c r="K1003" s="9" t="str"/>
      <x:c r="L1003" s="9" t="str">
        <x:f>IF(K1003="",J1003,K1003)</x:f>
        <x:v>博客C-对比评测</x:v>
      </x:c>
      <x:c r="M1003" s="9" t="str">
        <x:v>Best/Top/Review/VS/替代方案文章</x:v>
      </x:c>
      <x:c r="N1003" s="9" t="str">
        <x:v>Best angle: refillable vape brands - comparison, pros/cons, and which option fits different buyers</x:v>
      </x:c>
      <x:c r="O1003" s="9" t="str">
        <x:v>/collections/rechargeable-vapes</x:v>
      </x:c>
      <x:c r="P1003" s="9" t="str">
        <x:v>是</x:v>
      </x:c>
      <x:c r="Q1003" s="9" t="str">
        <x:v>自然句/品类词/品牌词</x:v>
      </x:c>
      <x:c r="R1003" s="9" t="str">
        <x:v>中风险：榜单和评测必须真实、中立，避免夸大</x:v>
      </x:c>
      <x:c r="S1003" s="9" t="str">
        <x:v>这类词不直接给主站，先用博客C教育和比较，再导流到最相关集合页。</x:v>
      </x:c>
      <x:c r="T1003" s="38" t="n">
        <x:v>4</x:v>
      </x:c>
      <x:c r="U1003" s="38" t="n">
        <x:v>15</x:v>
      </x:c>
      <x:c r="V1003" s="38" t="n">
        <x:v>16</x:v>
      </x:c>
      <x:c r="W1003" s="38" t="n">
        <x:v>15</x:v>
      </x:c>
      <x:c r="X1003" s="38" t="n">
        <x:v>13</x:v>
      </x:c>
      <x:c r="Y1003" s="38" t="n">
        <x:v>6</x:v>
      </x:c>
      <x:c r="Z1003" s="38" t="n">
        <x:f>MAX(0,MIN(100,ROUND(((T1003+U1003+V1003+W1003+X1003)-Y1003)/85*100,0)))</x:f>
        <x:v>67</x:v>
      </x:c>
      <x:c r="AA1003" s="9" t="str">
        <x:f>IF(L1003="暂不做","P3 暂缓",IF(Z1003&gt;=75,"P0 本周做",IF(Z1003&gt;=60,"P1 近期做",IF(Z1003&gt;=45,"P2 备选","P3 暂缓"))))</x:f>
        <x:v>P1 近期做</x:v>
      </x:c>
      <x:c r="AB1003" s="9" t="str">
        <x:f>IF(Y1003&gt;=15,"先做合规/相关性复核，不建议直接商业导流",IF(L1003="主站","建/优化主站商业页",IF(L1003="博客A-知识教程","写知识教程/FAQ文章",IF(L1003="博客B-场景人群","写场景需求/选购指南文章",IF(L1003="博客C-对比评测","写对比评测/榜单文章","暂不做或人工复核")))))</x:f>
        <x:v>写对比评测/榜单文章</x:v>
      </x:c>
      <x:c r="AC1003" s="9" t="str">
        <x:v>vape mods for sale</x:v>
      </x:c>
      <x:c r="AD1003" s="10" t="str">
        <x:v>48</x:v>
      </x:c>
    </x:row>
    <x:row r="1004">
      <x:c r="A1004" s="34" t="n">
        <x:v>1004</x:v>
      </x:c>
      <x:c r="B1004" s="9" t="str">
        <x:v>48</x:v>
      </x:c>
      <x:c r="C1004" s="9" t="str">
        <x:v>top 5 vape brands</x:v>
      </x:c>
      <x:c r="D1004" s="9" t="str">
        <x:v>recommended</x:v>
      </x:c>
      <x:c r="E1004" s="36" t="n">
        <x:v>70</x:v>
      </x:c>
      <x:c r="F1004" s="36" t="n">
        <x:v>15</x:v>
      </x:c>
      <x:c r="G1004" s="9" t="str">
        <x:v>commercial</x:v>
      </x:c>
      <x:c r="H1004" s="9" t="str">
        <x:v>对比评测</x:v>
      </x:c>
      <x:c r="I1004" s="9" t="str">
        <x:v>商业调查词</x:v>
      </x:c>
      <x:c r="J1004" s="9" t="str">
        <x:v>博客C-对比评测</x:v>
      </x:c>
      <x:c r="K1004" s="9" t="str"/>
      <x:c r="L1004" s="9" t="str">
        <x:f>IF(K1004="",J1004,K1004)</x:f>
        <x:v>博客C-对比评测</x:v>
      </x:c>
      <x:c r="M1004" s="9" t="str">
        <x:v>Best/Top/Review/VS/替代方案文章</x:v>
      </x:c>
      <x:c r="N1004" s="9" t="str">
        <x:v>Best angle: top 5 vape brands - comparison, pros/cons, and which option fits different buyers</x:v>
      </x:c>
      <x:c r="O1004" s="9" t="str">
        <x:v>/collections/disposable-vapes</x:v>
      </x:c>
      <x:c r="P1004" s="9" t="str">
        <x:v>是</x:v>
      </x:c>
      <x:c r="Q1004" s="9" t="str">
        <x:v>自然句/品类词/品牌词</x:v>
      </x:c>
      <x:c r="R1004" s="9" t="str">
        <x:v>中风险：榜单和评测必须真实、中立，避免夸大</x:v>
      </x:c>
      <x:c r="S1004" s="9" t="str">
        <x:v>这类词不直接给主站，先用博客C教育和比较，再导流到最相关集合页。</x:v>
      </x:c>
      <x:c r="T1004" s="38" t="n">
        <x:v>4</x:v>
      </x:c>
      <x:c r="U1004" s="38" t="n">
        <x:v>15</x:v>
      </x:c>
      <x:c r="V1004" s="38" t="n">
        <x:v>16</x:v>
      </x:c>
      <x:c r="W1004" s="38" t="n">
        <x:v>15</x:v>
      </x:c>
      <x:c r="X1004" s="38" t="n">
        <x:v>13</x:v>
      </x:c>
      <x:c r="Y1004" s="38" t="n">
        <x:v>6</x:v>
      </x:c>
      <x:c r="Z1004" s="38" t="n">
        <x:f>MAX(0,MIN(100,ROUND(((T1004+U1004+V1004+W1004+X1004)-Y1004)/85*100,0)))</x:f>
        <x:v>67</x:v>
      </x:c>
      <x:c r="AA1004" s="9" t="str">
        <x:f>IF(L1004="暂不做","P3 暂缓",IF(Z1004&gt;=75,"P0 本周做",IF(Z1004&gt;=60,"P1 近期做",IF(Z1004&gt;=45,"P2 备选","P3 暂缓"))))</x:f>
        <x:v>P1 近期做</x:v>
      </x:c>
      <x:c r="AB1004" s="9" t="str">
        <x:f>IF(Y1004&gt;=15,"先做合规/相关性复核，不建议直接商业导流",IF(L1004="主站","建/优化主站商业页",IF(L1004="博客A-知识教程","写知识教程/FAQ文章",IF(L1004="博客B-场景人群","写场景需求/选购指南文章",IF(L1004="博客C-对比评测","写对比评测/榜单文章","暂不做或人工复核")))))</x:f>
        <x:v>写对比评测/榜单文章</x:v>
      </x:c>
      <x:c r="AC1004" s="9" t="str">
        <x:v>vape mods for sale</x:v>
      </x:c>
      <x:c r="AD1004" s="10" t="str">
        <x:v>48</x:v>
      </x:c>
    </x:row>
    <x:row r="1005">
      <x:c r="A1005" s="34" t="n">
        <x:v>1005</x:v>
      </x:c>
      <x:c r="B1005" s="9" t="str">
        <x:v>48</x:v>
      </x:c>
      <x:c r="C1005" s="9" t="str">
        <x:v>disposable vapes that are not sweet</x:v>
      </x:c>
      <x:c r="D1005" s="9" t="str">
        <x:v>recommended</x:v>
      </x:c>
      <x:c r="E1005" s="36" t="n">
        <x:v>40</x:v>
      </x:c>
      <x:c r="F1005" s="36" t="n">
        <x:v>0</x:v>
      </x:c>
      <x:c r="G1005" s="9" t="str">
        <x:v>informational</x:v>
      </x:c>
      <x:c r="H1005" s="9" t="str">
        <x:v>Disposable Vape</x:v>
      </x:c>
      <x:c r="I1005" s="9" t="str">
        <x:v>知识/教程词</x:v>
      </x:c>
      <x:c r="J1005" s="9" t="str">
        <x:v>博客A-知识教程</x:v>
      </x:c>
      <x:c r="K1005" s="9" t="str"/>
      <x:c r="L1005" s="9" t="str">
        <x:f>IF(K1005="",J1005,K1005)</x:f>
        <x:v>博客A-知识教程</x:v>
      </x:c>
      <x:c r="M1005" s="9" t="str">
        <x:v>百科/How-to/FAQ文章</x:v>
      </x:c>
      <x:c r="N1005" s="9" t="str">
        <x:v>Guide angle: explain disposable vapes that are not sweet, answer common questions, and avoid sales-first writing</x:v>
      </x:c>
      <x:c r="O1005" s="9" t="str">
        <x:v>/collections/disposable-vapes</x:v>
      </x:c>
      <x:c r="P1005" s="9" t="str">
        <x:v>谨慎</x:v>
      </x:c>
      <x:c r="Q1005" s="9" t="str">
        <x:v>自然句/品牌词</x:v>
      </x:c>
      <x:c r="R1005" s="9" t="str">
        <x:v>低中风险：先满足信息意图，导流要克制</x:v>
      </x:c>
      <x:c r="S1005" s="9" t="str">
        <x:v>如果文章能自然回答下一步购买问题，再放 1 个主站内链；否则只做知识闭环。</x:v>
      </x:c>
      <x:c r="T1005" s="38" t="n">
        <x:v>4</x:v>
      </x:c>
      <x:c r="U1005" s="38" t="n">
        <x:v>15</x:v>
      </x:c>
      <x:c r="V1005" s="38" t="n">
        <x:v>9</x:v>
      </x:c>
      <x:c r="W1005" s="38" t="n">
        <x:v>14</x:v>
      </x:c>
      <x:c r="X1005" s="38" t="n">
        <x:v>12</x:v>
      </x:c>
      <x:c r="Y1005" s="38" t="n">
        <x:v>5</x:v>
      </x:c>
      <x:c r="Z1005" s="38" t="n">
        <x:f>MAX(0,MIN(100,ROUND(((T1005+U1005+V1005+W1005+X1005)-Y1005)/85*100,0)))</x:f>
        <x:v>58</x:v>
      </x:c>
      <x:c r="AA1005" s="9" t="str">
        <x:f>IF(L1005="暂不做","P3 暂缓",IF(Z1005&gt;=75,"P0 本周做",IF(Z1005&gt;=60,"P1 近期做",IF(Z1005&gt;=45,"P2 备选","P3 暂缓"))))</x:f>
        <x:v>P2 备选</x:v>
      </x:c>
      <x:c r="AB1005" s="9" t="str">
        <x:f>IF(Y1005&gt;=15,"先做合规/相关性复核，不建议直接商业导流",IF(L1005="主站","建/优化主站商业页",IF(L1005="博客A-知识教程","写知识教程/FAQ文章",IF(L1005="博客B-场景人群","写场景需求/选购指南文章",IF(L1005="博客C-对比评测","写对比评测/榜单文章","暂不做或人工复核")))))</x:f>
        <x:v>写知识教程/FAQ文章</x:v>
      </x:c>
      <x:c r="AC1005" s="9" t="str">
        <x:v>vape mods for sale</x:v>
      </x:c>
      <x:c r="AD1005" s="10" t="str">
        <x:v>48</x:v>
      </x:c>
    </x:row>
    <x:row r="1006">
      <x:c r="A1006" s="34" t="n">
        <x:v>1006</x:v>
      </x:c>
      <x:c r="B1006" s="9" t="str">
        <x:v>48</x:v>
      </x:c>
      <x:c r="C1006" s="9" t="str">
        <x:v>best reusable vape</x:v>
      </x:c>
      <x:c r="D1006" s="9" t="str">
        <x:v>recommended</x:v>
      </x:c>
      <x:c r="E1006" s="36" t="n">
        <x:v>90</x:v>
      </x:c>
      <x:c r="F1006" s="36" t="n">
        <x:v>34</x:v>
      </x:c>
      <x:c r="G1006" s="9" t="str">
        <x:v>commercial</x:v>
      </x:c>
      <x:c r="H1006" s="9" t="str">
        <x:v>Reusable / Rechargeable</x:v>
      </x:c>
      <x:c r="I1006" s="9" t="str">
        <x:v>商业调查词</x:v>
      </x:c>
      <x:c r="J1006" s="9" t="str">
        <x:v>博客C-对比评测</x:v>
      </x:c>
      <x:c r="K1006" s="9" t="str"/>
      <x:c r="L1006" s="9" t="str">
        <x:f>IF(K1006="",J1006,K1006)</x:f>
        <x:v>博客C-对比评测</x:v>
      </x:c>
      <x:c r="M1006" s="9" t="str">
        <x:v>Best/Top/Review/VS/替代方案文章</x:v>
      </x:c>
      <x:c r="N1006" s="9" t="str">
        <x:v>Best angle: best reusable vape - comparison, pros/cons, and which option fits different buyers</x:v>
      </x:c>
      <x:c r="O1006" s="9" t="str">
        <x:v>/collections/rechargeable-vapes</x:v>
      </x:c>
      <x:c r="P1006" s="9" t="str">
        <x:v>是</x:v>
      </x:c>
      <x:c r="Q1006" s="9" t="str">
        <x:v>自然句/品类词/品牌词</x:v>
      </x:c>
      <x:c r="R1006" s="9" t="str">
        <x:v>中风险：榜单和评测必须真实、中立，避免夸大</x:v>
      </x:c>
      <x:c r="S1006" s="9" t="str">
        <x:v>这类词不直接给主站，先用博客C教育和比较，再导流到最相关集合页。</x:v>
      </x:c>
      <x:c r="T1006" s="38" t="n">
        <x:v>4</x:v>
      </x:c>
      <x:c r="U1006" s="38" t="n">
        <x:v>9</x:v>
      </x:c>
      <x:c r="V1006" s="38" t="n">
        <x:v>16</x:v>
      </x:c>
      <x:c r="W1006" s="38" t="n">
        <x:v>15</x:v>
      </x:c>
      <x:c r="X1006" s="38" t="n">
        <x:v>13</x:v>
      </x:c>
      <x:c r="Y1006" s="38" t="n">
        <x:v>6</x:v>
      </x:c>
      <x:c r="Z1006" s="38" t="n">
        <x:f>MAX(0,MIN(100,ROUND(((T1006+U1006+V1006+W1006+X1006)-Y1006)/85*100,0)))</x:f>
        <x:v>60</x:v>
      </x:c>
      <x:c r="AA1006" s="9" t="str">
        <x:f>IF(L1006="暂不做","P3 暂缓",IF(Z1006&gt;=75,"P0 本周做",IF(Z1006&gt;=60,"P1 近期做",IF(Z1006&gt;=45,"P2 备选","P3 暂缓"))))</x:f>
        <x:v>P1 近期做</x:v>
      </x:c>
      <x:c r="AB1006" s="9" t="str">
        <x:f>IF(Y1006&gt;=15,"先做合规/相关性复核，不建议直接商业导流",IF(L1006="主站","建/优化主站商业页",IF(L1006="博客A-知识教程","写知识教程/FAQ文章",IF(L1006="博客B-场景人群","写场景需求/选购指南文章",IF(L1006="博客C-对比评测","写对比评测/榜单文章","暂不做或人工复核")))))</x:f>
        <x:v>写对比评测/榜单文章</x:v>
      </x:c>
      <x:c r="AC1006" s="9" t="str">
        <x:v>vape mods for sale</x:v>
      </x:c>
      <x:c r="AD1006" s="10" t="str">
        <x:v>48</x:v>
      </x:c>
    </x:row>
    <x:row r="1007">
      <x:c r="A1007" s="34" t="n">
        <x:v>1007</x:v>
      </x:c>
      <x:c r="B1007" s="9" t="str">
        <x:v>48</x:v>
      </x:c>
      <x:c r="C1007" s="9" t="str">
        <x:v>best and worst vape brands</x:v>
      </x:c>
      <x:c r="D1007" s="9" t="str">
        <x:v>recommended</x:v>
      </x:c>
      <x:c r="E1007" s="36" t="n">
        <x:v>50</x:v>
      </x:c>
      <x:c r="F1007" s="36" t="n">
        <x:v>20</x:v>
      </x:c>
      <x:c r="G1007" s="9" t="str">
        <x:v>commercial</x:v>
      </x:c>
      <x:c r="H1007" s="9" t="str">
        <x:v>对比评测</x:v>
      </x:c>
      <x:c r="I1007" s="9" t="str">
        <x:v>商业调查词</x:v>
      </x:c>
      <x:c r="J1007" s="9" t="str">
        <x:v>博客C-对比评测</x:v>
      </x:c>
      <x:c r="K1007" s="9" t="str"/>
      <x:c r="L1007" s="9" t="str">
        <x:f>IF(K1007="",J1007,K1007)</x:f>
        <x:v>博客C-对比评测</x:v>
      </x:c>
      <x:c r="M1007" s="9" t="str">
        <x:v>Best/Top/Review/VS/替代方案文章</x:v>
      </x:c>
      <x:c r="N1007" s="9" t="str">
        <x:v>Best angle: best and worst vape brands - comparison, pros/cons, and which option fits different buyers</x:v>
      </x:c>
      <x:c r="O1007" s="9" t="str">
        <x:v>/collections/disposable-vapes</x:v>
      </x:c>
      <x:c r="P1007" s="9" t="str">
        <x:v>是</x:v>
      </x:c>
      <x:c r="Q1007" s="9" t="str">
        <x:v>自然句/品类词/品牌词</x:v>
      </x:c>
      <x:c r="R1007" s="9" t="str">
        <x:v>中风险：榜单和评测必须真实、中立，避免夸大</x:v>
      </x:c>
      <x:c r="S1007" s="9" t="str">
        <x:v>这类词不直接给主站，先用博客C教育和比较，再导流到最相关集合页。</x:v>
      </x:c>
      <x:c r="T1007" s="38" t="n">
        <x:v>4</x:v>
      </x:c>
      <x:c r="U1007" s="38" t="n">
        <x:v>12</x:v>
      </x:c>
      <x:c r="V1007" s="38" t="n">
        <x:v>16</x:v>
      </x:c>
      <x:c r="W1007" s="38" t="n">
        <x:v>15</x:v>
      </x:c>
      <x:c r="X1007" s="38" t="n">
        <x:v>13</x:v>
      </x:c>
      <x:c r="Y1007" s="38" t="n">
        <x:v>6</x:v>
      </x:c>
      <x:c r="Z1007" s="38" t="n">
        <x:f>MAX(0,MIN(100,ROUND(((T1007+U1007+V1007+W1007+X1007)-Y1007)/85*100,0)))</x:f>
        <x:v>64</x:v>
      </x:c>
      <x:c r="AA1007" s="9" t="str">
        <x:f>IF(L1007="暂不做","P3 暂缓",IF(Z1007&gt;=75,"P0 本周做",IF(Z1007&gt;=60,"P1 近期做",IF(Z1007&gt;=45,"P2 备选","P3 暂缓"))))</x:f>
        <x:v>P1 近期做</x:v>
      </x:c>
      <x:c r="AB1007" s="9" t="str">
        <x:f>IF(Y1007&gt;=15,"先做合规/相关性复核，不建议直接商业导流",IF(L1007="主站","建/优化主站商业页",IF(L1007="博客A-知识教程","写知识教程/FAQ文章",IF(L1007="博客B-场景人群","写场景需求/选购指南文章",IF(L1007="博客C-对比评测","写对比评测/榜单文章","暂不做或人工复核")))))</x:f>
        <x:v>写对比评测/榜单文章</x:v>
      </x:c>
      <x:c r="AC1007" s="9" t="str">
        <x:v>vape mods for sale</x:v>
      </x:c>
      <x:c r="AD1007" s="10" t="str">
        <x:v>48</x:v>
      </x:c>
    </x:row>
    <x:row r="1008">
      <x:c r="A1008" s="34" t="n">
        <x:v>1008</x:v>
      </x:c>
      <x:c r="B1008" s="9" t="str">
        <x:v>48</x:v>
      </x:c>
      <x:c r="C1008" s="9" t="str">
        <x:v>best pod for chain vaping</x:v>
      </x:c>
      <x:c r="D1008" s="9" t="str">
        <x:v>recommended</x:v>
      </x:c>
      <x:c r="E1008" s="36" t="n">
        <x:v>40</x:v>
      </x:c>
      <x:c r="F1008" s="36" t="n">
        <x:v>19</x:v>
      </x:c>
      <x:c r="G1008" s="9" t="str">
        <x:v>commercial</x:v>
      </x:c>
      <x:c r="H1008" s="9" t="str">
        <x:v>Pod Kit / Pod System</x:v>
      </x:c>
      <x:c r="I1008" s="9" t="str">
        <x:v>商业调查词</x:v>
      </x:c>
      <x:c r="J1008" s="9" t="str">
        <x:v>博客C-对比评测</x:v>
      </x:c>
      <x:c r="K1008" s="9" t="str"/>
      <x:c r="L1008" s="9" t="str">
        <x:f>IF(K1008="",J1008,K1008)</x:f>
        <x:v>博客C-对比评测</x:v>
      </x:c>
      <x:c r="M1008" s="9" t="str">
        <x:v>Best/Top/Review/VS/替代方案文章</x:v>
      </x:c>
      <x:c r="N1008" s="9" t="str">
        <x:v>Best angle: best pod for chain vaping - comparison, pros/cons, and which option fits different buyers</x:v>
      </x:c>
      <x:c r="O1008" s="9" t="str">
        <x:v>/collections/pod-kits</x:v>
      </x:c>
      <x:c r="P1008" s="9" t="str">
        <x:v>是</x:v>
      </x:c>
      <x:c r="Q1008" s="9" t="str">
        <x:v>自然句/品类词/品牌词</x:v>
      </x:c>
      <x:c r="R1008" s="9" t="str">
        <x:v>中风险：榜单和评测必须真实、中立，避免夸大</x:v>
      </x:c>
      <x:c r="S1008" s="9" t="str">
        <x:v>这类词不直接给主站，先用博客C教育和比较，再导流到最相关集合页。</x:v>
      </x:c>
      <x:c r="T1008" s="38" t="n">
        <x:v>4</x:v>
      </x:c>
      <x:c r="U1008" s="38" t="n">
        <x:v>12</x:v>
      </x:c>
      <x:c r="V1008" s="38" t="n">
        <x:v>16</x:v>
      </x:c>
      <x:c r="W1008" s="38" t="n">
        <x:v>15</x:v>
      </x:c>
      <x:c r="X1008" s="38" t="n">
        <x:v>13</x:v>
      </x:c>
      <x:c r="Y1008" s="38" t="n">
        <x:v>6</x:v>
      </x:c>
      <x:c r="Z1008" s="38" t="n">
        <x:f>MAX(0,MIN(100,ROUND(((T1008+U1008+V1008+W1008+X1008)-Y1008)/85*100,0)))</x:f>
        <x:v>64</x:v>
      </x:c>
      <x:c r="AA1008" s="9" t="str">
        <x:f>IF(L1008="暂不做","P3 暂缓",IF(Z1008&gt;=75,"P0 本周做",IF(Z1008&gt;=60,"P1 近期做",IF(Z1008&gt;=45,"P2 备选","P3 暂缓"))))</x:f>
        <x:v>P1 近期做</x:v>
      </x:c>
      <x:c r="AB1008" s="9" t="str">
        <x:f>IF(Y1008&gt;=15,"先做合规/相关性复核，不建议直接商业导流",IF(L1008="主站","建/优化主站商业页",IF(L1008="博客A-知识教程","写知识教程/FAQ文章",IF(L1008="博客B-场景人群","写场景需求/选购指南文章",IF(L1008="博客C-对比评测","写对比评测/榜单文章","暂不做或人工复核")))))</x:f>
        <x:v>写对比评测/榜单文章</x:v>
      </x:c>
      <x:c r="AC1008" s="9" t="str">
        <x:v>vape mods for sale</x:v>
      </x:c>
      <x:c r="AD1008" s="10" t="str">
        <x:v>48</x:v>
      </x:c>
    </x:row>
    <x:row r="1009">
      <x:c r="A1009" s="34" t="n">
        <x:v>1009</x:v>
      </x:c>
      <x:c r="B1009" s="9" t="str">
        <x:v>48</x:v>
      </x:c>
      <x:c r="C1009" s="9" t="str">
        <x:v>cheaper vapes</x:v>
      </x:c>
      <x:c r="D1009" s="9" t="str">
        <x:v>recommended</x:v>
      </x:c>
      <x:c r="E1009" s="36" t="n">
        <x:v>40</x:v>
      </x:c>
      <x:c r="F1009" s="36" t="n">
        <x:v>33</x:v>
      </x:c>
      <x:c r="G1009" s="9" t="str">
        <x:v>commercial</x:v>
      </x:c>
      <x:c r="H1009" s="9" t="str">
        <x:v>购买交易</x:v>
      </x:c>
      <x:c r="I1009" s="9" t="str">
        <x:v>交易词</x:v>
      </x:c>
      <x:c r="J1009" s="9" t="str">
        <x:v>主站</x:v>
      </x:c>
      <x:c r="K1009" s="9" t="str"/>
      <x:c r="L1009" s="9" t="str">
        <x:f>IF(K1009="",J1009,K1009)</x:f>
        <x:v>主站</x:v>
      </x:c>
      <x:c r="M1009" s="9" t="str">
        <x:v>产品集合页/分类页/购买页</x:v>
      </x:c>
      <x:c r="N1009" s="9" t="str">
        <x:v>主站商业页：标题围绕购买意图 + 品类 + 关键卖点</x:v>
      </x:c>
      <x:c r="O1009" s="9" t="str">
        <x:v>/collections/disposable-vapes</x:v>
      </x:c>
      <x:c r="P1009" s="9" t="str">
        <x:v>不适用</x:v>
      </x:c>
      <x:c r="Q1009" s="9" t="str">
        <x:v>主站页面自身承接</x:v>
      </x:c>
      <x:c r="R1009" s="9" t="str">
        <x:v>商业词：优先给主站，避免博客抢主站排名</x:v>
      </x:c>
      <x:c r="S1009" s="9" t="str">
        <x:v>SERP 如为商品列表/品牌站/电商集合页，就建主站页面；若 SERP 全是教程，再拆支持文章。</x:v>
      </x:c>
      <x:c r="T1009" s="38" t="n">
        <x:v>4</x:v>
      </x:c>
      <x:c r="U1009" s="38" t="n">
        <x:v>9</x:v>
      </x:c>
      <x:c r="V1009" s="38" t="n">
        <x:v>20</x:v>
      </x:c>
      <x:c r="W1009" s="38" t="n">
        <x:v>7</x:v>
      </x:c>
      <x:c r="X1009" s="38" t="n">
        <x:v>15</x:v>
      </x:c>
      <x:c r="Y1009" s="38" t="n">
        <x:v>4</x:v>
      </x:c>
      <x:c r="Z1009" s="38" t="n">
        <x:f>MAX(0,MIN(100,ROUND(((T1009+U1009+V1009+W1009+X1009)-Y1009)/85*100,0)))</x:f>
        <x:v>60</x:v>
      </x:c>
      <x:c r="AA1009" s="9" t="str">
        <x:f>IF(L1009="暂不做","P3 暂缓",IF(Z1009&gt;=75,"P0 本周做",IF(Z1009&gt;=60,"P1 近期做",IF(Z1009&gt;=45,"P2 备选","P3 暂缓"))))</x:f>
        <x:v>P1 近期做</x:v>
      </x:c>
      <x:c r="AB1009" s="9" t="str">
        <x:f>IF(Y1009&gt;=15,"先做合规/相关性复核，不建议直接商业导流",IF(L1009="主站","建/优化主站商业页",IF(L1009="博客A-知识教程","写知识教程/FAQ文章",IF(L1009="博客B-场景人群","写场景需求/选购指南文章",IF(L1009="博客C-对比评测","写对比评测/榜单文章","暂不做或人工复核")))))</x:f>
        <x:v>建/优化主站商业页</x:v>
      </x:c>
      <x:c r="AC1009" s="9" t="str">
        <x:v>vape mods for sale</x:v>
      </x:c>
      <x:c r="AD1009" s="10" t="str">
        <x:v>48</x:v>
      </x:c>
    </x:row>
    <x:row r="1010">
      <x:c r="A1010" s="34" t="n">
        <x:v>1010</x:v>
      </x:c>
      <x:c r="B1010" s="9" t="str">
        <x:v>48</x:v>
      </x:c>
      <x:c r="C1010" s="9" t="str">
        <x:v>best pocket vapes</x:v>
      </x:c>
      <x:c r="D1010" s="9" t="str">
        <x:v>recommended</x:v>
      </x:c>
      <x:c r="E1010" s="36" t="n">
        <x:v>50</x:v>
      </x:c>
      <x:c r="F1010" s="36" t="n">
        <x:v>33</x:v>
      </x:c>
      <x:c r="G1010" s="9" t="str">
        <x:v>commercial</x:v>
      </x:c>
      <x:c r="H1010" s="9" t="str">
        <x:v>对比评测</x:v>
      </x:c>
      <x:c r="I1010" s="9" t="str">
        <x:v>商业调查词</x:v>
      </x:c>
      <x:c r="J1010" s="9" t="str">
        <x:v>博客C-对比评测</x:v>
      </x:c>
      <x:c r="K1010" s="9" t="str"/>
      <x:c r="L1010" s="9" t="str">
        <x:f>IF(K1010="",J1010,K1010)</x:f>
        <x:v>博客C-对比评测</x:v>
      </x:c>
      <x:c r="M1010" s="9" t="str">
        <x:v>Best/Top/Review/VS/替代方案文章</x:v>
      </x:c>
      <x:c r="N1010" s="9" t="str">
        <x:v>Best angle: best pocket vapes - comparison, pros/cons, and which option fits different buyers</x:v>
      </x:c>
      <x:c r="O1010" s="9" t="str">
        <x:v>/collections/disposable-vapes</x:v>
      </x:c>
      <x:c r="P1010" s="9" t="str">
        <x:v>是</x:v>
      </x:c>
      <x:c r="Q1010" s="9" t="str">
        <x:v>自然句/品类词/品牌词</x:v>
      </x:c>
      <x:c r="R1010" s="9" t="str">
        <x:v>中风险：榜单和评测必须真实、中立，避免夸大</x:v>
      </x:c>
      <x:c r="S1010" s="9" t="str">
        <x:v>这类词不直接给主站，先用博客C教育和比较，再导流到最相关集合页。</x:v>
      </x:c>
      <x:c r="T1010" s="38" t="n">
        <x:v>4</x:v>
      </x:c>
      <x:c r="U1010" s="38" t="n">
        <x:v>9</x:v>
      </x:c>
      <x:c r="V1010" s="38" t="n">
        <x:v>16</x:v>
      </x:c>
      <x:c r="W1010" s="38" t="n">
        <x:v>15</x:v>
      </x:c>
      <x:c r="X1010" s="38" t="n">
        <x:v>13</x:v>
      </x:c>
      <x:c r="Y1010" s="38" t="n">
        <x:v>6</x:v>
      </x:c>
      <x:c r="Z1010" s="38" t="n">
        <x:f>MAX(0,MIN(100,ROUND(((T1010+U1010+V1010+W1010+X1010)-Y1010)/85*100,0)))</x:f>
        <x:v>60</x:v>
      </x:c>
      <x:c r="AA1010" s="9" t="str">
        <x:f>IF(L1010="暂不做","P3 暂缓",IF(Z1010&gt;=75,"P0 本周做",IF(Z1010&gt;=60,"P1 近期做",IF(Z1010&gt;=45,"P2 备选","P3 暂缓"))))</x:f>
        <x:v>P1 近期做</x:v>
      </x:c>
      <x:c r="AB1010" s="9" t="str">
        <x:f>IF(Y1010&gt;=15,"先做合规/相关性复核，不建议直接商业导流",IF(L1010="主站","建/优化主站商业页",IF(L1010="博客A-知识教程","写知识教程/FAQ文章",IF(L1010="博客B-场景人群","写场景需求/选购指南文章",IF(L1010="博客C-对比评测","写对比评测/榜单文章","暂不做或人工复核")))))</x:f>
        <x:v>写对比评测/榜单文章</x:v>
      </x:c>
      <x:c r="AC1010" s="9" t="str">
        <x:v>vape mods for sale</x:v>
      </x:c>
      <x:c r="AD1010" s="10" t="str">
        <x:v>48</x:v>
      </x:c>
    </x:row>
    <x:row r="1011">
      <x:c r="A1011" s="34" t="n">
        <x:v>1011</x:v>
      </x:c>
      <x:c r="B1011" s="9" t="str">
        <x:v>48</x:v>
      </x:c>
      <x:c r="C1011" s="9" t="str">
        <x:v>comprar vape online</x:v>
      </x:c>
      <x:c r="D1011" s="9" t="str">
        <x:v>recommended</x:v>
      </x:c>
      <x:c r="E1011" s="36" t="n">
        <x:v>70</x:v>
      </x:c>
      <x:c r="F1011" s="36" t="n">
        <x:v>72</x:v>
      </x:c>
      <x:c r="G1011" s="9" t="str">
        <x:v>commercial</x:v>
      </x:c>
      <x:c r="H1011" s="9" t="str">
        <x:v>购买交易</x:v>
      </x:c>
      <x:c r="I1011" s="9" t="str">
        <x:v>交易词</x:v>
      </x:c>
      <x:c r="J1011" s="9" t="str">
        <x:v>主站</x:v>
      </x:c>
      <x:c r="K1011" s="9" t="str"/>
      <x:c r="L1011" s="9" t="str">
        <x:f>IF(K1011="",J1011,K1011)</x:f>
        <x:v>主站</x:v>
      </x:c>
      <x:c r="M1011" s="9" t="str">
        <x:v>产品集合页/分类页/购买页</x:v>
      </x:c>
      <x:c r="N1011" s="9" t="str">
        <x:v>主站商业页：标题围绕购买意图 + 品类 + 关键卖点</x:v>
      </x:c>
      <x:c r="O1011" s="9" t="str">
        <x:v>/collections/disposable-vapes</x:v>
      </x:c>
      <x:c r="P1011" s="9" t="str">
        <x:v>不适用</x:v>
      </x:c>
      <x:c r="Q1011" s="9" t="str">
        <x:v>主站页面自身承接</x:v>
      </x:c>
      <x:c r="R1011" s="9" t="str">
        <x:v>商业词：优先给主站，避免博客抢主站排名</x:v>
      </x:c>
      <x:c r="S1011" s="9" t="str">
        <x:v>SERP 如为商品列表/品牌站/电商集合页，就建主站页面；若 SERP 全是教程，再拆支持文章。</x:v>
      </x:c>
      <x:c r="T1011" s="38" t="n">
        <x:v>4</x:v>
      </x:c>
      <x:c r="U1011" s="38" t="n">
        <x:v>3</x:v>
      </x:c>
      <x:c r="V1011" s="38" t="n">
        <x:v>20</x:v>
      </x:c>
      <x:c r="W1011" s="38" t="n">
        <x:v>7</x:v>
      </x:c>
      <x:c r="X1011" s="38" t="n">
        <x:v>15</x:v>
      </x:c>
      <x:c r="Y1011" s="38" t="n">
        <x:v>4</x:v>
      </x:c>
      <x:c r="Z1011" s="38" t="n">
        <x:f>MAX(0,MIN(100,ROUND(((T1011+U1011+V1011+W1011+X1011)-Y1011)/85*100,0)))</x:f>
        <x:v>53</x:v>
      </x:c>
      <x:c r="AA1011" s="9" t="str">
        <x:f>IF(L1011="暂不做","P3 暂缓",IF(Z1011&gt;=75,"P0 本周做",IF(Z1011&gt;=60,"P1 近期做",IF(Z1011&gt;=45,"P2 备选","P3 暂缓"))))</x:f>
        <x:v>P2 备选</x:v>
      </x:c>
      <x:c r="AB1011" s="9" t="str">
        <x:f>IF(Y1011&gt;=15,"先做合规/相关性复核，不建议直接商业导流",IF(L1011="主站","建/优化主站商业页",IF(L1011="博客A-知识教程","写知识教程/FAQ文章",IF(L1011="博客B-场景人群","写场景需求/选购指南文章",IF(L1011="博客C-对比评测","写对比评测/榜单文章","暂不做或人工复核")))))</x:f>
        <x:v>建/优化主站商业页</x:v>
      </x:c>
      <x:c r="AC1011" s="9" t="str">
        <x:v>vape mods for sale</x:v>
      </x:c>
      <x:c r="AD1011" s="10" t="str">
        <x:v>48</x:v>
      </x:c>
    </x:row>
    <x:row r="1012">
      <x:c r="A1012" s="34" t="n">
        <x:v>1012</x:v>
      </x:c>
      <x:c r="B1012" s="9" t="str">
        <x:v>48</x:v>
      </x:c>
      <x:c r="C1012" s="9" t="str">
        <x:v>vape machine for sale</x:v>
      </x:c>
      <x:c r="D1012" s="9" t="str">
        <x:v>recommended</x:v>
      </x:c>
      <x:c r="E1012" s="36" t="n">
        <x:v>50</x:v>
      </x:c>
      <x:c r="F1012" s="36" t="n">
        <x:v>45</x:v>
      </x:c>
      <x:c r="G1012" s="9" t="str">
        <x:v>transactional</x:v>
      </x:c>
      <x:c r="H1012" s="9" t="str">
        <x:v>购买交易</x:v>
      </x:c>
      <x:c r="I1012" s="9" t="str">
        <x:v>交易词</x:v>
      </x:c>
      <x:c r="J1012" s="9" t="str">
        <x:v>主站</x:v>
      </x:c>
      <x:c r="K1012" s="9" t="str"/>
      <x:c r="L1012" s="9" t="str">
        <x:f>IF(K1012="",J1012,K1012)</x:f>
        <x:v>主站</x:v>
      </x:c>
      <x:c r="M1012" s="9" t="str">
        <x:v>产品集合页/分类页/购买页</x:v>
      </x:c>
      <x:c r="N1012" s="9" t="str">
        <x:v>主站商业页：标题围绕购买意图 + 品类 + 关键卖点</x:v>
      </x:c>
      <x:c r="O1012" s="9" t="str">
        <x:v>/collections/disposable-vapes</x:v>
      </x:c>
      <x:c r="P1012" s="9" t="str">
        <x:v>不适用</x:v>
      </x:c>
      <x:c r="Q1012" s="9" t="str">
        <x:v>主站页面自身承接</x:v>
      </x:c>
      <x:c r="R1012" s="9" t="str">
        <x:v>商业词：优先给主站，避免博客抢主站排名</x:v>
      </x:c>
      <x:c r="S1012" s="9" t="str">
        <x:v>SERP 如为商品列表/品牌站/电商集合页，就建主站页面；若 SERP 全是教程，再拆支持文章。</x:v>
      </x:c>
      <x:c r="T1012" s="38" t="n">
        <x:v>4</x:v>
      </x:c>
      <x:c r="U1012" s="38" t="n">
        <x:v>9</x:v>
      </x:c>
      <x:c r="V1012" s="38" t="n">
        <x:v>20</x:v>
      </x:c>
      <x:c r="W1012" s="38" t="n">
        <x:v>7</x:v>
      </x:c>
      <x:c r="X1012" s="38" t="n">
        <x:v>15</x:v>
      </x:c>
      <x:c r="Y1012" s="38" t="n">
        <x:v>4</x:v>
      </x:c>
      <x:c r="Z1012" s="38" t="n">
        <x:f>MAX(0,MIN(100,ROUND(((T1012+U1012+V1012+W1012+X1012)-Y1012)/85*100,0)))</x:f>
        <x:v>60</x:v>
      </x:c>
      <x:c r="AA1012" s="9" t="str">
        <x:f>IF(L1012="暂不做","P3 暂缓",IF(Z1012&gt;=75,"P0 本周做",IF(Z1012&gt;=60,"P1 近期做",IF(Z1012&gt;=45,"P2 备选","P3 暂缓"))))</x:f>
        <x:v>P1 近期做</x:v>
      </x:c>
      <x:c r="AB1012" s="9" t="str">
        <x:f>IF(Y1012&gt;=15,"先做合规/相关性复核，不建议直接商业导流",IF(L1012="主站","建/优化主站商业页",IF(L1012="博客A-知识教程","写知识教程/FAQ文章",IF(L1012="博客B-场景人群","写场景需求/选购指南文章",IF(L1012="博客C-对比评测","写对比评测/榜单文章","暂不做或人工复核")))))</x:f>
        <x:v>建/优化主站商业页</x:v>
      </x:c>
      <x:c r="AC1012" s="9" t="str">
        <x:v>vape mods for sale</x:v>
      </x:c>
      <x:c r="AD1012" s="10" t="str">
        <x:v>48</x:v>
      </x:c>
    </x:row>
    <x:row r="1013">
      <x:c r="A1013" s="34" t="n">
        <x:v>1013</x:v>
      </x:c>
      <x:c r="B1013" s="9" t="str">
        <x:v>48</x:v>
      </x:c>
      <x:c r="C1013" s="9" t="str">
        <x:v>cheap vape deals</x:v>
      </x:c>
      <x:c r="D1013" s="9" t="str">
        <x:v>recommended</x:v>
      </x:c>
      <x:c r="E1013" s="36" t="n">
        <x:v>480</x:v>
      </x:c>
      <x:c r="F1013" s="36" t="n">
        <x:v>44</x:v>
      </x:c>
      <x:c r="G1013" s="9" t="str">
        <x:v>transactional</x:v>
      </x:c>
      <x:c r="H1013" s="9" t="str">
        <x:v>购买交易</x:v>
      </x:c>
      <x:c r="I1013" s="9" t="str">
        <x:v>交易词</x:v>
      </x:c>
      <x:c r="J1013" s="9" t="str">
        <x:v>主站</x:v>
      </x:c>
      <x:c r="K1013" s="9" t="str"/>
      <x:c r="L1013" s="9" t="str">
        <x:f>IF(K1013="",J1013,K1013)</x:f>
        <x:v>主站</x:v>
      </x:c>
      <x:c r="M1013" s="9" t="str">
        <x:v>产品集合页/分类页/购买页</x:v>
      </x:c>
      <x:c r="N1013" s="9" t="str">
        <x:v>主站商业页：标题围绕购买意图 + 品类 + 关键卖点</x:v>
      </x:c>
      <x:c r="O1013" s="9" t="str">
        <x:v>/collections/disposable-vapes</x:v>
      </x:c>
      <x:c r="P1013" s="9" t="str">
        <x:v>不适用</x:v>
      </x:c>
      <x:c r="Q1013" s="9" t="str">
        <x:v>主站页面自身承接</x:v>
      </x:c>
      <x:c r="R1013" s="9" t="str">
        <x:v>商业词：优先给主站，避免博客抢主站排名</x:v>
      </x:c>
      <x:c r="S1013" s="9" t="str">
        <x:v>SERP 如为商品列表/品牌站/电商集合页，就建主站页面；若 SERP 全是教程，再拆支持文章。</x:v>
      </x:c>
      <x:c r="T1013" s="38" t="n">
        <x:v>7</x:v>
      </x:c>
      <x:c r="U1013" s="38" t="n">
        <x:v>9</x:v>
      </x:c>
      <x:c r="V1013" s="38" t="n">
        <x:v>20</x:v>
      </x:c>
      <x:c r="W1013" s="38" t="n">
        <x:v>7</x:v>
      </x:c>
      <x:c r="X1013" s="38" t="n">
        <x:v>15</x:v>
      </x:c>
      <x:c r="Y1013" s="38" t="n">
        <x:v>4</x:v>
      </x:c>
      <x:c r="Z1013" s="38" t="n">
        <x:f>MAX(0,MIN(100,ROUND(((T1013+U1013+V1013+W1013+X1013)-Y1013)/85*100,0)))</x:f>
        <x:v>64</x:v>
      </x:c>
      <x:c r="AA1013" s="9" t="str">
        <x:f>IF(L1013="暂不做","P3 暂缓",IF(Z1013&gt;=75,"P0 本周做",IF(Z1013&gt;=60,"P1 近期做",IF(Z1013&gt;=45,"P2 备选","P3 暂缓"))))</x:f>
        <x:v>P1 近期做</x:v>
      </x:c>
      <x:c r="AB1013" s="9" t="str">
        <x:f>IF(Y1013&gt;=15,"先做合规/相关性复核，不建议直接商业导流",IF(L1013="主站","建/优化主站商业页",IF(L1013="博客A-知识教程","写知识教程/FAQ文章",IF(L1013="博客B-场景人群","写场景需求/选购指南文章",IF(L1013="博客C-对比评测","写对比评测/榜单文章","暂不做或人工复核")))))</x:f>
        <x:v>建/优化主站商业页</x:v>
      </x:c>
      <x:c r="AC1013" s="9" t="str">
        <x:v>vape mods for sale</x:v>
      </x:c>
      <x:c r="AD1013" s="10" t="str">
        <x:v>48</x:v>
      </x:c>
    </x:row>
    <x:row r="1014">
      <x:c r="A1014" s="34" t="n">
        <x:v>1014</x:v>
      </x:c>
      <x:c r="B1014" s="9" t="str">
        <x:v>48</x:v>
      </x:c>
      <x:c r="C1014" s="9" t="str">
        <x:v>vape juice</x:v>
      </x:c>
      <x:c r="D1014" s="9" t="str">
        <x:v>recommended</x:v>
      </x:c>
      <x:c r="E1014" s="36" t="n">
        <x:v>22200</x:v>
      </x:c>
      <x:c r="F1014" s="36" t="n">
        <x:v>67</x:v>
      </x:c>
      <x:c r="G1014" s="9" t="str">
        <x:v>commercial</x:v>
      </x:c>
      <x:c r="H1014" s="9" t="str">
        <x:v>General Vape</x:v>
      </x:c>
      <x:c r="I1014" s="9" t="str">
        <x:v>品类承接词</x:v>
      </x:c>
      <x:c r="J1014" s="9" t="str">
        <x:v>主站</x:v>
      </x:c>
      <x:c r="K1014" s="9" t="str"/>
      <x:c r="L1014" s="9" t="str">
        <x:f>IF(K1014="",J1014,K1014)</x:f>
        <x:v>主站</x:v>
      </x:c>
      <x:c r="M1014" s="9" t="str">
        <x:v>品类页/集合页 + FAQ内容块</x:v>
      </x:c>
      <x:c r="N1014" s="9" t="str">
        <x:v>主站品类页：用产品集合 + 选购说明承接</x:v>
      </x:c>
      <x:c r="O1014" s="9" t="str">
        <x:v>/collections/disposable-vapes</x:v>
      </x:c>
      <x:c r="P1014" s="9" t="str">
        <x:v>不适用</x:v>
      </x:c>
      <x:c r="Q1014" s="9" t="str">
        <x:v>主站页面自身承接</x:v>
      </x:c>
      <x:c r="R1014" s="9" t="str">
        <x:v>核心品类词：主站优先，博客只做长尾解释，不直接抢同一词</x:v>
      </x:c>
      <x:c r="S1014" s="9" t="str">
        <x:v>如果 Google 首页产品页和指南混合，主站页要加 FAQ、选购指南、对比模块。</x:v>
      </x:c>
      <x:c r="T1014" s="38" t="n">
        <x:v>20</x:v>
      </x:c>
      <x:c r="U1014" s="38" t="n">
        <x:v>3</x:v>
      </x:c>
      <x:c r="V1014" s="38" t="n">
        <x:v>18</x:v>
      </x:c>
      <x:c r="W1014" s="38" t="n">
        <x:v>8</x:v>
      </x:c>
      <x:c r="X1014" s="38" t="n">
        <x:v>15</x:v>
      </x:c>
      <x:c r="Y1014" s="38" t="n">
        <x:v>4</x:v>
      </x:c>
      <x:c r="Z1014" s="38" t="n">
        <x:f>MAX(0,MIN(100,ROUND(((T1014+U1014+V1014+W1014+X1014)-Y1014)/85*100,0)))</x:f>
        <x:v>71</x:v>
      </x:c>
      <x:c r="AA1014" s="9" t="str">
        <x:f>IF(L1014="暂不做","P3 暂缓",IF(Z1014&gt;=75,"P0 本周做",IF(Z1014&gt;=60,"P1 近期做",IF(Z1014&gt;=45,"P2 备选","P3 暂缓"))))</x:f>
        <x:v>P1 近期做</x:v>
      </x:c>
      <x:c r="AB1014" s="9" t="str">
        <x:f>IF(Y1014&gt;=15,"先做合规/相关性复核，不建议直接商业导流",IF(L1014="主站","建/优化主站商业页",IF(L1014="博客A-知识教程","写知识教程/FAQ文章",IF(L1014="博客B-场景人群","写场景需求/选购指南文章",IF(L1014="博客C-对比评测","写对比评测/榜单文章","暂不做或人工复核")))))</x:f>
        <x:v>建/优化主站商业页</x:v>
      </x:c>
      <x:c r="AC1014" s="9" t="str">
        <x:v>vape mods for sale</x:v>
      </x:c>
      <x:c r="AD1014" s="10" t="str">
        <x:v>48</x:v>
      </x:c>
    </x:row>
    <x:row r="1015">
      <x:c r="A1015" s="34" t="n">
        <x:v>1015</x:v>
      </x:c>
      <x:c r="B1015" s="9" t="str">
        <x:v>48</x:v>
      </x:c>
      <x:c r="C1015" s="9" t="str">
        <x:v>what are the 4 types of vapes</x:v>
      </x:c>
      <x:c r="D1015" s="9" t="str">
        <x:v>recommended</x:v>
      </x:c>
      <x:c r="E1015" s="36" t="n">
        <x:v>90</x:v>
      </x:c>
      <x:c r="F1015" s="36" t="n">
        <x:v>9</x:v>
      </x:c>
      <x:c r="G1015" s="9" t="str">
        <x:v>informational</x:v>
      </x:c>
      <x:c r="H1015" s="9" t="str">
        <x:v>知识教程</x:v>
      </x:c>
      <x:c r="I1015" s="9" t="str">
        <x:v>知识/教程词</x:v>
      </x:c>
      <x:c r="J1015" s="9" t="str">
        <x:v>博客A-知识教程</x:v>
      </x:c>
      <x:c r="K1015" s="9" t="str"/>
      <x:c r="L1015" s="9" t="str">
        <x:f>IF(K1015="",J1015,K1015)</x:f>
        <x:v>博客A-知识教程</x:v>
      </x:c>
      <x:c r="M1015" s="9" t="str">
        <x:v>百科/How-to/FAQ文章</x:v>
      </x:c>
      <x:c r="N1015" s="9" t="str">
        <x:v>Guide angle: explain what are the 4 types of vapes, answer common questions, and avoid sales-first writing</x:v>
      </x:c>
      <x:c r="O1015" s="9" t="str">
        <x:v>/collections/disposable-vapes</x:v>
      </x:c>
      <x:c r="P1015" s="9" t="str">
        <x:v>谨慎</x:v>
      </x:c>
      <x:c r="Q1015" s="9" t="str">
        <x:v>自然句/品牌词</x:v>
      </x:c>
      <x:c r="R1015" s="9" t="str">
        <x:v>低中风险：先满足信息意图，导流要克制</x:v>
      </x:c>
      <x:c r="S1015" s="9" t="str">
        <x:v>如果文章能自然回答下一步购买问题，再放 1 个主站内链；否则只做知识闭环。</x:v>
      </x:c>
      <x:c r="T1015" s="38" t="n">
        <x:v>4</x:v>
      </x:c>
      <x:c r="U1015" s="38" t="n">
        <x:v>15</x:v>
      </x:c>
      <x:c r="V1015" s="38" t="n">
        <x:v>9</x:v>
      </x:c>
      <x:c r="W1015" s="38" t="n">
        <x:v>14</x:v>
      </x:c>
      <x:c r="X1015" s="38" t="n">
        <x:v>12</x:v>
      </x:c>
      <x:c r="Y1015" s="38" t="n">
        <x:v>5</x:v>
      </x:c>
      <x:c r="Z1015" s="38" t="n">
        <x:f>MAX(0,MIN(100,ROUND(((T1015+U1015+V1015+W1015+X1015)-Y1015)/85*100,0)))</x:f>
        <x:v>58</x:v>
      </x:c>
      <x:c r="AA1015" s="9" t="str">
        <x:f>IF(L1015="暂不做","P3 暂缓",IF(Z1015&gt;=75,"P0 本周做",IF(Z1015&gt;=60,"P1 近期做",IF(Z1015&gt;=45,"P2 备选","P3 暂缓"))))</x:f>
        <x:v>P2 备选</x:v>
      </x:c>
      <x:c r="AB1015" s="9" t="str">
        <x:f>IF(Y1015&gt;=15,"先做合规/相关性复核，不建议直接商业导流",IF(L1015="主站","建/优化主站商业页",IF(L1015="博客A-知识教程","写知识教程/FAQ文章",IF(L1015="博客B-场景人群","写场景需求/选购指南文章",IF(L1015="博客C-对比评测","写对比评测/榜单文章","暂不做或人工复核")))))</x:f>
        <x:v>写知识教程/FAQ文章</x:v>
      </x:c>
      <x:c r="AC1015" s="9" t="str">
        <x:v>what are the 4 types of vapes</x:v>
      </x:c>
      <x:c r="AD1015" s="10" t="str">
        <x:v>48</x:v>
      </x:c>
    </x:row>
    <x:row r="1016">
      <x:c r="A1016" s="34" t="n">
        <x:v>1016</x:v>
      </x:c>
      <x:c r="B1016" s="9" t="str">
        <x:v>48</x:v>
      </x:c>
      <x:c r="C1016" s="9" t="str">
        <x:v>types of vape pens</x:v>
      </x:c>
      <x:c r="D1016" s="9" t="str">
        <x:v>recommended</x:v>
      </x:c>
      <x:c r="E1016" s="36" t="n">
        <x:v>260</x:v>
      </x:c>
      <x:c r="F1016" s="36" t="n">
        <x:v>30</x:v>
      </x:c>
      <x:c r="G1016" s="9" t="str">
        <x:v>informational</x:v>
      </x:c>
      <x:c r="H1016" s="9" t="str">
        <x:v>知识教程</x:v>
      </x:c>
      <x:c r="I1016" s="9" t="str">
        <x:v>知识/教程词</x:v>
      </x:c>
      <x:c r="J1016" s="9" t="str">
        <x:v>博客A-知识教程</x:v>
      </x:c>
      <x:c r="K1016" s="9" t="str"/>
      <x:c r="L1016" s="9" t="str">
        <x:f>IF(K1016="",J1016,K1016)</x:f>
        <x:v>博客A-知识教程</x:v>
      </x:c>
      <x:c r="M1016" s="9" t="str">
        <x:v>百科/How-to/FAQ文章</x:v>
      </x:c>
      <x:c r="N1016" s="9" t="str">
        <x:v>Guide angle: explain types of vape pens, answer common questions, and avoid sales-first writing</x:v>
      </x:c>
      <x:c r="O1016" s="9" t="str">
        <x:v>/collections/disposable-vapes</x:v>
      </x:c>
      <x:c r="P1016" s="9" t="str">
        <x:v>谨慎</x:v>
      </x:c>
      <x:c r="Q1016" s="9" t="str">
        <x:v>自然句/品牌词</x:v>
      </x:c>
      <x:c r="R1016" s="9" t="str">
        <x:v>低中风险：先满足信息意图，导流要克制</x:v>
      </x:c>
      <x:c r="S1016" s="9" t="str">
        <x:v>如果文章能自然回答下一步购买问题，再放 1 个主站内链；否则只做知识闭环。</x:v>
      </x:c>
      <x:c r="T1016" s="38" t="n">
        <x:v>7</x:v>
      </x:c>
      <x:c r="U1016" s="38" t="n">
        <x:v>12</x:v>
      </x:c>
      <x:c r="V1016" s="38" t="n">
        <x:v>9</x:v>
      </x:c>
      <x:c r="W1016" s="38" t="n">
        <x:v>14</x:v>
      </x:c>
      <x:c r="X1016" s="38" t="n">
        <x:v>12</x:v>
      </x:c>
      <x:c r="Y1016" s="38" t="n">
        <x:v>5</x:v>
      </x:c>
      <x:c r="Z1016" s="38" t="n">
        <x:f>MAX(0,MIN(100,ROUND(((T1016+U1016+V1016+W1016+X1016)-Y1016)/85*100,0)))</x:f>
        <x:v>58</x:v>
      </x:c>
      <x:c r="AA1016" s="9" t="str">
        <x:f>IF(L1016="暂不做","P3 暂缓",IF(Z1016&gt;=75,"P0 本周做",IF(Z1016&gt;=60,"P1 近期做",IF(Z1016&gt;=45,"P2 备选","P3 暂缓"))))</x:f>
        <x:v>P2 备选</x:v>
      </x:c>
      <x:c r="AB1016" s="9" t="str">
        <x:f>IF(Y1016&gt;=15,"先做合规/相关性复核，不建议直接商业导流",IF(L1016="主站","建/优化主站商业页",IF(L1016="博客A-知识教程","写知识教程/FAQ文章",IF(L1016="博客B-场景人群","写场景需求/选购指南文章",IF(L1016="博客C-对比评测","写对比评测/榜单文章","暂不做或人工复核")))))</x:f>
        <x:v>写知识教程/FAQ文章</x:v>
      </x:c>
      <x:c r="AC1016" s="9" t="str">
        <x:v>what are the 4 types of vapes</x:v>
      </x:c>
      <x:c r="AD1016" s="10" t="str">
        <x:v>48</x:v>
      </x:c>
    </x:row>
    <x:row r="1017">
      <x:c r="A1017" s="34" t="n">
        <x:v>1017</x:v>
      </x:c>
      <x:c r="B1017" s="9" t="str">
        <x:v>48</x:v>
      </x:c>
      <x:c r="C1017" s="9" t="str">
        <x:v>what are the different types of vapes</x:v>
      </x:c>
      <x:c r="D1017" s="9" t="str">
        <x:v>recommended</x:v>
      </x:c>
      <x:c r="E1017" s="36" t="n">
        <x:v>90</x:v>
      </x:c>
      <x:c r="F1017" s="36" t="n">
        <x:v>17</x:v>
      </x:c>
      <x:c r="G1017" s="9" t="str">
        <x:v>informational</x:v>
      </x:c>
      <x:c r="H1017" s="9" t="str">
        <x:v>知识教程</x:v>
      </x:c>
      <x:c r="I1017" s="9" t="str">
        <x:v>知识/教程词</x:v>
      </x:c>
      <x:c r="J1017" s="9" t="str">
        <x:v>博客A-知识教程</x:v>
      </x:c>
      <x:c r="K1017" s="9" t="str"/>
      <x:c r="L1017" s="9" t="str">
        <x:f>IF(K1017="",J1017,K1017)</x:f>
        <x:v>博客A-知识教程</x:v>
      </x:c>
      <x:c r="M1017" s="9" t="str">
        <x:v>百科/How-to/FAQ文章</x:v>
      </x:c>
      <x:c r="N1017" s="9" t="str">
        <x:v>Guide angle: explain what are the different types of vapes, answer common questions, and avoid sales-first writing</x:v>
      </x:c>
      <x:c r="O1017" s="9" t="str">
        <x:v>/collections/disposable-vapes</x:v>
      </x:c>
      <x:c r="P1017" s="9" t="str">
        <x:v>谨慎</x:v>
      </x:c>
      <x:c r="Q1017" s="9" t="str">
        <x:v>自然句/品牌词</x:v>
      </x:c>
      <x:c r="R1017" s="9" t="str">
        <x:v>低中风险：先满足信息意图，导流要克制</x:v>
      </x:c>
      <x:c r="S1017" s="9" t="str">
        <x:v>如果文章能自然回答下一步购买问题，再放 1 个主站内链；否则只做知识闭环。</x:v>
      </x:c>
      <x:c r="T1017" s="38" t="n">
        <x:v>4</x:v>
      </x:c>
      <x:c r="U1017" s="38" t="n">
        <x:v>12</x:v>
      </x:c>
      <x:c r="V1017" s="38" t="n">
        <x:v>9</x:v>
      </x:c>
      <x:c r="W1017" s="38" t="n">
        <x:v>14</x:v>
      </x:c>
      <x:c r="X1017" s="38" t="n">
        <x:v>12</x:v>
      </x:c>
      <x:c r="Y1017" s="38" t="n">
        <x:v>5</x:v>
      </x:c>
      <x:c r="Z1017" s="38" t="n">
        <x:f>MAX(0,MIN(100,ROUND(((T1017+U1017+V1017+W1017+X1017)-Y1017)/85*100,0)))</x:f>
        <x:v>54</x:v>
      </x:c>
      <x:c r="AA1017" s="9" t="str">
        <x:f>IF(L1017="暂不做","P3 暂缓",IF(Z1017&gt;=75,"P0 本周做",IF(Z1017&gt;=60,"P1 近期做",IF(Z1017&gt;=45,"P2 备选","P3 暂缓"))))</x:f>
        <x:v>P2 备选</x:v>
      </x:c>
      <x:c r="AB1017" s="9" t="str">
        <x:f>IF(Y1017&gt;=15,"先做合规/相关性复核，不建议直接商业导流",IF(L1017="主站","建/优化主站商业页",IF(L1017="博客A-知识教程","写知识教程/FAQ文章",IF(L1017="博客B-场景人群","写场景需求/选购指南文章",IF(L1017="博客C-对比评测","写对比评测/榜单文章","暂不做或人工复核")))))</x:f>
        <x:v>写知识教程/FAQ文章</x:v>
      </x:c>
      <x:c r="AC1017" s="9" t="str">
        <x:v>what are the 4 types of vapes</x:v>
      </x:c>
      <x:c r="AD1017" s="10" t="str">
        <x:v>48</x:v>
      </x:c>
    </x:row>
    <x:row r="1018">
      <x:c r="A1018" s="34" t="n">
        <x:v>1018</x:v>
      </x:c>
      <x:c r="B1018" s="9" t="str">
        <x:v>48</x:v>
      </x:c>
      <x:c r="C1018" s="9" t="str">
        <x:v>what vape should i get</x:v>
      </x:c>
      <x:c r="D1018" s="9" t="str">
        <x:v>recommended</x:v>
      </x:c>
      <x:c r="E1018" s="36" t="n">
        <x:v>40</x:v>
      </x:c>
      <x:c r="F1018" s="36" t="n">
        <x:v>11</x:v>
      </x:c>
      <x:c r="G1018" s="9" t="str">
        <x:v>informational</x:v>
      </x:c>
      <x:c r="H1018" s="9" t="str">
        <x:v>知识教程</x:v>
      </x:c>
      <x:c r="I1018" s="9" t="str">
        <x:v>知识/教程词</x:v>
      </x:c>
      <x:c r="J1018" s="9" t="str">
        <x:v>博客A-知识教程</x:v>
      </x:c>
      <x:c r="K1018" s="9" t="str"/>
      <x:c r="L1018" s="9" t="str">
        <x:f>IF(K1018="",J1018,K1018)</x:f>
        <x:v>博客A-知识教程</x:v>
      </x:c>
      <x:c r="M1018" s="9" t="str">
        <x:v>百科/How-to/FAQ文章</x:v>
      </x:c>
      <x:c r="N1018" s="9" t="str">
        <x:v>Guide angle: explain what vape should i get, answer common questions, and avoid sales-first writing</x:v>
      </x:c>
      <x:c r="O1018" s="9" t="str">
        <x:v>/collections/disposable-vapes</x:v>
      </x:c>
      <x:c r="P1018" s="9" t="str">
        <x:v>谨慎</x:v>
      </x:c>
      <x:c r="Q1018" s="9" t="str">
        <x:v>自然句/品牌词</x:v>
      </x:c>
      <x:c r="R1018" s="9" t="str">
        <x:v>低中风险：先满足信息意图，导流要克制</x:v>
      </x:c>
      <x:c r="S1018" s="9" t="str">
        <x:v>如果文章能自然回答下一步购买问题，再放 1 个主站内链；否则只做知识闭环。</x:v>
      </x:c>
      <x:c r="T1018" s="38" t="n">
        <x:v>4</x:v>
      </x:c>
      <x:c r="U1018" s="38" t="n">
        <x:v>15</x:v>
      </x:c>
      <x:c r="V1018" s="38" t="n">
        <x:v>9</x:v>
      </x:c>
      <x:c r="W1018" s="38" t="n">
        <x:v>14</x:v>
      </x:c>
      <x:c r="X1018" s="38" t="n">
        <x:v>12</x:v>
      </x:c>
      <x:c r="Y1018" s="38" t="n">
        <x:v>5</x:v>
      </x:c>
      <x:c r="Z1018" s="38" t="n">
        <x:f>MAX(0,MIN(100,ROUND(((T1018+U1018+V1018+W1018+X1018)-Y1018)/85*100,0)))</x:f>
        <x:v>58</x:v>
      </x:c>
      <x:c r="AA1018" s="9" t="str">
        <x:f>IF(L1018="暂不做","P3 暂缓",IF(Z1018&gt;=75,"P0 本周做",IF(Z1018&gt;=60,"P1 近期做",IF(Z1018&gt;=45,"P2 备选","P3 暂缓"))))</x:f>
        <x:v>P2 备选</x:v>
      </x:c>
      <x:c r="AB1018" s="9" t="str">
        <x:f>IF(Y1018&gt;=15,"先做合规/相关性复核，不建议直接商业导流",IF(L1018="主站","建/优化主站商业页",IF(L1018="博客A-知识教程","写知识教程/FAQ文章",IF(L1018="博客B-场景人群","写场景需求/选购指南文章",IF(L1018="博客C-对比评测","写对比评测/榜单文章","暂不做或人工复核")))))</x:f>
        <x:v>写知识教程/FAQ文章</x:v>
      </x:c>
      <x:c r="AC1018" s="9" t="str">
        <x:v>what are the 4 types of vapes</x:v>
      </x:c>
      <x:c r="AD1018" s="10" t="str">
        <x:v>48</x:v>
      </x:c>
    </x:row>
    <x:row r="1019">
      <x:c r="A1019" s="34" t="n">
        <x:v>1019</x:v>
      </x:c>
      <x:c r="B1019" s="9" t="str">
        <x:v>48</x:v>
      </x:c>
      <x:c r="C1019" s="9" t="str">
        <x:v>different vape types</x:v>
      </x:c>
      <x:c r="D1019" s="9" t="str">
        <x:v>recommended</x:v>
      </x:c>
      <x:c r="E1019" s="36" t="n">
        <x:v>40</x:v>
      </x:c>
      <x:c r="F1019" s="36" t="n">
        <x:v>16</x:v>
      </x:c>
      <x:c r="G1019" s="9" t="str">
        <x:v>informational</x:v>
      </x:c>
      <x:c r="H1019" s="9" t="str">
        <x:v>知识教程</x:v>
      </x:c>
      <x:c r="I1019" s="9" t="str">
        <x:v>品类承接词</x:v>
      </x:c>
      <x:c r="J1019" s="9" t="str">
        <x:v>主站</x:v>
      </x:c>
      <x:c r="K1019" s="9" t="str"/>
      <x:c r="L1019" s="9" t="str">
        <x:f>IF(K1019="",J1019,K1019)</x:f>
        <x:v>主站</x:v>
      </x:c>
      <x:c r="M1019" s="9" t="str">
        <x:v>品类页/集合页 + FAQ内容块</x:v>
      </x:c>
      <x:c r="N1019" s="9" t="str">
        <x:v>主站品类页：用产品集合 + 选购说明承接</x:v>
      </x:c>
      <x:c r="O1019" s="9" t="str">
        <x:v>/collections/disposable-vapes</x:v>
      </x:c>
      <x:c r="P1019" s="9" t="str">
        <x:v>不适用</x:v>
      </x:c>
      <x:c r="Q1019" s="9" t="str">
        <x:v>主站页面自身承接</x:v>
      </x:c>
      <x:c r="R1019" s="9" t="str">
        <x:v>核心品类词：主站优先，博客只做长尾解释，不直接抢同一词</x:v>
      </x:c>
      <x:c r="S1019" s="9" t="str">
        <x:v>如果 Google 首页产品页和指南混合，主站页要加 FAQ、选购指南、对比模块。</x:v>
      </x:c>
      <x:c r="T1019" s="38" t="n">
        <x:v>4</x:v>
      </x:c>
      <x:c r="U1019" s="38" t="n">
        <x:v>12</x:v>
      </x:c>
      <x:c r="V1019" s="38" t="n">
        <x:v>16</x:v>
      </x:c>
      <x:c r="W1019" s="38" t="n">
        <x:v>8</x:v>
      </x:c>
      <x:c r="X1019" s="38" t="n">
        <x:v>15</x:v>
      </x:c>
      <x:c r="Y1019" s="38" t="n">
        <x:v>4</x:v>
      </x:c>
      <x:c r="Z1019" s="38" t="n">
        <x:f>MAX(0,MIN(100,ROUND(((T1019+U1019+V1019+W1019+X1019)-Y1019)/85*100,0)))</x:f>
        <x:v>60</x:v>
      </x:c>
      <x:c r="AA1019" s="9" t="str">
        <x:f>IF(L1019="暂不做","P3 暂缓",IF(Z1019&gt;=75,"P0 本周做",IF(Z1019&gt;=60,"P1 近期做",IF(Z1019&gt;=45,"P2 备选","P3 暂缓"))))</x:f>
        <x:v>P1 近期做</x:v>
      </x:c>
      <x:c r="AB1019" s="9" t="str">
        <x:f>IF(Y1019&gt;=15,"先做合规/相关性复核，不建议直接商业导流",IF(L1019="主站","建/优化主站商业页",IF(L1019="博客A-知识教程","写知识教程/FAQ文章",IF(L1019="博客B-场景人群","写场景需求/选购指南文章",IF(L1019="博客C-对比评测","写对比评测/榜单文章","暂不做或人工复核")))))</x:f>
        <x:v>建/优化主站商业页</x:v>
      </x:c>
      <x:c r="AC1019" s="9" t="str">
        <x:v>what are the 4 types of vapes</x:v>
      </x:c>
      <x:c r="AD1019" s="10" t="str">
        <x:v>48</x:v>
      </x:c>
    </x:row>
    <x:row r="1020">
      <x:c r="A1020" s="34" t="n">
        <x:v>1020</x:v>
      </x:c>
      <x:c r="B1020" s="9" t="str">
        <x:v>48</x:v>
      </x:c>
      <x:c r="C1020" s="9" t="str">
        <x:v>vape name</x:v>
      </x:c>
      <x:c r="D1020" s="9" t="str">
        <x:v>recommended</x:v>
      </x:c>
      <x:c r="E1020" s="36" t="n">
        <x:v>50</x:v>
      </x:c>
      <x:c r="F1020" s="36" t="n">
        <x:v>23</x:v>
      </x:c>
      <x:c r="G1020" s="9" t="str">
        <x:v>informational</x:v>
      </x:c>
      <x:c r="H1020" s="9" t="str">
        <x:v>General Vape</x:v>
      </x:c>
      <x:c r="I1020" s="9" t="str">
        <x:v>品类承接词</x:v>
      </x:c>
      <x:c r="J1020" s="9" t="str">
        <x:v>主站</x:v>
      </x:c>
      <x:c r="K1020" s="9" t="str"/>
      <x:c r="L1020" s="9" t="str">
        <x:f>IF(K1020="",J1020,K1020)</x:f>
        <x:v>主站</x:v>
      </x:c>
      <x:c r="M1020" s="9" t="str">
        <x:v>品类页/集合页 + FAQ内容块</x:v>
      </x:c>
      <x:c r="N1020" s="9" t="str">
        <x:v>主站品类页：用产品集合 + 选购说明承接</x:v>
      </x:c>
      <x:c r="O1020" s="9" t="str">
        <x:v>/collections/disposable-vapes</x:v>
      </x:c>
      <x:c r="P1020" s="9" t="str">
        <x:v>不适用</x:v>
      </x:c>
      <x:c r="Q1020" s="9" t="str">
        <x:v>主站页面自身承接</x:v>
      </x:c>
      <x:c r="R1020" s="9" t="str">
        <x:v>核心品类词：主站优先，博客只做长尾解释，不直接抢同一词</x:v>
      </x:c>
      <x:c r="S1020" s="9" t="str">
        <x:v>如果 Google 首页产品页和指南混合，主站页要加 FAQ、选购指南、对比模块。</x:v>
      </x:c>
      <x:c r="T1020" s="38" t="n">
        <x:v>4</x:v>
      </x:c>
      <x:c r="U1020" s="38" t="n">
        <x:v>12</x:v>
      </x:c>
      <x:c r="V1020" s="38" t="n">
        <x:v>16</x:v>
      </x:c>
      <x:c r="W1020" s="38" t="n">
        <x:v>8</x:v>
      </x:c>
      <x:c r="X1020" s="38" t="n">
        <x:v>15</x:v>
      </x:c>
      <x:c r="Y1020" s="38" t="n">
        <x:v>4</x:v>
      </x:c>
      <x:c r="Z1020" s="38" t="n">
        <x:f>MAX(0,MIN(100,ROUND(((T1020+U1020+V1020+W1020+X1020)-Y1020)/85*100,0)))</x:f>
        <x:v>60</x:v>
      </x:c>
      <x:c r="AA1020" s="9" t="str">
        <x:f>IF(L1020="暂不做","P3 暂缓",IF(Z1020&gt;=75,"P0 本周做",IF(Z1020&gt;=60,"P1 近期做",IF(Z1020&gt;=45,"P2 备选","P3 暂缓"))))</x:f>
        <x:v>P1 近期做</x:v>
      </x:c>
      <x:c r="AB1020" s="9" t="str">
        <x:f>IF(Y1020&gt;=15,"先做合规/相关性复核，不建议直接商业导流",IF(L1020="主站","建/优化主站商业页",IF(L1020="博客A-知识教程","写知识教程/FAQ文章",IF(L1020="博客B-场景人群","写场景需求/选购指南文章",IF(L1020="博客C-对比评测","写对比评测/榜单文章","暂不做或人工复核")))))</x:f>
        <x:v>建/优化主站商业页</x:v>
      </x:c>
      <x:c r="AC1020" s="9" t="str">
        <x:v>what are the 4 types of vapes</x:v>
      </x:c>
      <x:c r="AD1020" s="10" t="str">
        <x:v>48</x:v>
      </x:c>
    </x:row>
    <x:row r="1021">
      <x:c r="A1021" s="34" t="n">
        <x:v>1021</x:v>
      </x:c>
      <x:c r="B1021" s="9" t="str">
        <x:v>48</x:v>
      </x:c>
      <x:c r="C1021" s="9" t="str">
        <x:v>vape type</x:v>
      </x:c>
      <x:c r="D1021" s="9" t="str">
        <x:v>recommended</x:v>
      </x:c>
      <x:c r="E1021" s="36" t="n">
        <x:v>40</x:v>
      </x:c>
      <x:c r="F1021" s="36" t="n">
        <x:v>26</x:v>
      </x:c>
      <x:c r="G1021" s="9" t="str">
        <x:v>informational</x:v>
      </x:c>
      <x:c r="H1021" s="9" t="str">
        <x:v>General Vape</x:v>
      </x:c>
      <x:c r="I1021" s="9" t="str">
        <x:v>品类承接词</x:v>
      </x:c>
      <x:c r="J1021" s="9" t="str">
        <x:v>主站</x:v>
      </x:c>
      <x:c r="K1021" s="9" t="str"/>
      <x:c r="L1021" s="9" t="str">
        <x:f>IF(K1021="",J1021,K1021)</x:f>
        <x:v>主站</x:v>
      </x:c>
      <x:c r="M1021" s="9" t="str">
        <x:v>品类页/集合页 + FAQ内容块</x:v>
      </x:c>
      <x:c r="N1021" s="9" t="str">
        <x:v>主站品类页：用产品集合 + 选购说明承接</x:v>
      </x:c>
      <x:c r="O1021" s="9" t="str">
        <x:v>/collections/disposable-vapes</x:v>
      </x:c>
      <x:c r="P1021" s="9" t="str">
        <x:v>不适用</x:v>
      </x:c>
      <x:c r="Q1021" s="9" t="str">
        <x:v>主站页面自身承接</x:v>
      </x:c>
      <x:c r="R1021" s="9" t="str">
        <x:v>核心品类词：主站优先，博客只做长尾解释，不直接抢同一词</x:v>
      </x:c>
      <x:c r="S1021" s="9" t="str">
        <x:v>如果 Google 首页产品页和指南混合，主站页要加 FAQ、选购指南、对比模块。</x:v>
      </x:c>
      <x:c r="T1021" s="38" t="n">
        <x:v>4</x:v>
      </x:c>
      <x:c r="U1021" s="38" t="n">
        <x:v>12</x:v>
      </x:c>
      <x:c r="V1021" s="38" t="n">
        <x:v>16</x:v>
      </x:c>
      <x:c r="W1021" s="38" t="n">
        <x:v>8</x:v>
      </x:c>
      <x:c r="X1021" s="38" t="n">
        <x:v>15</x:v>
      </x:c>
      <x:c r="Y1021" s="38" t="n">
        <x:v>4</x:v>
      </x:c>
      <x:c r="Z1021" s="38" t="n">
        <x:f>MAX(0,MIN(100,ROUND(((T1021+U1021+V1021+W1021+X1021)-Y1021)/85*100,0)))</x:f>
        <x:v>60</x:v>
      </x:c>
      <x:c r="AA1021" s="9" t="str">
        <x:f>IF(L1021="暂不做","P3 暂缓",IF(Z1021&gt;=75,"P0 本周做",IF(Z1021&gt;=60,"P1 近期做",IF(Z1021&gt;=45,"P2 备选","P3 暂缓"))))</x:f>
        <x:v>P1 近期做</x:v>
      </x:c>
      <x:c r="AB1021" s="9" t="str">
        <x:f>IF(Y1021&gt;=15,"先做合规/相关性复核，不建议直接商业导流",IF(L1021="主站","建/优化主站商业页",IF(L1021="博客A-知识教程","写知识教程/FAQ文章",IF(L1021="博客B-场景人群","写场景需求/选购指南文章",IF(L1021="博客C-对比评测","写对比评测/榜单文章","暂不做或人工复核")))))</x:f>
        <x:v>建/优化主站商业页</x:v>
      </x:c>
      <x:c r="AC1021" s="9" t="str">
        <x:v>what are the 4 types of vapes</x:v>
      </x:c>
      <x:c r="AD1021" s="10" t="str">
        <x:v>48</x:v>
      </x:c>
    </x:row>
    <x:row r="1022">
      <x:c r="A1022" s="34" t="n">
        <x:v>1022</x:v>
      </x:c>
      <x:c r="B1022" s="9" t="str">
        <x:v>48</x:v>
      </x:c>
      <x:c r="C1022" s="9" t="str">
        <x:v>raz vape flavors</x:v>
      </x:c>
      <x:c r="D1022" s="9" t="str">
        <x:v>recommended</x:v>
      </x:c>
      <x:c r="E1022" s="36" t="n">
        <x:v>27100</x:v>
      </x:c>
      <x:c r="F1022" s="36" t="n">
        <x:v>19</x:v>
      </x:c>
      <x:c r="G1022" s="9" t="str">
        <x:v>commercial</x:v>
      </x:c>
      <x:c r="H1022" s="9" t="str">
        <x:v>竞品/品牌词</x:v>
      </x:c>
      <x:c r="I1022" s="9" t="str">
        <x:v>竞品品牌词</x:v>
      </x:c>
      <x:c r="J1022" s="9" t="str">
        <x:v>暂不做</x:v>
      </x:c>
      <x:c r="K1022" s="9" t="str"/>
      <x:c r="L1022" s="9" t="str">
        <x:f>IF(K1022="",J1022,K1022)</x:f>
        <x:v>暂不做</x:v>
      </x:c>
      <x:c r="M1022" s="9" t="str">
        <x:v>人工确认后再决定</x:v>
      </x:c>
      <x:c r="N1022" s="9" t="str">
        <x:v>人工确认是否可做客观对比</x:v>
      </x:c>
      <x:c r="O1022" s="9" t="str">
        <x:v>无</x:v>
      </x:c>
      <x:c r="P1022" s="9" t="str">
        <x:v>否</x:v>
      </x:c>
      <x:c r="Q1022" s="9" t="str">
        <x:v>不导流</x:v>
      </x:c>
      <x:c r="R1022" s="9" t="str">
        <x:v>中高风险：纯竞品品牌词容易产生商标/相关性问题</x:v>
      </x:c>
      <x:c r="S1022" s="9" t="str">
        <x:v>只有带 alternative / vs / review / best 这类明确比较意图时，才考虑博客C。</x:v>
      </x:c>
      <x:c r="T1022" s="38" t="n">
        <x:v>20</x:v>
      </x:c>
      <x:c r="U1022" s="38" t="n">
        <x:v>12</x:v>
      </x:c>
      <x:c r="V1022" s="38" t="n">
        <x:v>5</x:v>
      </x:c>
      <x:c r="W1022" s="38" t="n">
        <x:v>7</x:v>
      </x:c>
      <x:c r="X1022" s="38" t="n">
        <x:v>4</x:v>
      </x:c>
      <x:c r="Y1022" s="38" t="n">
        <x:v>14</x:v>
      </x:c>
      <x:c r="Z1022" s="38" t="n">
        <x:f>MAX(0,MIN(100,ROUND(((T1022+U1022+V1022+W1022+X1022)-Y1022)/85*100,0)))</x:f>
        <x:v>40</x:v>
      </x:c>
      <x:c r="AA1022" s="9" t="str">
        <x:f>IF(L1022="暂不做","P3 暂缓",IF(Z1022&gt;=75,"P0 本周做",IF(Z1022&gt;=60,"P1 近期做",IF(Z1022&gt;=45,"P2 备选","P3 暂缓"))))</x:f>
        <x:v>P3 暂缓</x:v>
      </x:c>
      <x:c r="AB1022" s="9" t="str">
        <x:f>IF(Y1022&gt;=15,"先做合规/相关性复核，不建议直接商业导流",IF(L1022="主站","建/优化主站商业页",IF(L1022="博客A-知识教程","写知识教程/FAQ文章",IF(L1022="博客B-场景人群","写场景需求/选购指南文章",IF(L1022="博客C-对比评测","写对比评测/榜单文章","暂不做或人工复核")))))</x:f>
        <x:v>暂不做或人工复核</x:v>
      </x:c>
      <x:c r="AC1022" s="9" t="str">
        <x:v>raz vape flavors</x:v>
      </x:c>
      <x:c r="AD1022" s="10" t="str">
        <x:v>48</x:v>
      </x:c>
    </x:row>
    <x:row r="1023">
      <x:c r="A1023" s="34" t="n">
        <x:v>1023</x:v>
      </x:c>
      <x:c r="B1023" s="9" t="str">
        <x:v>48</x:v>
      </x:c>
      <x:c r="C1023" s="9" t="str">
        <x:v>best raz vape flavors</x:v>
      </x:c>
      <x:c r="D1023" s="9" t="str">
        <x:v>recommended</x:v>
      </x:c>
      <x:c r="E1023" s="36" t="n">
        <x:v>1000</x:v>
      </x:c>
      <x:c r="F1023" s="36" t="n">
        <x:v>4</x:v>
      </x:c>
      <x:c r="G1023" s="9" t="str">
        <x:v>commercial</x:v>
      </x:c>
      <x:c r="H1023" s="9" t="str">
        <x:v>竞品/品牌词</x:v>
      </x:c>
      <x:c r="I1023" s="9" t="str">
        <x:v>竞品对比词</x:v>
      </x:c>
      <x:c r="J1023" s="9" t="str">
        <x:v>博客C-对比评测</x:v>
      </x:c>
      <x:c r="K1023" s="9" t="str"/>
      <x:c r="L1023" s="9" t="str">
        <x:f>IF(K1023="",J1023,K1023)</x:f>
        <x:v>博客C-对比评测</x:v>
      </x:c>
      <x:c r="M1023" s="9" t="str">
        <x:v>对比/替代/榜单文章</x:v>
      </x:c>
      <x:c r="N1023" s="9" t="str">
        <x:v>Best angle: best raz vape flavors - comparison, pros/cons, and which option fits different buyers</x:v>
      </x:c>
      <x:c r="O1023" s="9" t="str">
        <x:v>/collections/disposable-vapes 或对应替代产品集合页</x:v>
      </x:c>
      <x:c r="P1023" s="9" t="str">
        <x:v>谨慎</x:v>
      </x:c>
      <x:c r="Q1023" s="9" t="str">
        <x:v>自然句/品牌词/品类词</x:v>
      </x:c>
      <x:c r="R1023" s="9" t="str">
        <x:v>中风险：涉及竞品品牌，避免商标误导、贬低竞品和虚假对比</x:v>
      </x:c>
      <x:c r="S1023" s="9" t="str">
        <x:v>适合做客观对比或替代方案，但不要把竞品词直接做主站商业页。</x:v>
      </x:c>
      <x:c r="T1023" s="38" t="n">
        <x:v>13</x:v>
      </x:c>
      <x:c r="U1023" s="38" t="n">
        <x:v>15</x:v>
      </x:c>
      <x:c r="V1023" s="38" t="n">
        <x:v>14</x:v>
      </x:c>
      <x:c r="W1023" s="38" t="n">
        <x:v>14</x:v>
      </x:c>
      <x:c r="X1023" s="38" t="n">
        <x:v>11</x:v>
      </x:c>
      <x:c r="Y1023" s="38" t="n">
        <x:v>10</x:v>
      </x:c>
      <x:c r="Z1023" s="38" t="n">
        <x:f>MAX(0,MIN(100,ROUND(((T1023+U1023+V1023+W1023+X1023)-Y1023)/85*100,0)))</x:f>
        <x:v>67</x:v>
      </x:c>
      <x:c r="AA1023" s="9" t="str">
        <x:f>IF(L1023="暂不做","P3 暂缓",IF(Z1023&gt;=75,"P0 本周做",IF(Z1023&gt;=60,"P1 近期做",IF(Z1023&gt;=45,"P2 备选","P3 暂缓"))))</x:f>
        <x:v>P1 近期做</x:v>
      </x:c>
      <x:c r="AB1023" s="9" t="str">
        <x:f>IF(Y1023&gt;=15,"先做合规/相关性复核，不建议直接商业导流",IF(L1023="主站","建/优化主站商业页",IF(L1023="博客A-知识教程","写知识教程/FAQ文章",IF(L1023="博客B-场景人群","写场景需求/选购指南文章",IF(L1023="博客C-对比评测","写对比评测/榜单文章","暂不做或人工复核")))))</x:f>
        <x:v>写对比评测/榜单文章</x:v>
      </x:c>
      <x:c r="AC1023" s="9" t="str">
        <x:v>raz vape flavors</x:v>
      </x:c>
      <x:c r="AD1023" s="10" t="str">
        <x:v>48</x:v>
      </x:c>
    </x:row>
    <x:row r="1024">
      <x:c r="A1024" s="34" t="n">
        <x:v>1024</x:v>
      </x:c>
      <x:c r="B1024" s="9" t="str">
        <x:v>48</x:v>
      </x:c>
      <x:c r="C1024" s="9" t="str">
        <x:v>raz vape blue razz ice</x:v>
      </x:c>
      <x:c r="D1024" s="9" t="str">
        <x:v>recommended</x:v>
      </x:c>
      <x:c r="E1024" s="36" t="n">
        <x:v>70</x:v>
      </x:c>
      <x:c r="F1024" s="36" t="n">
        <x:v>0</x:v>
      </x:c>
      <x:c r="G1024" s="9" t="str">
        <x:v>informational</x:v>
      </x:c>
      <x:c r="H1024" s="9" t="str">
        <x:v>竞品/品牌词</x:v>
      </x:c>
      <x:c r="I1024" s="9" t="str">
        <x:v>竞品品牌词</x:v>
      </x:c>
      <x:c r="J1024" s="9" t="str">
        <x:v>暂不做</x:v>
      </x:c>
      <x:c r="K1024" s="9" t="str"/>
      <x:c r="L1024" s="9" t="str">
        <x:f>IF(K1024="",J1024,K1024)</x:f>
        <x:v>暂不做</x:v>
      </x:c>
      <x:c r="M1024" s="9" t="str">
        <x:v>人工确认后再决定</x:v>
      </x:c>
      <x:c r="N1024" s="9" t="str">
        <x:v>人工确认是否可做客观对比</x:v>
      </x:c>
      <x:c r="O1024" s="9" t="str">
        <x:v>无</x:v>
      </x:c>
      <x:c r="P1024" s="9" t="str">
        <x:v>否</x:v>
      </x:c>
      <x:c r="Q1024" s="9" t="str">
        <x:v>不导流</x:v>
      </x:c>
      <x:c r="R1024" s="9" t="str">
        <x:v>中高风险：纯竞品品牌词容易产生商标/相关性问题</x:v>
      </x:c>
      <x:c r="S1024" s="9" t="str">
        <x:v>只有带 alternative / vs / review / best 这类明确比较意图时，才考虑博客C。</x:v>
      </x:c>
      <x:c r="T1024" s="38" t="n">
        <x:v>4</x:v>
      </x:c>
      <x:c r="U1024" s="38" t="n">
        <x:v>15</x:v>
      </x:c>
      <x:c r="V1024" s="38" t="n">
        <x:v>5</x:v>
      </x:c>
      <x:c r="W1024" s="38" t="n">
        <x:v>7</x:v>
      </x:c>
      <x:c r="X1024" s="38" t="n">
        <x:v>4</x:v>
      </x:c>
      <x:c r="Y1024" s="38" t="n">
        <x:v>14</x:v>
      </x:c>
      <x:c r="Z1024" s="38" t="n">
        <x:f>MAX(0,MIN(100,ROUND(((T1024+U1024+V1024+W1024+X1024)-Y1024)/85*100,0)))</x:f>
        <x:v>25</x:v>
      </x:c>
      <x:c r="AA1024" s="9" t="str">
        <x:f>IF(L1024="暂不做","P3 暂缓",IF(Z1024&gt;=75,"P0 本周做",IF(Z1024&gt;=60,"P1 近期做",IF(Z1024&gt;=45,"P2 备选","P3 暂缓"))))</x:f>
        <x:v>P3 暂缓</x:v>
      </x:c>
      <x:c r="AB1024" s="9" t="str">
        <x:f>IF(Y1024&gt;=15,"先做合规/相关性复核，不建议直接商业导流",IF(L1024="主站","建/优化主站商业页",IF(L1024="博客A-知识教程","写知识教程/FAQ文章",IF(L1024="博客B-场景人群","写场景需求/选购指南文章",IF(L1024="博客C-对比评测","写对比评测/榜单文章","暂不做或人工复核")))))</x:f>
        <x:v>暂不做或人工复核</x:v>
      </x:c>
      <x:c r="AC1024" s="9" t="str">
        <x:v>raz vape flavors</x:v>
      </x:c>
      <x:c r="AD1024" s="10" t="str">
        <x:v>48</x:v>
      </x:c>
    </x:row>
    <x:row r="1025">
      <x:c r="A1025" s="34" t="n">
        <x:v>1025</x:v>
      </x:c>
      <x:c r="B1025" s="9" t="str">
        <x:v>48</x:v>
      </x:c>
      <x:c r="C1025" s="9" t="str">
        <x:v>best flavor raz vape</x:v>
      </x:c>
      <x:c r="D1025" s="9" t="str">
        <x:v>recommended</x:v>
      </x:c>
      <x:c r="E1025" s="36" t="n">
        <x:v>50</x:v>
      </x:c>
      <x:c r="F1025" s="36" t="n">
        <x:v>0</x:v>
      </x:c>
      <x:c r="G1025" s="9" t="str">
        <x:v>commercial</x:v>
      </x:c>
      <x:c r="H1025" s="9" t="str">
        <x:v>竞品/品牌词</x:v>
      </x:c>
      <x:c r="I1025" s="9" t="str">
        <x:v>竞品对比词</x:v>
      </x:c>
      <x:c r="J1025" s="9" t="str">
        <x:v>博客C-对比评测</x:v>
      </x:c>
      <x:c r="K1025" s="9" t="str"/>
      <x:c r="L1025" s="9" t="str">
        <x:f>IF(K1025="",J1025,K1025)</x:f>
        <x:v>博客C-对比评测</x:v>
      </x:c>
      <x:c r="M1025" s="9" t="str">
        <x:v>对比/替代/榜单文章</x:v>
      </x:c>
      <x:c r="N1025" s="9" t="str">
        <x:v>Best angle: best flavor raz vape - comparison, pros/cons, and which option fits different buyers</x:v>
      </x:c>
      <x:c r="O1025" s="9" t="str">
        <x:v>/collections/disposable-vapes 或对应替代产品集合页</x:v>
      </x:c>
      <x:c r="P1025" s="9" t="str">
        <x:v>谨慎</x:v>
      </x:c>
      <x:c r="Q1025" s="9" t="str">
        <x:v>自然句/品牌词/品类词</x:v>
      </x:c>
      <x:c r="R1025" s="9" t="str">
        <x:v>中风险：涉及竞品品牌，避免商标误导、贬低竞品和虚假对比</x:v>
      </x:c>
      <x:c r="S1025" s="9" t="str">
        <x:v>适合做客观对比或替代方案，但不要把竞品词直接做主站商业页。</x:v>
      </x:c>
      <x:c r="T1025" s="38" t="n">
        <x:v>4</x:v>
      </x:c>
      <x:c r="U1025" s="38" t="n">
        <x:v>15</x:v>
      </x:c>
      <x:c r="V1025" s="38" t="n">
        <x:v>14</x:v>
      </x:c>
      <x:c r="W1025" s="38" t="n">
        <x:v>14</x:v>
      </x:c>
      <x:c r="X1025" s="38" t="n">
        <x:v>11</x:v>
      </x:c>
      <x:c r="Y1025" s="38" t="n">
        <x:v>10</x:v>
      </x:c>
      <x:c r="Z1025" s="38" t="n">
        <x:f>MAX(0,MIN(100,ROUND(((T1025+U1025+V1025+W1025+X1025)-Y1025)/85*100,0)))</x:f>
        <x:v>56</x:v>
      </x:c>
      <x:c r="AA1025" s="9" t="str">
        <x:f>IF(L1025="暂不做","P3 暂缓",IF(Z1025&gt;=75,"P0 本周做",IF(Z1025&gt;=60,"P1 近期做",IF(Z1025&gt;=45,"P2 备选","P3 暂缓"))))</x:f>
        <x:v>P2 备选</x:v>
      </x:c>
      <x:c r="AB1025" s="9" t="str">
        <x:f>IF(Y1025&gt;=15,"先做合规/相关性复核，不建议直接商业导流",IF(L1025="主站","建/优化主站商业页",IF(L1025="博客A-知识教程","写知识教程/FAQ文章",IF(L1025="博客B-场景人群","写场景需求/选购指南文章",IF(L1025="博客C-对比评测","写对比评测/榜单文章","暂不做或人工复核")))))</x:f>
        <x:v>写对比评测/榜单文章</x:v>
      </x:c>
      <x:c r="AC1025" s="9" t="str">
        <x:v>raz vape flavors</x:v>
      </x:c>
      <x:c r="AD1025" s="10" t="str">
        <x:v>48</x:v>
      </x:c>
    </x:row>
    <x:row r="1026">
      <x:c r="A1026" s="34" t="n">
        <x:v>1026</x:v>
      </x:c>
      <x:c r="B1026" s="9" t="str">
        <x:v>48</x:v>
      </x:c>
      <x:c r="C1026" s="9" t="str">
        <x:v>what is the best raz vape flavor</x:v>
      </x:c>
      <x:c r="D1026" s="9" t="str">
        <x:v>recommended</x:v>
      </x:c>
      <x:c r="E1026" s="36" t="n">
        <x:v>40</x:v>
      </x:c>
      <x:c r="F1026" s="36" t="n">
        <x:v>0</x:v>
      </x:c>
      <x:c r="G1026" s="9" t="str">
        <x:v>commercial</x:v>
      </x:c>
      <x:c r="H1026" s="9" t="str">
        <x:v>竞品/品牌词</x:v>
      </x:c>
      <x:c r="I1026" s="9" t="str">
        <x:v>竞品对比词</x:v>
      </x:c>
      <x:c r="J1026" s="9" t="str">
        <x:v>博客C-对比评测</x:v>
      </x:c>
      <x:c r="K1026" s="9" t="str"/>
      <x:c r="L1026" s="9" t="str">
        <x:f>IF(K1026="",J1026,K1026)</x:f>
        <x:v>博客C-对比评测</x:v>
      </x:c>
      <x:c r="M1026" s="9" t="str">
        <x:v>对比/替代/榜单文章</x:v>
      </x:c>
      <x:c r="N1026" s="9" t="str">
        <x:v>Best angle: what is the best raz vape flavor - comparison, pros/cons, and which option fits different buyers</x:v>
      </x:c>
      <x:c r="O1026" s="9" t="str">
        <x:v>/collections/disposable-vapes 或对应替代产品集合页</x:v>
      </x:c>
      <x:c r="P1026" s="9" t="str">
        <x:v>谨慎</x:v>
      </x:c>
      <x:c r="Q1026" s="9" t="str">
        <x:v>自然句/品牌词/品类词</x:v>
      </x:c>
      <x:c r="R1026" s="9" t="str">
        <x:v>中风险：涉及竞品品牌，避免商标误导、贬低竞品和虚假对比</x:v>
      </x:c>
      <x:c r="S1026" s="9" t="str">
        <x:v>适合做客观对比或替代方案，但不要把竞品词直接做主站商业页。</x:v>
      </x:c>
      <x:c r="T1026" s="38" t="n">
        <x:v>4</x:v>
      </x:c>
      <x:c r="U1026" s="38" t="n">
        <x:v>15</x:v>
      </x:c>
      <x:c r="V1026" s="38" t="n">
        <x:v>14</x:v>
      </x:c>
      <x:c r="W1026" s="38" t="n">
        <x:v>14</x:v>
      </x:c>
      <x:c r="X1026" s="38" t="n">
        <x:v>11</x:v>
      </x:c>
      <x:c r="Y1026" s="38" t="n">
        <x:v>10</x:v>
      </x:c>
      <x:c r="Z1026" s="38" t="n">
        <x:f>MAX(0,MIN(100,ROUND(((T1026+U1026+V1026+W1026+X1026)-Y1026)/85*100,0)))</x:f>
        <x:v>56</x:v>
      </x:c>
      <x:c r="AA1026" s="9" t="str">
        <x:f>IF(L1026="暂不做","P3 暂缓",IF(Z1026&gt;=75,"P0 本周做",IF(Z1026&gt;=60,"P1 近期做",IF(Z1026&gt;=45,"P2 备选","P3 暂缓"))))</x:f>
        <x:v>P2 备选</x:v>
      </x:c>
      <x:c r="AB1026" s="9" t="str">
        <x:f>IF(Y1026&gt;=15,"先做合规/相关性复核，不建议直接商业导流",IF(L1026="主站","建/优化主站商业页",IF(L1026="博客A-知识教程","写知识教程/FAQ文章",IF(L1026="博客B-场景人群","写场景需求/选购指南文章",IF(L1026="博客C-对比评测","写对比评测/榜单文章","暂不做或人工复核")))))</x:f>
        <x:v>写对比评测/榜单文章</x:v>
      </x:c>
      <x:c r="AC1026" s="9" t="str">
        <x:v>raz vape flavors</x:v>
      </x:c>
      <x:c r="AD1026" s="10" t="str">
        <x:v>48</x:v>
      </x:c>
    </x:row>
    <x:row r="1027">
      <x:c r="A1027" s="34" t="n">
        <x:v>1027</x:v>
      </x:c>
      <x:c r="B1027" s="9" t="str">
        <x:v>48</x:v>
      </x:c>
      <x:c r="C1027" s="9" t="str">
        <x:v>cartridge vape pen</x:v>
      </x:c>
      <x:c r="D1027" s="9" t="str">
        <x:v>recommended</x:v>
      </x:c>
      <x:c r="E1027" s="36" t="n">
        <x:v>210</x:v>
      </x:c>
      <x:c r="F1027" s="36" t="n">
        <x:v>46</x:v>
      </x:c>
      <x:c r="G1027" s="9" t="str">
        <x:v>commercial</x:v>
      </x:c>
      <x:c r="H1027" s="9" t="str">
        <x:v>General Vape</x:v>
      </x:c>
      <x:c r="I1027" s="9" t="str">
        <x:v>品类承接词</x:v>
      </x:c>
      <x:c r="J1027" s="9" t="str">
        <x:v>主站</x:v>
      </x:c>
      <x:c r="K1027" s="9" t="str"/>
      <x:c r="L1027" s="9" t="str">
        <x:f>IF(K1027="",J1027,K1027)</x:f>
        <x:v>主站</x:v>
      </x:c>
      <x:c r="M1027" s="9" t="str">
        <x:v>品类页/集合页 + FAQ内容块</x:v>
      </x:c>
      <x:c r="N1027" s="9" t="str">
        <x:v>主站品类页：用产品集合 + 选购说明承接</x:v>
      </x:c>
      <x:c r="O1027" s="9" t="str">
        <x:v>/collections/disposable-vapes</x:v>
      </x:c>
      <x:c r="P1027" s="9" t="str">
        <x:v>不适用</x:v>
      </x:c>
      <x:c r="Q1027" s="9" t="str">
        <x:v>主站页面自身承接</x:v>
      </x:c>
      <x:c r="R1027" s="9" t="str">
        <x:v>核心品类词：主站优先，博客只做长尾解释，不直接抢同一词</x:v>
      </x:c>
      <x:c r="S1027" s="9" t="str">
        <x:v>如果 Google 首页产品页和指南混合，主站页要加 FAQ、选购指南、对比模块。</x:v>
      </x:c>
      <x:c r="T1027" s="38" t="n">
        <x:v>7</x:v>
      </x:c>
      <x:c r="U1027" s="38" t="n">
        <x:v>6</x:v>
      </x:c>
      <x:c r="V1027" s="38" t="n">
        <x:v>18</x:v>
      </x:c>
      <x:c r="W1027" s="38" t="n">
        <x:v>8</x:v>
      </x:c>
      <x:c r="X1027" s="38" t="n">
        <x:v>15</x:v>
      </x:c>
      <x:c r="Y1027" s="38" t="n">
        <x:v>4</x:v>
      </x:c>
      <x:c r="Z1027" s="38" t="n">
        <x:f>MAX(0,MIN(100,ROUND(((T1027+U1027+V1027+W1027+X1027)-Y1027)/85*100,0)))</x:f>
        <x:v>59</x:v>
      </x:c>
      <x:c r="AA1027" s="9" t="str">
        <x:f>IF(L1027="暂不做","P3 暂缓",IF(Z1027&gt;=75,"P0 本周做",IF(Z1027&gt;=60,"P1 近期做",IF(Z1027&gt;=45,"P2 备选","P3 暂缓"))))</x:f>
        <x:v>P2 备选</x:v>
      </x:c>
      <x:c r="AB1027" s="9" t="str">
        <x:f>IF(Y1027&gt;=15,"先做合规/相关性复核，不建议直接商业导流",IF(L1027="主站","建/优化主站商业页",IF(L1027="博客A-知识教程","写知识教程/FAQ文章",IF(L1027="博客B-场景人群","写场景需求/选购指南文章",IF(L1027="博客C-对比评测","写对比评测/榜单文章","暂不做或人工复核")))))</x:f>
        <x:v>建/优化主站商业页</x:v>
      </x:c>
      <x:c r="AC1027" s="9" t="str">
        <x:v>cartridge vape pen</x:v>
      </x:c>
      <x:c r="AD1027" s="10" t="str">
        <x:v>48</x:v>
      </x:c>
    </x:row>
    <x:row r="1028">
      <x:c r="A1028" s="34" t="n">
        <x:v>1028</x:v>
      </x:c>
      <x:c r="B1028" s="9" t="str">
        <x:v>48</x:v>
      </x:c>
      <x:c r="C1028" s="9" t="str">
        <x:v>thca vapes</x:v>
      </x:c>
      <x:c r="D1028" s="9" t="str">
        <x:v>recommended</x:v>
      </x:c>
      <x:c r="E1028" s="36" t="n">
        <x:v>5400</x:v>
      </x:c>
      <x:c r="F1028" s="36" t="n">
        <x:v>28</x:v>
      </x:c>
      <x:c r="G1028" s="9" t="str">
        <x:v>informational</x:v>
      </x:c>
      <x:c r="H1028" s="9" t="str">
        <x:v>高风险/非主营</x:v>
      </x:c>
      <x:c r="I1028" s="9" t="str">
        <x:v>高风险/非主营词</x:v>
      </x:c>
      <x:c r="J1028" s="9" t="str">
        <x:v>暂不做</x:v>
      </x:c>
      <x:c r="K1028" s="9" t="str"/>
      <x:c r="L1028" s="9" t="str">
        <x:f>IF(K1028="",J1028,K1028)</x:f>
        <x:v>暂不做</x:v>
      </x:c>
      <x:c r="M1028" s="9" t="str">
        <x:v>不建议建页</x:v>
      </x:c>
      <x:c r="N1028" s="9" t="str">
        <x:v>不进入内容生产</x:v>
      </x:c>
      <x:c r="O1028" s="9" t="str">
        <x:v>无</x:v>
      </x:c>
      <x:c r="P1028" s="9" t="str">
        <x:v>否</x:v>
      </x:c>
      <x:c r="Q1028" s="9" t="str">
        <x:v>不导流</x:v>
      </x:c>
      <x:c r="R1028" s="9" t="str">
        <x:v>高风险：可能涉及 THC/CBD/大麻/药物或非主营品类，不建议用于主站导流</x:v>
      </x:c>
      <x:c r="S1028" s="9" t="str">
        <x:v>仅在确认合法资质、产品范围和地区法规后再考虑，否则删除。</x:v>
      </x:c>
      <x:c r="T1028" s="38" t="n">
        <x:v>16</x:v>
      </x:c>
      <x:c r="U1028" s="38" t="n">
        <x:v>12</x:v>
      </x:c>
      <x:c r="V1028" s="38" t="n">
        <x:v>1</x:v>
      </x:c>
      <x:c r="W1028" s="38" t="n">
        <x:v>2</x:v>
      </x:c>
      <x:c r="X1028" s="38" t="n">
        <x:v>1</x:v>
      </x:c>
      <x:c r="Y1028" s="38" t="n">
        <x:v>20</x:v>
      </x:c>
      <x:c r="Z1028" s="38" t="n">
        <x:f>MAX(0,MIN(100,ROUND(((T1028+U1028+V1028+W1028+X1028)-Y1028)/85*100,0)))</x:f>
        <x:v>14</x:v>
      </x:c>
      <x:c r="AA1028" s="9" t="str">
        <x:f>IF(L1028="暂不做","P3 暂缓",IF(Z1028&gt;=75,"P0 本周做",IF(Z1028&gt;=60,"P1 近期做",IF(Z1028&gt;=45,"P2 备选","P3 暂缓"))))</x:f>
        <x:v>P3 暂缓</x:v>
      </x:c>
      <x:c r="AB1028" s="9" t="str">
        <x:f>IF(Y1028&gt;=15,"先做合规/相关性复核，不建议直接商业导流",IF(L1028="主站","建/优化主站商业页",IF(L1028="博客A-知识教程","写知识教程/FAQ文章",IF(L1028="博客B-场景人群","写场景需求/选购指南文章",IF(L1028="博客C-对比评测","写对比评测/榜单文章","暂不做或人工复核")))))</x:f>
        <x:v>先做合规/相关性复核，不建议直接商业导流</x:v>
      </x:c>
      <x:c r="AC1028" s="9" t="str">
        <x:v>cartridge vape pen</x:v>
      </x:c>
      <x:c r="AD1028" s="10" t="str">
        <x:v>48</x:v>
      </x:c>
    </x:row>
    <x:row r="1029">
      <x:c r="A1029" s="34" t="n">
        <x:v>1029</x:v>
      </x:c>
      <x:c r="B1029" s="9" t="str">
        <x:v>48</x:v>
      </x:c>
      <x:c r="C1029" s="9" t="str">
        <x:v>weed vape cartridges</x:v>
      </x:c>
      <x:c r="D1029" s="9" t="str">
        <x:v>recommended</x:v>
      </x:c>
      <x:c r="E1029" s="36" t="n">
        <x:v>40</x:v>
      </x:c>
      <x:c r="F1029" s="36" t="n">
        <x:v>53</x:v>
      </x:c>
      <x:c r="G1029" s="9" t="str">
        <x:v>informational</x:v>
      </x:c>
      <x:c r="H1029" s="9" t="str">
        <x:v>高风险/非主营</x:v>
      </x:c>
      <x:c r="I1029" s="9" t="str">
        <x:v>高风险/非主营词</x:v>
      </x:c>
      <x:c r="J1029" s="9" t="str">
        <x:v>暂不做</x:v>
      </x:c>
      <x:c r="K1029" s="9" t="str"/>
      <x:c r="L1029" s="9" t="str">
        <x:f>IF(K1029="",J1029,K1029)</x:f>
        <x:v>暂不做</x:v>
      </x:c>
      <x:c r="M1029" s="9" t="str">
        <x:v>不建议建页</x:v>
      </x:c>
      <x:c r="N1029" s="9" t="str">
        <x:v>不进入内容生产</x:v>
      </x:c>
      <x:c r="O1029" s="9" t="str">
        <x:v>无</x:v>
      </x:c>
      <x:c r="P1029" s="9" t="str">
        <x:v>否</x:v>
      </x:c>
      <x:c r="Q1029" s="9" t="str">
        <x:v>不导流</x:v>
      </x:c>
      <x:c r="R1029" s="9" t="str">
        <x:v>高风险：可能涉及 THC/CBD/大麻/药物或非主营品类，不建议用于主站导流</x:v>
      </x:c>
      <x:c r="S1029" s="9" t="str">
        <x:v>仅在确认合法资质、产品范围和地区法规后再考虑，否则删除。</x:v>
      </x:c>
      <x:c r="T1029" s="38" t="n">
        <x:v>4</x:v>
      </x:c>
      <x:c r="U1029" s="38" t="n">
        <x:v>6</x:v>
      </x:c>
      <x:c r="V1029" s="38" t="n">
        <x:v>1</x:v>
      </x:c>
      <x:c r="W1029" s="38" t="n">
        <x:v>2</x:v>
      </x:c>
      <x:c r="X1029" s="38" t="n">
        <x:v>1</x:v>
      </x:c>
      <x:c r="Y1029" s="38" t="n">
        <x:v>20</x:v>
      </x:c>
      <x:c r="Z1029" s="38" t="n">
        <x:f>MAX(0,MIN(100,ROUND(((T1029+U1029+V1029+W1029+X1029)-Y1029)/85*100,0)))</x:f>
        <x:v>0</x:v>
      </x:c>
      <x:c r="AA1029" s="9" t="str">
        <x:f>IF(L1029="暂不做","P3 暂缓",IF(Z1029&gt;=75,"P0 本周做",IF(Z1029&gt;=60,"P1 近期做",IF(Z1029&gt;=45,"P2 备选","P3 暂缓"))))</x:f>
        <x:v>P3 暂缓</x:v>
      </x:c>
      <x:c r="AB1029" s="9" t="str">
        <x:f>IF(Y1029&gt;=15,"先做合规/相关性复核，不建议直接商业导流",IF(L1029="主站","建/优化主站商业页",IF(L1029="博客A-知识教程","写知识教程/FAQ文章",IF(L1029="博客B-场景人群","写场景需求/选购指南文章",IF(L1029="博客C-对比评测","写对比评测/榜单文章","暂不做或人工复核")))))</x:f>
        <x:v>先做合规/相关性复核，不建议直接商业导流</x:v>
      </x:c>
      <x:c r="AC1029" s="9" t="str">
        <x:v>cartridge vape pen</x:v>
      </x:c>
      <x:c r="AD1029" s="10" t="str">
        <x:v>48</x:v>
      </x:c>
    </x:row>
    <x:row r="1030">
      <x:c r="A1030" s="34" t="n">
        <x:v>1030</x:v>
      </x:c>
      <x:c r="B1030" s="9" t="str">
        <x:v>48</x:v>
      </x:c>
      <x:c r="C1030" s="9" t="str">
        <x:v>cbd vape</x:v>
      </x:c>
      <x:c r="D1030" s="9" t="str">
        <x:v>recommended</x:v>
      </x:c>
      <x:c r="E1030" s="36" t="n">
        <x:v>9900</x:v>
      </x:c>
      <x:c r="F1030" s="36" t="n">
        <x:v>44</x:v>
      </x:c>
      <x:c r="G1030" s="9" t="str">
        <x:v>informational</x:v>
      </x:c>
      <x:c r="H1030" s="9" t="str">
        <x:v>高风险/非主营</x:v>
      </x:c>
      <x:c r="I1030" s="9" t="str">
        <x:v>高风险/非主营词</x:v>
      </x:c>
      <x:c r="J1030" s="9" t="str">
        <x:v>暂不做</x:v>
      </x:c>
      <x:c r="K1030" s="9" t="str"/>
      <x:c r="L1030" s="9" t="str">
        <x:f>IF(K1030="",J1030,K1030)</x:f>
        <x:v>暂不做</x:v>
      </x:c>
      <x:c r="M1030" s="9" t="str">
        <x:v>不建议建页</x:v>
      </x:c>
      <x:c r="N1030" s="9" t="str">
        <x:v>不进入内容生产</x:v>
      </x:c>
      <x:c r="O1030" s="9" t="str">
        <x:v>无</x:v>
      </x:c>
      <x:c r="P1030" s="9" t="str">
        <x:v>否</x:v>
      </x:c>
      <x:c r="Q1030" s="9" t="str">
        <x:v>不导流</x:v>
      </x:c>
      <x:c r="R1030" s="9" t="str">
        <x:v>高风险：可能涉及 THC/CBD/大麻/药物或非主营品类，不建议用于主站导流</x:v>
      </x:c>
      <x:c r="S1030" s="9" t="str">
        <x:v>仅在确认合法资质、产品范围和地区法规后再考虑，否则删除。</x:v>
      </x:c>
      <x:c r="T1030" s="38" t="n">
        <x:v>16</x:v>
      </x:c>
      <x:c r="U1030" s="38" t="n">
        <x:v>9</x:v>
      </x:c>
      <x:c r="V1030" s="38" t="n">
        <x:v>1</x:v>
      </x:c>
      <x:c r="W1030" s="38" t="n">
        <x:v>2</x:v>
      </x:c>
      <x:c r="X1030" s="38" t="n">
        <x:v>1</x:v>
      </x:c>
      <x:c r="Y1030" s="38" t="n">
        <x:v>20</x:v>
      </x:c>
      <x:c r="Z1030" s="38" t="n">
        <x:f>MAX(0,MIN(100,ROUND(((T1030+U1030+V1030+W1030+X1030)-Y1030)/85*100,0)))</x:f>
        <x:v>11</x:v>
      </x:c>
      <x:c r="AA1030" s="9" t="str">
        <x:f>IF(L1030="暂不做","P3 暂缓",IF(Z1030&gt;=75,"P0 本周做",IF(Z1030&gt;=60,"P1 近期做",IF(Z1030&gt;=45,"P2 备选","P3 暂缓"))))</x:f>
        <x:v>P3 暂缓</x:v>
      </x:c>
      <x:c r="AB1030" s="9" t="str">
        <x:f>IF(Y1030&gt;=15,"先做合规/相关性复核，不建议直接商业导流",IF(L1030="主站","建/优化主站商业页",IF(L1030="博客A-知识教程","写知识教程/FAQ文章",IF(L1030="博客B-场景人群","写场景需求/选购指南文章",IF(L1030="博客C-对比评测","写对比评测/榜单文章","暂不做或人工复核")))))</x:f>
        <x:v>先做合规/相关性复核，不建议直接商业导流</x:v>
      </x:c>
      <x:c r="AC1030" s="9" t="str">
        <x:v>cartridge vape pen</x:v>
      </x:c>
      <x:c r="AD1030" s="10" t="str">
        <x:v>48</x:v>
      </x:c>
    </x:row>
    <x:row r="1031">
      <x:c r="A1031" s="34" t="n">
        <x:v>1031</x:v>
      </x:c>
      <x:c r="B1031" s="9" t="str">
        <x:v>48</x:v>
      </x:c>
      <x:c r="C1031" s="9" t="str">
        <x:v>cbd vape pen</x:v>
      </x:c>
      <x:c r="D1031" s="9" t="str">
        <x:v>recommended</x:v>
      </x:c>
      <x:c r="E1031" s="36" t="n">
        <x:v>12100</x:v>
      </x:c>
      <x:c r="F1031" s="36" t="n">
        <x:v>56</x:v>
      </x:c>
      <x:c r="G1031" s="9" t="str">
        <x:v>informational</x:v>
      </x:c>
      <x:c r="H1031" s="9" t="str">
        <x:v>高风险/非主营</x:v>
      </x:c>
      <x:c r="I1031" s="9" t="str">
        <x:v>高风险/非主营词</x:v>
      </x:c>
      <x:c r="J1031" s="9" t="str">
        <x:v>暂不做</x:v>
      </x:c>
      <x:c r="K1031" s="9" t="str"/>
      <x:c r="L1031" s="9" t="str">
        <x:f>IF(K1031="",J1031,K1031)</x:f>
        <x:v>暂不做</x:v>
      </x:c>
      <x:c r="M1031" s="9" t="str">
        <x:v>不建议建页</x:v>
      </x:c>
      <x:c r="N1031" s="9" t="str">
        <x:v>不进入内容生产</x:v>
      </x:c>
      <x:c r="O1031" s="9" t="str">
        <x:v>无</x:v>
      </x:c>
      <x:c r="P1031" s="9" t="str">
        <x:v>否</x:v>
      </x:c>
      <x:c r="Q1031" s="9" t="str">
        <x:v>不导流</x:v>
      </x:c>
      <x:c r="R1031" s="9" t="str">
        <x:v>高风险：可能涉及 THC/CBD/大麻/药物或非主营品类，不建议用于主站导流</x:v>
      </x:c>
      <x:c r="S1031" s="9" t="str">
        <x:v>仅在确认合法资质、产品范围和地区法规后再考虑，否则删除。</x:v>
      </x:c>
      <x:c r="T1031" s="38" t="n">
        <x:v>18</x:v>
      </x:c>
      <x:c r="U1031" s="38" t="n">
        <x:v>6</x:v>
      </x:c>
      <x:c r="V1031" s="38" t="n">
        <x:v>1</x:v>
      </x:c>
      <x:c r="W1031" s="38" t="n">
        <x:v>2</x:v>
      </x:c>
      <x:c r="X1031" s="38" t="n">
        <x:v>1</x:v>
      </x:c>
      <x:c r="Y1031" s="38" t="n">
        <x:v>20</x:v>
      </x:c>
      <x:c r="Z1031" s="38" t="n">
        <x:f>MAX(0,MIN(100,ROUND(((T1031+U1031+V1031+W1031+X1031)-Y1031)/85*100,0)))</x:f>
        <x:v>9</x:v>
      </x:c>
      <x:c r="AA1031" s="9" t="str">
        <x:f>IF(L1031="暂不做","P3 暂缓",IF(Z1031&gt;=75,"P0 本周做",IF(Z1031&gt;=60,"P1 近期做",IF(Z1031&gt;=45,"P2 备选","P3 暂缓"))))</x:f>
        <x:v>P3 暂缓</x:v>
      </x:c>
      <x:c r="AB1031" s="9" t="str">
        <x:f>IF(Y1031&gt;=15,"先做合规/相关性复核，不建议直接商业导流",IF(L1031="主站","建/优化主站商业页",IF(L1031="博客A-知识教程","写知识教程/FAQ文章",IF(L1031="博客B-场景人群","写场景需求/选购指南文章",IF(L1031="博客C-对比评测","写对比评测/榜单文章","暂不做或人工复核")))))</x:f>
        <x:v>先做合规/相关性复核，不建议直接商业导流</x:v>
      </x:c>
      <x:c r="AC1031" s="9" t="str">
        <x:v>cartridge vape pen</x:v>
      </x:c>
      <x:c r="AD1031" s="10" t="str">
        <x:v>48</x:v>
      </x:c>
    </x:row>
    <x:row r="1032">
      <x:c r="A1032" s="34" t="n">
        <x:v>1032</x:v>
      </x:c>
      <x:c r="B1032" s="9" t="str">
        <x:v>48</x:v>
      </x:c>
      <x:c r="C1032" s="9" t="str">
        <x:v>strawberry b pop vape</x:v>
      </x:c>
      <x:c r="D1032" s="9" t="str">
        <x:v>recommended</x:v>
      </x:c>
      <x:c r="E1032" s="36" t="n">
        <x:v>40</x:v>
      </x:c>
      <x:c r="F1032" s="36" t="n">
        <x:v>2</x:v>
      </x:c>
      <x:c r="G1032" s="9" t="str">
        <x:v>informational</x:v>
      </x:c>
      <x:c r="H1032" s="9" t="str">
        <x:v>General Vape</x:v>
      </x:c>
      <x:c r="I1032" s="9" t="str">
        <x:v>知识/教程词</x:v>
      </x:c>
      <x:c r="J1032" s="9" t="str">
        <x:v>博客A-知识教程</x:v>
      </x:c>
      <x:c r="K1032" s="9" t="str"/>
      <x:c r="L1032" s="9" t="str">
        <x:f>IF(K1032="",J1032,K1032)</x:f>
        <x:v>博客A-知识教程</x:v>
      </x:c>
      <x:c r="M1032" s="9" t="str">
        <x:v>百科/How-to/FAQ文章</x:v>
      </x:c>
      <x:c r="N1032" s="9" t="str">
        <x:v>Guide angle: explain strawberry b pop vape, answer common questions, and avoid sales-first writing</x:v>
      </x:c>
      <x:c r="O1032" s="9" t="str">
        <x:v>/collections/disposable-vapes</x:v>
      </x:c>
      <x:c r="P1032" s="9" t="str">
        <x:v>谨慎</x:v>
      </x:c>
      <x:c r="Q1032" s="9" t="str">
        <x:v>自然句/品牌词</x:v>
      </x:c>
      <x:c r="R1032" s="9" t="str">
        <x:v>低中风险：先满足信息意图，导流要克制</x:v>
      </x:c>
      <x:c r="S1032" s="9" t="str">
        <x:v>如果文章能自然回答下一步购买问题，再放 1 个主站内链；否则只做知识闭环。</x:v>
      </x:c>
      <x:c r="T1032" s="38" t="n">
        <x:v>4</x:v>
      </x:c>
      <x:c r="U1032" s="38" t="n">
        <x:v>15</x:v>
      </x:c>
      <x:c r="V1032" s="38" t="n">
        <x:v>9</x:v>
      </x:c>
      <x:c r="W1032" s="38" t="n">
        <x:v>14</x:v>
      </x:c>
      <x:c r="X1032" s="38" t="n">
        <x:v>12</x:v>
      </x:c>
      <x:c r="Y1032" s="38" t="n">
        <x:v>5</x:v>
      </x:c>
      <x:c r="Z1032" s="38" t="n">
        <x:f>MAX(0,MIN(100,ROUND(((T1032+U1032+V1032+W1032+X1032)-Y1032)/85*100,0)))</x:f>
        <x:v>58</x:v>
      </x:c>
      <x:c r="AA1032" s="9" t="str">
        <x:f>IF(L1032="暂不做","P3 暂缓",IF(Z1032&gt;=75,"P0 本周做",IF(Z1032&gt;=60,"P1 近期做",IF(Z1032&gt;=45,"P2 备选","P3 暂缓"))))</x:f>
        <x:v>P2 备选</x:v>
      </x:c>
      <x:c r="AB1032" s="9" t="str">
        <x:f>IF(Y1032&gt;=15,"先做合规/相关性复核，不建议直接商业导流",IF(L1032="主站","建/优化主站商业页",IF(L1032="博客A-知识教程","写知识教程/FAQ文章",IF(L1032="博客B-场景人群","写场景需求/选购指南文章",IF(L1032="博客C-对比评测","写对比评测/榜单文章","暂不做或人工复核")))))</x:f>
        <x:v>写知识教程/FAQ文章</x:v>
      </x:c>
      <x:c r="AC1032" s="9" t="str">
        <x:v>strawberry b pop vape</x:v>
      </x:c>
      <x:c r="AD1032" s="10" t="str">
        <x:v>48</x:v>
      </x:c>
    </x:row>
    <x:row r="1033">
      <x:c r="A1033" s="34" t="n">
        <x:v>1033</x:v>
      </x:c>
      <x:c r="B1033" s="9" t="str">
        <x:v>48</x:v>
      </x:c>
      <x:c r="C1033" s="9" t="str">
        <x:v>strawberry blow pop vape</x:v>
      </x:c>
      <x:c r="D1033" s="9" t="str">
        <x:v>recommended</x:v>
      </x:c>
      <x:c r="E1033" s="36" t="n">
        <x:v>50</x:v>
      </x:c>
      <x:c r="F1033" s="36" t="n">
        <x:v>1</x:v>
      </x:c>
      <x:c r="G1033" s="9" t="str">
        <x:v>informational</x:v>
      </x:c>
      <x:c r="H1033" s="9" t="str">
        <x:v>General Vape</x:v>
      </x:c>
      <x:c r="I1033" s="9" t="str">
        <x:v>知识/教程词</x:v>
      </x:c>
      <x:c r="J1033" s="9" t="str">
        <x:v>博客A-知识教程</x:v>
      </x:c>
      <x:c r="K1033" s="9" t="str"/>
      <x:c r="L1033" s="9" t="str">
        <x:f>IF(K1033="",J1033,K1033)</x:f>
        <x:v>博客A-知识教程</x:v>
      </x:c>
      <x:c r="M1033" s="9" t="str">
        <x:v>百科/How-to/FAQ文章</x:v>
      </x:c>
      <x:c r="N1033" s="9" t="str">
        <x:v>Guide angle: explain strawberry blow pop vape, answer common questions, and avoid sales-first writing</x:v>
      </x:c>
      <x:c r="O1033" s="9" t="str">
        <x:v>/collections/disposable-vapes</x:v>
      </x:c>
      <x:c r="P1033" s="9" t="str">
        <x:v>谨慎</x:v>
      </x:c>
      <x:c r="Q1033" s="9" t="str">
        <x:v>自然句/品牌词</x:v>
      </x:c>
      <x:c r="R1033" s="9" t="str">
        <x:v>低中风险：先满足信息意图，导流要克制</x:v>
      </x:c>
      <x:c r="S1033" s="9" t="str">
        <x:v>如果文章能自然回答下一步购买问题，再放 1 个主站内链；否则只做知识闭环。</x:v>
      </x:c>
      <x:c r="T1033" s="38" t="n">
        <x:v>4</x:v>
      </x:c>
      <x:c r="U1033" s="38" t="n">
        <x:v>15</x:v>
      </x:c>
      <x:c r="V1033" s="38" t="n">
        <x:v>9</x:v>
      </x:c>
      <x:c r="W1033" s="38" t="n">
        <x:v>14</x:v>
      </x:c>
      <x:c r="X1033" s="38" t="n">
        <x:v>12</x:v>
      </x:c>
      <x:c r="Y1033" s="38" t="n">
        <x:v>5</x:v>
      </x:c>
      <x:c r="Z1033" s="38" t="n">
        <x:f>MAX(0,MIN(100,ROUND(((T1033+U1033+V1033+W1033+X1033)-Y1033)/85*100,0)))</x:f>
        <x:v>58</x:v>
      </x:c>
      <x:c r="AA1033" s="9" t="str">
        <x:f>IF(L1033="暂不做","P3 暂缓",IF(Z1033&gt;=75,"P0 本周做",IF(Z1033&gt;=60,"P1 近期做",IF(Z1033&gt;=45,"P2 备选","P3 暂缓"))))</x:f>
        <x:v>P2 备选</x:v>
      </x:c>
      <x:c r="AB1033" s="9" t="str">
        <x:f>IF(Y1033&gt;=15,"先做合规/相关性复核，不建议直接商业导流",IF(L1033="主站","建/优化主站商业页",IF(L1033="博客A-知识教程","写知识教程/FAQ文章",IF(L1033="博客B-场景人群","写场景需求/选购指南文章",IF(L1033="博客C-对比评测","写对比评测/榜单文章","暂不做或人工复核")))))</x:f>
        <x:v>写知识教程/FAQ文章</x:v>
      </x:c>
      <x:c r="AC1033" s="9" t="str">
        <x:v>strawberry b pop vape</x:v>
      </x:c>
      <x:c r="AD1033" s="10" t="str">
        <x:v>48</x:v>
      </x:c>
    </x:row>
    <x:row r="1034">
      <x:c r="A1034" s="34" t="n">
        <x:v>1034</x:v>
      </x:c>
      <x:c r="B1034" s="9" t="str">
        <x:v>48</x:v>
      </x:c>
      <x:c r="C1034" s="9" t="str">
        <x:v>exdivo interstellar reviews</x:v>
      </x:c>
      <x:c r="D1034" s="9" t="str">
        <x:v>recommended</x:v>
      </x:c>
      <x:c r="E1034" s="36" t="n">
        <x:v>0</x:v>
      </x:c>
      <x:c r="F1034" s="36" t="n">
        <x:v>0</x:v>
      </x:c>
      <x:c r="G1034" s="9" t="str">
        <x:v>48</x:v>
      </x:c>
      <x:c r="H1034" s="9" t="str">
        <x:v>对比评测</x:v>
      </x:c>
      <x:c r="I1034" s="9" t="str">
        <x:v>商业调查词</x:v>
      </x:c>
      <x:c r="J1034" s="9" t="str">
        <x:v>博客C-对比评测</x:v>
      </x:c>
      <x:c r="K1034" s="9" t="str"/>
      <x:c r="L1034" s="9" t="str">
        <x:f>IF(K1034="",J1034,K1034)</x:f>
        <x:v>博客C-对比评测</x:v>
      </x:c>
      <x:c r="M1034" s="9" t="str">
        <x:v>Best/Top/Review/VS/替代方案文章</x:v>
      </x:c>
      <x:c r="N1034" s="9" t="str">
        <x:v>Best angle: exdivo interstellar reviews - comparison, pros/cons, and which option fits different buyers</x:v>
      </x:c>
      <x:c r="O1034" s="9" t="str">
        <x:v>/collections/disposable-vapes</x:v>
      </x:c>
      <x:c r="P1034" s="9" t="str">
        <x:v>是</x:v>
      </x:c>
      <x:c r="Q1034" s="9" t="str">
        <x:v>自然句/品类词/品牌词</x:v>
      </x:c>
      <x:c r="R1034" s="9" t="str">
        <x:v>中风险：榜单和评测必须真实、中立，避免夸大</x:v>
      </x:c>
      <x:c r="S1034" s="9" t="str">
        <x:v>这类词不直接给主站，先用博客C教育和比较，再导流到最相关集合页。</x:v>
      </x:c>
      <x:c r="T1034" s="38" t="n">
        <x:v>1</x:v>
      </x:c>
      <x:c r="U1034" s="38" t="n">
        <x:v>15</x:v>
      </x:c>
      <x:c r="V1034" s="38" t="n">
        <x:v>16</x:v>
      </x:c>
      <x:c r="W1034" s="38" t="n">
        <x:v>15</x:v>
      </x:c>
      <x:c r="X1034" s="38" t="n">
        <x:v>13</x:v>
      </x:c>
      <x:c r="Y1034" s="38" t="n">
        <x:v>6</x:v>
      </x:c>
      <x:c r="Z1034" s="38" t="n">
        <x:f>MAX(0,MIN(100,ROUND(((T1034+U1034+V1034+W1034+X1034)-Y1034)/85*100,0)))</x:f>
        <x:v>64</x:v>
      </x:c>
      <x:c r="AA1034" s="9" t="str">
        <x:f>IF(L1034="暂不做","P3 暂缓",IF(Z1034&gt;=75,"P0 本周做",IF(Z1034&gt;=60,"P1 近期做",IF(Z1034&gt;=45,"P2 备选","P3 暂缓"))))</x:f>
        <x:v>P1 近期做</x:v>
      </x:c>
      <x:c r="AB1034" s="9" t="str">
        <x:f>IF(Y1034&gt;=15,"先做合规/相关性复核，不建议直接商业导流",IF(L1034="主站","建/优化主站商业页",IF(L1034="博客A-知识教程","写知识教程/FAQ文章",IF(L1034="博客B-场景人群","写场景需求/选购指南文章",IF(L1034="博客C-对比评测","写对比评测/榜单文章","暂不做或人工复核")))))</x:f>
        <x:v>写对比评测/榜单文章</x:v>
      </x:c>
      <x:c r="AC1034" s="9" t="str">
        <x:v>exdivo interstellar reviews</x:v>
      </x:c>
      <x:c r="AD1034" s="10" t="str">
        <x:v>48</x:v>
      </x:c>
    </x:row>
    <x:row r="1035">
      <x:c r="A1035" s="34" t="n">
        <x:v>1035</x:v>
      </x:c>
      <x:c r="B1035" s="9" t="str">
        <x:v>48</x:v>
      </x:c>
      <x:c r="C1035" s="9" t="str">
        <x:v>interstellar interstellar</x:v>
      </x:c>
      <x:c r="D1035" s="9" t="str">
        <x:v>recommended</x:v>
      </x:c>
      <x:c r="E1035" s="36" t="n">
        <x:v>880</x:v>
      </x:c>
      <x:c r="F1035" s="36" t="n">
        <x:v>77</x:v>
      </x:c>
      <x:c r="G1035" s="9" t="str">
        <x:v>informational, transactional</x:v>
      </x:c>
      <x:c r="H1035" s="9" t="str">
        <x:v>General Vape</x:v>
      </x:c>
      <x:c r="I1035" s="9" t="str">
        <x:v>交易词</x:v>
      </x:c>
      <x:c r="J1035" s="9" t="str">
        <x:v>主站</x:v>
      </x:c>
      <x:c r="K1035" s="9" t="str"/>
      <x:c r="L1035" s="9" t="str">
        <x:f>IF(K1035="",J1035,K1035)</x:f>
        <x:v>主站</x:v>
      </x:c>
      <x:c r="M1035" s="9" t="str">
        <x:v>产品集合页/分类页/购买页</x:v>
      </x:c>
      <x:c r="N1035" s="9" t="str">
        <x:v>主站商业页：标题围绕购买意图 + 品类 + 关键卖点</x:v>
      </x:c>
      <x:c r="O1035" s="9" t="str">
        <x:v>/collections/disposable-vapes</x:v>
      </x:c>
      <x:c r="P1035" s="9" t="str">
        <x:v>不适用</x:v>
      </x:c>
      <x:c r="Q1035" s="9" t="str">
        <x:v>主站页面自身承接</x:v>
      </x:c>
      <x:c r="R1035" s="9" t="str">
        <x:v>商业词：优先给主站，避免博客抢主站排名</x:v>
      </x:c>
      <x:c r="S1035" s="9" t="str">
        <x:v>SERP 如为商品列表/品牌站/电商集合页，就建主站页面；若 SERP 全是教程，再拆支持文章。</x:v>
      </x:c>
      <x:c r="T1035" s="38" t="n">
        <x:v>10</x:v>
      </x:c>
      <x:c r="U1035" s="38" t="n">
        <x:v>1</x:v>
      </x:c>
      <x:c r="V1035" s="38" t="n">
        <x:v>20</x:v>
      </x:c>
      <x:c r="W1035" s="38" t="n">
        <x:v>7</x:v>
      </x:c>
      <x:c r="X1035" s="38" t="n">
        <x:v>15</x:v>
      </x:c>
      <x:c r="Y1035" s="38" t="n">
        <x:v>4</x:v>
      </x:c>
      <x:c r="Z1035" s="38" t="n">
        <x:f>MAX(0,MIN(100,ROUND(((T1035+U1035+V1035+W1035+X1035)-Y1035)/85*100,0)))</x:f>
        <x:v>58</x:v>
      </x:c>
      <x:c r="AA1035" s="9" t="str">
        <x:f>IF(L1035="暂不做","P3 暂缓",IF(Z1035&gt;=75,"P0 本周做",IF(Z1035&gt;=60,"P1 近期做",IF(Z1035&gt;=45,"P2 备选","P3 暂缓"))))</x:f>
        <x:v>P2 备选</x:v>
      </x:c>
      <x:c r="AB1035" s="9" t="str">
        <x:f>IF(Y1035&gt;=15,"先做合规/相关性复核，不建议直接商业导流",IF(L1035="主站","建/优化主站商业页",IF(L1035="博客A-知识教程","写知识教程/FAQ文章",IF(L1035="博客B-场景人群","写场景需求/选购指南文章",IF(L1035="博客C-对比评测","写对比评测/榜单文章","暂不做或人工复核")))))</x:f>
        <x:v>建/优化主站商业页</x:v>
      </x:c>
      <x:c r="AC1035" s="9" t="str">
        <x:v>exdivo interstellar reviews</x:v>
      </x:c>
      <x:c r="AD1035" s="10" t="str">
        <x:v>48</x:v>
      </x:c>
    </x:row>
    <x:row r="1036">
      <x:c r="A1036" s="34" t="n">
        <x:v>1036</x:v>
      </x:c>
      <x:c r="B1036" s="9" t="str">
        <x:v>48</x:v>
      </x:c>
      <x:c r="C1036" s="9" t="str">
        <x:v>best vape pens</x:v>
      </x:c>
      <x:c r="D1036" s="9" t="str">
        <x:v>recommended</x:v>
      </x:c>
      <x:c r="E1036" s="36" t="n">
        <x:v>1000</x:v>
      </x:c>
      <x:c r="F1036" s="36" t="n">
        <x:v>51</x:v>
      </x:c>
      <x:c r="G1036" s="9" t="str">
        <x:v>commercial</x:v>
      </x:c>
      <x:c r="H1036" s="9" t="str">
        <x:v>对比评测</x:v>
      </x:c>
      <x:c r="I1036" s="9" t="str">
        <x:v>商业调查词</x:v>
      </x:c>
      <x:c r="J1036" s="9" t="str">
        <x:v>博客C-对比评测</x:v>
      </x:c>
      <x:c r="K1036" s="9" t="str"/>
      <x:c r="L1036" s="9" t="str">
        <x:f>IF(K1036="",J1036,K1036)</x:f>
        <x:v>博客C-对比评测</x:v>
      </x:c>
      <x:c r="M1036" s="9" t="str">
        <x:v>Best/Top/Review/VS/替代方案文章</x:v>
      </x:c>
      <x:c r="N1036" s="9" t="str">
        <x:v>Best angle: best vape pens - comparison, pros/cons, and which option fits different buyers</x:v>
      </x:c>
      <x:c r="O1036" s="9" t="str">
        <x:v>/collections/disposable-vapes</x:v>
      </x:c>
      <x:c r="P1036" s="9" t="str">
        <x:v>是</x:v>
      </x:c>
      <x:c r="Q1036" s="9" t="str">
        <x:v>自然句/品类词/品牌词</x:v>
      </x:c>
      <x:c r="R1036" s="9" t="str">
        <x:v>中风险：榜单和评测必须真实、中立，避免夸大</x:v>
      </x:c>
      <x:c r="S1036" s="9" t="str">
        <x:v>这类词不直接给主站，先用博客C教育和比较，再导流到最相关集合页。</x:v>
      </x:c>
      <x:c r="T1036" s="38" t="n">
        <x:v>13</x:v>
      </x:c>
      <x:c r="U1036" s="38" t="n">
        <x:v>6</x:v>
      </x:c>
      <x:c r="V1036" s="38" t="n">
        <x:v>16</x:v>
      </x:c>
      <x:c r="W1036" s="38" t="n">
        <x:v>15</x:v>
      </x:c>
      <x:c r="X1036" s="38" t="n">
        <x:v>13</x:v>
      </x:c>
      <x:c r="Y1036" s="38" t="n">
        <x:v>6</x:v>
      </x:c>
      <x:c r="Z1036" s="38" t="n">
        <x:f>MAX(0,MIN(100,ROUND(((T1036+U1036+V1036+W1036+X1036)-Y1036)/85*100,0)))</x:f>
        <x:v>67</x:v>
      </x:c>
      <x:c r="AA1036" s="9" t="str">
        <x:f>IF(L1036="暂不做","P3 暂缓",IF(Z1036&gt;=75,"P0 本周做",IF(Z1036&gt;=60,"P1 近期做",IF(Z1036&gt;=45,"P2 备选","P3 暂缓"))))</x:f>
        <x:v>P1 近期做</x:v>
      </x:c>
      <x:c r="AB1036" s="9" t="str">
        <x:f>IF(Y1036&gt;=15,"先做合规/相关性复核，不建议直接商业导流",IF(L1036="主站","建/优化主站商业页",IF(L1036="博客A-知识教程","写知识教程/FAQ文章",IF(L1036="博客B-场景人群","写场景需求/选购指南文章",IF(L1036="博客C-对比评测","写对比评测/榜单文章","暂不做或人工复核")))))</x:f>
        <x:v>写对比评测/榜单文章</x:v>
      </x:c>
      <x:c r="AC1036" s="9" t="str">
        <x:v>best vape pens</x:v>
      </x:c>
      <x:c r="AD1036" s="10" t="str">
        <x:v>48</x:v>
      </x:c>
    </x:row>
    <x:row r="1037">
      <x:c r="A1037" s="34" t="n">
        <x:v>1037</x:v>
      </x:c>
      <x:c r="B1037" s="9" t="str">
        <x:v>48</x:v>
      </x:c>
      <x:c r="C1037" s="9" t="str">
        <x:v>inside of a push vape</x:v>
      </x:c>
      <x:c r="D1037" s="9" t="str">
        <x:v>recommended</x:v>
      </x:c>
      <x:c r="E1037" s="36" t="n">
        <x:v>1600</x:v>
      </x:c>
      <x:c r="F1037" s="36" t="n">
        <x:v>7</x:v>
      </x:c>
      <x:c r="G1037" s="9" t="str">
        <x:v>informational, transactional</x:v>
      </x:c>
      <x:c r="H1037" s="9" t="str">
        <x:v>General Vape</x:v>
      </x:c>
      <x:c r="I1037" s="9" t="str">
        <x:v>交易词</x:v>
      </x:c>
      <x:c r="J1037" s="9" t="str">
        <x:v>主站</x:v>
      </x:c>
      <x:c r="K1037" s="9" t="str"/>
      <x:c r="L1037" s="9" t="str">
        <x:f>IF(K1037="",J1037,K1037)</x:f>
        <x:v>主站</x:v>
      </x:c>
      <x:c r="M1037" s="9" t="str">
        <x:v>产品集合页/分类页/购买页</x:v>
      </x:c>
      <x:c r="N1037" s="9" t="str">
        <x:v>主站商业页：标题围绕购买意图 + 品类 + 关键卖点</x:v>
      </x:c>
      <x:c r="O1037" s="9" t="str">
        <x:v>/collections/disposable-vapes</x:v>
      </x:c>
      <x:c r="P1037" s="9" t="str">
        <x:v>不适用</x:v>
      </x:c>
      <x:c r="Q1037" s="9" t="str">
        <x:v>主站页面自身承接</x:v>
      </x:c>
      <x:c r="R1037" s="9" t="str">
        <x:v>商业词：优先给主站，避免博客抢主站排名</x:v>
      </x:c>
      <x:c r="S1037" s="9" t="str">
        <x:v>SERP 如为商品列表/品牌站/电商集合页，就建主站页面；若 SERP 全是教程，再拆支持文章。</x:v>
      </x:c>
      <x:c r="T1037" s="38" t="n">
        <x:v>13</x:v>
      </x:c>
      <x:c r="U1037" s="38" t="n">
        <x:v>15</x:v>
      </x:c>
      <x:c r="V1037" s="38" t="n">
        <x:v>20</x:v>
      </x:c>
      <x:c r="W1037" s="38" t="n">
        <x:v>7</x:v>
      </x:c>
      <x:c r="X1037" s="38" t="n">
        <x:v>15</x:v>
      </x:c>
      <x:c r="Y1037" s="38" t="n">
        <x:v>4</x:v>
      </x:c>
      <x:c r="Z1037" s="38" t="n">
        <x:f>MAX(0,MIN(100,ROUND(((T1037+U1037+V1037+W1037+X1037)-Y1037)/85*100,0)))</x:f>
        <x:v>78</x:v>
      </x:c>
      <x:c r="AA1037" s="9" t="str">
        <x:f>IF(L1037="暂不做","P3 暂缓",IF(Z1037&gt;=75,"P0 本周做",IF(Z1037&gt;=60,"P1 近期做",IF(Z1037&gt;=45,"P2 备选","P3 暂缓"))))</x:f>
        <x:v>P0 本周做</x:v>
      </x:c>
      <x:c r="AB1037" s="9" t="str">
        <x:f>IF(Y1037&gt;=15,"先做合规/相关性复核，不建议直接商业导流",IF(L1037="主站","建/优化主站商业页",IF(L1037="博客A-知识教程","写知识教程/FAQ文章",IF(L1037="博客B-场景人群","写场景需求/选购指南文章",IF(L1037="博客C-对比评测","写对比评测/榜单文章","暂不做或人工复核")))))</x:f>
        <x:v>建/优化主站商业页</x:v>
      </x:c>
      <x:c r="AC1037" s="9" t="str">
        <x:v>best vape pens</x:v>
      </x:c>
      <x:c r="AD1037" s="10" t="str">
        <x:v>48</x:v>
      </x:c>
    </x:row>
    <x:row r="1038">
      <x:c r="A1038" s="34" t="n">
        <x:v>1038</x:v>
      </x:c>
      <x:c r="B1038" s="9" t="str">
        <x:v>48</x:v>
      </x:c>
      <x:c r="C1038" s="9" t="str">
        <x:v>vape colors</x:v>
      </x:c>
      <x:c r="D1038" s="9" t="str">
        <x:v>recommended</x:v>
      </x:c>
      <x:c r="E1038" s="36" t="n">
        <x:v>70</x:v>
      </x:c>
      <x:c r="F1038" s="36" t="n">
        <x:v>24</x:v>
      </x:c>
      <x:c r="G1038" s="9" t="str">
        <x:v>informational</x:v>
      </x:c>
      <x:c r="H1038" s="9" t="str">
        <x:v>General Vape</x:v>
      </x:c>
      <x:c r="I1038" s="9" t="str">
        <x:v>品类承接词</x:v>
      </x:c>
      <x:c r="J1038" s="9" t="str">
        <x:v>主站</x:v>
      </x:c>
      <x:c r="K1038" s="9" t="str"/>
      <x:c r="L1038" s="9" t="str">
        <x:f>IF(K1038="",J1038,K1038)</x:f>
        <x:v>主站</x:v>
      </x:c>
      <x:c r="M1038" s="9" t="str">
        <x:v>品类页/集合页 + FAQ内容块</x:v>
      </x:c>
      <x:c r="N1038" s="9" t="str">
        <x:v>主站品类页：用产品集合 + 选购说明承接</x:v>
      </x:c>
      <x:c r="O1038" s="9" t="str">
        <x:v>/collections/disposable-vapes</x:v>
      </x:c>
      <x:c r="P1038" s="9" t="str">
        <x:v>不适用</x:v>
      </x:c>
      <x:c r="Q1038" s="9" t="str">
        <x:v>主站页面自身承接</x:v>
      </x:c>
      <x:c r="R1038" s="9" t="str">
        <x:v>核心品类词：主站优先，博客只做长尾解释，不直接抢同一词</x:v>
      </x:c>
      <x:c r="S1038" s="9" t="str">
        <x:v>如果 Google 首页产品页和指南混合，主站页要加 FAQ、选购指南、对比模块。</x:v>
      </x:c>
      <x:c r="T1038" s="38" t="n">
        <x:v>4</x:v>
      </x:c>
      <x:c r="U1038" s="38" t="n">
        <x:v>12</x:v>
      </x:c>
      <x:c r="V1038" s="38" t="n">
        <x:v>16</x:v>
      </x:c>
      <x:c r="W1038" s="38" t="n">
        <x:v>8</x:v>
      </x:c>
      <x:c r="X1038" s="38" t="n">
        <x:v>15</x:v>
      </x:c>
      <x:c r="Y1038" s="38" t="n">
        <x:v>4</x:v>
      </x:c>
      <x:c r="Z1038" s="38" t="n">
        <x:f>MAX(0,MIN(100,ROUND(((T1038+U1038+V1038+W1038+X1038)-Y1038)/85*100,0)))</x:f>
        <x:v>60</x:v>
      </x:c>
      <x:c r="AA1038" s="9" t="str">
        <x:f>IF(L1038="暂不做","P3 暂缓",IF(Z1038&gt;=75,"P0 本周做",IF(Z1038&gt;=60,"P1 近期做",IF(Z1038&gt;=45,"P2 备选","P3 暂缓"))))</x:f>
        <x:v>P1 近期做</x:v>
      </x:c>
      <x:c r="AB1038" s="9" t="str">
        <x:f>IF(Y1038&gt;=15,"先做合规/相关性复核，不建议直接商业导流",IF(L1038="主站","建/优化主站商业页",IF(L1038="博客A-知识教程","写知识教程/FAQ文章",IF(L1038="博客B-场景人群","写场景需求/选购指南文章",IF(L1038="博客C-对比评测","写对比评测/榜单文章","暂不做或人工复核")))))</x:f>
        <x:v>建/优化主站商业页</x:v>
      </x:c>
      <x:c r="AC1038" s="9" t="str">
        <x:v>best vape pens</x:v>
      </x:c>
      <x:c r="AD1038" s="10" t="str">
        <x:v>48</x:v>
      </x:c>
    </x:row>
    <x:row r="1039">
      <x:c r="A1039" s="34" t="n">
        <x:v>1039</x:v>
      </x:c>
      <x:c r="B1039" s="9" t="str">
        <x:v>48</x:v>
      </x:c>
      <x:c r="C1039" s="9" t="str">
        <x:v>vape battery 510</x:v>
      </x:c>
      <x:c r="D1039" s="9" t="str">
        <x:v>recommended</x:v>
      </x:c>
      <x:c r="E1039" s="36" t="n">
        <x:v>3600</x:v>
      </x:c>
      <x:c r="F1039" s="36" t="n">
        <x:v>27</x:v>
      </x:c>
      <x:c r="G1039" s="9" t="str">
        <x:v>commercial</x:v>
      </x:c>
      <x:c r="H1039" s="9" t="str">
        <x:v>General Vape</x:v>
      </x:c>
      <x:c r="I1039" s="9" t="str">
        <x:v>品类承接词</x:v>
      </x:c>
      <x:c r="J1039" s="9" t="str">
        <x:v>主站</x:v>
      </x:c>
      <x:c r="K1039" s="9" t="str"/>
      <x:c r="L1039" s="9" t="str">
        <x:f>IF(K1039="",J1039,K1039)</x:f>
        <x:v>主站</x:v>
      </x:c>
      <x:c r="M1039" s="9" t="str">
        <x:v>品类页/集合页 + FAQ内容块</x:v>
      </x:c>
      <x:c r="N1039" s="9" t="str">
        <x:v>主站品类页：用产品集合 + 选购说明承接</x:v>
      </x:c>
      <x:c r="O1039" s="9" t="str">
        <x:v>/collections/disposable-vapes</x:v>
      </x:c>
      <x:c r="P1039" s="9" t="str">
        <x:v>不适用</x:v>
      </x:c>
      <x:c r="Q1039" s="9" t="str">
        <x:v>主站页面自身承接</x:v>
      </x:c>
      <x:c r="R1039" s="9" t="str">
        <x:v>核心品类词：主站优先，博客只做长尾解释，不直接抢同一词</x:v>
      </x:c>
      <x:c r="S1039" s="9" t="str">
        <x:v>如果 Google 首页产品页和指南混合，主站页要加 FAQ、选购指南、对比模块。</x:v>
      </x:c>
      <x:c r="T1039" s="38" t="n">
        <x:v>13</x:v>
      </x:c>
      <x:c r="U1039" s="38" t="n">
        <x:v>12</x:v>
      </x:c>
      <x:c r="V1039" s="38" t="n">
        <x:v>18</x:v>
      </x:c>
      <x:c r="W1039" s="38" t="n">
        <x:v>8</x:v>
      </x:c>
      <x:c r="X1039" s="38" t="n">
        <x:v>15</x:v>
      </x:c>
      <x:c r="Y1039" s="38" t="n">
        <x:v>4</x:v>
      </x:c>
      <x:c r="Z1039" s="38" t="n">
        <x:f>MAX(0,MIN(100,ROUND(((T1039+U1039+V1039+W1039+X1039)-Y1039)/85*100,0)))</x:f>
        <x:v>73</x:v>
      </x:c>
      <x:c r="AA1039" s="9" t="str">
        <x:f>IF(L1039="暂不做","P3 暂缓",IF(Z1039&gt;=75,"P0 本周做",IF(Z1039&gt;=60,"P1 近期做",IF(Z1039&gt;=45,"P2 备选","P3 暂缓"))))</x:f>
        <x:v>P1 近期做</x:v>
      </x:c>
      <x:c r="AB1039" s="9" t="str">
        <x:f>IF(Y1039&gt;=15,"先做合规/相关性复核，不建议直接商业导流",IF(L1039="主站","建/优化主站商业页",IF(L1039="博客A-知识教程","写知识教程/FAQ文章",IF(L1039="博客B-场景人群","写场景需求/选购指南文章",IF(L1039="博客C-对比评测","写对比评测/榜单文章","暂不做或人工复核")))))</x:f>
        <x:v>建/优化主站商业页</x:v>
      </x:c>
      <x:c r="AC1039" s="9" t="str">
        <x:v>best vape pens</x:v>
      </x:c>
      <x:c r="AD1039" s="10" t="str">
        <x:v>48</x:v>
      </x:c>
    </x:row>
    <x:row r="1040">
      <x:c r="A1040" s="34" t="n">
        <x:v>1040</x:v>
      </x:c>
      <x:c r="B1040" s="9" t="str">
        <x:v>48</x:v>
      </x:c>
      <x:c r="C1040" s="9" t="str">
        <x:v>vape cartridge battery</x:v>
      </x:c>
      <x:c r="D1040" s="9" t="str">
        <x:v>recommended</x:v>
      </x:c>
      <x:c r="E1040" s="36" t="n">
        <x:v>2900</x:v>
      </x:c>
      <x:c r="F1040" s="36" t="n">
        <x:v>32</x:v>
      </x:c>
      <x:c r="G1040" s="9" t="str">
        <x:v>commercial</x:v>
      </x:c>
      <x:c r="H1040" s="9" t="str">
        <x:v>General Vape</x:v>
      </x:c>
      <x:c r="I1040" s="9" t="str">
        <x:v>品类承接词</x:v>
      </x:c>
      <x:c r="J1040" s="9" t="str">
        <x:v>主站</x:v>
      </x:c>
      <x:c r="K1040" s="9" t="str"/>
      <x:c r="L1040" s="9" t="str">
        <x:f>IF(K1040="",J1040,K1040)</x:f>
        <x:v>主站</x:v>
      </x:c>
      <x:c r="M1040" s="9" t="str">
        <x:v>品类页/集合页 + FAQ内容块</x:v>
      </x:c>
      <x:c r="N1040" s="9" t="str">
        <x:v>主站品类页：用产品集合 + 选购说明承接</x:v>
      </x:c>
      <x:c r="O1040" s="9" t="str">
        <x:v>/collections/disposable-vapes</x:v>
      </x:c>
      <x:c r="P1040" s="9" t="str">
        <x:v>不适用</x:v>
      </x:c>
      <x:c r="Q1040" s="9" t="str">
        <x:v>主站页面自身承接</x:v>
      </x:c>
      <x:c r="R1040" s="9" t="str">
        <x:v>核心品类词：主站优先，博客只做长尾解释，不直接抢同一词</x:v>
      </x:c>
      <x:c r="S1040" s="9" t="str">
        <x:v>如果 Google 首页产品页和指南混合，主站页要加 FAQ、选购指南、对比模块。</x:v>
      </x:c>
      <x:c r="T1040" s="38" t="n">
        <x:v>13</x:v>
      </x:c>
      <x:c r="U1040" s="38" t="n">
        <x:v>9</x:v>
      </x:c>
      <x:c r="V1040" s="38" t="n">
        <x:v>18</x:v>
      </x:c>
      <x:c r="W1040" s="38" t="n">
        <x:v>8</x:v>
      </x:c>
      <x:c r="X1040" s="38" t="n">
        <x:v>15</x:v>
      </x:c>
      <x:c r="Y1040" s="38" t="n">
        <x:v>4</x:v>
      </x:c>
      <x:c r="Z1040" s="38" t="n">
        <x:f>MAX(0,MIN(100,ROUND(((T1040+U1040+V1040+W1040+X1040)-Y1040)/85*100,0)))</x:f>
        <x:v>69</x:v>
      </x:c>
      <x:c r="AA1040" s="9" t="str">
        <x:f>IF(L1040="暂不做","P3 暂缓",IF(Z1040&gt;=75,"P0 本周做",IF(Z1040&gt;=60,"P1 近期做",IF(Z1040&gt;=45,"P2 备选","P3 暂缓"))))</x:f>
        <x:v>P1 近期做</x:v>
      </x:c>
      <x:c r="AB1040" s="9" t="str">
        <x:f>IF(Y1040&gt;=15,"先做合规/相关性复核，不建议直接商业导流",IF(L1040="主站","建/优化主站商业页",IF(L1040="博客A-知识教程","写知识教程/FAQ文章",IF(L1040="博客B-场景人群","写场景需求/选购指南文章",IF(L1040="博客C-对比评测","写对比评测/榜单文章","暂不做或人工复核")))))</x:f>
        <x:v>建/优化主站商业页</x:v>
      </x:c>
      <x:c r="AC1040" s="9" t="str">
        <x:v>best vape pens</x:v>
      </x:c>
      <x:c r="AD1040" s="10" t="str">
        <x:v>48</x:v>
      </x:c>
    </x:row>
    <x:row r="1041">
      <x:c r="A1041" s="34" t="n">
        <x:v>1041</x:v>
      </x:c>
      <x:c r="B1041" s="9" t="str">
        <x:v>48</x:v>
      </x:c>
      <x:c r="C1041" s="9" t="str">
        <x:v>510 thread vape</x:v>
      </x:c>
      <x:c r="D1041" s="9" t="str">
        <x:v>recommended</x:v>
      </x:c>
      <x:c r="E1041" s="36" t="n">
        <x:v>1300</x:v>
      </x:c>
      <x:c r="F1041" s="36" t="n">
        <x:v>28</x:v>
      </x:c>
      <x:c r="G1041" s="9" t="str">
        <x:v>commercial</x:v>
      </x:c>
      <x:c r="H1041" s="9" t="str">
        <x:v>General Vape</x:v>
      </x:c>
      <x:c r="I1041" s="9" t="str">
        <x:v>品类承接词</x:v>
      </x:c>
      <x:c r="J1041" s="9" t="str">
        <x:v>主站</x:v>
      </x:c>
      <x:c r="K1041" s="9" t="str"/>
      <x:c r="L1041" s="9" t="str">
        <x:f>IF(K1041="",J1041,K1041)</x:f>
        <x:v>主站</x:v>
      </x:c>
      <x:c r="M1041" s="9" t="str">
        <x:v>品类页/集合页 + FAQ内容块</x:v>
      </x:c>
      <x:c r="N1041" s="9" t="str">
        <x:v>主站品类页：用产品集合 + 选购说明承接</x:v>
      </x:c>
      <x:c r="O1041" s="9" t="str">
        <x:v>/collections/disposable-vapes</x:v>
      </x:c>
      <x:c r="P1041" s="9" t="str">
        <x:v>不适用</x:v>
      </x:c>
      <x:c r="Q1041" s="9" t="str">
        <x:v>主站页面自身承接</x:v>
      </x:c>
      <x:c r="R1041" s="9" t="str">
        <x:v>核心品类词：主站优先，博客只做长尾解释，不直接抢同一词</x:v>
      </x:c>
      <x:c r="S1041" s="9" t="str">
        <x:v>如果 Google 首页产品页和指南混合，主站页要加 FAQ、选购指南、对比模块。</x:v>
      </x:c>
      <x:c r="T1041" s="38" t="n">
        <x:v>13</x:v>
      </x:c>
      <x:c r="U1041" s="38" t="n">
        <x:v>12</x:v>
      </x:c>
      <x:c r="V1041" s="38" t="n">
        <x:v>18</x:v>
      </x:c>
      <x:c r="W1041" s="38" t="n">
        <x:v>8</x:v>
      </x:c>
      <x:c r="X1041" s="38" t="n">
        <x:v>15</x:v>
      </x:c>
      <x:c r="Y1041" s="38" t="n">
        <x:v>4</x:v>
      </x:c>
      <x:c r="Z1041" s="38" t="n">
        <x:f>MAX(0,MIN(100,ROUND(((T1041+U1041+V1041+W1041+X1041)-Y1041)/85*100,0)))</x:f>
        <x:v>73</x:v>
      </x:c>
      <x:c r="AA1041" s="9" t="str">
        <x:f>IF(L1041="暂不做","P3 暂缓",IF(Z1041&gt;=75,"P0 本周做",IF(Z1041&gt;=60,"P1 近期做",IF(Z1041&gt;=45,"P2 备选","P3 暂缓"))))</x:f>
        <x:v>P1 近期做</x:v>
      </x:c>
      <x:c r="AB1041" s="9" t="str">
        <x:f>IF(Y1041&gt;=15,"先做合规/相关性复核，不建议直接商业导流",IF(L1041="主站","建/优化主站商业页",IF(L1041="博客A-知识教程","写知识教程/FAQ文章",IF(L1041="博客B-场景人群","写场景需求/选购指南文章",IF(L1041="博客C-对比评测","写对比评测/榜单文章","暂不做或人工复核")))))</x:f>
        <x:v>建/优化主站商业页</x:v>
      </x:c>
      <x:c r="AC1041" s="9" t="str">
        <x:v>best vape pens</x:v>
      </x:c>
      <x:c r="AD1041" s="10" t="str">
        <x:v>48</x:v>
      </x:c>
    </x:row>
    <x:row r="1042">
      <x:c r="A1042" s="34" t="n">
        <x:v>1042</x:v>
      </x:c>
      <x:c r="B1042" s="9" t="str">
        <x:v>48</x:v>
      </x:c>
      <x:c r="C1042" s="9" t="str">
        <x:v>vape pen battery 510</x:v>
      </x:c>
      <x:c r="D1042" s="9" t="str">
        <x:v>recommended</x:v>
      </x:c>
      <x:c r="E1042" s="36" t="n">
        <x:v>2400</x:v>
      </x:c>
      <x:c r="F1042" s="36" t="n">
        <x:v>36</x:v>
      </x:c>
      <x:c r="G1042" s="9" t="str">
        <x:v>commercial</x:v>
      </x:c>
      <x:c r="H1042" s="9" t="str">
        <x:v>General Vape</x:v>
      </x:c>
      <x:c r="I1042" s="9" t="str">
        <x:v>品类承接词</x:v>
      </x:c>
      <x:c r="J1042" s="9" t="str">
        <x:v>主站</x:v>
      </x:c>
      <x:c r="K1042" s="9" t="str"/>
      <x:c r="L1042" s="9" t="str">
        <x:f>IF(K1042="",J1042,K1042)</x:f>
        <x:v>主站</x:v>
      </x:c>
      <x:c r="M1042" s="9" t="str">
        <x:v>品类页/集合页 + FAQ内容块</x:v>
      </x:c>
      <x:c r="N1042" s="9" t="str">
        <x:v>主站品类页：用产品集合 + 选购说明承接</x:v>
      </x:c>
      <x:c r="O1042" s="9" t="str">
        <x:v>/collections/disposable-vapes</x:v>
      </x:c>
      <x:c r="P1042" s="9" t="str">
        <x:v>不适用</x:v>
      </x:c>
      <x:c r="Q1042" s="9" t="str">
        <x:v>主站页面自身承接</x:v>
      </x:c>
      <x:c r="R1042" s="9" t="str">
        <x:v>核心品类词：主站优先，博客只做长尾解释，不直接抢同一词</x:v>
      </x:c>
      <x:c r="S1042" s="9" t="str">
        <x:v>如果 Google 首页产品页和指南混合，主站页要加 FAQ、选购指南、对比模块。</x:v>
      </x:c>
      <x:c r="T1042" s="38" t="n">
        <x:v>13</x:v>
      </x:c>
      <x:c r="U1042" s="38" t="n">
        <x:v>9</x:v>
      </x:c>
      <x:c r="V1042" s="38" t="n">
        <x:v>18</x:v>
      </x:c>
      <x:c r="W1042" s="38" t="n">
        <x:v>8</x:v>
      </x:c>
      <x:c r="X1042" s="38" t="n">
        <x:v>15</x:v>
      </x:c>
      <x:c r="Y1042" s="38" t="n">
        <x:v>4</x:v>
      </x:c>
      <x:c r="Z1042" s="38" t="n">
        <x:f>MAX(0,MIN(100,ROUND(((T1042+U1042+V1042+W1042+X1042)-Y1042)/85*100,0)))</x:f>
        <x:v>69</x:v>
      </x:c>
      <x:c r="AA1042" s="9" t="str">
        <x:f>IF(L1042="暂不做","P3 暂缓",IF(Z1042&gt;=75,"P0 本周做",IF(Z1042&gt;=60,"P1 近期做",IF(Z1042&gt;=45,"P2 备选","P3 暂缓"))))</x:f>
        <x:v>P1 近期做</x:v>
      </x:c>
      <x:c r="AB1042" s="9" t="str">
        <x:f>IF(Y1042&gt;=15,"先做合规/相关性复核，不建议直接商业导流",IF(L1042="主站","建/优化主站商业页",IF(L1042="博客A-知识教程","写知识教程/FAQ文章",IF(L1042="博客B-场景人群","写场景需求/选购指南文章",IF(L1042="博客C-对比评测","写对比评测/榜单文章","暂不做或人工复核")))))</x:f>
        <x:v>建/优化主站商业页</x:v>
      </x:c>
      <x:c r="AC1042" s="9" t="str">
        <x:v>best vape pens</x:v>
      </x:c>
      <x:c r="AD1042" s="10" t="str">
        <x:v>48</x:v>
      </x:c>
    </x:row>
    <x:row r="1043">
      <x:c r="A1043" s="34" t="n">
        <x:v>1043</x:v>
      </x:c>
      <x:c r="B1043" s="9" t="str">
        <x:v>48</x:v>
      </x:c>
      <x:c r="C1043" s="9" t="str">
        <x:v>vape essentials</x:v>
      </x:c>
      <x:c r="D1043" s="9" t="str">
        <x:v>recommended</x:v>
      </x:c>
      <x:c r="E1043" s="36" t="n">
        <x:v>50</x:v>
      </x:c>
      <x:c r="F1043" s="36" t="n">
        <x:v>48</x:v>
      </x:c>
      <x:c r="G1043" s="9" t="str">
        <x:v>commercial</x:v>
      </x:c>
      <x:c r="H1043" s="9" t="str">
        <x:v>General Vape</x:v>
      </x:c>
      <x:c r="I1043" s="9" t="str">
        <x:v>品类承接词</x:v>
      </x:c>
      <x:c r="J1043" s="9" t="str">
        <x:v>主站</x:v>
      </x:c>
      <x:c r="K1043" s="9" t="str"/>
      <x:c r="L1043" s="9" t="str">
        <x:f>IF(K1043="",J1043,K1043)</x:f>
        <x:v>主站</x:v>
      </x:c>
      <x:c r="M1043" s="9" t="str">
        <x:v>品类页/集合页 + FAQ内容块</x:v>
      </x:c>
      <x:c r="N1043" s="9" t="str">
        <x:v>主站品类页：用产品集合 + 选购说明承接</x:v>
      </x:c>
      <x:c r="O1043" s="9" t="str">
        <x:v>/collections/disposable-vapes</x:v>
      </x:c>
      <x:c r="P1043" s="9" t="str">
        <x:v>不适用</x:v>
      </x:c>
      <x:c r="Q1043" s="9" t="str">
        <x:v>主站页面自身承接</x:v>
      </x:c>
      <x:c r="R1043" s="9" t="str">
        <x:v>核心品类词：主站优先，博客只做长尾解释，不直接抢同一词</x:v>
      </x:c>
      <x:c r="S1043" s="9" t="str">
        <x:v>如果 Google 首页产品页和指南混合，主站页要加 FAQ、选购指南、对比模块。</x:v>
      </x:c>
      <x:c r="T1043" s="38" t="n">
        <x:v>4</x:v>
      </x:c>
      <x:c r="U1043" s="38" t="n">
        <x:v>6</x:v>
      </x:c>
      <x:c r="V1043" s="38" t="n">
        <x:v>18</x:v>
      </x:c>
      <x:c r="W1043" s="38" t="n">
        <x:v>8</x:v>
      </x:c>
      <x:c r="X1043" s="38" t="n">
        <x:v>15</x:v>
      </x:c>
      <x:c r="Y1043" s="38" t="n">
        <x:v>4</x:v>
      </x:c>
      <x:c r="Z1043" s="38" t="n">
        <x:f>MAX(0,MIN(100,ROUND(((T1043+U1043+V1043+W1043+X1043)-Y1043)/85*100,0)))</x:f>
        <x:v>55</x:v>
      </x:c>
      <x:c r="AA1043" s="9" t="str">
        <x:f>IF(L1043="暂不做","P3 暂缓",IF(Z1043&gt;=75,"P0 本周做",IF(Z1043&gt;=60,"P1 近期做",IF(Z1043&gt;=45,"P2 备选","P3 暂缓"))))</x:f>
        <x:v>P2 备选</x:v>
      </x:c>
      <x:c r="AB1043" s="9" t="str">
        <x:f>IF(Y1043&gt;=15,"先做合规/相关性复核，不建议直接商业导流",IF(L1043="主站","建/优化主站商业页",IF(L1043="博客A-知识教程","写知识教程/FAQ文章",IF(L1043="博客B-场景人群","写场景需求/选购指南文章",IF(L1043="博客C-对比评测","写对比评测/榜单文章","暂不做或人工复核")))))</x:f>
        <x:v>建/优化主站商业页</x:v>
      </x:c>
      <x:c r="AC1043" s="9" t="str">
        <x:v>best vape pens</x:v>
      </x:c>
      <x:c r="AD1043" s="10" t="str">
        <x:v>48</x:v>
      </x:c>
    </x:row>
    <x:row r="1044">
      <x:c r="A1044" s="34" t="n">
        <x:v>1044</x:v>
      </x:c>
      <x:c r="B1044" s="9" t="str">
        <x:v>48</x:v>
      </x:c>
      <x:c r="C1044" s="9" t="str">
        <x:v>pot vape pen</x:v>
      </x:c>
      <x:c r="D1044" s="9" t="str">
        <x:v>recommended</x:v>
      </x:c>
      <x:c r="E1044" s="36" t="n">
        <x:v>2900</x:v>
      </x:c>
      <x:c r="F1044" s="36" t="n">
        <x:v>59</x:v>
      </x:c>
      <x:c r="G1044" s="9" t="str">
        <x:v>informational</x:v>
      </x:c>
      <x:c r="H1044" s="9" t="str">
        <x:v>General Vape</x:v>
      </x:c>
      <x:c r="I1044" s="9" t="str">
        <x:v>品类承接词</x:v>
      </x:c>
      <x:c r="J1044" s="9" t="str">
        <x:v>主站</x:v>
      </x:c>
      <x:c r="K1044" s="9" t="str"/>
      <x:c r="L1044" s="9" t="str">
        <x:f>IF(K1044="",J1044,K1044)</x:f>
        <x:v>主站</x:v>
      </x:c>
      <x:c r="M1044" s="9" t="str">
        <x:v>品类页/集合页 + FAQ内容块</x:v>
      </x:c>
      <x:c r="N1044" s="9" t="str">
        <x:v>主站品类页：用产品集合 + 选购说明承接</x:v>
      </x:c>
      <x:c r="O1044" s="9" t="str">
        <x:v>/collections/disposable-vapes</x:v>
      </x:c>
      <x:c r="P1044" s="9" t="str">
        <x:v>不适用</x:v>
      </x:c>
      <x:c r="Q1044" s="9" t="str">
        <x:v>主站页面自身承接</x:v>
      </x:c>
      <x:c r="R1044" s="9" t="str">
        <x:v>核心品类词：主站优先，博客只做长尾解释，不直接抢同一词</x:v>
      </x:c>
      <x:c r="S1044" s="9" t="str">
        <x:v>如果 Google 首页产品页和指南混合，主站页要加 FAQ、选购指南、对比模块。</x:v>
      </x:c>
      <x:c r="T1044" s="38" t="n">
        <x:v>13</x:v>
      </x:c>
      <x:c r="U1044" s="38" t="n">
        <x:v>6</x:v>
      </x:c>
      <x:c r="V1044" s="38" t="n">
        <x:v>16</x:v>
      </x:c>
      <x:c r="W1044" s="38" t="n">
        <x:v>8</x:v>
      </x:c>
      <x:c r="X1044" s="38" t="n">
        <x:v>15</x:v>
      </x:c>
      <x:c r="Y1044" s="38" t="n">
        <x:v>4</x:v>
      </x:c>
      <x:c r="Z1044" s="38" t="n">
        <x:f>MAX(0,MIN(100,ROUND(((T1044+U1044+V1044+W1044+X1044)-Y1044)/85*100,0)))</x:f>
        <x:v>64</x:v>
      </x:c>
      <x:c r="AA1044" s="9" t="str">
        <x:f>IF(L1044="暂不做","P3 暂缓",IF(Z1044&gt;=75,"P0 本周做",IF(Z1044&gt;=60,"P1 近期做",IF(Z1044&gt;=45,"P2 备选","P3 暂缓"))))</x:f>
        <x:v>P1 近期做</x:v>
      </x:c>
      <x:c r="AB1044" s="9" t="str">
        <x:f>IF(Y1044&gt;=15,"先做合规/相关性复核，不建议直接商业导流",IF(L1044="主站","建/优化主站商业页",IF(L1044="博客A-知识教程","写知识教程/FAQ文章",IF(L1044="博客B-场景人群","写场景需求/选购指南文章",IF(L1044="博客C-对比评测","写对比评测/榜单文章","暂不做或人工复核")))))</x:f>
        <x:v>建/优化主站商业页</x:v>
      </x:c>
      <x:c r="AC1044" s="9" t="str">
        <x:v>best vape pens</x:v>
      </x:c>
      <x:c r="AD1044" s="10" t="str">
        <x:v>48</x:v>
      </x:c>
    </x:row>
    <x:row r="1045">
      <x:c r="A1045" s="34" t="n">
        <x:v>1045</x:v>
      </x:c>
      <x:c r="B1045" s="9" t="str">
        <x:v>48</x:v>
      </x:c>
      <x:c r="C1045" s="9" t="str">
        <x:v>vape pens</x:v>
      </x:c>
      <x:c r="D1045" s="9" t="str">
        <x:v>recommended</x:v>
      </x:c>
      <x:c r="E1045" s="36" t="n">
        <x:v>9900</x:v>
      </x:c>
      <x:c r="F1045" s="36" t="n">
        <x:v>79</x:v>
      </x:c>
      <x:c r="G1045" s="9" t="str">
        <x:v>informational</x:v>
      </x:c>
      <x:c r="H1045" s="9" t="str">
        <x:v>General Vape</x:v>
      </x:c>
      <x:c r="I1045" s="9" t="str">
        <x:v>品类承接词</x:v>
      </x:c>
      <x:c r="J1045" s="9" t="str">
        <x:v>主站</x:v>
      </x:c>
      <x:c r="K1045" s="9" t="str"/>
      <x:c r="L1045" s="9" t="str">
        <x:f>IF(K1045="",J1045,K1045)</x:f>
        <x:v>主站</x:v>
      </x:c>
      <x:c r="M1045" s="9" t="str">
        <x:v>品类页/集合页 + FAQ内容块</x:v>
      </x:c>
      <x:c r="N1045" s="9" t="str">
        <x:v>主站品类页：用产品集合 + 选购说明承接</x:v>
      </x:c>
      <x:c r="O1045" s="9" t="str">
        <x:v>/collections/disposable-vapes</x:v>
      </x:c>
      <x:c r="P1045" s="9" t="str">
        <x:v>不适用</x:v>
      </x:c>
      <x:c r="Q1045" s="9" t="str">
        <x:v>主站页面自身承接</x:v>
      </x:c>
      <x:c r="R1045" s="9" t="str">
        <x:v>核心品类词：主站优先，博客只做长尾解释，不直接抢同一词</x:v>
      </x:c>
      <x:c r="S1045" s="9" t="str">
        <x:v>如果 Google 首页产品页和指南混合，主站页要加 FAQ、选购指南、对比模块。</x:v>
      </x:c>
      <x:c r="T1045" s="38" t="n">
        <x:v>16</x:v>
      </x:c>
      <x:c r="U1045" s="38" t="n">
        <x:v>1</x:v>
      </x:c>
      <x:c r="V1045" s="38" t="n">
        <x:v>16</x:v>
      </x:c>
      <x:c r="W1045" s="38" t="n">
        <x:v>8</x:v>
      </x:c>
      <x:c r="X1045" s="38" t="n">
        <x:v>15</x:v>
      </x:c>
      <x:c r="Y1045" s="38" t="n">
        <x:v>4</x:v>
      </x:c>
      <x:c r="Z1045" s="38" t="n">
        <x:f>MAX(0,MIN(100,ROUND(((T1045+U1045+V1045+W1045+X1045)-Y1045)/85*100,0)))</x:f>
        <x:v>61</x:v>
      </x:c>
      <x:c r="AA1045" s="9" t="str">
        <x:f>IF(L1045="暂不做","P3 暂缓",IF(Z1045&gt;=75,"P0 本周做",IF(Z1045&gt;=60,"P1 近期做",IF(Z1045&gt;=45,"P2 备选","P3 暂缓"))))</x:f>
        <x:v>P1 近期做</x:v>
      </x:c>
      <x:c r="AB1045" s="9" t="str">
        <x:f>IF(Y1045&gt;=15,"先做合规/相关性复核，不建议直接商业导流",IF(L1045="主站","建/优化主站商业页",IF(L1045="博客A-知识教程","写知识教程/FAQ文章",IF(L1045="博客B-场景人群","写场景需求/选购指南文章",IF(L1045="博客C-对比评测","写对比评测/榜单文章","暂不做或人工复核")))))</x:f>
        <x:v>建/优化主站商业页</x:v>
      </x:c>
      <x:c r="AC1045" s="9" t="str">
        <x:v>best vape pens</x:v>
      </x:c>
      <x:c r="AD1045" s="10" t="str">
        <x:v>48</x:v>
      </x:c>
    </x:row>
    <x:row r="1046">
      <x:c r="A1046" s="34" t="n">
        <x:v>1046</x:v>
      </x:c>
      <x:c r="B1046" s="9" t="str">
        <x:v>48</x:v>
      </x:c>
      <x:c r="C1046" s="9" t="str">
        <x:v>peach flavored vapes</x:v>
      </x:c>
      <x:c r="D1046" s="9" t="str">
        <x:v>recommended</x:v>
      </x:c>
      <x:c r="E1046" s="36" t="n">
        <x:v>40</x:v>
      </x:c>
      <x:c r="F1046" s="36" t="n">
        <x:v>0</x:v>
      </x:c>
      <x:c r="G1046" s="9" t="str">
        <x:v>informational</x:v>
      </x:c>
      <x:c r="H1046" s="9" t="str">
        <x:v>Flavor / 口味</x:v>
      </x:c>
      <x:c r="I1046" s="9" t="str">
        <x:v>场景/需求词</x:v>
      </x:c>
      <x:c r="J1046" s="9" t="str">
        <x:v>博客B-场景人群</x:v>
      </x:c>
      <x:c r="K1046" s="9" t="str"/>
      <x:c r="L1046" s="9" t="str">
        <x:f>IF(K1046="",J1046,K1046)</x:f>
        <x:v>博客B-场景人群</x:v>
      </x:c>
      <x:c r="M1046" s="9" t="str">
        <x:v>场景解决方案/选购指南文章</x:v>
      </x:c>
      <x:c r="N1046" s="9" t="str">
        <x:v>Scenario angle: how to choose peach flavored vapes based on use case, flavor, nicotine, and budget</x:v>
      </x:c>
      <x:c r="O1046" s="9" t="str">
        <x:v>/collections/flavored-disposable-vapes</x:v>
      </x:c>
      <x:c r="P1046" s="9" t="str">
        <x:v>是</x:v>
      </x:c>
      <x:c r="Q1046" s="9" t="str">
        <x:v>自然句/品类词</x:v>
      </x:c>
      <x:c r="R1046" s="9" t="str">
        <x:v>低中风险：适合软性导流，但不要夸大效果或触碰健康疗效</x:v>
      </x:c>
      <x:c r="S1046" s="9" t="str">
        <x:v>围绕使用场景、口味、尼古丁需求、便携性等写，不和主站品类页抢词。</x:v>
      </x:c>
      <x:c r="T1046" s="38" t="n">
        <x:v>4</x:v>
      </x:c>
      <x:c r="U1046" s="38" t="n">
        <x:v>15</x:v>
      </x:c>
      <x:c r="V1046" s="38" t="n">
        <x:v>13</x:v>
      </x:c>
      <x:c r="W1046" s="38" t="n">
        <x:v>14</x:v>
      </x:c>
      <x:c r="X1046" s="38" t="n">
        <x:v>13</x:v>
      </x:c>
      <x:c r="Y1046" s="38" t="n">
        <x:v>5</x:v>
      </x:c>
      <x:c r="Z1046" s="38" t="n">
        <x:f>MAX(0,MIN(100,ROUND(((T1046+U1046+V1046+W1046+X1046)-Y1046)/85*100,0)))</x:f>
        <x:v>64</x:v>
      </x:c>
      <x:c r="AA1046" s="9" t="str">
        <x:f>IF(L1046="暂不做","P3 暂缓",IF(Z1046&gt;=75,"P0 本周做",IF(Z1046&gt;=60,"P1 近期做",IF(Z1046&gt;=45,"P2 备选","P3 暂缓"))))</x:f>
        <x:v>P1 近期做</x:v>
      </x:c>
      <x:c r="AB1046" s="9" t="str">
        <x:f>IF(Y1046&gt;=15,"先做合规/相关性复核，不建议直接商业导流",IF(L1046="主站","建/优化主站商业页",IF(L1046="博客A-知识教程","写知识教程/FAQ文章",IF(L1046="博客B-场景人群","写场景需求/选购指南文章",IF(L1046="博客C-对比评测","写对比评测/榜单文章","暂不做或人工复核")))))</x:f>
        <x:v>写场景需求/选购指南文章</x:v>
      </x:c>
      <x:c r="AC1046" s="9" t="str">
        <x:v>peach flavored vapes</x:v>
      </x:c>
      <x:c r="AD1046" s="10" t="str">
        <x:v>48</x:v>
      </x:c>
    </x:row>
    <x:row r="1047">
      <x:c r="A1047" s="34" t="n">
        <x:v>1047</x:v>
      </x:c>
      <x:c r="B1047" s="9" t="str">
        <x:v>48</x:v>
      </x:c>
      <x:c r="C1047" s="9" t="str">
        <x:v>vape peach</x:v>
      </x:c>
      <x:c r="D1047" s="9" t="str">
        <x:v>recommended</x:v>
      </x:c>
      <x:c r="E1047" s="36" t="n">
        <x:v>50</x:v>
      </x:c>
      <x:c r="F1047" s="36" t="n">
        <x:v>5</x:v>
      </x:c>
      <x:c r="G1047" s="9" t="str">
        <x:v>informational</x:v>
      </x:c>
      <x:c r="H1047" s="9" t="str">
        <x:v>General Vape</x:v>
      </x:c>
      <x:c r="I1047" s="9" t="str">
        <x:v>品类承接词</x:v>
      </x:c>
      <x:c r="J1047" s="9" t="str">
        <x:v>主站</x:v>
      </x:c>
      <x:c r="K1047" s="9" t="str"/>
      <x:c r="L1047" s="9" t="str">
        <x:f>IF(K1047="",J1047,K1047)</x:f>
        <x:v>主站</x:v>
      </x:c>
      <x:c r="M1047" s="9" t="str">
        <x:v>品类页/集合页 + FAQ内容块</x:v>
      </x:c>
      <x:c r="N1047" s="9" t="str">
        <x:v>主站品类页：用产品集合 + 选购说明承接</x:v>
      </x:c>
      <x:c r="O1047" s="9" t="str">
        <x:v>/collections/disposable-vapes</x:v>
      </x:c>
      <x:c r="P1047" s="9" t="str">
        <x:v>不适用</x:v>
      </x:c>
      <x:c r="Q1047" s="9" t="str">
        <x:v>主站页面自身承接</x:v>
      </x:c>
      <x:c r="R1047" s="9" t="str">
        <x:v>核心品类词：主站优先，博客只做长尾解释，不直接抢同一词</x:v>
      </x:c>
      <x:c r="S1047" s="9" t="str">
        <x:v>如果 Google 首页产品页和指南混合，主站页要加 FAQ、选购指南、对比模块。</x:v>
      </x:c>
      <x:c r="T1047" s="38" t="n">
        <x:v>4</x:v>
      </x:c>
      <x:c r="U1047" s="38" t="n">
        <x:v>15</x:v>
      </x:c>
      <x:c r="V1047" s="38" t="n">
        <x:v>16</x:v>
      </x:c>
      <x:c r="W1047" s="38" t="n">
        <x:v>8</x:v>
      </x:c>
      <x:c r="X1047" s="38" t="n">
        <x:v>15</x:v>
      </x:c>
      <x:c r="Y1047" s="38" t="n">
        <x:v>4</x:v>
      </x:c>
      <x:c r="Z1047" s="38" t="n">
        <x:f>MAX(0,MIN(100,ROUND(((T1047+U1047+V1047+W1047+X1047)-Y1047)/85*100,0)))</x:f>
        <x:v>64</x:v>
      </x:c>
      <x:c r="AA1047" s="9" t="str">
        <x:f>IF(L1047="暂不做","P3 暂缓",IF(Z1047&gt;=75,"P0 本周做",IF(Z1047&gt;=60,"P1 近期做",IF(Z1047&gt;=45,"P2 备选","P3 暂缓"))))</x:f>
        <x:v>P1 近期做</x:v>
      </x:c>
      <x:c r="AB1047" s="9" t="str">
        <x:f>IF(Y1047&gt;=15,"先做合规/相关性复核，不建议直接商业导流",IF(L1047="主站","建/优化主站商业页",IF(L1047="博客A-知识教程","写知识教程/FAQ文章",IF(L1047="博客B-场景人群","写场景需求/选购指南文章",IF(L1047="博客C-对比评测","写对比评测/榜单文章","暂不做或人工复核")))))</x:f>
        <x:v>建/优化主站商业页</x:v>
      </x:c>
      <x:c r="AC1047" s="9" t="str">
        <x:v>peach flavored vapes</x:v>
      </x:c>
      <x:c r="AD1047" s="10" t="str">
        <x:v>48</x:v>
      </x:c>
    </x:row>
    <x:row r="1048">
      <x:c r="A1048" s="34" t="n">
        <x:v>1048</x:v>
      </x:c>
      <x:c r="B1048" s="9" t="str">
        <x:v>48</x:v>
      </x:c>
      <x:c r="C1048" s="9" t="str">
        <x:v>peachy ice</x:v>
      </x:c>
      <x:c r="D1048" s="9" t="str">
        <x:v>recommended</x:v>
      </x:c>
      <x:c r="E1048" s="36" t="n">
        <x:v>170</x:v>
      </x:c>
      <x:c r="F1048" s="36" t="n">
        <x:v>5</x:v>
      </x:c>
      <x:c r="G1048" s="9" t="str">
        <x:v>informational</x:v>
      </x:c>
      <x:c r="H1048" s="9" t="str">
        <x:v>General Vape</x:v>
      </x:c>
      <x:c r="I1048" s="9" t="str">
        <x:v>知识/教程词</x:v>
      </x:c>
      <x:c r="J1048" s="9" t="str">
        <x:v>博客A-知识教程</x:v>
      </x:c>
      <x:c r="K1048" s="9" t="str"/>
      <x:c r="L1048" s="9" t="str">
        <x:f>IF(K1048="",J1048,K1048)</x:f>
        <x:v>博客A-知识教程</x:v>
      </x:c>
      <x:c r="M1048" s="9" t="str">
        <x:v>百科/How-to/FAQ文章</x:v>
      </x:c>
      <x:c r="N1048" s="9" t="str">
        <x:v>Guide angle: explain peachy ice, answer common questions, and avoid sales-first writing</x:v>
      </x:c>
      <x:c r="O1048" s="9" t="str">
        <x:v>/collections/disposable-vapes</x:v>
      </x:c>
      <x:c r="P1048" s="9" t="str">
        <x:v>谨慎</x:v>
      </x:c>
      <x:c r="Q1048" s="9" t="str">
        <x:v>自然句/品牌词</x:v>
      </x:c>
      <x:c r="R1048" s="9" t="str">
        <x:v>低中风险：先满足信息意图，导流要克制</x:v>
      </x:c>
      <x:c r="S1048" s="9" t="str">
        <x:v>如果文章能自然回答下一步购买问题，再放 1 个主站内链；否则只做知识闭环。</x:v>
      </x:c>
      <x:c r="T1048" s="38" t="n">
        <x:v>7</x:v>
      </x:c>
      <x:c r="U1048" s="38" t="n">
        <x:v>15</x:v>
      </x:c>
      <x:c r="V1048" s="38" t="n">
        <x:v>9</x:v>
      </x:c>
      <x:c r="W1048" s="38" t="n">
        <x:v>14</x:v>
      </x:c>
      <x:c r="X1048" s="38" t="n">
        <x:v>12</x:v>
      </x:c>
      <x:c r="Y1048" s="38" t="n">
        <x:v>5</x:v>
      </x:c>
      <x:c r="Z1048" s="38" t="n">
        <x:f>MAX(0,MIN(100,ROUND(((T1048+U1048+V1048+W1048+X1048)-Y1048)/85*100,0)))</x:f>
        <x:v>61</x:v>
      </x:c>
      <x:c r="AA1048" s="9" t="str">
        <x:f>IF(L1048="暂不做","P3 暂缓",IF(Z1048&gt;=75,"P0 本周做",IF(Z1048&gt;=60,"P1 近期做",IF(Z1048&gt;=45,"P2 备选","P3 暂缓"))))</x:f>
        <x:v>P1 近期做</x:v>
      </x:c>
      <x:c r="AB1048" s="9" t="str">
        <x:f>IF(Y1048&gt;=15,"先做合规/相关性复核，不建议直接商业导流",IF(L1048="主站","建/优化主站商业页",IF(L1048="博客A-知识教程","写知识教程/FAQ文章",IF(L1048="博客B-场景人群","写场景需求/选购指南文章",IF(L1048="博客C-对比评测","写对比评测/榜单文章","暂不做或人工复核")))))</x:f>
        <x:v>写知识教程/FAQ文章</x:v>
      </x:c>
      <x:c r="AC1048" s="9" t="str">
        <x:v>peach flavored vapes</x:v>
      </x:c>
      <x:c r="AD1048" s="10" t="str">
        <x:v>48</x:v>
      </x:c>
    </x:row>
    <x:row r="1049">
      <x:c r="A1049" s="34" t="n">
        <x:v>1049</x:v>
      </x:c>
      <x:c r="B1049" s="9" t="str">
        <x:v>48</x:v>
      </x:c>
      <x:c r="C1049" s="9" t="str">
        <x:v>sour apple ice</x:v>
      </x:c>
      <x:c r="D1049" s="9" t="str">
        <x:v>recommended</x:v>
      </x:c>
      <x:c r="E1049" s="36" t="n">
        <x:v>1000</x:v>
      </x:c>
      <x:c r="F1049" s="36" t="n">
        <x:v>7</x:v>
      </x:c>
      <x:c r="G1049" s="9" t="str">
        <x:v>informational, commercial</x:v>
      </x:c>
      <x:c r="H1049" s="9" t="str">
        <x:v>General Vape</x:v>
      </x:c>
      <x:c r="I1049" s="9" t="str">
        <x:v>知识/教程词</x:v>
      </x:c>
      <x:c r="J1049" s="9" t="str">
        <x:v>博客A-知识教程</x:v>
      </x:c>
      <x:c r="K1049" s="9" t="str"/>
      <x:c r="L1049" s="9" t="str">
        <x:f>IF(K1049="",J1049,K1049)</x:f>
        <x:v>博客A-知识教程</x:v>
      </x:c>
      <x:c r="M1049" s="9" t="str">
        <x:v>百科/How-to/FAQ文章</x:v>
      </x:c>
      <x:c r="N1049" s="9" t="str">
        <x:v>Guide angle: explain sour apple ice, answer common questions, and avoid sales-first writing</x:v>
      </x:c>
      <x:c r="O1049" s="9" t="str">
        <x:v>/collections/disposable-vapes</x:v>
      </x:c>
      <x:c r="P1049" s="9" t="str">
        <x:v>谨慎</x:v>
      </x:c>
      <x:c r="Q1049" s="9" t="str">
        <x:v>自然句/品牌词</x:v>
      </x:c>
      <x:c r="R1049" s="9" t="str">
        <x:v>低中风险：先满足信息意图，导流要克制</x:v>
      </x:c>
      <x:c r="S1049" s="9" t="str">
        <x:v>如果文章能自然回答下一步购买问题，再放 1 个主站内链；否则只做知识闭环。</x:v>
      </x:c>
      <x:c r="T1049" s="38" t="n">
        <x:v>13</x:v>
      </x:c>
      <x:c r="U1049" s="38" t="n">
        <x:v>15</x:v>
      </x:c>
      <x:c r="V1049" s="38" t="n">
        <x:v>9</x:v>
      </x:c>
      <x:c r="W1049" s="38" t="n">
        <x:v>14</x:v>
      </x:c>
      <x:c r="X1049" s="38" t="n">
        <x:v>12</x:v>
      </x:c>
      <x:c r="Y1049" s="38" t="n">
        <x:v>5</x:v>
      </x:c>
      <x:c r="Z1049" s="38" t="n">
        <x:f>MAX(0,MIN(100,ROUND(((T1049+U1049+V1049+W1049+X1049)-Y1049)/85*100,0)))</x:f>
        <x:v>68</x:v>
      </x:c>
      <x:c r="AA1049" s="9" t="str">
        <x:f>IF(L1049="暂不做","P3 暂缓",IF(Z1049&gt;=75,"P0 本周做",IF(Z1049&gt;=60,"P1 近期做",IF(Z1049&gt;=45,"P2 备选","P3 暂缓"))))</x:f>
        <x:v>P1 近期做</x:v>
      </x:c>
      <x:c r="AB1049" s="9" t="str">
        <x:f>IF(Y1049&gt;=15,"先做合规/相关性复核，不建议直接商业导流",IF(L1049="主站","建/优化主站商业页",IF(L1049="博客A-知识教程","写知识教程/FAQ文章",IF(L1049="博客B-场景人群","写场景需求/选购指南文章",IF(L1049="博客C-对比评测","写对比评测/榜单文章","暂不做或人工复核")))))</x:f>
        <x:v>写知识教程/FAQ文章</x:v>
      </x:c>
      <x:c r="AC1049" s="9" t="str">
        <x:v>peach flavored vapes</x:v>
      </x:c>
      <x:c r="AD1049" s="10" t="str">
        <x:v>48</x:v>
      </x:c>
    </x:row>
    <x:row r="1050">
      <x:c r="A1050" s="34" t="n">
        <x:v>1050</x:v>
      </x:c>
      <x:c r="B1050" s="9" t="str">
        <x:v>48</x:v>
      </x:c>
      <x:c r="C1050" s="9" t="str">
        <x:v>refillable pod</x:v>
      </x:c>
      <x:c r="D1050" s="9" t="str">
        <x:v>recommended</x:v>
      </x:c>
      <x:c r="E1050" s="36" t="n">
        <x:v>50</x:v>
      </x:c>
      <x:c r="F1050" s="36" t="n">
        <x:v>22</x:v>
      </x:c>
      <x:c r="G1050" s="9" t="str">
        <x:v>commercial</x:v>
      </x:c>
      <x:c r="H1050" s="9" t="str">
        <x:v>Pod Kit / Pod System</x:v>
      </x:c>
      <x:c r="I1050" s="9" t="str">
        <x:v>品类承接词</x:v>
      </x:c>
      <x:c r="J1050" s="9" t="str">
        <x:v>主站</x:v>
      </x:c>
      <x:c r="K1050" s="9" t="str"/>
      <x:c r="L1050" s="9" t="str">
        <x:f>IF(K1050="",J1050,K1050)</x:f>
        <x:v>主站</x:v>
      </x:c>
      <x:c r="M1050" s="9" t="str">
        <x:v>品类页/集合页 + FAQ内容块</x:v>
      </x:c>
      <x:c r="N1050" s="9" t="str">
        <x:v>主站品类页：用产品集合 + 选购说明承接</x:v>
      </x:c>
      <x:c r="O1050" s="9" t="str">
        <x:v>/collections/pod-kits</x:v>
      </x:c>
      <x:c r="P1050" s="9" t="str">
        <x:v>不适用</x:v>
      </x:c>
      <x:c r="Q1050" s="9" t="str">
        <x:v>主站页面自身承接</x:v>
      </x:c>
      <x:c r="R1050" s="9" t="str">
        <x:v>核心品类词：主站优先，博客只做长尾解释，不直接抢同一词</x:v>
      </x:c>
      <x:c r="S1050" s="9" t="str">
        <x:v>如果 Google 首页产品页和指南混合，主站页要加 FAQ、选购指南、对比模块。</x:v>
      </x:c>
      <x:c r="T1050" s="38" t="n">
        <x:v>4</x:v>
      </x:c>
      <x:c r="U1050" s="38" t="n">
        <x:v>12</x:v>
      </x:c>
      <x:c r="V1050" s="38" t="n">
        <x:v>18</x:v>
      </x:c>
      <x:c r="W1050" s="38" t="n">
        <x:v>8</x:v>
      </x:c>
      <x:c r="X1050" s="38" t="n">
        <x:v>15</x:v>
      </x:c>
      <x:c r="Y1050" s="38" t="n">
        <x:v>4</x:v>
      </x:c>
      <x:c r="Z1050" s="38" t="n">
        <x:f>MAX(0,MIN(100,ROUND(((T1050+U1050+V1050+W1050+X1050)-Y1050)/85*100,0)))</x:f>
        <x:v>62</x:v>
      </x:c>
      <x:c r="AA1050" s="9" t="str">
        <x:f>IF(L1050="暂不做","P3 暂缓",IF(Z1050&gt;=75,"P0 本周做",IF(Z1050&gt;=60,"P1 近期做",IF(Z1050&gt;=45,"P2 备选","P3 暂缓"))))</x:f>
        <x:v>P1 近期做</x:v>
      </x:c>
      <x:c r="AB1050" s="9" t="str">
        <x:f>IF(Y1050&gt;=15,"先做合规/相关性复核，不建议直接商业导流",IF(L1050="主站","建/优化主站商业页",IF(L1050="博客A-知识教程","写知识教程/FAQ文章",IF(L1050="博客B-场景人群","写场景需求/选购指南文章",IF(L1050="博客C-对比评测","写对比评测/榜单文章","暂不做或人工复核")))))</x:f>
        <x:v>建/优化主站商业页</x:v>
      </x:c>
      <x:c r="AC1050" s="9" t="str">
        <x:v>refillable pod</x:v>
      </x:c>
      <x:c r="AD1050" s="10" t="str">
        <x:v>48</x:v>
      </x:c>
    </x:row>
    <x:row r="1051">
      <x:c r="A1051" s="34" t="n">
        <x:v>1051</x:v>
      </x:c>
      <x:c r="B1051" s="9" t="str">
        <x:v>48</x:v>
      </x:c>
      <x:c r="C1051" s="9" t="str">
        <x:v>how much is a refillable vape</x:v>
      </x:c>
      <x:c r="D1051" s="9" t="str">
        <x:v>recommended</x:v>
      </x:c>
      <x:c r="E1051" s="36" t="n">
        <x:v>50</x:v>
      </x:c>
      <x:c r="F1051" s="36" t="n">
        <x:v>23</x:v>
      </x:c>
      <x:c r="G1051" s="9" t="str">
        <x:v>informational</x:v>
      </x:c>
      <x:c r="H1051" s="9" t="str">
        <x:v>Reusable / Rechargeable</x:v>
      </x:c>
      <x:c r="I1051" s="9" t="str">
        <x:v>场景/需求词</x:v>
      </x:c>
      <x:c r="J1051" s="9" t="str">
        <x:v>博客B-场景人群</x:v>
      </x:c>
      <x:c r="K1051" s="9" t="str"/>
      <x:c r="L1051" s="9" t="str">
        <x:f>IF(K1051="",J1051,K1051)</x:f>
        <x:v>博客B-场景人群</x:v>
      </x:c>
      <x:c r="M1051" s="9" t="str">
        <x:v>场景解决方案/选购指南文章</x:v>
      </x:c>
      <x:c r="N1051" s="9" t="str">
        <x:v>Scenario angle: how to choose how much is a refillable vape based on use case, flavor, nicotine, and budget</x:v>
      </x:c>
      <x:c r="O1051" s="9" t="str">
        <x:v>/collections/rechargeable-vapes</x:v>
      </x:c>
      <x:c r="P1051" s="9" t="str">
        <x:v>是</x:v>
      </x:c>
      <x:c r="Q1051" s="9" t="str">
        <x:v>自然句/品类词</x:v>
      </x:c>
      <x:c r="R1051" s="9" t="str">
        <x:v>低中风险：适合软性导流，但不要夸大效果或触碰健康疗效</x:v>
      </x:c>
      <x:c r="S1051" s="9" t="str">
        <x:v>围绕使用场景、口味、尼古丁需求、便携性等写，不和主站品类页抢词。</x:v>
      </x:c>
      <x:c r="T1051" s="38" t="n">
        <x:v>4</x:v>
      </x:c>
      <x:c r="U1051" s="38" t="n">
        <x:v>12</x:v>
      </x:c>
      <x:c r="V1051" s="38" t="n">
        <x:v>13</x:v>
      </x:c>
      <x:c r="W1051" s="38" t="n">
        <x:v>14</x:v>
      </x:c>
      <x:c r="X1051" s="38" t="n">
        <x:v>13</x:v>
      </x:c>
      <x:c r="Y1051" s="38" t="n">
        <x:v>5</x:v>
      </x:c>
      <x:c r="Z1051" s="38" t="n">
        <x:f>MAX(0,MIN(100,ROUND(((T1051+U1051+V1051+W1051+X1051)-Y1051)/85*100,0)))</x:f>
        <x:v>60</x:v>
      </x:c>
      <x:c r="AA1051" s="9" t="str">
        <x:f>IF(L1051="暂不做","P3 暂缓",IF(Z1051&gt;=75,"P0 本周做",IF(Z1051&gt;=60,"P1 近期做",IF(Z1051&gt;=45,"P2 备选","P3 暂缓"))))</x:f>
        <x:v>P1 近期做</x:v>
      </x:c>
      <x:c r="AB1051" s="9" t="str">
        <x:f>IF(Y1051&gt;=15,"先做合规/相关性复核，不建议直接商业导流",IF(L1051="主站","建/优化主站商业页",IF(L1051="博客A-知识教程","写知识教程/FAQ文章",IF(L1051="博客B-场景人群","写场景需求/选购指南文章",IF(L1051="博客C-对比评测","写对比评测/榜单文章","暂不做或人工复核")))))</x:f>
        <x:v>写场景需求/选购指南文章</x:v>
      </x:c>
      <x:c r="AC1051" s="9" t="str">
        <x:v>refillable pod</x:v>
      </x:c>
      <x:c r="AD1051" s="10" t="str">
        <x:v>48</x:v>
      </x:c>
    </x:row>
    <x:row r="1052">
      <x:c r="A1052" s="34" t="n">
        <x:v>1052</x:v>
      </x:c>
      <x:c r="B1052" s="9" t="str">
        <x:v>48</x:v>
      </x:c>
      <x:c r="C1052" s="9" t="str">
        <x:v>smoking pods</x:v>
      </x:c>
      <x:c r="D1052" s="9" t="str">
        <x:v>recommended</x:v>
      </x:c>
      <x:c r="E1052" s="36" t="n">
        <x:v>90</x:v>
      </x:c>
      <x:c r="F1052" s="36" t="n">
        <x:v>61</x:v>
      </x:c>
      <x:c r="G1052" s="9" t="str">
        <x:v>informational</x:v>
      </x:c>
      <x:c r="H1052" s="9" t="str">
        <x:v>竞品/品牌词</x:v>
      </x:c>
      <x:c r="I1052" s="9" t="str">
        <x:v>竞品品牌词</x:v>
      </x:c>
      <x:c r="J1052" s="9" t="str">
        <x:v>暂不做</x:v>
      </x:c>
      <x:c r="K1052" s="9" t="str"/>
      <x:c r="L1052" s="9" t="str">
        <x:f>IF(K1052="",J1052,K1052)</x:f>
        <x:v>暂不做</x:v>
      </x:c>
      <x:c r="M1052" s="9" t="str">
        <x:v>人工确认后再决定</x:v>
      </x:c>
      <x:c r="N1052" s="9" t="str">
        <x:v>人工确认是否可做客观对比</x:v>
      </x:c>
      <x:c r="O1052" s="9" t="str">
        <x:v>无</x:v>
      </x:c>
      <x:c r="P1052" s="9" t="str">
        <x:v>否</x:v>
      </x:c>
      <x:c r="Q1052" s="9" t="str">
        <x:v>不导流</x:v>
      </x:c>
      <x:c r="R1052" s="9" t="str">
        <x:v>中高风险：纯竞品品牌词容易产生商标/相关性问题</x:v>
      </x:c>
      <x:c r="S1052" s="9" t="str">
        <x:v>只有带 alternative / vs / review / best 这类明确比较意图时，才考虑博客C。</x:v>
      </x:c>
      <x:c r="T1052" s="38" t="n">
        <x:v>4</x:v>
      </x:c>
      <x:c r="U1052" s="38" t="n">
        <x:v>3</x:v>
      </x:c>
      <x:c r="V1052" s="38" t="n">
        <x:v>5</x:v>
      </x:c>
      <x:c r="W1052" s="38" t="n">
        <x:v>7</x:v>
      </x:c>
      <x:c r="X1052" s="38" t="n">
        <x:v>4</x:v>
      </x:c>
      <x:c r="Y1052" s="38" t="n">
        <x:v>14</x:v>
      </x:c>
      <x:c r="Z1052" s="38" t="n">
        <x:f>MAX(0,MIN(100,ROUND(((T1052+U1052+V1052+W1052+X1052)-Y1052)/85*100,0)))</x:f>
        <x:v>11</x:v>
      </x:c>
      <x:c r="AA1052" s="9" t="str">
        <x:f>IF(L1052="暂不做","P3 暂缓",IF(Z1052&gt;=75,"P0 本周做",IF(Z1052&gt;=60,"P1 近期做",IF(Z1052&gt;=45,"P2 备选","P3 暂缓"))))</x:f>
        <x:v>P3 暂缓</x:v>
      </x:c>
      <x:c r="AB1052" s="9" t="str">
        <x:f>IF(Y1052&gt;=15,"先做合规/相关性复核，不建议直接商业导流",IF(L1052="主站","建/优化主站商业页",IF(L1052="博客A-知识教程","写知识教程/FAQ文章",IF(L1052="博客B-场景人群","写场景需求/选购指南文章",IF(L1052="博客C-对比评测","写对比评测/榜单文章","暂不做或人工复核")))))</x:f>
        <x:v>暂不做或人工复核</x:v>
      </x:c>
      <x:c r="AC1052" s="9" t="str">
        <x:v>refillable pod</x:v>
      </x:c>
      <x:c r="AD1052" s="10" t="str">
        <x:v>48</x:v>
      </x:c>
    </x:row>
    <x:row r="1053">
      <x:c r="A1053" s="34" t="n">
        <x:v>1053</x:v>
      </x:c>
      <x:c r="B1053" s="9" t="str">
        <x:v>48</x:v>
      </x:c>
      <x:c r="C1053" s="9" t="str">
        <x:v>strawberry raz vape</x:v>
      </x:c>
      <x:c r="D1053" s="9" t="str">
        <x:v>recommended</x:v>
      </x:c>
      <x:c r="E1053" s="36" t="n">
        <x:v>140</x:v>
      </x:c>
      <x:c r="F1053" s="36" t="n">
        <x:v>0</x:v>
      </x:c>
      <x:c r="G1053" s="9" t="str">
        <x:v>informational</x:v>
      </x:c>
      <x:c r="H1053" s="9" t="str">
        <x:v>竞品/品牌词</x:v>
      </x:c>
      <x:c r="I1053" s="9" t="str">
        <x:v>竞品品牌词</x:v>
      </x:c>
      <x:c r="J1053" s="9" t="str">
        <x:v>暂不做</x:v>
      </x:c>
      <x:c r="K1053" s="9" t="str"/>
      <x:c r="L1053" s="9" t="str">
        <x:f>IF(K1053="",J1053,K1053)</x:f>
        <x:v>暂不做</x:v>
      </x:c>
      <x:c r="M1053" s="9" t="str">
        <x:v>人工确认后再决定</x:v>
      </x:c>
      <x:c r="N1053" s="9" t="str">
        <x:v>人工确认是否可做客观对比</x:v>
      </x:c>
      <x:c r="O1053" s="9" t="str">
        <x:v>无</x:v>
      </x:c>
      <x:c r="P1053" s="9" t="str">
        <x:v>否</x:v>
      </x:c>
      <x:c r="Q1053" s="9" t="str">
        <x:v>不导流</x:v>
      </x:c>
      <x:c r="R1053" s="9" t="str">
        <x:v>中高风险：纯竞品品牌词容易产生商标/相关性问题</x:v>
      </x:c>
      <x:c r="S1053" s="9" t="str">
        <x:v>只有带 alternative / vs / review / best 这类明确比较意图时，才考虑博客C。</x:v>
      </x:c>
      <x:c r="T1053" s="38" t="n">
        <x:v>7</x:v>
      </x:c>
      <x:c r="U1053" s="38" t="n">
        <x:v>15</x:v>
      </x:c>
      <x:c r="V1053" s="38" t="n">
        <x:v>5</x:v>
      </x:c>
      <x:c r="W1053" s="38" t="n">
        <x:v>7</x:v>
      </x:c>
      <x:c r="X1053" s="38" t="n">
        <x:v>4</x:v>
      </x:c>
      <x:c r="Y1053" s="38" t="n">
        <x:v>14</x:v>
      </x:c>
      <x:c r="Z1053" s="38" t="n">
        <x:f>MAX(0,MIN(100,ROUND(((T1053+U1053+V1053+W1053+X1053)-Y1053)/85*100,0)))</x:f>
        <x:v>28</x:v>
      </x:c>
      <x:c r="AA1053" s="9" t="str">
        <x:f>IF(L1053="暂不做","P3 暂缓",IF(Z1053&gt;=75,"P0 本周做",IF(Z1053&gt;=60,"P1 近期做",IF(Z1053&gt;=45,"P2 备选","P3 暂缓"))))</x:f>
        <x:v>P3 暂缓</x:v>
      </x:c>
      <x:c r="AB1053" s="9" t="str">
        <x:f>IF(Y1053&gt;=15,"先做合规/相关性复核，不建议直接商业导流",IF(L1053="主站","建/优化主站商业页",IF(L1053="博客A-知识教程","写知识教程/FAQ文章",IF(L1053="博客B-场景人群","写场景需求/选购指南文章",IF(L1053="博客C-对比评测","写对比评测/榜单文章","暂不做或人工复核")))))</x:f>
        <x:v>暂不做或人工复核</x:v>
      </x:c>
      <x:c r="AC1053" s="9" t="str">
        <x:v>strawberry raz vape</x:v>
      </x:c>
      <x:c r="AD1053" s="10" t="str">
        <x:v>48</x:v>
      </x:c>
    </x:row>
    <x:row r="1054">
      <x:c r="A1054" s="34" t="n">
        <x:v>1054</x:v>
      </x:c>
      <x:c r="B1054" s="9" t="str">
        <x:v>48</x:v>
      </x:c>
      <x:c r="C1054" s="9" t="str">
        <x:v>watermelon raz vape</x:v>
      </x:c>
      <x:c r="D1054" s="9" t="str">
        <x:v>recommended</x:v>
      </x:c>
      <x:c r="E1054" s="36" t="n">
        <x:v>90</x:v>
      </x:c>
      <x:c r="F1054" s="36" t="n">
        <x:v>4</x:v>
      </x:c>
      <x:c r="G1054" s="9" t="str">
        <x:v>informational</x:v>
      </x:c>
      <x:c r="H1054" s="9" t="str">
        <x:v>竞品/品牌词</x:v>
      </x:c>
      <x:c r="I1054" s="9" t="str">
        <x:v>竞品品牌词</x:v>
      </x:c>
      <x:c r="J1054" s="9" t="str">
        <x:v>暂不做</x:v>
      </x:c>
      <x:c r="K1054" s="9" t="str"/>
      <x:c r="L1054" s="9" t="str">
        <x:f>IF(K1054="",J1054,K1054)</x:f>
        <x:v>暂不做</x:v>
      </x:c>
      <x:c r="M1054" s="9" t="str">
        <x:v>人工确认后再决定</x:v>
      </x:c>
      <x:c r="N1054" s="9" t="str">
        <x:v>人工确认是否可做客观对比</x:v>
      </x:c>
      <x:c r="O1054" s="9" t="str">
        <x:v>无</x:v>
      </x:c>
      <x:c r="P1054" s="9" t="str">
        <x:v>否</x:v>
      </x:c>
      <x:c r="Q1054" s="9" t="str">
        <x:v>不导流</x:v>
      </x:c>
      <x:c r="R1054" s="9" t="str">
        <x:v>中高风险：纯竞品品牌词容易产生商标/相关性问题</x:v>
      </x:c>
      <x:c r="S1054" s="9" t="str">
        <x:v>只有带 alternative / vs / review / best 这类明确比较意图时，才考虑博客C。</x:v>
      </x:c>
      <x:c r="T1054" s="38" t="n">
        <x:v>4</x:v>
      </x:c>
      <x:c r="U1054" s="38" t="n">
        <x:v>15</x:v>
      </x:c>
      <x:c r="V1054" s="38" t="n">
        <x:v>5</x:v>
      </x:c>
      <x:c r="W1054" s="38" t="n">
        <x:v>7</x:v>
      </x:c>
      <x:c r="X1054" s="38" t="n">
        <x:v>4</x:v>
      </x:c>
      <x:c r="Y1054" s="38" t="n">
        <x:v>14</x:v>
      </x:c>
      <x:c r="Z1054" s="38" t="n">
        <x:f>MAX(0,MIN(100,ROUND(((T1054+U1054+V1054+W1054+X1054)-Y1054)/85*100,0)))</x:f>
        <x:v>25</x:v>
      </x:c>
      <x:c r="AA1054" s="9" t="str">
        <x:f>IF(L1054="暂不做","P3 暂缓",IF(Z1054&gt;=75,"P0 本周做",IF(Z1054&gt;=60,"P1 近期做",IF(Z1054&gt;=45,"P2 备选","P3 暂缓"))))</x:f>
        <x:v>P3 暂缓</x:v>
      </x:c>
      <x:c r="AB1054" s="9" t="str">
        <x:f>IF(Y1054&gt;=15,"先做合规/相关性复核，不建议直接商业导流",IF(L1054="主站","建/优化主站商业页",IF(L1054="博客A-知识教程","写知识教程/FAQ文章",IF(L1054="博客B-场景人群","写场景需求/选购指南文章",IF(L1054="博客C-对比评测","写对比评测/榜单文章","暂不做或人工复核")))))</x:f>
        <x:v>暂不做或人工复核</x:v>
      </x:c>
      <x:c r="AC1054" s="9" t="str">
        <x:v>strawberry raz vape</x:v>
      </x:c>
      <x:c r="AD1054" s="10" t="str">
        <x:v>48</x:v>
      </x:c>
    </x:row>
    <x:row r="1055">
      <x:c r="A1055" s="34" t="n">
        <x:v>1055</x:v>
      </x:c>
      <x:c r="B1055" s="9" t="str">
        <x:v>48</x:v>
      </x:c>
      <x:c r="C1055" s="9" t="str">
        <x:v>vape phone</x:v>
      </x:c>
      <x:c r="D1055" s="9" t="str">
        <x:v>recommended</x:v>
      </x:c>
      <x:c r="E1055" s="36" t="n">
        <x:v>3600</x:v>
      </x:c>
      <x:c r="F1055" s="36" t="n">
        <x:v>17</x:v>
      </x:c>
      <x:c r="G1055" s="9" t="str">
        <x:v>informational, commercial</x:v>
      </x:c>
      <x:c r="H1055" s="9" t="str">
        <x:v>General Vape</x:v>
      </x:c>
      <x:c r="I1055" s="9" t="str">
        <x:v>品类承接词</x:v>
      </x:c>
      <x:c r="J1055" s="9" t="str">
        <x:v>主站</x:v>
      </x:c>
      <x:c r="K1055" s="9" t="str"/>
      <x:c r="L1055" s="9" t="str">
        <x:f>IF(K1055="",J1055,K1055)</x:f>
        <x:v>主站</x:v>
      </x:c>
      <x:c r="M1055" s="9" t="str">
        <x:v>品类页/集合页 + FAQ内容块</x:v>
      </x:c>
      <x:c r="N1055" s="9" t="str">
        <x:v>主站品类页：用产品集合 + 选购说明承接</x:v>
      </x:c>
      <x:c r="O1055" s="9" t="str">
        <x:v>/collections/disposable-vapes</x:v>
      </x:c>
      <x:c r="P1055" s="9" t="str">
        <x:v>不适用</x:v>
      </x:c>
      <x:c r="Q1055" s="9" t="str">
        <x:v>主站页面自身承接</x:v>
      </x:c>
      <x:c r="R1055" s="9" t="str">
        <x:v>核心品类词：主站优先，博客只做长尾解释，不直接抢同一词</x:v>
      </x:c>
      <x:c r="S1055" s="9" t="str">
        <x:v>如果 Google 首页产品页和指南混合，主站页要加 FAQ、选购指南、对比模块。</x:v>
      </x:c>
      <x:c r="T1055" s="38" t="n">
        <x:v>13</x:v>
      </x:c>
      <x:c r="U1055" s="38" t="n">
        <x:v>12</x:v>
      </x:c>
      <x:c r="V1055" s="38" t="n">
        <x:v>18</x:v>
      </x:c>
      <x:c r="W1055" s="38" t="n">
        <x:v>8</x:v>
      </x:c>
      <x:c r="X1055" s="38" t="n">
        <x:v>15</x:v>
      </x:c>
      <x:c r="Y1055" s="38" t="n">
        <x:v>4</x:v>
      </x:c>
      <x:c r="Z1055" s="38" t="n">
        <x:f>MAX(0,MIN(100,ROUND(((T1055+U1055+V1055+W1055+X1055)-Y1055)/85*100,0)))</x:f>
        <x:v>73</x:v>
      </x:c>
      <x:c r="AA1055" s="9" t="str">
        <x:f>IF(L1055="暂不做","P3 暂缓",IF(Z1055&gt;=75,"P0 本周做",IF(Z1055&gt;=60,"P1 近期做",IF(Z1055&gt;=45,"P2 备选","P3 暂缓"))))</x:f>
        <x:v>P1 近期做</x:v>
      </x:c>
      <x:c r="AB1055" s="9" t="str">
        <x:f>IF(Y1055&gt;=15,"先做合规/相关性复核，不建议直接商业导流",IF(L1055="主站","建/优化主站商业页",IF(L1055="博客A-知识教程","写知识教程/FAQ文章",IF(L1055="博客B-场景人群","写场景需求/选购指南文章",IF(L1055="博客C-对比评测","写对比评测/榜单文章","暂不做或人工复核")))))</x:f>
        <x:v>建/优化主站商业页</x:v>
      </x:c>
      <x:c r="AC1055" s="9" t="str">
        <x:v>vape phone</x:v>
      </x:c>
      <x:c r="AD1055" s="10" t="str">
        <x:v>48</x:v>
      </x:c>
    </x:row>
    <x:row r="1056">
      <x:c r="A1056" s="34" t="n">
        <x:v>1056</x:v>
      </x:c>
      <x:c r="B1056" s="9" t="str">
        <x:v>48</x:v>
      </x:c>
      <x:c r="C1056" s="9" t="str">
        <x:v>vape with screen</x:v>
      </x:c>
      <x:c r="D1056" s="9" t="str">
        <x:v>recommended</x:v>
      </x:c>
      <x:c r="E1056" s="36" t="n">
        <x:v>3600</x:v>
      </x:c>
      <x:c r="F1056" s="36" t="n">
        <x:v>17</x:v>
      </x:c>
      <x:c r="G1056" s="9" t="str">
        <x:v>informational</x:v>
      </x:c>
      <x:c r="H1056" s="9" t="str">
        <x:v>General Vape</x:v>
      </x:c>
      <x:c r="I1056" s="9" t="str">
        <x:v>场景/需求词</x:v>
      </x:c>
      <x:c r="J1056" s="9" t="str">
        <x:v>博客B-场景人群</x:v>
      </x:c>
      <x:c r="K1056" s="9" t="str"/>
      <x:c r="L1056" s="9" t="str">
        <x:f>IF(K1056="",J1056,K1056)</x:f>
        <x:v>博客B-场景人群</x:v>
      </x:c>
      <x:c r="M1056" s="9" t="str">
        <x:v>场景解决方案/选购指南文章</x:v>
      </x:c>
      <x:c r="N1056" s="9" t="str">
        <x:v>Scenario angle: how to choose vape with screen based on use case, flavor, nicotine, and budget</x:v>
      </x:c>
      <x:c r="O1056" s="9" t="str">
        <x:v>/collections/disposable-vapes</x:v>
      </x:c>
      <x:c r="P1056" s="9" t="str">
        <x:v>是</x:v>
      </x:c>
      <x:c r="Q1056" s="9" t="str">
        <x:v>自然句/品类词</x:v>
      </x:c>
      <x:c r="R1056" s="9" t="str">
        <x:v>低中风险：适合软性导流，但不要夸大效果或触碰健康疗效</x:v>
      </x:c>
      <x:c r="S1056" s="9" t="str">
        <x:v>围绕使用场景、口味、尼古丁需求、便携性等写，不和主站品类页抢词。</x:v>
      </x:c>
      <x:c r="T1056" s="38" t="n">
        <x:v>13</x:v>
      </x:c>
      <x:c r="U1056" s="38" t="n">
        <x:v>12</x:v>
      </x:c>
      <x:c r="V1056" s="38" t="n">
        <x:v>13</x:v>
      </x:c>
      <x:c r="W1056" s="38" t="n">
        <x:v>14</x:v>
      </x:c>
      <x:c r="X1056" s="38" t="n">
        <x:v>13</x:v>
      </x:c>
      <x:c r="Y1056" s="38" t="n">
        <x:v>5</x:v>
      </x:c>
      <x:c r="Z1056" s="38" t="n">
        <x:f>MAX(0,MIN(100,ROUND(((T1056+U1056+V1056+W1056+X1056)-Y1056)/85*100,0)))</x:f>
        <x:v>71</x:v>
      </x:c>
      <x:c r="AA1056" s="9" t="str">
        <x:f>IF(L1056="暂不做","P3 暂缓",IF(Z1056&gt;=75,"P0 本周做",IF(Z1056&gt;=60,"P1 近期做",IF(Z1056&gt;=45,"P2 备选","P3 暂缓"))))</x:f>
        <x:v>P1 近期做</x:v>
      </x:c>
      <x:c r="AB1056" s="9" t="str">
        <x:f>IF(Y1056&gt;=15,"先做合规/相关性复核，不建议直接商业导流",IF(L1056="主站","建/优化主站商业页",IF(L1056="博客A-知识教程","写知识教程/FAQ文章",IF(L1056="博客B-场景人群","写场景需求/选购指南文章",IF(L1056="博客C-对比评测","写对比评测/榜单文章","暂不做或人工复核")))))</x:f>
        <x:v>写场景需求/选购指南文章</x:v>
      </x:c>
      <x:c r="AC1056" s="9" t="str">
        <x:v>vape phone</x:v>
      </x:c>
      <x:c r="AD1056" s="10" t="str">
        <x:v>48</x:v>
      </x:c>
    </x:row>
    <x:row r="1057">
      <x:c r="A1057" s="34" t="n">
        <x:v>1057</x:v>
      </x:c>
      <x:c r="B1057" s="9" t="str">
        <x:v>48</x:v>
      </x:c>
      <x:c r="C1057" s="9" t="str">
        <x:v>what vape should i buy</x:v>
      </x:c>
      <x:c r="D1057" s="9" t="str">
        <x:v>recommended</x:v>
      </x:c>
      <x:c r="E1057" s="36" t="n">
        <x:v>110</x:v>
      </x:c>
      <x:c r="F1057" s="36" t="n">
        <x:v>12</x:v>
      </x:c>
      <x:c r="G1057" s="9" t="str">
        <x:v>informational</x:v>
      </x:c>
      <x:c r="H1057" s="9" t="str">
        <x:v>知识教程</x:v>
      </x:c>
      <x:c r="I1057" s="9" t="str">
        <x:v>交易词</x:v>
      </x:c>
      <x:c r="J1057" s="9" t="str">
        <x:v>主站</x:v>
      </x:c>
      <x:c r="K1057" s="9" t="str"/>
      <x:c r="L1057" s="9" t="str">
        <x:f>IF(K1057="",J1057,K1057)</x:f>
        <x:v>主站</x:v>
      </x:c>
      <x:c r="M1057" s="9" t="str">
        <x:v>产品集合页/分类页/购买页</x:v>
      </x:c>
      <x:c r="N1057" s="9" t="str">
        <x:v>主站商业页：标题围绕购买意图 + 品类 + 关键卖点</x:v>
      </x:c>
      <x:c r="O1057" s="9" t="str">
        <x:v>/collections/disposable-vapes</x:v>
      </x:c>
      <x:c r="P1057" s="9" t="str">
        <x:v>不适用</x:v>
      </x:c>
      <x:c r="Q1057" s="9" t="str">
        <x:v>主站页面自身承接</x:v>
      </x:c>
      <x:c r="R1057" s="9" t="str">
        <x:v>商业词：优先给主站，避免博客抢主站排名</x:v>
      </x:c>
      <x:c r="S1057" s="9" t="str">
        <x:v>SERP 如为商品列表/品牌站/电商集合页，就建主站页面；若 SERP 全是教程，再拆支持文章。</x:v>
      </x:c>
      <x:c r="T1057" s="38" t="n">
        <x:v>7</x:v>
      </x:c>
      <x:c r="U1057" s="38" t="n">
        <x:v>15</x:v>
      </x:c>
      <x:c r="V1057" s="38" t="n">
        <x:v>20</x:v>
      </x:c>
      <x:c r="W1057" s="38" t="n">
        <x:v>7</x:v>
      </x:c>
      <x:c r="X1057" s="38" t="n">
        <x:v>15</x:v>
      </x:c>
      <x:c r="Y1057" s="38" t="n">
        <x:v>4</x:v>
      </x:c>
      <x:c r="Z1057" s="38" t="n">
        <x:f>MAX(0,MIN(100,ROUND(((T1057+U1057+V1057+W1057+X1057)-Y1057)/85*100,0)))</x:f>
        <x:v>71</x:v>
      </x:c>
      <x:c r="AA1057" s="9" t="str">
        <x:f>IF(L1057="暂不做","P3 暂缓",IF(Z1057&gt;=75,"P0 本周做",IF(Z1057&gt;=60,"P1 近期做",IF(Z1057&gt;=45,"P2 备选","P3 暂缓"))))</x:f>
        <x:v>P1 近期做</x:v>
      </x:c>
      <x:c r="AB1057" s="9" t="str">
        <x:f>IF(Y1057&gt;=15,"先做合规/相关性复核，不建议直接商业导流",IF(L1057="主站","建/优化主站商业页",IF(L1057="博客A-知识教程","写知识教程/FAQ文章",IF(L1057="博客B-场景人群","写场景需求/选购指南文章",IF(L1057="博客C-对比评测","写对比评测/榜单文章","暂不做或人工复核")))))</x:f>
        <x:v>建/优化主站商业页</x:v>
      </x:c>
      <x:c r="AC1057" s="9" t="str">
        <x:v>puff vape</x:v>
      </x:c>
      <x:c r="AD1057" s="10" t="str">
        <x:v>48</x:v>
      </x:c>
    </x:row>
    <x:row r="1058">
      <x:c r="A1058" s="34" t="n">
        <x:v>1058</x:v>
      </x:c>
      <x:c r="B1058" s="9" t="str">
        <x:v>48</x:v>
      </x:c>
      <x:c r="C1058" s="9" t="str">
        <x:v>which vapes are the safest</x:v>
      </x:c>
      <x:c r="D1058" s="9" t="str">
        <x:v>recommended</x:v>
      </x:c>
      <x:c r="E1058" s="36" t="n">
        <x:v>70</x:v>
      </x:c>
      <x:c r="F1058" s="36" t="n">
        <x:v>9</x:v>
      </x:c>
      <x:c r="G1058" s="9" t="str">
        <x:v>informational</x:v>
      </x:c>
      <x:c r="H1058" s="9" t="str">
        <x:v>合规科普</x:v>
      </x:c>
      <x:c r="I1058" s="9" t="str">
        <x:v>合规/YMYL科普词</x:v>
      </x:c>
      <x:c r="J1058" s="9" t="str">
        <x:v>博客A-知识教程</x:v>
      </x:c>
      <x:c r="K1058" s="9" t="str"/>
      <x:c r="L1058" s="9" t="str">
        <x:f>IF(K1058="",J1058,K1058)</x:f>
        <x:v>博客A-知识教程</x:v>
      </x:c>
      <x:c r="M1058" s="9" t="str">
        <x:v>合规/健康风险科普文章</x:v>
      </x:c>
      <x:c r="N1058" s="9" t="str">
        <x:v>Guide angle: explain which vapes are the safest, answer common questions, and avoid sales-first writing</x:v>
      </x:c>
      <x:c r="O1058" s="9" t="str">
        <x:v>无商业内链</x:v>
      </x:c>
      <x:c r="P1058" s="9" t="str">
        <x:v>否</x:v>
      </x:c>
      <x:c r="Q1058" s="9" t="str">
        <x:v>不导流</x:v>
      </x:c>
      <x:c r="R1058" s="9" t="str">
        <x:v>高风险：健康、戒烟、法律等 YMYL 主题，不写疗效承诺，不直接卖货</x:v>
      </x:c>
      <x:c r="S1058" s="9" t="str">
        <x:v>需要引用权威资料，语气中立；如果不能做到合规审核，暂缓。</x:v>
      </x:c>
      <x:c r="T1058" s="38" t="n">
        <x:v>4</x:v>
      </x:c>
      <x:c r="U1058" s="38" t="n">
        <x:v>15</x:v>
      </x:c>
      <x:c r="V1058" s="38" t="n">
        <x:v>4</x:v>
      </x:c>
      <x:c r="W1058" s="38" t="n">
        <x:v>10</x:v>
      </x:c>
      <x:c r="X1058" s="38" t="n">
        <x:v>8</x:v>
      </x:c>
      <x:c r="Y1058" s="38" t="n">
        <x:v>15</x:v>
      </x:c>
      <x:c r="Z1058" s="38" t="n">
        <x:f>MAX(0,MIN(100,ROUND(((T1058+U1058+V1058+W1058+X1058)-Y1058)/85*100,0)))</x:f>
        <x:v>31</x:v>
      </x:c>
      <x:c r="AA1058" s="9" t="str">
        <x:f>IF(L1058="暂不做","P3 暂缓",IF(Z1058&gt;=75,"P0 本周做",IF(Z1058&gt;=60,"P1 近期做",IF(Z1058&gt;=45,"P2 备选","P3 暂缓"))))</x:f>
        <x:v>P3 暂缓</x:v>
      </x:c>
      <x:c r="AB1058" s="9" t="str">
        <x:f>IF(Y1058&gt;=15,"先做合规/相关性复核，不建议直接商业导流",IF(L1058="主站","建/优化主站商业页",IF(L1058="博客A-知识教程","写知识教程/FAQ文章",IF(L1058="博客B-场景人群","写场景需求/选购指南文章",IF(L1058="博客C-对比评测","写对比评测/榜单文章","暂不做或人工复核")))))</x:f>
        <x:v>先做合规/相关性复核，不建议直接商业导流</x:v>
      </x:c>
      <x:c r="AC1058" s="9" t="str">
        <x:v>puff vape</x:v>
      </x:c>
      <x:c r="AD1058" s="10" t="str">
        <x:v>48</x:v>
      </x:c>
    </x:row>
    <x:row r="1059">
      <x:c r="A1059" s="34" t="n">
        <x:v>1059</x:v>
      </x:c>
      <x:c r="B1059" s="9" t="str">
        <x:v>48</x:v>
      </x:c>
      <x:c r="C1059" s="9" t="str">
        <x:v>what is vaping</x:v>
      </x:c>
      <x:c r="D1059" s="9" t="str">
        <x:v>recommended</x:v>
      </x:c>
      <x:c r="E1059" s="36" t="n">
        <x:v>9900</x:v>
      </x:c>
      <x:c r="F1059" s="36" t="n">
        <x:v>76</x:v>
      </x:c>
      <x:c r="G1059" s="9" t="str">
        <x:v>informational</x:v>
      </x:c>
      <x:c r="H1059" s="9" t="str">
        <x:v>知识教程</x:v>
      </x:c>
      <x:c r="I1059" s="9" t="str">
        <x:v>知识/教程词</x:v>
      </x:c>
      <x:c r="J1059" s="9" t="str">
        <x:v>博客A-知识教程</x:v>
      </x:c>
      <x:c r="K1059" s="9" t="str"/>
      <x:c r="L1059" s="9" t="str">
        <x:f>IF(K1059="",J1059,K1059)</x:f>
        <x:v>博客A-知识教程</x:v>
      </x:c>
      <x:c r="M1059" s="9" t="str">
        <x:v>百科/How-to/FAQ文章</x:v>
      </x:c>
      <x:c r="N1059" s="9" t="str">
        <x:v>Guide angle: explain what is vaping, answer common questions, and avoid sales-first writing</x:v>
      </x:c>
      <x:c r="O1059" s="9" t="str">
        <x:v>/collections/disposable-vapes</x:v>
      </x:c>
      <x:c r="P1059" s="9" t="str">
        <x:v>谨慎</x:v>
      </x:c>
      <x:c r="Q1059" s="9" t="str">
        <x:v>自然句/品牌词</x:v>
      </x:c>
      <x:c r="R1059" s="9" t="str">
        <x:v>低中风险：先满足信息意图，导流要克制</x:v>
      </x:c>
      <x:c r="S1059" s="9" t="str">
        <x:v>如果文章能自然回答下一步购买问题，再放 1 个主站内链；否则只做知识闭环。</x:v>
      </x:c>
      <x:c r="T1059" s="38" t="n">
        <x:v>16</x:v>
      </x:c>
      <x:c r="U1059" s="38" t="n">
        <x:v>1</x:v>
      </x:c>
      <x:c r="V1059" s="38" t="n">
        <x:v>9</x:v>
      </x:c>
      <x:c r="W1059" s="38" t="n">
        <x:v>14</x:v>
      </x:c>
      <x:c r="X1059" s="38" t="n">
        <x:v>12</x:v>
      </x:c>
      <x:c r="Y1059" s="38" t="n">
        <x:v>5</x:v>
      </x:c>
      <x:c r="Z1059" s="38" t="n">
        <x:f>MAX(0,MIN(100,ROUND(((T1059+U1059+V1059+W1059+X1059)-Y1059)/85*100,0)))</x:f>
        <x:v>55</x:v>
      </x:c>
      <x:c r="AA1059" s="9" t="str">
        <x:f>IF(L1059="暂不做","P3 暂缓",IF(Z1059&gt;=75,"P0 本周做",IF(Z1059&gt;=60,"P1 近期做",IF(Z1059&gt;=45,"P2 备选","P3 暂缓"))))</x:f>
        <x:v>P2 备选</x:v>
      </x:c>
      <x:c r="AB1059" s="9" t="str">
        <x:f>IF(Y1059&gt;=15,"先做合规/相关性复核，不建议直接商业导流",IF(L1059="主站","建/优化主站商业页",IF(L1059="博客A-知识教程","写知识教程/FAQ文章",IF(L1059="博客B-场景人群","写场景需求/选购指南文章",IF(L1059="博客C-对比评测","写对比评测/榜单文章","暂不做或人工复核")))))</x:f>
        <x:v>写知识教程/FAQ文章</x:v>
      </x:c>
      <x:c r="AC1059" s="9" t="str">
        <x:v>puff vape</x:v>
      </x:c>
      <x:c r="AD1059" s="10" t="str">
        <x:v>48</x:v>
      </x:c>
    </x:row>
    <x:row r="1060">
      <x:c r="A1060" s="34" t="n">
        <x:v>1060</x:v>
      </x:c>
      <x:c r="B1060" s="9" t="str">
        <x:v>48</x:v>
      </x:c>
      <x:c r="C1060" s="9" t="str">
        <x:v>what are the safest vapes</x:v>
      </x:c>
      <x:c r="D1060" s="9" t="str">
        <x:v>recommended</x:v>
      </x:c>
      <x:c r="E1060" s="36" t="n">
        <x:v>70</x:v>
      </x:c>
      <x:c r="F1060" s="36" t="n">
        <x:v>14</x:v>
      </x:c>
      <x:c r="G1060" s="9" t="str">
        <x:v>informational</x:v>
      </x:c>
      <x:c r="H1060" s="9" t="str">
        <x:v>合规科普</x:v>
      </x:c>
      <x:c r="I1060" s="9" t="str">
        <x:v>合规/YMYL科普词</x:v>
      </x:c>
      <x:c r="J1060" s="9" t="str">
        <x:v>博客A-知识教程</x:v>
      </x:c>
      <x:c r="K1060" s="9" t="str"/>
      <x:c r="L1060" s="9" t="str">
        <x:f>IF(K1060="",J1060,K1060)</x:f>
        <x:v>博客A-知识教程</x:v>
      </x:c>
      <x:c r="M1060" s="9" t="str">
        <x:v>合规/健康风险科普文章</x:v>
      </x:c>
      <x:c r="N1060" s="9" t="str">
        <x:v>Guide angle: explain what are the safest vapes, answer common questions, and avoid sales-first writing</x:v>
      </x:c>
      <x:c r="O1060" s="9" t="str">
        <x:v>无商业内链</x:v>
      </x:c>
      <x:c r="P1060" s="9" t="str">
        <x:v>否</x:v>
      </x:c>
      <x:c r="Q1060" s="9" t="str">
        <x:v>不导流</x:v>
      </x:c>
      <x:c r="R1060" s="9" t="str">
        <x:v>高风险：健康、戒烟、法律等 YMYL 主题，不写疗效承诺，不直接卖货</x:v>
      </x:c>
      <x:c r="S1060" s="9" t="str">
        <x:v>需要引用权威资料，语气中立；如果不能做到合规审核，暂缓。</x:v>
      </x:c>
      <x:c r="T1060" s="38" t="n">
        <x:v>4</x:v>
      </x:c>
      <x:c r="U1060" s="38" t="n">
        <x:v>15</x:v>
      </x:c>
      <x:c r="V1060" s="38" t="n">
        <x:v>4</x:v>
      </x:c>
      <x:c r="W1060" s="38" t="n">
        <x:v>10</x:v>
      </x:c>
      <x:c r="X1060" s="38" t="n">
        <x:v>8</x:v>
      </x:c>
      <x:c r="Y1060" s="38" t="n">
        <x:v>15</x:v>
      </x:c>
      <x:c r="Z1060" s="38" t="n">
        <x:f>MAX(0,MIN(100,ROUND(((T1060+U1060+V1060+W1060+X1060)-Y1060)/85*100,0)))</x:f>
        <x:v>31</x:v>
      </x:c>
      <x:c r="AA1060" s="9" t="str">
        <x:f>IF(L1060="暂不做","P3 暂缓",IF(Z1060&gt;=75,"P0 本周做",IF(Z1060&gt;=60,"P1 近期做",IF(Z1060&gt;=45,"P2 备选","P3 暂缓"))))</x:f>
        <x:v>P3 暂缓</x:v>
      </x:c>
      <x:c r="AB1060" s="9" t="str">
        <x:f>IF(Y1060&gt;=15,"先做合规/相关性复核，不建议直接商业导流",IF(L1060="主站","建/优化主站商业页",IF(L1060="博客A-知识教程","写知识教程/FAQ文章",IF(L1060="博客B-场景人群","写场景需求/选购指南文章",IF(L1060="博客C-对比评测","写对比评测/榜单文章","暂不做或人工复核")))))</x:f>
        <x:v>先做合规/相关性复核，不建议直接商业导流</x:v>
      </x:c>
      <x:c r="AC1060" s="9" t="str">
        <x:v>puff vape</x:v>
      </x:c>
      <x:c r="AD1060" s="10" t="str">
        <x:v>48</x:v>
      </x:c>
    </x:row>
    <x:row r="1061">
      <x:c r="A1061" s="34" t="n">
        <x:v>1061</x:v>
      </x:c>
      <x:c r="B1061" s="9" t="str">
        <x:v>48</x:v>
      </x:c>
      <x:c r="C1061" s="9" t="str">
        <x:v>how many vape flavors are there</x:v>
      </x:c>
      <x:c r="D1061" s="9" t="str">
        <x:v>recommended</x:v>
      </x:c>
      <x:c r="E1061" s="36" t="n">
        <x:v>110</x:v>
      </x:c>
      <x:c r="F1061" s="36" t="n">
        <x:v>38</x:v>
      </x:c>
      <x:c r="G1061" s="9" t="str">
        <x:v>informational</x:v>
      </x:c>
      <x:c r="H1061" s="9" t="str">
        <x:v>Flavor / 口味</x:v>
      </x:c>
      <x:c r="I1061" s="9" t="str">
        <x:v>场景/需求词</x:v>
      </x:c>
      <x:c r="J1061" s="9" t="str">
        <x:v>博客B-场景人群</x:v>
      </x:c>
      <x:c r="K1061" s="9" t="str"/>
      <x:c r="L1061" s="9" t="str">
        <x:f>IF(K1061="",J1061,K1061)</x:f>
        <x:v>博客B-场景人群</x:v>
      </x:c>
      <x:c r="M1061" s="9" t="str">
        <x:v>场景解决方案/选购指南文章</x:v>
      </x:c>
      <x:c r="N1061" s="9" t="str">
        <x:v>Scenario angle: how to choose how many vape flavors are there based on use case, flavor, nicotine, and budget</x:v>
      </x:c>
      <x:c r="O1061" s="9" t="str">
        <x:v>/collections/flavored-disposable-vapes</x:v>
      </x:c>
      <x:c r="P1061" s="9" t="str">
        <x:v>是</x:v>
      </x:c>
      <x:c r="Q1061" s="9" t="str">
        <x:v>自然句/品类词</x:v>
      </x:c>
      <x:c r="R1061" s="9" t="str">
        <x:v>低中风险：适合软性导流，但不要夸大效果或触碰健康疗效</x:v>
      </x:c>
      <x:c r="S1061" s="9" t="str">
        <x:v>围绕使用场景、口味、尼古丁需求、便携性等写，不和主站品类页抢词。</x:v>
      </x:c>
      <x:c r="T1061" s="38" t="n">
        <x:v>7</x:v>
      </x:c>
      <x:c r="U1061" s="38" t="n">
        <x:v>9</x:v>
      </x:c>
      <x:c r="V1061" s="38" t="n">
        <x:v>13</x:v>
      </x:c>
      <x:c r="W1061" s="38" t="n">
        <x:v>14</x:v>
      </x:c>
      <x:c r="X1061" s="38" t="n">
        <x:v>13</x:v>
      </x:c>
      <x:c r="Y1061" s="38" t="n">
        <x:v>5</x:v>
      </x:c>
      <x:c r="Z1061" s="38" t="n">
        <x:f>MAX(0,MIN(100,ROUND(((T1061+U1061+V1061+W1061+X1061)-Y1061)/85*100,0)))</x:f>
        <x:v>60</x:v>
      </x:c>
      <x:c r="AA1061" s="9" t="str">
        <x:f>IF(L1061="暂不做","P3 暂缓",IF(Z1061&gt;=75,"P0 本周做",IF(Z1061&gt;=60,"P1 近期做",IF(Z1061&gt;=45,"P2 备选","P3 暂缓"))))</x:f>
        <x:v>P1 近期做</x:v>
      </x:c>
      <x:c r="AB1061" s="9" t="str">
        <x:f>IF(Y1061&gt;=15,"先做合规/相关性复核，不建议直接商业导流",IF(L1061="主站","建/优化主站商业页",IF(L1061="博客A-知识教程","写知识教程/FAQ文章",IF(L1061="博客B-场景人群","写场景需求/选购指南文章",IF(L1061="博客C-对比评测","写对比评测/榜单文章","暂不做或人工复核")))))</x:f>
        <x:v>写场景需求/选购指南文章</x:v>
      </x:c>
      <x:c r="AC1061" s="9" t="str">
        <x:v>puff vape</x:v>
      </x:c>
      <x:c r="AD1061" s="10" t="str">
        <x:v>48</x:v>
      </x:c>
    </x:row>
    <x:row r="1062">
      <x:c r="A1062" s="34" t="n">
        <x:v>1062</x:v>
      </x:c>
      <x:c r="B1062" s="9" t="str">
        <x:v>48</x:v>
      </x:c>
      <x:c r="C1062" s="9" t="str">
        <x:v>what vapes are safe</x:v>
      </x:c>
      <x:c r="D1062" s="9" t="str">
        <x:v>recommended</x:v>
      </x:c>
      <x:c r="E1062" s="36" t="n">
        <x:v>50</x:v>
      </x:c>
      <x:c r="F1062" s="36" t="n">
        <x:v>23</x:v>
      </x:c>
      <x:c r="G1062" s="9" t="str">
        <x:v>informational</x:v>
      </x:c>
      <x:c r="H1062" s="9" t="str">
        <x:v>合规科普</x:v>
      </x:c>
      <x:c r="I1062" s="9" t="str">
        <x:v>合规/YMYL科普词</x:v>
      </x:c>
      <x:c r="J1062" s="9" t="str">
        <x:v>博客A-知识教程</x:v>
      </x:c>
      <x:c r="K1062" s="9" t="str"/>
      <x:c r="L1062" s="9" t="str">
        <x:f>IF(K1062="",J1062,K1062)</x:f>
        <x:v>博客A-知识教程</x:v>
      </x:c>
      <x:c r="M1062" s="9" t="str">
        <x:v>合规/健康风险科普文章</x:v>
      </x:c>
      <x:c r="N1062" s="9" t="str">
        <x:v>Guide angle: explain what vapes are safe, answer common questions, and avoid sales-first writing</x:v>
      </x:c>
      <x:c r="O1062" s="9" t="str">
        <x:v>无商业内链</x:v>
      </x:c>
      <x:c r="P1062" s="9" t="str">
        <x:v>否</x:v>
      </x:c>
      <x:c r="Q1062" s="9" t="str">
        <x:v>不导流</x:v>
      </x:c>
      <x:c r="R1062" s="9" t="str">
        <x:v>高风险：健康、戒烟、法律等 YMYL 主题，不写疗效承诺，不直接卖货</x:v>
      </x:c>
      <x:c r="S1062" s="9" t="str">
        <x:v>需要引用权威资料，语气中立；如果不能做到合规审核，暂缓。</x:v>
      </x:c>
      <x:c r="T1062" s="38" t="n">
        <x:v>4</x:v>
      </x:c>
      <x:c r="U1062" s="38" t="n">
        <x:v>12</x:v>
      </x:c>
      <x:c r="V1062" s="38" t="n">
        <x:v>4</x:v>
      </x:c>
      <x:c r="W1062" s="38" t="n">
        <x:v>10</x:v>
      </x:c>
      <x:c r="X1062" s="38" t="n">
        <x:v>8</x:v>
      </x:c>
      <x:c r="Y1062" s="38" t="n">
        <x:v>15</x:v>
      </x:c>
      <x:c r="Z1062" s="38" t="n">
        <x:f>MAX(0,MIN(100,ROUND(((T1062+U1062+V1062+W1062+X1062)-Y1062)/85*100,0)))</x:f>
        <x:v>27</x:v>
      </x:c>
      <x:c r="AA1062" s="9" t="str">
        <x:f>IF(L1062="暂不做","P3 暂缓",IF(Z1062&gt;=75,"P0 本周做",IF(Z1062&gt;=60,"P1 近期做",IF(Z1062&gt;=45,"P2 备选","P3 暂缓"))))</x:f>
        <x:v>P3 暂缓</x:v>
      </x:c>
      <x:c r="AB1062" s="9" t="str">
        <x:f>IF(Y1062&gt;=15,"先做合规/相关性复核，不建议直接商业导流",IF(L1062="主站","建/优化主站商业页",IF(L1062="博客A-知识教程","写知识教程/FAQ文章",IF(L1062="博客B-场景人群","写场景需求/选购指南文章",IF(L1062="博客C-对比评测","写对比评测/榜单文章","暂不做或人工复核")))))</x:f>
        <x:v>先做合规/相关性复核，不建议直接商业导流</x:v>
      </x:c>
      <x:c r="AC1062" s="9" t="str">
        <x:v>puff vape</x:v>
      </x:c>
      <x:c r="AD1062" s="10" t="str">
        <x:v>48</x:v>
      </x:c>
    </x:row>
    <x:row r="1063">
      <x:c r="A1063" s="34" t="n">
        <x:v>1063</x:v>
      </x:c>
      <x:c r="B1063" s="9" t="str">
        <x:v>48</x:v>
      </x:c>
      <x:c r="C1063" s="9" t="str">
        <x:v>what is vape smoke</x:v>
      </x:c>
      <x:c r="D1063" s="9" t="str">
        <x:v>recommended</x:v>
      </x:c>
      <x:c r="E1063" s="36" t="n">
        <x:v>90</x:v>
      </x:c>
      <x:c r="F1063" s="36" t="n">
        <x:v>84</x:v>
      </x:c>
      <x:c r="G1063" s="9" t="str">
        <x:v>informational</x:v>
      </x:c>
      <x:c r="H1063" s="9" t="str">
        <x:v>竞品/品牌词</x:v>
      </x:c>
      <x:c r="I1063" s="9" t="str">
        <x:v>竞品品牌词</x:v>
      </x:c>
      <x:c r="J1063" s="9" t="str">
        <x:v>暂不做</x:v>
      </x:c>
      <x:c r="K1063" s="9" t="str"/>
      <x:c r="L1063" s="9" t="str">
        <x:f>IF(K1063="",J1063,K1063)</x:f>
        <x:v>暂不做</x:v>
      </x:c>
      <x:c r="M1063" s="9" t="str">
        <x:v>人工确认后再决定</x:v>
      </x:c>
      <x:c r="N1063" s="9" t="str">
        <x:v>人工确认是否可做客观对比</x:v>
      </x:c>
      <x:c r="O1063" s="9" t="str">
        <x:v>无</x:v>
      </x:c>
      <x:c r="P1063" s="9" t="str">
        <x:v>否</x:v>
      </x:c>
      <x:c r="Q1063" s="9" t="str">
        <x:v>不导流</x:v>
      </x:c>
      <x:c r="R1063" s="9" t="str">
        <x:v>中高风险：纯竞品品牌词容易产生商标/相关性问题</x:v>
      </x:c>
      <x:c r="S1063" s="9" t="str">
        <x:v>只有带 alternative / vs / review / best 这类明确比较意图时，才考虑博客C。</x:v>
      </x:c>
      <x:c r="T1063" s="38" t="n">
        <x:v>4</x:v>
      </x:c>
      <x:c r="U1063" s="38" t="n">
        <x:v>1</x:v>
      </x:c>
      <x:c r="V1063" s="38" t="n">
        <x:v>5</x:v>
      </x:c>
      <x:c r="W1063" s="38" t="n">
        <x:v>7</x:v>
      </x:c>
      <x:c r="X1063" s="38" t="n">
        <x:v>4</x:v>
      </x:c>
      <x:c r="Y1063" s="38" t="n">
        <x:v>14</x:v>
      </x:c>
      <x:c r="Z1063" s="38" t="n">
        <x:f>MAX(0,MIN(100,ROUND(((T1063+U1063+V1063+W1063+X1063)-Y1063)/85*100,0)))</x:f>
        <x:v>8</x:v>
      </x:c>
      <x:c r="AA1063" s="9" t="str">
        <x:f>IF(L1063="暂不做","P3 暂缓",IF(Z1063&gt;=75,"P0 本周做",IF(Z1063&gt;=60,"P1 近期做",IF(Z1063&gt;=45,"P2 备选","P3 暂缓"))))</x:f>
        <x:v>P3 暂缓</x:v>
      </x:c>
      <x:c r="AB1063" s="9" t="str">
        <x:f>IF(Y1063&gt;=15,"先做合规/相关性复核，不建议直接商业导流",IF(L1063="主站","建/优化主站商业页",IF(L1063="博客A-知识教程","写知识教程/FAQ文章",IF(L1063="博客B-场景人群","写场景需求/选购指南文章",IF(L1063="博客C-对比评测","写对比评测/榜单文章","暂不做或人工复核")))))</x:f>
        <x:v>暂不做或人工复核</x:v>
      </x:c>
      <x:c r="AC1063" s="9" t="str">
        <x:v>puff vape</x:v>
      </x:c>
      <x:c r="AD1063" s="10" t="str">
        <x:v>48</x:v>
      </x:c>
    </x:row>
    <x:row r="1064">
      <x:c r="A1064" s="34" t="n">
        <x:v>1064</x:v>
      </x:c>
      <x:c r="B1064" s="9" t="str">
        <x:v>48</x:v>
      </x:c>
      <x:c r="C1064" s="9" t="str">
        <x:v>what do people vape</x:v>
      </x:c>
      <x:c r="D1064" s="9" t="str">
        <x:v>recommended</x:v>
      </x:c>
      <x:c r="E1064" s="36" t="n">
        <x:v>40</x:v>
      </x:c>
      <x:c r="F1064" s="36" t="n">
        <x:v>83</x:v>
      </x:c>
      <x:c r="G1064" s="9" t="str">
        <x:v>informational</x:v>
      </x:c>
      <x:c r="H1064" s="9" t="str">
        <x:v>知识教程</x:v>
      </x:c>
      <x:c r="I1064" s="9" t="str">
        <x:v>知识/教程词</x:v>
      </x:c>
      <x:c r="J1064" s="9" t="str">
        <x:v>博客A-知识教程</x:v>
      </x:c>
      <x:c r="K1064" s="9" t="str"/>
      <x:c r="L1064" s="9" t="str">
        <x:f>IF(K1064="",J1064,K1064)</x:f>
        <x:v>博客A-知识教程</x:v>
      </x:c>
      <x:c r="M1064" s="9" t="str">
        <x:v>百科/How-to/FAQ文章</x:v>
      </x:c>
      <x:c r="N1064" s="9" t="str">
        <x:v>Guide angle: explain what do people vape, answer common questions, and avoid sales-first writing</x:v>
      </x:c>
      <x:c r="O1064" s="9" t="str">
        <x:v>/collections/disposable-vapes</x:v>
      </x:c>
      <x:c r="P1064" s="9" t="str">
        <x:v>谨慎</x:v>
      </x:c>
      <x:c r="Q1064" s="9" t="str">
        <x:v>自然句/品牌词</x:v>
      </x:c>
      <x:c r="R1064" s="9" t="str">
        <x:v>低中风险：先满足信息意图，导流要克制</x:v>
      </x:c>
      <x:c r="S1064" s="9" t="str">
        <x:v>如果文章能自然回答下一步购买问题，再放 1 个主站内链；否则只做知识闭环。</x:v>
      </x:c>
      <x:c r="T1064" s="38" t="n">
        <x:v>4</x:v>
      </x:c>
      <x:c r="U1064" s="38" t="n">
        <x:v>1</x:v>
      </x:c>
      <x:c r="V1064" s="38" t="n">
        <x:v>9</x:v>
      </x:c>
      <x:c r="W1064" s="38" t="n">
        <x:v>14</x:v>
      </x:c>
      <x:c r="X1064" s="38" t="n">
        <x:v>12</x:v>
      </x:c>
      <x:c r="Y1064" s="38" t="n">
        <x:v>5</x:v>
      </x:c>
      <x:c r="Z1064" s="38" t="n">
        <x:f>MAX(0,MIN(100,ROUND(((T1064+U1064+V1064+W1064+X1064)-Y1064)/85*100,0)))</x:f>
        <x:v>41</x:v>
      </x:c>
      <x:c r="AA1064" s="9" t="str">
        <x:f>IF(L1064="暂不做","P3 暂缓",IF(Z1064&gt;=75,"P0 本周做",IF(Z1064&gt;=60,"P1 近期做",IF(Z1064&gt;=45,"P2 备选","P3 暂缓"))))</x:f>
        <x:v>P3 暂缓</x:v>
      </x:c>
      <x:c r="AB1064" s="9" t="str">
        <x:f>IF(Y1064&gt;=15,"先做合规/相关性复核，不建议直接商业导流",IF(L1064="主站","建/优化主站商业页",IF(L1064="博客A-知识教程","写知识教程/FAQ文章",IF(L1064="博客B-场景人群","写场景需求/选购指南文章",IF(L1064="博客C-对比评测","写对比评测/榜单文章","暂不做或人工复核")))))</x:f>
        <x:v>写知识教程/FAQ文章</x:v>
      </x:c>
      <x:c r="AC1064" s="9" t="str">
        <x:v>puff vape</x:v>
      </x:c>
      <x:c r="AD1064" s="10" t="str">
        <x:v>48</x:v>
      </x:c>
    </x:row>
    <x:row r="1065">
      <x:c r="A1065" s="34" t="n">
        <x:v>1065</x:v>
      </x:c>
      <x:c r="B1065" s="9" t="str">
        <x:v>48</x:v>
      </x:c>
      <x:c r="C1065" s="9" t="str">
        <x:v>how to smoke vape</x:v>
      </x:c>
      <x:c r="D1065" s="9" t="str">
        <x:v>recommended</x:v>
      </x:c>
      <x:c r="E1065" s="36" t="n">
        <x:v>210</x:v>
      </x:c>
      <x:c r="F1065" s="36" t="n">
        <x:v>20</x:v>
      </x:c>
      <x:c r="G1065" s="9" t="str">
        <x:v>informational</x:v>
      </x:c>
      <x:c r="H1065" s="9" t="str">
        <x:v>竞品/品牌词</x:v>
      </x:c>
      <x:c r="I1065" s="9" t="str">
        <x:v>竞品品牌词</x:v>
      </x:c>
      <x:c r="J1065" s="9" t="str">
        <x:v>暂不做</x:v>
      </x:c>
      <x:c r="K1065" s="9" t="str"/>
      <x:c r="L1065" s="9" t="str">
        <x:f>IF(K1065="",J1065,K1065)</x:f>
        <x:v>暂不做</x:v>
      </x:c>
      <x:c r="M1065" s="9" t="str">
        <x:v>人工确认后再决定</x:v>
      </x:c>
      <x:c r="N1065" s="9" t="str">
        <x:v>人工确认是否可做客观对比</x:v>
      </x:c>
      <x:c r="O1065" s="9" t="str">
        <x:v>无</x:v>
      </x:c>
      <x:c r="P1065" s="9" t="str">
        <x:v>否</x:v>
      </x:c>
      <x:c r="Q1065" s="9" t="str">
        <x:v>不导流</x:v>
      </x:c>
      <x:c r="R1065" s="9" t="str">
        <x:v>中高风险：纯竞品品牌词容易产生商标/相关性问题</x:v>
      </x:c>
      <x:c r="S1065" s="9" t="str">
        <x:v>只有带 alternative / vs / review / best 这类明确比较意图时，才考虑博客C。</x:v>
      </x:c>
      <x:c r="T1065" s="38" t="n">
        <x:v>7</x:v>
      </x:c>
      <x:c r="U1065" s="38" t="n">
        <x:v>12</x:v>
      </x:c>
      <x:c r="V1065" s="38" t="n">
        <x:v>5</x:v>
      </x:c>
      <x:c r="W1065" s="38" t="n">
        <x:v>7</x:v>
      </x:c>
      <x:c r="X1065" s="38" t="n">
        <x:v>4</x:v>
      </x:c>
      <x:c r="Y1065" s="38" t="n">
        <x:v>14</x:v>
      </x:c>
      <x:c r="Z1065" s="38" t="n">
        <x:f>MAX(0,MIN(100,ROUND(((T1065+U1065+V1065+W1065+X1065)-Y1065)/85*100,0)))</x:f>
        <x:v>25</x:v>
      </x:c>
      <x:c r="AA1065" s="9" t="str">
        <x:f>IF(L1065="暂不做","P3 暂缓",IF(Z1065&gt;=75,"P0 本周做",IF(Z1065&gt;=60,"P1 近期做",IF(Z1065&gt;=45,"P2 备选","P3 暂缓"))))</x:f>
        <x:v>P3 暂缓</x:v>
      </x:c>
      <x:c r="AB1065" s="9" t="str">
        <x:f>IF(Y1065&gt;=15,"先做合规/相关性复核，不建议直接商业导流",IF(L1065="主站","建/优化主站商业页",IF(L1065="博客A-知识教程","写知识教程/FAQ文章",IF(L1065="博客B-场景人群","写场景需求/选购指南文章",IF(L1065="博客C-对比评测","写对比评测/榜单文章","暂不做或人工复核")))))</x:f>
        <x:v>暂不做或人工复核</x:v>
      </x:c>
      <x:c r="AC1065" s="9" t="str">
        <x:v>puff vape</x:v>
      </x:c>
      <x:c r="AD1065" s="10" t="str">
        <x:v>48</x:v>
      </x:c>
    </x:row>
    <x:row r="1066">
      <x:c r="A1066" s="34" t="n">
        <x:v>1066</x:v>
      </x:c>
      <x:c r="B1066" s="9" t="str">
        <x:v>48</x:v>
      </x:c>
      <x:c r="C1066" s="9" t="str">
        <x:v>are vapes tobacco products</x:v>
      </x:c>
      <x:c r="D1066" s="9" t="str">
        <x:v>recommended</x:v>
      </x:c>
      <x:c r="E1066" s="36" t="n">
        <x:v>390</x:v>
      </x:c>
      <x:c r="F1066" s="36" t="n">
        <x:v>55</x:v>
      </x:c>
      <x:c r="G1066" s="9" t="str">
        <x:v>informational</x:v>
      </x:c>
      <x:c r="H1066" s="9" t="str">
        <x:v>General Vape</x:v>
      </x:c>
      <x:c r="I1066" s="9" t="str">
        <x:v>知识/教程词</x:v>
      </x:c>
      <x:c r="J1066" s="9" t="str">
        <x:v>博客A-知识教程</x:v>
      </x:c>
      <x:c r="K1066" s="9" t="str"/>
      <x:c r="L1066" s="9" t="str">
        <x:f>IF(K1066="",J1066,K1066)</x:f>
        <x:v>博客A-知识教程</x:v>
      </x:c>
      <x:c r="M1066" s="9" t="str">
        <x:v>百科/How-to/FAQ文章</x:v>
      </x:c>
      <x:c r="N1066" s="9" t="str">
        <x:v>Guide angle: explain are vapes tobacco products, answer common questions, and avoid sales-first writing</x:v>
      </x:c>
      <x:c r="O1066" s="9" t="str">
        <x:v>/collections/disposable-vapes</x:v>
      </x:c>
      <x:c r="P1066" s="9" t="str">
        <x:v>谨慎</x:v>
      </x:c>
      <x:c r="Q1066" s="9" t="str">
        <x:v>自然句/品牌词</x:v>
      </x:c>
      <x:c r="R1066" s="9" t="str">
        <x:v>低中风险：先满足信息意图，导流要克制</x:v>
      </x:c>
      <x:c r="S1066" s="9" t="str">
        <x:v>如果文章能自然回答下一步购买问题，再放 1 个主站内链；否则只做知识闭环。</x:v>
      </x:c>
      <x:c r="T1066" s="38" t="n">
        <x:v>7</x:v>
      </x:c>
      <x:c r="U1066" s="38" t="n">
        <x:v>6</x:v>
      </x:c>
      <x:c r="V1066" s="38" t="n">
        <x:v>9</x:v>
      </x:c>
      <x:c r="W1066" s="38" t="n">
        <x:v>14</x:v>
      </x:c>
      <x:c r="X1066" s="38" t="n">
        <x:v>12</x:v>
      </x:c>
      <x:c r="Y1066" s="38" t="n">
        <x:v>5</x:v>
      </x:c>
      <x:c r="Z1066" s="38" t="n">
        <x:f>MAX(0,MIN(100,ROUND(((T1066+U1066+V1066+W1066+X1066)-Y1066)/85*100,0)))</x:f>
        <x:v>51</x:v>
      </x:c>
      <x:c r="AA1066" s="9" t="str">
        <x:f>IF(L1066="暂不做","P3 暂缓",IF(Z1066&gt;=75,"P0 本周做",IF(Z1066&gt;=60,"P1 近期做",IF(Z1066&gt;=45,"P2 备选","P3 暂缓"))))</x:f>
        <x:v>P2 备选</x:v>
      </x:c>
      <x:c r="AB1066" s="9" t="str">
        <x:f>IF(Y1066&gt;=15,"先做合规/相关性复核，不建议直接商业导流",IF(L1066="主站","建/优化主站商业页",IF(L1066="博客A-知识教程","写知识教程/FAQ文章",IF(L1066="博客B-场景人群","写场景需求/选购指南文章",IF(L1066="博客C-对比评测","写对比评测/榜单文章","暂不做或人工复核")))))</x:f>
        <x:v>写知识教程/FAQ文章</x:v>
      </x:c>
      <x:c r="AC1066" s="9" t="str">
        <x:v>puff vape</x:v>
      </x:c>
      <x:c r="AD1066" s="10" t="str">
        <x:v>48</x:v>
      </x:c>
    </x:row>
    <x:row r="1067">
      <x:c r="A1067" s="34" t="n">
        <x:v>1067</x:v>
      </x:c>
      <x:c r="B1067" s="9" t="str">
        <x:v>48</x:v>
      </x:c>
      <x:c r="C1067" s="9" t="str">
        <x:v>puff vape</x:v>
      </x:c>
      <x:c r="D1067" s="9" t="str">
        <x:v>recommended</x:v>
      </x:c>
      <x:c r="E1067" s="36" t="n">
        <x:v>1600</x:v>
      </x:c>
      <x:c r="F1067" s="36" t="n">
        <x:v>29</x:v>
      </x:c>
      <x:c r="G1067" s="9" t="str">
        <x:v>commercial</x:v>
      </x:c>
      <x:c r="H1067" s="9" t="str">
        <x:v>General Vape</x:v>
      </x:c>
      <x:c r="I1067" s="9" t="str">
        <x:v>品类承接词</x:v>
      </x:c>
      <x:c r="J1067" s="9" t="str">
        <x:v>主站</x:v>
      </x:c>
      <x:c r="K1067" s="9" t="str"/>
      <x:c r="L1067" s="9" t="str">
        <x:f>IF(K1067="",J1067,K1067)</x:f>
        <x:v>主站</x:v>
      </x:c>
      <x:c r="M1067" s="9" t="str">
        <x:v>品类页/集合页 + FAQ内容块</x:v>
      </x:c>
      <x:c r="N1067" s="9" t="str">
        <x:v>主站品类页：用产品集合 + 选购说明承接</x:v>
      </x:c>
      <x:c r="O1067" s="9" t="str">
        <x:v>/collections/disposable-vapes</x:v>
      </x:c>
      <x:c r="P1067" s="9" t="str">
        <x:v>不适用</x:v>
      </x:c>
      <x:c r="Q1067" s="9" t="str">
        <x:v>主站页面自身承接</x:v>
      </x:c>
      <x:c r="R1067" s="9" t="str">
        <x:v>核心品类词：主站优先，博客只做长尾解释，不直接抢同一词</x:v>
      </x:c>
      <x:c r="S1067" s="9" t="str">
        <x:v>如果 Google 首页产品页和指南混合，主站页要加 FAQ、选购指南、对比模块。</x:v>
      </x:c>
      <x:c r="T1067" s="38" t="n">
        <x:v>13</x:v>
      </x:c>
      <x:c r="U1067" s="38" t="n">
        <x:v>12</x:v>
      </x:c>
      <x:c r="V1067" s="38" t="n">
        <x:v>18</x:v>
      </x:c>
      <x:c r="W1067" s="38" t="n">
        <x:v>8</x:v>
      </x:c>
      <x:c r="X1067" s="38" t="n">
        <x:v>15</x:v>
      </x:c>
      <x:c r="Y1067" s="38" t="n">
        <x:v>4</x:v>
      </x:c>
      <x:c r="Z1067" s="38" t="n">
        <x:f>MAX(0,MIN(100,ROUND(((T1067+U1067+V1067+W1067+X1067)-Y1067)/85*100,0)))</x:f>
        <x:v>73</x:v>
      </x:c>
      <x:c r="AA1067" s="9" t="str">
        <x:f>IF(L1067="暂不做","P3 暂缓",IF(Z1067&gt;=75,"P0 本周做",IF(Z1067&gt;=60,"P1 近期做",IF(Z1067&gt;=45,"P2 备选","P3 暂缓"))))</x:f>
        <x:v>P1 近期做</x:v>
      </x:c>
      <x:c r="AB1067" s="9" t="str">
        <x:f>IF(Y1067&gt;=15,"先做合规/相关性复核，不建议直接商业导流",IF(L1067="主站","建/优化主站商业页",IF(L1067="博客A-知识教程","写知识教程/FAQ文章",IF(L1067="博客B-场景人群","写场景需求/选购指南文章",IF(L1067="博客C-对比评测","写对比评测/榜单文章","暂不做或人工复核")))))</x:f>
        <x:v>建/优化主站商业页</x:v>
      </x:c>
      <x:c r="AC1067" s="9" t="str">
        <x:v>puff vape</x:v>
      </x:c>
      <x:c r="AD1067" s="10" t="str">
        <x:v>48</x:v>
      </x:c>
    </x:row>
    <x:row r="1068">
      <x:c r="A1068" s="34" t="n">
        <x:v>1068</x:v>
      </x:c>
      <x:c r="B1068" s="9" t="str">
        <x:v>48</x:v>
      </x:c>
      <x:c r="C1068" s="9" t="str">
        <x:v>electronic cigarette brands</x:v>
      </x:c>
      <x:c r="D1068" s="9" t="str">
        <x:v>recommended</x:v>
      </x:c>
      <x:c r="E1068" s="36" t="n">
        <x:v>1000</x:v>
      </x:c>
      <x:c r="F1068" s="36" t="n">
        <x:v>33</x:v>
      </x:c>
      <x:c r="G1068" s="9" t="str">
        <x:v>commercial</x:v>
      </x:c>
      <x:c r="H1068" s="9" t="str">
        <x:v>E-Cigarette</x:v>
      </x:c>
      <x:c r="I1068" s="9" t="str">
        <x:v>商业调查词</x:v>
      </x:c>
      <x:c r="J1068" s="9" t="str">
        <x:v>博客C-对比评测</x:v>
      </x:c>
      <x:c r="K1068" s="9" t="str"/>
      <x:c r="L1068" s="9" t="str">
        <x:f>IF(K1068="",J1068,K1068)</x:f>
        <x:v>博客C-对比评测</x:v>
      </x:c>
      <x:c r="M1068" s="9" t="str">
        <x:v>Best/Top/Review/VS/替代方案文章</x:v>
      </x:c>
      <x:c r="N1068" s="9" t="str">
        <x:v>Best angle: electronic cigarette brands - comparison, pros/cons, and which option fits different buyers</x:v>
      </x:c>
      <x:c r="O1068" s="9" t="str">
        <x:v>/collections/e-cigarettes</x:v>
      </x:c>
      <x:c r="P1068" s="9" t="str">
        <x:v>是</x:v>
      </x:c>
      <x:c r="Q1068" s="9" t="str">
        <x:v>自然句/品类词/品牌词</x:v>
      </x:c>
      <x:c r="R1068" s="9" t="str">
        <x:v>中风险：榜单和评测必须真实、中立，避免夸大</x:v>
      </x:c>
      <x:c r="S1068" s="9" t="str">
        <x:v>这类词不直接给主站，先用博客C教育和比较，再导流到最相关集合页。</x:v>
      </x:c>
      <x:c r="T1068" s="38" t="n">
        <x:v>13</x:v>
      </x:c>
      <x:c r="U1068" s="38" t="n">
        <x:v>9</x:v>
      </x:c>
      <x:c r="V1068" s="38" t="n">
        <x:v>16</x:v>
      </x:c>
      <x:c r="W1068" s="38" t="n">
        <x:v>15</x:v>
      </x:c>
      <x:c r="X1068" s="38" t="n">
        <x:v>13</x:v>
      </x:c>
      <x:c r="Y1068" s="38" t="n">
        <x:v>6</x:v>
      </x:c>
      <x:c r="Z1068" s="38" t="n">
        <x:f>MAX(0,MIN(100,ROUND(((T1068+U1068+V1068+W1068+X1068)-Y1068)/85*100,0)))</x:f>
        <x:v>71</x:v>
      </x:c>
      <x:c r="AA1068" s="9" t="str">
        <x:f>IF(L1068="暂不做","P3 暂缓",IF(Z1068&gt;=75,"P0 本周做",IF(Z1068&gt;=60,"P1 近期做",IF(Z1068&gt;=45,"P2 备选","P3 暂缓"))))</x:f>
        <x:v>P1 近期做</x:v>
      </x:c>
      <x:c r="AB1068" s="9" t="str">
        <x:f>IF(Y1068&gt;=15,"先做合规/相关性复核，不建议直接商业导流",IF(L1068="主站","建/优化主站商业页",IF(L1068="博客A-知识教程","写知识教程/FAQ文章",IF(L1068="博客B-场景人群","写场景需求/选购指南文章",IF(L1068="博客C-对比评测","写对比评测/榜单文章","暂不做或人工复核")))))</x:f>
        <x:v>写对比评测/榜单文章</x:v>
      </x:c>
      <x:c r="AC1068" s="9" t="str">
        <x:v>puff vape</x:v>
      </x:c>
      <x:c r="AD1068" s="10" t="str">
        <x:v>48</x:v>
      </x:c>
    </x:row>
    <x:row r="1069">
      <x:c r="A1069" s="34" t="n">
        <x:v>1069</x:v>
      </x:c>
      <x:c r="B1069" s="9" t="str">
        <x:v>48</x:v>
      </x:c>
      <x:c r="C1069" s="9" t="str">
        <x:v>vapor cigarette brands</x:v>
      </x:c>
      <x:c r="D1069" s="9" t="str">
        <x:v>recommended</x:v>
      </x:c>
      <x:c r="E1069" s="36" t="n">
        <x:v>720</x:v>
      </x:c>
      <x:c r="F1069" s="36" t="n">
        <x:v>33</x:v>
      </x:c>
      <x:c r="G1069" s="9" t="str">
        <x:v>informational, commercial</x:v>
      </x:c>
      <x:c r="H1069" s="9" t="str">
        <x:v>E-Cigarette</x:v>
      </x:c>
      <x:c r="I1069" s="9" t="str">
        <x:v>商业调查词</x:v>
      </x:c>
      <x:c r="J1069" s="9" t="str">
        <x:v>博客C-对比评测</x:v>
      </x:c>
      <x:c r="K1069" s="9" t="str"/>
      <x:c r="L1069" s="9" t="str">
        <x:f>IF(K1069="",J1069,K1069)</x:f>
        <x:v>博客C-对比评测</x:v>
      </x:c>
      <x:c r="M1069" s="9" t="str">
        <x:v>Best/Top/Review/VS/替代方案文章</x:v>
      </x:c>
      <x:c r="N1069" s="9" t="str">
        <x:v>Best angle: vapor cigarette brands - comparison, pros/cons, and which option fits different buyers</x:v>
      </x:c>
      <x:c r="O1069" s="9" t="str">
        <x:v>/collections/e-cigarettes</x:v>
      </x:c>
      <x:c r="P1069" s="9" t="str">
        <x:v>是</x:v>
      </x:c>
      <x:c r="Q1069" s="9" t="str">
        <x:v>自然句/品类词/品牌词</x:v>
      </x:c>
      <x:c r="R1069" s="9" t="str">
        <x:v>中风险：榜单和评测必须真实、中立，避免夸大</x:v>
      </x:c>
      <x:c r="S1069" s="9" t="str">
        <x:v>这类词不直接给主站，先用博客C教育和比较，再导流到最相关集合页。</x:v>
      </x:c>
      <x:c r="T1069" s="38" t="n">
        <x:v>10</x:v>
      </x:c>
      <x:c r="U1069" s="38" t="n">
        <x:v>9</x:v>
      </x:c>
      <x:c r="V1069" s="38" t="n">
        <x:v>16</x:v>
      </x:c>
      <x:c r="W1069" s="38" t="n">
        <x:v>15</x:v>
      </x:c>
      <x:c r="X1069" s="38" t="n">
        <x:v>13</x:v>
      </x:c>
      <x:c r="Y1069" s="38" t="n">
        <x:v>6</x:v>
      </x:c>
      <x:c r="Z1069" s="38" t="n">
        <x:f>MAX(0,MIN(100,ROUND(((T1069+U1069+V1069+W1069+X1069)-Y1069)/85*100,0)))</x:f>
        <x:v>67</x:v>
      </x:c>
      <x:c r="AA1069" s="9" t="str">
        <x:f>IF(L1069="暂不做","P3 暂缓",IF(Z1069&gt;=75,"P0 本周做",IF(Z1069&gt;=60,"P1 近期做",IF(Z1069&gt;=45,"P2 备选","P3 暂缓"))))</x:f>
        <x:v>P1 近期做</x:v>
      </x:c>
      <x:c r="AB1069" s="9" t="str">
        <x:f>IF(Y1069&gt;=15,"先做合规/相关性复核，不建议直接商业导流",IF(L1069="主站","建/优化主站商业页",IF(L1069="博客A-知识教程","写知识教程/FAQ文章",IF(L1069="博客B-场景人群","写场景需求/选购指南文章",IF(L1069="博客C-对比评测","写对比评测/榜单文章","暂不做或人工复核")))))</x:f>
        <x:v>写对比评测/榜单文章</x:v>
      </x:c>
      <x:c r="AC1069" s="9" t="str">
        <x:v>puff vape</x:v>
      </x:c>
      <x:c r="AD1069" s="10" t="str">
        <x:v>48</x:v>
      </x:c>
    </x:row>
    <x:row r="1070">
      <x:c r="A1070" s="34" t="n">
        <x:v>1070</x:v>
      </x:c>
      <x:c r="B1070" s="9" t="str">
        <x:v>48</x:v>
      </x:c>
      <x:c r="C1070" s="9" t="str">
        <x:v>different types of e cigs</x:v>
      </x:c>
      <x:c r="D1070" s="9" t="str">
        <x:v>recommended</x:v>
      </x:c>
      <x:c r="E1070" s="36" t="n">
        <x:v>1000</x:v>
      </x:c>
      <x:c r="F1070" s="36" t="n">
        <x:v>37</x:v>
      </x:c>
      <x:c r="G1070" s="9" t="str">
        <x:v>informational</x:v>
      </x:c>
      <x:c r="H1070" s="9" t="str">
        <x:v>E-Cigarette</x:v>
      </x:c>
      <x:c r="I1070" s="9" t="str">
        <x:v>知识/教程词</x:v>
      </x:c>
      <x:c r="J1070" s="9" t="str">
        <x:v>博客A-知识教程</x:v>
      </x:c>
      <x:c r="K1070" s="9" t="str"/>
      <x:c r="L1070" s="9" t="str">
        <x:f>IF(K1070="",J1070,K1070)</x:f>
        <x:v>博客A-知识教程</x:v>
      </x:c>
      <x:c r="M1070" s="9" t="str">
        <x:v>百科/How-to/FAQ文章</x:v>
      </x:c>
      <x:c r="N1070" s="9" t="str">
        <x:v>Guide angle: explain different types of e cigs, answer common questions, and avoid sales-first writing</x:v>
      </x:c>
      <x:c r="O1070" s="9" t="str">
        <x:v>/collections/e-cigarettes</x:v>
      </x:c>
      <x:c r="P1070" s="9" t="str">
        <x:v>谨慎</x:v>
      </x:c>
      <x:c r="Q1070" s="9" t="str">
        <x:v>自然句/品牌词</x:v>
      </x:c>
      <x:c r="R1070" s="9" t="str">
        <x:v>低中风险：先满足信息意图，导流要克制</x:v>
      </x:c>
      <x:c r="S1070" s="9" t="str">
        <x:v>如果文章能自然回答下一步购买问题，再放 1 个主站内链；否则只做知识闭环。</x:v>
      </x:c>
      <x:c r="T1070" s="38" t="n">
        <x:v>13</x:v>
      </x:c>
      <x:c r="U1070" s="38" t="n">
        <x:v>9</x:v>
      </x:c>
      <x:c r="V1070" s="38" t="n">
        <x:v>9</x:v>
      </x:c>
      <x:c r="W1070" s="38" t="n">
        <x:v>14</x:v>
      </x:c>
      <x:c r="X1070" s="38" t="n">
        <x:v>12</x:v>
      </x:c>
      <x:c r="Y1070" s="38" t="n">
        <x:v>5</x:v>
      </x:c>
      <x:c r="Z1070" s="38" t="n">
        <x:f>MAX(0,MIN(100,ROUND(((T1070+U1070+V1070+W1070+X1070)-Y1070)/85*100,0)))</x:f>
        <x:v>61</x:v>
      </x:c>
      <x:c r="AA1070" s="9" t="str">
        <x:f>IF(L1070="暂不做","P3 暂缓",IF(Z1070&gt;=75,"P0 本周做",IF(Z1070&gt;=60,"P1 近期做",IF(Z1070&gt;=45,"P2 备选","P3 暂缓"))))</x:f>
        <x:v>P1 近期做</x:v>
      </x:c>
      <x:c r="AB1070" s="9" t="str">
        <x:f>IF(Y1070&gt;=15,"先做合规/相关性复核，不建议直接商业导流",IF(L1070="主站","建/优化主站商业页",IF(L1070="博客A-知识教程","写知识教程/FAQ文章",IF(L1070="博客B-场景人群","写场景需求/选购指南文章",IF(L1070="博客C-对比评测","写对比评测/榜单文章","暂不做或人工复核")))))</x:f>
        <x:v>写知识教程/FAQ文章</x:v>
      </x:c>
      <x:c r="AC1070" s="9" t="str">
        <x:v>puff vape</x:v>
      </x:c>
      <x:c r="AD1070" s="10" t="str">
        <x:v>48</x:v>
      </x:c>
    </x:row>
    <x:row r="1071">
      <x:c r="A1071" s="34" t="n">
        <x:v>1071</x:v>
      </x:c>
      <x:c r="B1071" s="9" t="str">
        <x:v>48</x:v>
      </x:c>
      <x:c r="C1071" s="9" t="str">
        <x:v>vape pictures</x:v>
      </x:c>
      <x:c r="D1071" s="9" t="str">
        <x:v>recommended</x:v>
      </x:c>
      <x:c r="E1071" s="36" t="n">
        <x:v>480</x:v>
      </x:c>
      <x:c r="F1071" s="36" t="n">
        <x:v>25</x:v>
      </x:c>
      <x:c r="G1071" s="9" t="str">
        <x:v>informational</x:v>
      </x:c>
      <x:c r="H1071" s="9" t="str">
        <x:v>General Vape</x:v>
      </x:c>
      <x:c r="I1071" s="9" t="str">
        <x:v>品类承接词</x:v>
      </x:c>
      <x:c r="J1071" s="9" t="str">
        <x:v>主站</x:v>
      </x:c>
      <x:c r="K1071" s="9" t="str"/>
      <x:c r="L1071" s="9" t="str">
        <x:f>IF(K1071="",J1071,K1071)</x:f>
        <x:v>主站</x:v>
      </x:c>
      <x:c r="M1071" s="9" t="str">
        <x:v>品类页/集合页 + FAQ内容块</x:v>
      </x:c>
      <x:c r="N1071" s="9" t="str">
        <x:v>主站品类页：用产品集合 + 选购说明承接</x:v>
      </x:c>
      <x:c r="O1071" s="9" t="str">
        <x:v>/collections/disposable-vapes</x:v>
      </x:c>
      <x:c r="P1071" s="9" t="str">
        <x:v>不适用</x:v>
      </x:c>
      <x:c r="Q1071" s="9" t="str">
        <x:v>主站页面自身承接</x:v>
      </x:c>
      <x:c r="R1071" s="9" t="str">
        <x:v>核心品类词：主站优先，博客只做长尾解释，不直接抢同一词</x:v>
      </x:c>
      <x:c r="S1071" s="9" t="str">
        <x:v>如果 Google 首页产品页和指南混合，主站页要加 FAQ、选购指南、对比模块。</x:v>
      </x:c>
      <x:c r="T1071" s="38" t="n">
        <x:v>7</x:v>
      </x:c>
      <x:c r="U1071" s="38" t="n">
        <x:v>12</x:v>
      </x:c>
      <x:c r="V1071" s="38" t="n">
        <x:v>16</x:v>
      </x:c>
      <x:c r="W1071" s="38" t="n">
        <x:v>8</x:v>
      </x:c>
      <x:c r="X1071" s="38" t="n">
        <x:v>15</x:v>
      </x:c>
      <x:c r="Y1071" s="38" t="n">
        <x:v>4</x:v>
      </x:c>
      <x:c r="Z1071" s="38" t="n">
        <x:f>MAX(0,MIN(100,ROUND(((T1071+U1071+V1071+W1071+X1071)-Y1071)/85*100,0)))</x:f>
        <x:v>64</x:v>
      </x:c>
      <x:c r="AA1071" s="9" t="str">
        <x:f>IF(L1071="暂不做","P3 暂缓",IF(Z1071&gt;=75,"P0 本周做",IF(Z1071&gt;=60,"P1 近期做",IF(Z1071&gt;=45,"P2 备选","P3 暂缓"))))</x:f>
        <x:v>P1 近期做</x:v>
      </x:c>
      <x:c r="AB1071" s="9" t="str">
        <x:f>IF(Y1071&gt;=15,"先做合规/相关性复核，不建议直接商业导流",IF(L1071="主站","建/优化主站商业页",IF(L1071="博客A-知识教程","写知识教程/FAQ文章",IF(L1071="博客B-场景人群","写场景需求/选购指南文章",IF(L1071="博客C-对比评测","写对比评测/榜单文章","暂不做或人工复核")))))</x:f>
        <x:v>建/优化主站商业页</x:v>
      </x:c>
      <x:c r="AC1071" s="9" t="str">
        <x:v>puff vape</x:v>
      </x:c>
      <x:c r="AD1071" s="10" t="str">
        <x:v>48</x:v>
      </x:c>
    </x:row>
    <x:row r="1072">
      <x:c r="A1072" s="34" t="n">
        <x:v>1072</x:v>
      </x:c>
      <x:c r="B1072" s="9" t="str">
        <x:v>48</x:v>
      </x:c>
      <x:c r="C1072" s="9" t="str">
        <x:v>best foger vape flavors</x:v>
      </x:c>
      <x:c r="D1072" s="9" t="str">
        <x:v>recommended</x:v>
      </x:c>
      <x:c r="E1072" s="36" t="n">
        <x:v>590</x:v>
      </x:c>
      <x:c r="F1072" s="36" t="n">
        <x:v>2</x:v>
      </x:c>
      <x:c r="G1072" s="9" t="str">
        <x:v>commercial</x:v>
      </x:c>
      <x:c r="H1072" s="9" t="str">
        <x:v>Flavor / 口味</x:v>
      </x:c>
      <x:c r="I1072" s="9" t="str">
        <x:v>商业调查词</x:v>
      </x:c>
      <x:c r="J1072" s="9" t="str">
        <x:v>博客C-对比评测</x:v>
      </x:c>
      <x:c r="K1072" s="9" t="str"/>
      <x:c r="L1072" s="9" t="str">
        <x:f>IF(K1072="",J1072,K1072)</x:f>
        <x:v>博客C-对比评测</x:v>
      </x:c>
      <x:c r="M1072" s="9" t="str">
        <x:v>Best/Top/Review/VS/替代方案文章</x:v>
      </x:c>
      <x:c r="N1072" s="9" t="str">
        <x:v>Best angle: best foger vape flavors - comparison, pros/cons, and which option fits different buyers</x:v>
      </x:c>
      <x:c r="O1072" s="9" t="str">
        <x:v>/collections/flavored-disposable-vapes</x:v>
      </x:c>
      <x:c r="P1072" s="9" t="str">
        <x:v>是</x:v>
      </x:c>
      <x:c r="Q1072" s="9" t="str">
        <x:v>自然句/品类词/品牌词</x:v>
      </x:c>
      <x:c r="R1072" s="9" t="str">
        <x:v>中风险：榜单和评测必须真实、中立，避免夸大</x:v>
      </x:c>
      <x:c r="S1072" s="9" t="str">
        <x:v>这类词不直接给主站，先用博客C教育和比较，再导流到最相关集合页。</x:v>
      </x:c>
      <x:c r="T1072" s="38" t="n">
        <x:v>10</x:v>
      </x:c>
      <x:c r="U1072" s="38" t="n">
        <x:v>15</x:v>
      </x:c>
      <x:c r="V1072" s="38" t="n">
        <x:v>16</x:v>
      </x:c>
      <x:c r="W1072" s="38" t="n">
        <x:v>15</x:v>
      </x:c>
      <x:c r="X1072" s="38" t="n">
        <x:v>13</x:v>
      </x:c>
      <x:c r="Y1072" s="38" t="n">
        <x:v>6</x:v>
      </x:c>
      <x:c r="Z1072" s="38" t="n">
        <x:f>MAX(0,MIN(100,ROUND(((T1072+U1072+V1072+W1072+X1072)-Y1072)/85*100,0)))</x:f>
        <x:v>74</x:v>
      </x:c>
      <x:c r="AA1072" s="9" t="str">
        <x:f>IF(L1072="暂不做","P3 暂缓",IF(Z1072&gt;=75,"P0 本周做",IF(Z1072&gt;=60,"P1 近期做",IF(Z1072&gt;=45,"P2 备选","P3 暂缓"))))</x:f>
        <x:v>P1 近期做</x:v>
      </x:c>
      <x:c r="AB1072" s="9" t="str">
        <x:f>IF(Y1072&gt;=15,"先做合规/相关性复核，不建议直接商业导流",IF(L1072="主站","建/优化主站商业页",IF(L1072="博客A-知识教程","写知识教程/FAQ文章",IF(L1072="博客B-场景人群","写场景需求/选购指南文章",IF(L1072="博客C-对比评测","写对比评测/榜单文章","暂不做或人工复核")))))</x:f>
        <x:v>写对比评测/榜单文章</x:v>
      </x:c>
      <x:c r="AC1072" s="9" t="str">
        <x:v>puff vape</x:v>
      </x:c>
      <x:c r="AD1072" s="10" t="str">
        <x:v>48</x:v>
      </x:c>
    </x:row>
    <x:row r="1073">
      <x:c r="A1073" s="34" t="n">
        <x:v>1073</x:v>
      </x:c>
      <x:c r="B1073" s="9" t="str">
        <x:v>48</x:v>
      </x:c>
      <x:c r="C1073" s="9" t="str">
        <x:v>pictures of a vape</x:v>
      </x:c>
      <x:c r="D1073" s="9" t="str">
        <x:v>recommended</x:v>
      </x:c>
      <x:c r="E1073" s="36" t="n">
        <x:v>390</x:v>
      </x:c>
      <x:c r="F1073" s="36" t="n">
        <x:v>33</x:v>
      </x:c>
      <x:c r="G1073" s="9" t="str">
        <x:v>informational</x:v>
      </x:c>
      <x:c r="H1073" s="9" t="str">
        <x:v>General Vape</x:v>
      </x:c>
      <x:c r="I1073" s="9" t="str">
        <x:v>知识/教程词</x:v>
      </x:c>
      <x:c r="J1073" s="9" t="str">
        <x:v>博客A-知识教程</x:v>
      </x:c>
      <x:c r="K1073" s="9" t="str"/>
      <x:c r="L1073" s="9" t="str">
        <x:f>IF(K1073="",J1073,K1073)</x:f>
        <x:v>博客A-知识教程</x:v>
      </x:c>
      <x:c r="M1073" s="9" t="str">
        <x:v>百科/How-to/FAQ文章</x:v>
      </x:c>
      <x:c r="N1073" s="9" t="str">
        <x:v>Guide angle: explain pictures of a vape, answer common questions, and avoid sales-first writing</x:v>
      </x:c>
      <x:c r="O1073" s="9" t="str">
        <x:v>/collections/disposable-vapes</x:v>
      </x:c>
      <x:c r="P1073" s="9" t="str">
        <x:v>谨慎</x:v>
      </x:c>
      <x:c r="Q1073" s="9" t="str">
        <x:v>自然句/品牌词</x:v>
      </x:c>
      <x:c r="R1073" s="9" t="str">
        <x:v>低中风险：先满足信息意图，导流要克制</x:v>
      </x:c>
      <x:c r="S1073" s="9" t="str">
        <x:v>如果文章能自然回答下一步购买问题，再放 1 个主站内链；否则只做知识闭环。</x:v>
      </x:c>
      <x:c r="T1073" s="38" t="n">
        <x:v>7</x:v>
      </x:c>
      <x:c r="U1073" s="38" t="n">
        <x:v>9</x:v>
      </x:c>
      <x:c r="V1073" s="38" t="n">
        <x:v>9</x:v>
      </x:c>
      <x:c r="W1073" s="38" t="n">
        <x:v>14</x:v>
      </x:c>
      <x:c r="X1073" s="38" t="n">
        <x:v>12</x:v>
      </x:c>
      <x:c r="Y1073" s="38" t="n">
        <x:v>5</x:v>
      </x:c>
      <x:c r="Z1073" s="38" t="n">
        <x:f>MAX(0,MIN(100,ROUND(((T1073+U1073+V1073+W1073+X1073)-Y1073)/85*100,0)))</x:f>
        <x:v>54</x:v>
      </x:c>
      <x:c r="AA1073" s="9" t="str">
        <x:f>IF(L1073="暂不做","P3 暂缓",IF(Z1073&gt;=75,"P0 本周做",IF(Z1073&gt;=60,"P1 近期做",IF(Z1073&gt;=45,"P2 备选","P3 暂缓"))))</x:f>
        <x:v>P2 备选</x:v>
      </x:c>
      <x:c r="AB1073" s="9" t="str">
        <x:f>IF(Y1073&gt;=15,"先做合规/相关性复核，不建议直接商业导流",IF(L1073="主站","建/优化主站商业页",IF(L1073="博客A-知识教程","写知识教程/FAQ文章",IF(L1073="博客B-场景人群","写场景需求/选购指南文章",IF(L1073="博客C-对比评测","写对比评测/榜单文章","暂不做或人工复核")))))</x:f>
        <x:v>写知识教程/FAQ文章</x:v>
      </x:c>
      <x:c r="AC1073" s="9" t="str">
        <x:v>puff vape</x:v>
      </x:c>
      <x:c r="AD1073" s="10" t="str">
        <x:v>48</x:v>
      </x:c>
    </x:row>
    <x:row r="1074">
      <x:c r="A1074" s="34" t="n">
        <x:v>1074</x:v>
      </x:c>
      <x:c r="B1074" s="9" t="str">
        <x:v>48</x:v>
      </x:c>
      <x:c r="C1074" s="9" t="str">
        <x:v>best mint vape</x:v>
      </x:c>
      <x:c r="D1074" s="9" t="str">
        <x:v>recommended</x:v>
      </x:c>
      <x:c r="E1074" s="36" t="n">
        <x:v>210</x:v>
      </x:c>
      <x:c r="F1074" s="36" t="n">
        <x:v>4</x:v>
      </x:c>
      <x:c r="G1074" s="9" t="str">
        <x:v>commercial</x:v>
      </x:c>
      <x:c r="H1074" s="9" t="str">
        <x:v>对比评测</x:v>
      </x:c>
      <x:c r="I1074" s="9" t="str">
        <x:v>商业调查词</x:v>
      </x:c>
      <x:c r="J1074" s="9" t="str">
        <x:v>博客C-对比评测</x:v>
      </x:c>
      <x:c r="K1074" s="9" t="str"/>
      <x:c r="L1074" s="9" t="str">
        <x:f>IF(K1074="",J1074,K1074)</x:f>
        <x:v>博客C-对比评测</x:v>
      </x:c>
      <x:c r="M1074" s="9" t="str">
        <x:v>Best/Top/Review/VS/替代方案文章</x:v>
      </x:c>
      <x:c r="N1074" s="9" t="str">
        <x:v>Best angle: best mint vape - comparison, pros/cons, and which option fits different buyers</x:v>
      </x:c>
      <x:c r="O1074" s="9" t="str">
        <x:v>/collections/disposable-vapes</x:v>
      </x:c>
      <x:c r="P1074" s="9" t="str">
        <x:v>是</x:v>
      </x:c>
      <x:c r="Q1074" s="9" t="str">
        <x:v>自然句/品类词/品牌词</x:v>
      </x:c>
      <x:c r="R1074" s="9" t="str">
        <x:v>中风险：榜单和评测必须真实、中立，避免夸大</x:v>
      </x:c>
      <x:c r="S1074" s="9" t="str">
        <x:v>这类词不直接给主站，先用博客C教育和比较，再导流到最相关集合页。</x:v>
      </x:c>
      <x:c r="T1074" s="38" t="n">
        <x:v>7</x:v>
      </x:c>
      <x:c r="U1074" s="38" t="n">
        <x:v>15</x:v>
      </x:c>
      <x:c r="V1074" s="38" t="n">
        <x:v>16</x:v>
      </x:c>
      <x:c r="W1074" s="38" t="n">
        <x:v>15</x:v>
      </x:c>
      <x:c r="X1074" s="38" t="n">
        <x:v>13</x:v>
      </x:c>
      <x:c r="Y1074" s="38" t="n">
        <x:v>6</x:v>
      </x:c>
      <x:c r="Z1074" s="38" t="n">
        <x:f>MAX(0,MIN(100,ROUND(((T1074+U1074+V1074+W1074+X1074)-Y1074)/85*100,0)))</x:f>
        <x:v>71</x:v>
      </x:c>
      <x:c r="AA1074" s="9" t="str">
        <x:f>IF(L1074="暂不做","P3 暂缓",IF(Z1074&gt;=75,"P0 本周做",IF(Z1074&gt;=60,"P1 近期做",IF(Z1074&gt;=45,"P2 备选","P3 暂缓"))))</x:f>
        <x:v>P1 近期做</x:v>
      </x:c>
      <x:c r="AB1074" s="9" t="str">
        <x:f>IF(Y1074&gt;=15,"先做合规/相关性复核，不建议直接商业导流",IF(L1074="主站","建/优化主站商业页",IF(L1074="博客A-知识教程","写知识教程/FAQ文章",IF(L1074="博客B-场景人群","写场景需求/选购指南文章",IF(L1074="博客C-对比评测","写对比评测/榜单文章","暂不做或人工复核")))))</x:f>
        <x:v>写对比评测/榜单文章</x:v>
      </x:c>
      <x:c r="AC1074" s="9" t="str">
        <x:v>puff vape</x:v>
      </x:c>
      <x:c r="AD1074" s="10" t="str">
        <x:v>48</x:v>
      </x:c>
    </x:row>
    <x:row r="1075">
      <x:c r="A1075" s="34" t="n">
        <x:v>1075</x:v>
      </x:c>
      <x:c r="B1075" s="9" t="str">
        <x:v>48</x:v>
      </x:c>
      <x:c r="C1075" s="9" t="str">
        <x:v>2 nicotine disposable vape</x:v>
      </x:c>
      <x:c r="D1075" s="9" t="str">
        <x:v>recommended</x:v>
      </x:c>
      <x:c r="E1075" s="36" t="n">
        <x:v>170</x:v>
      </x:c>
      <x:c r="F1075" s="36" t="n">
        <x:v>16</x:v>
      </x:c>
      <x:c r="G1075" s="9" t="str">
        <x:v>informational, commercial</x:v>
      </x:c>
      <x:c r="H1075" s="9" t="str">
        <x:v>Disposable Vape</x:v>
      </x:c>
      <x:c r="I1075" s="9" t="str">
        <x:v>品类承接词</x:v>
      </x:c>
      <x:c r="J1075" s="9" t="str">
        <x:v>主站</x:v>
      </x:c>
      <x:c r="K1075" s="9" t="str"/>
      <x:c r="L1075" s="9" t="str">
        <x:f>IF(K1075="",J1075,K1075)</x:f>
        <x:v>主站</x:v>
      </x:c>
      <x:c r="M1075" s="9" t="str">
        <x:v>品类页/集合页 + FAQ内容块</x:v>
      </x:c>
      <x:c r="N1075" s="9" t="str">
        <x:v>主站品类页：用产品集合 + 选购说明承接</x:v>
      </x:c>
      <x:c r="O1075" s="9" t="str">
        <x:v>/collections/disposable-vapes</x:v>
      </x:c>
      <x:c r="P1075" s="9" t="str">
        <x:v>不适用</x:v>
      </x:c>
      <x:c r="Q1075" s="9" t="str">
        <x:v>主站页面自身承接</x:v>
      </x:c>
      <x:c r="R1075" s="9" t="str">
        <x:v>核心品类词：主站优先，博客只做长尾解释，不直接抢同一词</x:v>
      </x:c>
      <x:c r="S1075" s="9" t="str">
        <x:v>如果 Google 首页产品页和指南混合，主站页要加 FAQ、选购指南、对比模块。</x:v>
      </x:c>
      <x:c r="T1075" s="38" t="n">
        <x:v>7</x:v>
      </x:c>
      <x:c r="U1075" s="38" t="n">
        <x:v>12</x:v>
      </x:c>
      <x:c r="V1075" s="38" t="n">
        <x:v>18</x:v>
      </x:c>
      <x:c r="W1075" s="38" t="n">
        <x:v>8</x:v>
      </x:c>
      <x:c r="X1075" s="38" t="n">
        <x:v>15</x:v>
      </x:c>
      <x:c r="Y1075" s="38" t="n">
        <x:v>4</x:v>
      </x:c>
      <x:c r="Z1075" s="38" t="n">
        <x:f>MAX(0,MIN(100,ROUND(((T1075+U1075+V1075+W1075+X1075)-Y1075)/85*100,0)))</x:f>
        <x:v>66</x:v>
      </x:c>
      <x:c r="AA1075" s="9" t="str">
        <x:f>IF(L1075="暂不做","P3 暂缓",IF(Z1075&gt;=75,"P0 本周做",IF(Z1075&gt;=60,"P1 近期做",IF(Z1075&gt;=45,"P2 备选","P3 暂缓"))))</x:f>
        <x:v>P1 近期做</x:v>
      </x:c>
      <x:c r="AB1075" s="9" t="str">
        <x:f>IF(Y1075&gt;=15,"先做合规/相关性复核，不建议直接商业导流",IF(L1075="主站","建/优化主站商业页",IF(L1075="博客A-知识教程","写知识教程/FAQ文章",IF(L1075="博客B-场景人群","写场景需求/选购指南文章",IF(L1075="博客C-对比评测","写对比评测/榜单文章","暂不做或人工复核")))))</x:f>
        <x:v>建/优化主站商业页</x:v>
      </x:c>
      <x:c r="AC1075" s="9" t="str">
        <x:v>puff vape</x:v>
      </x:c>
      <x:c r="AD1075" s="10" t="str">
        <x:v>48</x:v>
      </x:c>
    </x:row>
    <x:row r="1076">
      <x:c r="A1076" s="34" t="n">
        <x:v>1076</x:v>
      </x:c>
      <x:c r="B1076" s="9" t="str">
        <x:v>48</x:v>
      </x:c>
      <x:c r="C1076" s="9" t="str">
        <x:v>low nic disposable vape</x:v>
      </x:c>
      <x:c r="D1076" s="9" t="str">
        <x:v>recommended</x:v>
      </x:c>
      <x:c r="E1076" s="36" t="n">
        <x:v>90</x:v>
      </x:c>
      <x:c r="F1076" s="36" t="n">
        <x:v>0</x:v>
      </x:c>
      <x:c r="G1076" s="9" t="str">
        <x:v>commercial</x:v>
      </x:c>
      <x:c r="H1076" s="9" t="str">
        <x:v>Disposable Vape</x:v>
      </x:c>
      <x:c r="I1076" s="9" t="str">
        <x:v>品类承接词</x:v>
      </x:c>
      <x:c r="J1076" s="9" t="str">
        <x:v>主站</x:v>
      </x:c>
      <x:c r="K1076" s="9" t="str"/>
      <x:c r="L1076" s="9" t="str">
        <x:f>IF(K1076="",J1076,K1076)</x:f>
        <x:v>主站</x:v>
      </x:c>
      <x:c r="M1076" s="9" t="str">
        <x:v>品类页/集合页 + FAQ内容块</x:v>
      </x:c>
      <x:c r="N1076" s="9" t="str">
        <x:v>主站品类页：用产品集合 + 选购说明承接</x:v>
      </x:c>
      <x:c r="O1076" s="9" t="str">
        <x:v>/collections/disposable-vapes</x:v>
      </x:c>
      <x:c r="P1076" s="9" t="str">
        <x:v>不适用</x:v>
      </x:c>
      <x:c r="Q1076" s="9" t="str">
        <x:v>主站页面自身承接</x:v>
      </x:c>
      <x:c r="R1076" s="9" t="str">
        <x:v>核心品类词：主站优先，博客只做长尾解释，不直接抢同一词</x:v>
      </x:c>
      <x:c r="S1076" s="9" t="str">
        <x:v>如果 Google 首页产品页和指南混合，主站页要加 FAQ、选购指南、对比模块。</x:v>
      </x:c>
      <x:c r="T1076" s="38" t="n">
        <x:v>4</x:v>
      </x:c>
      <x:c r="U1076" s="38" t="n">
        <x:v>15</x:v>
      </x:c>
      <x:c r="V1076" s="38" t="n">
        <x:v>18</x:v>
      </x:c>
      <x:c r="W1076" s="38" t="n">
        <x:v>8</x:v>
      </x:c>
      <x:c r="X1076" s="38" t="n">
        <x:v>15</x:v>
      </x:c>
      <x:c r="Y1076" s="38" t="n">
        <x:v>4</x:v>
      </x:c>
      <x:c r="Z1076" s="38" t="n">
        <x:f>MAX(0,MIN(100,ROUND(((T1076+U1076+V1076+W1076+X1076)-Y1076)/85*100,0)))</x:f>
        <x:v>66</x:v>
      </x:c>
      <x:c r="AA1076" s="9" t="str">
        <x:f>IF(L1076="暂不做","P3 暂缓",IF(Z1076&gt;=75,"P0 本周做",IF(Z1076&gt;=60,"P1 近期做",IF(Z1076&gt;=45,"P2 备选","P3 暂缓"))))</x:f>
        <x:v>P1 近期做</x:v>
      </x:c>
      <x:c r="AB1076" s="9" t="str">
        <x:f>IF(Y1076&gt;=15,"先做合规/相关性复核，不建议直接商业导流",IF(L1076="主站","建/优化主站商业页",IF(L1076="博客A-知识教程","写知识教程/FAQ文章",IF(L1076="博客B-场景人群","写场景需求/选购指南文章",IF(L1076="博客C-对比评测","写对比评测/榜单文章","暂不做或人工复核")))))</x:f>
        <x:v>建/优化主站商业页</x:v>
      </x:c>
      <x:c r="AC1076" s="9" t="str">
        <x:v>puff vape</x:v>
      </x:c>
      <x:c r="AD1076" s="10" t="str">
        <x:v>48</x:v>
      </x:c>
    </x:row>
    <x:row r="1077">
      <x:c r="A1077" s="34" t="n">
        <x:v>1077</x:v>
      </x:c>
      <x:c r="B1077" s="9" t="str">
        <x:v>48</x:v>
      </x:c>
      <x:c r="C1077" s="9" t="str">
        <x:v>disposable vapes online free shipping</x:v>
      </x:c>
      <x:c r="D1077" s="9" t="str">
        <x:v>recommended</x:v>
      </x:c>
      <x:c r="E1077" s="36" t="n">
        <x:v>720</x:v>
      </x:c>
      <x:c r="F1077" s="36" t="n">
        <x:v>47</x:v>
      </x:c>
      <x:c r="G1077" s="9" t="str">
        <x:v>commercial</x:v>
      </x:c>
      <x:c r="H1077" s="9" t="str">
        <x:v>Disposable Vape</x:v>
      </x:c>
      <x:c r="I1077" s="9" t="str">
        <x:v>交易词</x:v>
      </x:c>
      <x:c r="J1077" s="9" t="str">
        <x:v>主站</x:v>
      </x:c>
      <x:c r="K1077" s="9" t="str"/>
      <x:c r="L1077" s="9" t="str">
        <x:f>IF(K1077="",J1077,K1077)</x:f>
        <x:v>主站</x:v>
      </x:c>
      <x:c r="M1077" s="9" t="str">
        <x:v>产品集合页/分类页/购买页</x:v>
      </x:c>
      <x:c r="N1077" s="9" t="str">
        <x:v>主站商业页：标题围绕购买意图 + 品类 + 关键卖点</x:v>
      </x:c>
      <x:c r="O1077" s="9" t="str">
        <x:v>/collections/disposable-vapes</x:v>
      </x:c>
      <x:c r="P1077" s="9" t="str">
        <x:v>不适用</x:v>
      </x:c>
      <x:c r="Q1077" s="9" t="str">
        <x:v>主站页面自身承接</x:v>
      </x:c>
      <x:c r="R1077" s="9" t="str">
        <x:v>商业词：优先给主站，避免博客抢主站排名</x:v>
      </x:c>
      <x:c r="S1077" s="9" t="str">
        <x:v>SERP 如为商品列表/品牌站/电商集合页，就建主站页面；若 SERP 全是教程，再拆支持文章。</x:v>
      </x:c>
      <x:c r="T1077" s="38" t="n">
        <x:v>10</x:v>
      </x:c>
      <x:c r="U1077" s="38" t="n">
        <x:v>6</x:v>
      </x:c>
      <x:c r="V1077" s="38" t="n">
        <x:v>20</x:v>
      </x:c>
      <x:c r="W1077" s="38" t="n">
        <x:v>7</x:v>
      </x:c>
      <x:c r="X1077" s="38" t="n">
        <x:v>15</x:v>
      </x:c>
      <x:c r="Y1077" s="38" t="n">
        <x:v>4</x:v>
      </x:c>
      <x:c r="Z1077" s="38" t="n">
        <x:f>MAX(0,MIN(100,ROUND(((T1077+U1077+V1077+W1077+X1077)-Y1077)/85*100,0)))</x:f>
        <x:v>64</x:v>
      </x:c>
      <x:c r="AA1077" s="9" t="str">
        <x:f>IF(L1077="暂不做","P3 暂缓",IF(Z1077&gt;=75,"P0 本周做",IF(Z1077&gt;=60,"P1 近期做",IF(Z1077&gt;=45,"P2 备选","P3 暂缓"))))</x:f>
        <x:v>P1 近期做</x:v>
      </x:c>
      <x:c r="AB1077" s="9" t="str">
        <x:f>IF(Y1077&gt;=15,"先做合规/相关性复核，不建议直接商业导流",IF(L1077="主站","建/优化主站商业页",IF(L1077="博客A-知识教程","写知识教程/FAQ文章",IF(L1077="博客B-场景人群","写场景需求/选购指南文章",IF(L1077="博客C-对比评测","写对比评测/榜单文章","暂不做或人工复核")))))</x:f>
        <x:v>建/优化主站商业页</x:v>
      </x:c>
      <x:c r="AC1077" s="9" t="str">
        <x:v>puff vape</x:v>
      </x:c>
      <x:c r="AD1077" s="10" t="str">
        <x:v>48</x:v>
      </x:c>
    </x:row>
    <x:row r="1078">
      <x:c r="A1078" s="34" t="n">
        <x:v>1078</x:v>
      </x:c>
      <x:c r="B1078" s="9" t="str">
        <x:v>48</x:v>
      </x:c>
      <x:c r="C1078" s="9" t="str">
        <x:v>best e cigarette</x:v>
      </x:c>
      <x:c r="D1078" s="9" t="str">
        <x:v>recommended</x:v>
      </x:c>
      <x:c r="E1078" s="36" t="n">
        <x:v>390</x:v>
      </x:c>
      <x:c r="F1078" s="36" t="n">
        <x:v>36</x:v>
      </x:c>
      <x:c r="G1078" s="9" t="str">
        <x:v>commercial</x:v>
      </x:c>
      <x:c r="H1078" s="9" t="str">
        <x:v>E-Cigarette</x:v>
      </x:c>
      <x:c r="I1078" s="9" t="str">
        <x:v>商业调查词</x:v>
      </x:c>
      <x:c r="J1078" s="9" t="str">
        <x:v>博客C-对比评测</x:v>
      </x:c>
      <x:c r="K1078" s="9" t="str"/>
      <x:c r="L1078" s="9" t="str">
        <x:f>IF(K1078="",J1078,K1078)</x:f>
        <x:v>博客C-对比评测</x:v>
      </x:c>
      <x:c r="M1078" s="9" t="str">
        <x:v>Best/Top/Review/VS/替代方案文章</x:v>
      </x:c>
      <x:c r="N1078" s="9" t="str">
        <x:v>Best angle: best e cigarette - comparison, pros/cons, and which option fits different buyers</x:v>
      </x:c>
      <x:c r="O1078" s="9" t="str">
        <x:v>/collections/e-cigarettes</x:v>
      </x:c>
      <x:c r="P1078" s="9" t="str">
        <x:v>是</x:v>
      </x:c>
      <x:c r="Q1078" s="9" t="str">
        <x:v>自然句/品类词/品牌词</x:v>
      </x:c>
      <x:c r="R1078" s="9" t="str">
        <x:v>中风险：榜单和评测必须真实、中立，避免夸大</x:v>
      </x:c>
      <x:c r="S1078" s="9" t="str">
        <x:v>这类词不直接给主站，先用博客C教育和比较，再导流到最相关集合页。</x:v>
      </x:c>
      <x:c r="T1078" s="38" t="n">
        <x:v>7</x:v>
      </x:c>
      <x:c r="U1078" s="38" t="n">
        <x:v>9</x:v>
      </x:c>
      <x:c r="V1078" s="38" t="n">
        <x:v>16</x:v>
      </x:c>
      <x:c r="W1078" s="38" t="n">
        <x:v>15</x:v>
      </x:c>
      <x:c r="X1078" s="38" t="n">
        <x:v>13</x:v>
      </x:c>
      <x:c r="Y1078" s="38" t="n">
        <x:v>6</x:v>
      </x:c>
      <x:c r="Z1078" s="38" t="n">
        <x:f>MAX(0,MIN(100,ROUND(((T1078+U1078+V1078+W1078+X1078)-Y1078)/85*100,0)))</x:f>
        <x:v>64</x:v>
      </x:c>
      <x:c r="AA1078" s="9" t="str">
        <x:f>IF(L1078="暂不做","P3 暂缓",IF(Z1078&gt;=75,"P0 本周做",IF(Z1078&gt;=60,"P1 近期做",IF(Z1078&gt;=45,"P2 备选","P3 暂缓"))))</x:f>
        <x:v>P1 近期做</x:v>
      </x:c>
      <x:c r="AB1078" s="9" t="str">
        <x:f>IF(Y1078&gt;=15,"先做合规/相关性复核，不建议直接商业导流",IF(L1078="主站","建/优化主站商业页",IF(L1078="博客A-知识教程","写知识教程/FAQ文章",IF(L1078="博客B-场景人群","写场景需求/选购指南文章",IF(L1078="博客C-对比评测","写对比评测/榜单文章","暂不做或人工复核")))))</x:f>
        <x:v>写对比评测/榜单文章</x:v>
      </x:c>
      <x:c r="AC1078" s="9" t="str">
        <x:v>puff vape</x:v>
      </x:c>
      <x:c r="AD1078" s="10" t="str">
        <x:v>48</x:v>
      </x:c>
    </x:row>
    <x:row r="1079">
      <x:c r="A1079" s="34" t="n">
        <x:v>1079</x:v>
      </x:c>
      <x:c r="B1079" s="9" t="str">
        <x:v>48</x:v>
      </x:c>
      <x:c r="C1079" s="9" t="str">
        <x:v>best vapor cigarette</x:v>
      </x:c>
      <x:c r="D1079" s="9" t="str">
        <x:v>recommended</x:v>
      </x:c>
      <x:c r="E1079" s="36" t="n">
        <x:v>210</x:v>
      </x:c>
      <x:c r="F1079" s="36" t="n">
        <x:v>23</x:v>
      </x:c>
      <x:c r="G1079" s="9" t="str">
        <x:v>commercial</x:v>
      </x:c>
      <x:c r="H1079" s="9" t="str">
        <x:v>E-Cigarette</x:v>
      </x:c>
      <x:c r="I1079" s="9" t="str">
        <x:v>商业调查词</x:v>
      </x:c>
      <x:c r="J1079" s="9" t="str">
        <x:v>博客C-对比评测</x:v>
      </x:c>
      <x:c r="K1079" s="9" t="str"/>
      <x:c r="L1079" s="9" t="str">
        <x:f>IF(K1079="",J1079,K1079)</x:f>
        <x:v>博客C-对比评测</x:v>
      </x:c>
      <x:c r="M1079" s="9" t="str">
        <x:v>Best/Top/Review/VS/替代方案文章</x:v>
      </x:c>
      <x:c r="N1079" s="9" t="str">
        <x:v>Best angle: best vapor cigarette - comparison, pros/cons, and which option fits different buyers</x:v>
      </x:c>
      <x:c r="O1079" s="9" t="str">
        <x:v>/collections/e-cigarettes</x:v>
      </x:c>
      <x:c r="P1079" s="9" t="str">
        <x:v>是</x:v>
      </x:c>
      <x:c r="Q1079" s="9" t="str">
        <x:v>自然句/品类词/品牌词</x:v>
      </x:c>
      <x:c r="R1079" s="9" t="str">
        <x:v>中风险：榜单和评测必须真实、中立，避免夸大</x:v>
      </x:c>
      <x:c r="S1079" s="9" t="str">
        <x:v>这类词不直接给主站，先用博客C教育和比较，再导流到最相关集合页。</x:v>
      </x:c>
      <x:c r="T1079" s="38" t="n">
        <x:v>7</x:v>
      </x:c>
      <x:c r="U1079" s="38" t="n">
        <x:v>12</x:v>
      </x:c>
      <x:c r="V1079" s="38" t="n">
        <x:v>16</x:v>
      </x:c>
      <x:c r="W1079" s="38" t="n">
        <x:v>15</x:v>
      </x:c>
      <x:c r="X1079" s="38" t="n">
        <x:v>13</x:v>
      </x:c>
      <x:c r="Y1079" s="38" t="n">
        <x:v>6</x:v>
      </x:c>
      <x:c r="Z1079" s="38" t="n">
        <x:f>MAX(0,MIN(100,ROUND(((T1079+U1079+V1079+W1079+X1079)-Y1079)/85*100,0)))</x:f>
        <x:v>67</x:v>
      </x:c>
      <x:c r="AA1079" s="9" t="str">
        <x:f>IF(L1079="暂不做","P3 暂缓",IF(Z1079&gt;=75,"P0 本周做",IF(Z1079&gt;=60,"P1 近期做",IF(Z1079&gt;=45,"P2 备选","P3 暂缓"))))</x:f>
        <x:v>P1 近期做</x:v>
      </x:c>
      <x:c r="AB1079" s="9" t="str">
        <x:f>IF(Y1079&gt;=15,"先做合规/相关性复核，不建议直接商业导流",IF(L1079="主站","建/优化主站商业页",IF(L1079="博客A-知识教程","写知识教程/FAQ文章",IF(L1079="博客B-场景人群","写场景需求/选购指南文章",IF(L1079="博客C-对比评测","写对比评测/榜单文章","暂不做或人工复核")))))</x:f>
        <x:v>写对比评测/榜单文章</x:v>
      </x:c>
      <x:c r="AC1079" s="9" t="str">
        <x:v>puff vape</x:v>
      </x:c>
      <x:c r="AD1079" s="10" t="str">
        <x:v>48</x:v>
      </x:c>
    </x:row>
    <x:row r="1080">
      <x:c r="A1080" s="34" t="n">
        <x:v>1080</x:v>
      </x:c>
      <x:c r="B1080" s="9" t="str">
        <x:v>48</x:v>
      </x:c>
      <x:c r="C1080" s="9" t="str">
        <x:v>different brands of vapes</x:v>
      </x:c>
      <x:c r="D1080" s="9" t="str">
        <x:v>recommended</x:v>
      </x:c>
      <x:c r="E1080" s="36" t="n">
        <x:v>170</x:v>
      </x:c>
      <x:c r="F1080" s="36" t="n">
        <x:v>21</x:v>
      </x:c>
      <x:c r="G1080" s="9" t="str">
        <x:v>commercial</x:v>
      </x:c>
      <x:c r="H1080" s="9" t="str">
        <x:v>对比评测</x:v>
      </x:c>
      <x:c r="I1080" s="9" t="str">
        <x:v>商业调查词</x:v>
      </x:c>
      <x:c r="J1080" s="9" t="str">
        <x:v>博客C-对比评测</x:v>
      </x:c>
      <x:c r="K1080" s="9" t="str"/>
      <x:c r="L1080" s="9" t="str">
        <x:f>IF(K1080="",J1080,K1080)</x:f>
        <x:v>博客C-对比评测</x:v>
      </x:c>
      <x:c r="M1080" s="9" t="str">
        <x:v>Best/Top/Review/VS/替代方案文章</x:v>
      </x:c>
      <x:c r="N1080" s="9" t="str">
        <x:v>Best angle: different brands of vapes - comparison, pros/cons, and which option fits different buyers</x:v>
      </x:c>
      <x:c r="O1080" s="9" t="str">
        <x:v>/collections/disposable-vapes</x:v>
      </x:c>
      <x:c r="P1080" s="9" t="str">
        <x:v>是</x:v>
      </x:c>
      <x:c r="Q1080" s="9" t="str">
        <x:v>自然句/品类词/品牌词</x:v>
      </x:c>
      <x:c r="R1080" s="9" t="str">
        <x:v>中风险：榜单和评测必须真实、中立，避免夸大</x:v>
      </x:c>
      <x:c r="S1080" s="9" t="str">
        <x:v>这类词不直接给主站，先用博客C教育和比较，再导流到最相关集合页。</x:v>
      </x:c>
      <x:c r="T1080" s="38" t="n">
        <x:v>7</x:v>
      </x:c>
      <x:c r="U1080" s="38" t="n">
        <x:v>12</x:v>
      </x:c>
      <x:c r="V1080" s="38" t="n">
        <x:v>16</x:v>
      </x:c>
      <x:c r="W1080" s="38" t="n">
        <x:v>15</x:v>
      </x:c>
      <x:c r="X1080" s="38" t="n">
        <x:v>13</x:v>
      </x:c>
      <x:c r="Y1080" s="38" t="n">
        <x:v>6</x:v>
      </x:c>
      <x:c r="Z1080" s="38" t="n">
        <x:f>MAX(0,MIN(100,ROUND(((T1080+U1080+V1080+W1080+X1080)-Y1080)/85*100,0)))</x:f>
        <x:v>67</x:v>
      </x:c>
      <x:c r="AA1080" s="9" t="str">
        <x:f>IF(L1080="暂不做","P3 暂缓",IF(Z1080&gt;=75,"P0 本周做",IF(Z1080&gt;=60,"P1 近期做",IF(Z1080&gt;=45,"P2 备选","P3 暂缓"))))</x:f>
        <x:v>P1 近期做</x:v>
      </x:c>
      <x:c r="AB1080" s="9" t="str">
        <x:f>IF(Y1080&gt;=15,"先做合规/相关性复核，不建议直接商业导流",IF(L1080="主站","建/优化主站商业页",IF(L1080="博客A-知识教程","写知识教程/FAQ文章",IF(L1080="博客B-场景人群","写场景需求/选购指南文章",IF(L1080="博客C-对比评测","写对比评测/榜单文章","暂不做或人工复核")))))</x:f>
        <x:v>写对比评测/榜单文章</x:v>
      </x:c>
      <x:c r="AC1080" s="9" t="str">
        <x:v>puff vape</x:v>
      </x:c>
      <x:c r="AD1080" s="10" t="str">
        <x:v>48</x:v>
      </x:c>
    </x:row>
    <x:row r="1081">
      <x:c r="A1081" s="34" t="n">
        <x:v>1081</x:v>
      </x:c>
      <x:c r="B1081" s="9" t="str">
        <x:v>48</x:v>
      </x:c>
      <x:c r="C1081" s="9" t="str">
        <x:v>k vape disposable</x:v>
      </x:c>
      <x:c r="D1081" s="9" t="str">
        <x:v>recommended</x:v>
      </x:c>
      <x:c r="E1081" s="36" t="n">
        <x:v>210</x:v>
      </x:c>
      <x:c r="F1081" s="36" t="n">
        <x:v>2</x:v>
      </x:c>
      <x:c r="G1081" s="9" t="str">
        <x:v>informational</x:v>
      </x:c>
      <x:c r="H1081" s="9" t="str">
        <x:v>Disposable Vape</x:v>
      </x:c>
      <x:c r="I1081" s="9" t="str">
        <x:v>品类承接词</x:v>
      </x:c>
      <x:c r="J1081" s="9" t="str">
        <x:v>主站</x:v>
      </x:c>
      <x:c r="K1081" s="9" t="str"/>
      <x:c r="L1081" s="9" t="str">
        <x:f>IF(K1081="",J1081,K1081)</x:f>
        <x:v>主站</x:v>
      </x:c>
      <x:c r="M1081" s="9" t="str">
        <x:v>品类页/集合页 + FAQ内容块</x:v>
      </x:c>
      <x:c r="N1081" s="9" t="str">
        <x:v>主站品类页：用产品集合 + 选购说明承接</x:v>
      </x:c>
      <x:c r="O1081" s="9" t="str">
        <x:v>/collections/disposable-vapes</x:v>
      </x:c>
      <x:c r="P1081" s="9" t="str">
        <x:v>不适用</x:v>
      </x:c>
      <x:c r="Q1081" s="9" t="str">
        <x:v>主站页面自身承接</x:v>
      </x:c>
      <x:c r="R1081" s="9" t="str">
        <x:v>核心品类词：主站优先，博客只做长尾解释，不直接抢同一词</x:v>
      </x:c>
      <x:c r="S1081" s="9" t="str">
        <x:v>如果 Google 首页产品页和指南混合，主站页要加 FAQ、选购指南、对比模块。</x:v>
      </x:c>
      <x:c r="T1081" s="38" t="n">
        <x:v>7</x:v>
      </x:c>
      <x:c r="U1081" s="38" t="n">
        <x:v>15</x:v>
      </x:c>
      <x:c r="V1081" s="38" t="n">
        <x:v>16</x:v>
      </x:c>
      <x:c r="W1081" s="38" t="n">
        <x:v>8</x:v>
      </x:c>
      <x:c r="X1081" s="38" t="n">
        <x:v>15</x:v>
      </x:c>
      <x:c r="Y1081" s="38" t="n">
        <x:v>4</x:v>
      </x:c>
      <x:c r="Z1081" s="38" t="n">
        <x:f>MAX(0,MIN(100,ROUND(((T1081+U1081+V1081+W1081+X1081)-Y1081)/85*100,0)))</x:f>
        <x:v>67</x:v>
      </x:c>
      <x:c r="AA1081" s="9" t="str">
        <x:f>IF(L1081="暂不做","P3 暂缓",IF(Z1081&gt;=75,"P0 本周做",IF(Z1081&gt;=60,"P1 近期做",IF(Z1081&gt;=45,"P2 备选","P3 暂缓"))))</x:f>
        <x:v>P1 近期做</x:v>
      </x:c>
      <x:c r="AB1081" s="9" t="str">
        <x:f>IF(Y1081&gt;=15,"先做合规/相关性复核，不建议直接商业导流",IF(L1081="主站","建/优化主站商业页",IF(L1081="博客A-知识教程","写知识教程/FAQ文章",IF(L1081="博客B-场景人群","写场景需求/选购指南文章",IF(L1081="博客C-对比评测","写对比评测/榜单文章","暂不做或人工复核")))))</x:f>
        <x:v>建/优化主站商业页</x:v>
      </x:c>
      <x:c r="AC1081" s="9" t="str">
        <x:v>puff vape</x:v>
      </x:c>
      <x:c r="AD1081" s="10" t="str">
        <x:v>48</x:v>
      </x:c>
    </x:row>
    <x:row r="1082">
      <x:c r="A1082" s="34" t="n">
        <x:v>1082</x:v>
      </x:c>
      <x:c r="B1082" s="9" t="str">
        <x:v>48</x:v>
      </x:c>
      <x:c r="C1082" s="9" t="str">
        <x:v>best disposable vape made in usa</x:v>
      </x:c>
      <x:c r="D1082" s="9" t="str">
        <x:v>recommended</x:v>
      </x:c>
      <x:c r="E1082" s="36" t="n">
        <x:v>70</x:v>
      </x:c>
      <x:c r="F1082" s="36" t="n">
        <x:v>0</x:v>
      </x:c>
      <x:c r="G1082" s="9" t="str">
        <x:v>commercial</x:v>
      </x:c>
      <x:c r="H1082" s="9" t="str">
        <x:v>Disposable Vape</x:v>
      </x:c>
      <x:c r="I1082" s="9" t="str">
        <x:v>商业调查词</x:v>
      </x:c>
      <x:c r="J1082" s="9" t="str">
        <x:v>博客C-对比评测</x:v>
      </x:c>
      <x:c r="K1082" s="9" t="str"/>
      <x:c r="L1082" s="9" t="str">
        <x:f>IF(K1082="",J1082,K1082)</x:f>
        <x:v>博客C-对比评测</x:v>
      </x:c>
      <x:c r="M1082" s="9" t="str">
        <x:v>Best/Top/Review/VS/替代方案文章</x:v>
      </x:c>
      <x:c r="N1082" s="9" t="str">
        <x:v>Best angle: best disposable vape made in usa - comparison, pros/cons, and which option fits different buyers</x:v>
      </x:c>
      <x:c r="O1082" s="9" t="str">
        <x:v>/collections/disposable-vapes</x:v>
      </x:c>
      <x:c r="P1082" s="9" t="str">
        <x:v>是</x:v>
      </x:c>
      <x:c r="Q1082" s="9" t="str">
        <x:v>自然句/品类词/品牌词</x:v>
      </x:c>
      <x:c r="R1082" s="9" t="str">
        <x:v>中风险：榜单和评测必须真实、中立，避免夸大</x:v>
      </x:c>
      <x:c r="S1082" s="9" t="str">
        <x:v>这类词不直接给主站，先用博客C教育和比较，再导流到最相关集合页。</x:v>
      </x:c>
      <x:c r="T1082" s="38" t="n">
        <x:v>4</x:v>
      </x:c>
      <x:c r="U1082" s="38" t="n">
        <x:v>15</x:v>
      </x:c>
      <x:c r="V1082" s="38" t="n">
        <x:v>16</x:v>
      </x:c>
      <x:c r="W1082" s="38" t="n">
        <x:v>15</x:v>
      </x:c>
      <x:c r="X1082" s="38" t="n">
        <x:v>13</x:v>
      </x:c>
      <x:c r="Y1082" s="38" t="n">
        <x:v>6</x:v>
      </x:c>
      <x:c r="Z1082" s="38" t="n">
        <x:f>MAX(0,MIN(100,ROUND(((T1082+U1082+V1082+W1082+X1082)-Y1082)/85*100,0)))</x:f>
        <x:v>67</x:v>
      </x:c>
      <x:c r="AA1082" s="9" t="str">
        <x:f>IF(L1082="暂不做","P3 暂缓",IF(Z1082&gt;=75,"P0 本周做",IF(Z1082&gt;=60,"P1 近期做",IF(Z1082&gt;=45,"P2 备选","P3 暂缓"))))</x:f>
        <x:v>P1 近期做</x:v>
      </x:c>
      <x:c r="AB1082" s="9" t="str">
        <x:f>IF(Y1082&gt;=15,"先做合规/相关性复核，不建议直接商业导流",IF(L1082="主站","建/优化主站商业页",IF(L1082="博客A-知识教程","写知识教程/FAQ文章",IF(L1082="博客B-场景人群","写场景需求/选购指南文章",IF(L1082="博客C-对比评测","写对比评测/榜单文章","暂不做或人工复核")))))</x:f>
        <x:v>写对比评测/榜单文章</x:v>
      </x:c>
      <x:c r="AC1082" s="9" t="str">
        <x:v>puff vape</x:v>
      </x:c>
      <x:c r="AD1082" s="10" t="str">
        <x:v>48</x:v>
      </x:c>
    </x:row>
    <x:row r="1083">
      <x:c r="A1083" s="34" t="n">
        <x:v>1083</x:v>
      </x:c>
      <x:c r="B1083" s="9" t="str">
        <x:v>48</x:v>
      </x:c>
      <x:c r="C1083" s="9" t="str">
        <x:v>blue razz vapes</x:v>
      </x:c>
      <x:c r="D1083" s="9" t="str">
        <x:v>recommended</x:v>
      </x:c>
      <x:c r="E1083" s="36" t="n">
        <x:v>210</x:v>
      </x:c>
      <x:c r="F1083" s="36" t="n">
        <x:v>2</x:v>
      </x:c>
      <x:c r="G1083" s="9" t="str">
        <x:v>informational, commercial</x:v>
      </x:c>
      <x:c r="H1083" s="9" t="str">
        <x:v>竞品/品牌词</x:v>
      </x:c>
      <x:c r="I1083" s="9" t="str">
        <x:v>竞品品牌词</x:v>
      </x:c>
      <x:c r="J1083" s="9" t="str">
        <x:v>暂不做</x:v>
      </x:c>
      <x:c r="K1083" s="9" t="str"/>
      <x:c r="L1083" s="9" t="str">
        <x:f>IF(K1083="",J1083,K1083)</x:f>
        <x:v>暂不做</x:v>
      </x:c>
      <x:c r="M1083" s="9" t="str">
        <x:v>人工确认后再决定</x:v>
      </x:c>
      <x:c r="N1083" s="9" t="str">
        <x:v>人工确认是否可做客观对比</x:v>
      </x:c>
      <x:c r="O1083" s="9" t="str">
        <x:v>无</x:v>
      </x:c>
      <x:c r="P1083" s="9" t="str">
        <x:v>否</x:v>
      </x:c>
      <x:c r="Q1083" s="9" t="str">
        <x:v>不导流</x:v>
      </x:c>
      <x:c r="R1083" s="9" t="str">
        <x:v>中高风险：纯竞品品牌词容易产生商标/相关性问题</x:v>
      </x:c>
      <x:c r="S1083" s="9" t="str">
        <x:v>只有带 alternative / vs / review / best 这类明确比较意图时，才考虑博客C。</x:v>
      </x:c>
      <x:c r="T1083" s="38" t="n">
        <x:v>7</x:v>
      </x:c>
      <x:c r="U1083" s="38" t="n">
        <x:v>15</x:v>
      </x:c>
      <x:c r="V1083" s="38" t="n">
        <x:v>5</x:v>
      </x:c>
      <x:c r="W1083" s="38" t="n">
        <x:v>7</x:v>
      </x:c>
      <x:c r="X1083" s="38" t="n">
        <x:v>4</x:v>
      </x:c>
      <x:c r="Y1083" s="38" t="n">
        <x:v>14</x:v>
      </x:c>
      <x:c r="Z1083" s="38" t="n">
        <x:f>MAX(0,MIN(100,ROUND(((T1083+U1083+V1083+W1083+X1083)-Y1083)/85*100,0)))</x:f>
        <x:v>28</x:v>
      </x:c>
      <x:c r="AA1083" s="9" t="str">
        <x:f>IF(L1083="暂不做","P3 暂缓",IF(Z1083&gt;=75,"P0 本周做",IF(Z1083&gt;=60,"P1 近期做",IF(Z1083&gt;=45,"P2 备选","P3 暂缓"))))</x:f>
        <x:v>P3 暂缓</x:v>
      </x:c>
      <x:c r="AB1083" s="9" t="str">
        <x:f>IF(Y1083&gt;=15,"先做合规/相关性复核，不建议直接商业导流",IF(L1083="主站","建/优化主站商业页",IF(L1083="博客A-知识教程","写知识教程/FAQ文章",IF(L1083="博客B-场景人群","写场景需求/选购指南文章",IF(L1083="博客C-对比评测","写对比评测/榜单文章","暂不做或人工复核")))))</x:f>
        <x:v>暂不做或人工复核</x:v>
      </x:c>
      <x:c r="AC1083" s="9" t="str">
        <x:v>puff vape</x:v>
      </x:c>
      <x:c r="AD1083" s="10" t="str">
        <x:v>48</x:v>
      </x:c>
    </x:row>
    <x:row r="1084">
      <x:c r="A1084" s="34" t="n">
        <x:v>1084</x:v>
      </x:c>
      <x:c r="B1084" s="9" t="str">
        <x:v>48</x:v>
      </x:c>
      <x:c r="C1084" s="9" t="str">
        <x:v>brands of electronic cigarettes</x:v>
      </x:c>
      <x:c r="D1084" s="9" t="str">
        <x:v>recommended</x:v>
      </x:c>
      <x:c r="E1084" s="36" t="n">
        <x:v>210</x:v>
      </x:c>
      <x:c r="F1084" s="36" t="n">
        <x:v>33</x:v>
      </x:c>
      <x:c r="G1084" s="9" t="str">
        <x:v>informational</x:v>
      </x:c>
      <x:c r="H1084" s="9" t="str">
        <x:v>E-Cigarette</x:v>
      </x:c>
      <x:c r="I1084" s="9" t="str">
        <x:v>商业调查词</x:v>
      </x:c>
      <x:c r="J1084" s="9" t="str">
        <x:v>博客C-对比评测</x:v>
      </x:c>
      <x:c r="K1084" s="9" t="str"/>
      <x:c r="L1084" s="9" t="str">
        <x:f>IF(K1084="",J1084,K1084)</x:f>
        <x:v>博客C-对比评测</x:v>
      </x:c>
      <x:c r="M1084" s="9" t="str">
        <x:v>Best/Top/Review/VS/替代方案文章</x:v>
      </x:c>
      <x:c r="N1084" s="9" t="str">
        <x:v>Best angle: brands of electronic cigarettes - comparison, pros/cons, and which option fits different buyers</x:v>
      </x:c>
      <x:c r="O1084" s="9" t="str">
        <x:v>/collections/e-cigarettes</x:v>
      </x:c>
      <x:c r="P1084" s="9" t="str">
        <x:v>是</x:v>
      </x:c>
      <x:c r="Q1084" s="9" t="str">
        <x:v>自然句/品类词/品牌词</x:v>
      </x:c>
      <x:c r="R1084" s="9" t="str">
        <x:v>中风险：榜单和评测必须真实、中立，避免夸大</x:v>
      </x:c>
      <x:c r="S1084" s="9" t="str">
        <x:v>这类词不直接给主站，先用博客C教育和比较，再导流到最相关集合页。</x:v>
      </x:c>
      <x:c r="T1084" s="38" t="n">
        <x:v>7</x:v>
      </x:c>
      <x:c r="U1084" s="38" t="n">
        <x:v>9</x:v>
      </x:c>
      <x:c r="V1084" s="38" t="n">
        <x:v>16</x:v>
      </x:c>
      <x:c r="W1084" s="38" t="n">
        <x:v>15</x:v>
      </x:c>
      <x:c r="X1084" s="38" t="n">
        <x:v>13</x:v>
      </x:c>
      <x:c r="Y1084" s="38" t="n">
        <x:v>6</x:v>
      </x:c>
      <x:c r="Z1084" s="38" t="n">
        <x:f>MAX(0,MIN(100,ROUND(((T1084+U1084+V1084+W1084+X1084)-Y1084)/85*100,0)))</x:f>
        <x:v>64</x:v>
      </x:c>
      <x:c r="AA1084" s="9" t="str">
        <x:f>IF(L1084="暂不做","P3 暂缓",IF(Z1084&gt;=75,"P0 本周做",IF(Z1084&gt;=60,"P1 近期做",IF(Z1084&gt;=45,"P2 备选","P3 暂缓"))))</x:f>
        <x:v>P1 近期做</x:v>
      </x:c>
      <x:c r="AB1084" s="9" t="str">
        <x:f>IF(Y1084&gt;=15,"先做合规/相关性复核，不建议直接商业导流",IF(L1084="主站","建/优化主站商业页",IF(L1084="博客A-知识教程","写知识教程/FAQ文章",IF(L1084="博客B-场景人群","写场景需求/选购指南文章",IF(L1084="博客C-对比评测","写对比评测/榜单文章","暂不做或人工复核")))))</x:f>
        <x:v>写对比评测/榜单文章</x:v>
      </x:c>
      <x:c r="AC1084" s="9" t="str">
        <x:v>puff vape</x:v>
      </x:c>
      <x:c r="AD1084" s="10" t="str">
        <x:v>48</x:v>
      </x:c>
    </x:row>
    <x:row r="1085">
      <x:c r="A1085" s="34" t="n">
        <x:v>1085</x:v>
      </x:c>
      <x:c r="B1085" s="9" t="str">
        <x:v>48</x:v>
      </x:c>
      <x:c r="C1085" s="9" t="str">
        <x:v>9000 puff vape</x:v>
      </x:c>
      <x:c r="D1085" s="9" t="str">
        <x:v>recommended</x:v>
      </x:c>
      <x:c r="E1085" s="36" t="n">
        <x:v>50</x:v>
      </x:c>
      <x:c r="F1085" s="36" t="n">
        <x:v>0</x:v>
      </x:c>
      <x:c r="G1085" s="9" t="str">
        <x:v>informational</x:v>
      </x:c>
      <x:c r="H1085" s="9" t="str">
        <x:v>General Vape</x:v>
      </x:c>
      <x:c r="I1085" s="9" t="str">
        <x:v>品类承接词</x:v>
      </x:c>
      <x:c r="J1085" s="9" t="str">
        <x:v>主站</x:v>
      </x:c>
      <x:c r="K1085" s="9" t="str"/>
      <x:c r="L1085" s="9" t="str">
        <x:f>IF(K1085="",J1085,K1085)</x:f>
        <x:v>主站</x:v>
      </x:c>
      <x:c r="M1085" s="9" t="str">
        <x:v>品类页/集合页 + FAQ内容块</x:v>
      </x:c>
      <x:c r="N1085" s="9" t="str">
        <x:v>主站品类页：用产品集合 + 选购说明承接</x:v>
      </x:c>
      <x:c r="O1085" s="9" t="str">
        <x:v>/collections/disposable-vapes</x:v>
      </x:c>
      <x:c r="P1085" s="9" t="str">
        <x:v>不适用</x:v>
      </x:c>
      <x:c r="Q1085" s="9" t="str">
        <x:v>主站页面自身承接</x:v>
      </x:c>
      <x:c r="R1085" s="9" t="str">
        <x:v>核心品类词：主站优先，博客只做长尾解释，不直接抢同一词</x:v>
      </x:c>
      <x:c r="S1085" s="9" t="str">
        <x:v>如果 Google 首页产品页和指南混合，主站页要加 FAQ、选购指南、对比模块。</x:v>
      </x:c>
      <x:c r="T1085" s="38" t="n">
        <x:v>4</x:v>
      </x:c>
      <x:c r="U1085" s="38" t="n">
        <x:v>15</x:v>
      </x:c>
      <x:c r="V1085" s="38" t="n">
        <x:v>16</x:v>
      </x:c>
      <x:c r="W1085" s="38" t="n">
        <x:v>8</x:v>
      </x:c>
      <x:c r="X1085" s="38" t="n">
        <x:v>15</x:v>
      </x:c>
      <x:c r="Y1085" s="38" t="n">
        <x:v>4</x:v>
      </x:c>
      <x:c r="Z1085" s="38" t="n">
        <x:f>MAX(0,MIN(100,ROUND(((T1085+U1085+V1085+W1085+X1085)-Y1085)/85*100,0)))</x:f>
        <x:v>64</x:v>
      </x:c>
      <x:c r="AA1085" s="9" t="str">
        <x:f>IF(L1085="暂不做","P3 暂缓",IF(Z1085&gt;=75,"P0 本周做",IF(Z1085&gt;=60,"P1 近期做",IF(Z1085&gt;=45,"P2 备选","P3 暂缓"))))</x:f>
        <x:v>P1 近期做</x:v>
      </x:c>
      <x:c r="AB1085" s="9" t="str">
        <x:f>IF(Y1085&gt;=15,"先做合规/相关性复核，不建议直接商业导流",IF(L1085="主站","建/优化主站商业页",IF(L1085="博客A-知识教程","写知识教程/FAQ文章",IF(L1085="博客B-场景人群","写场景需求/选购指南文章",IF(L1085="博客C-对比评测","写对比评测/榜单文章","暂不做或人工复核")))))</x:f>
        <x:v>建/优化主站商业页</x:v>
      </x:c>
      <x:c r="AC1085" s="9" t="str">
        <x:v>puff vape</x:v>
      </x:c>
      <x:c r="AD1085" s="10" t="str">
        <x:v>48</x:v>
      </x:c>
    </x:row>
    <x:row r="1086">
      <x:c r="A1086" s="34" t="n">
        <x:v>1086</x:v>
      </x:c>
      <x:c r="B1086" s="9" t="str">
        <x:v>48</x:v>
      </x:c>
      <x:c r="C1086" s="9" t="str">
        <x:v>cute vapes</x:v>
      </x:c>
      <x:c r="D1086" s="9" t="str">
        <x:v>recommended</x:v>
      </x:c>
      <x:c r="E1086" s="36" t="n">
        <x:v>260</x:v>
      </x:c>
      <x:c r="F1086" s="36" t="n">
        <x:v>15</x:v>
      </x:c>
      <x:c r="G1086" s="9" t="str">
        <x:v>informational</x:v>
      </x:c>
      <x:c r="H1086" s="9" t="str">
        <x:v>General Vape</x:v>
      </x:c>
      <x:c r="I1086" s="9" t="str">
        <x:v>品类承接词</x:v>
      </x:c>
      <x:c r="J1086" s="9" t="str">
        <x:v>主站</x:v>
      </x:c>
      <x:c r="K1086" s="9" t="str"/>
      <x:c r="L1086" s="9" t="str">
        <x:f>IF(K1086="",J1086,K1086)</x:f>
        <x:v>主站</x:v>
      </x:c>
      <x:c r="M1086" s="9" t="str">
        <x:v>品类页/集合页 + FAQ内容块</x:v>
      </x:c>
      <x:c r="N1086" s="9" t="str">
        <x:v>主站品类页：用产品集合 + 选购说明承接</x:v>
      </x:c>
      <x:c r="O1086" s="9" t="str">
        <x:v>/collections/disposable-vapes</x:v>
      </x:c>
      <x:c r="P1086" s="9" t="str">
        <x:v>不适用</x:v>
      </x:c>
      <x:c r="Q1086" s="9" t="str">
        <x:v>主站页面自身承接</x:v>
      </x:c>
      <x:c r="R1086" s="9" t="str">
        <x:v>核心品类词：主站优先，博客只做长尾解释，不直接抢同一词</x:v>
      </x:c>
      <x:c r="S1086" s="9" t="str">
        <x:v>如果 Google 首页产品页和指南混合，主站页要加 FAQ、选购指南、对比模块。</x:v>
      </x:c>
      <x:c r="T1086" s="38" t="n">
        <x:v>7</x:v>
      </x:c>
      <x:c r="U1086" s="38" t="n">
        <x:v>15</x:v>
      </x:c>
      <x:c r="V1086" s="38" t="n">
        <x:v>16</x:v>
      </x:c>
      <x:c r="W1086" s="38" t="n">
        <x:v>8</x:v>
      </x:c>
      <x:c r="X1086" s="38" t="n">
        <x:v>15</x:v>
      </x:c>
      <x:c r="Y1086" s="38" t="n">
        <x:v>4</x:v>
      </x:c>
      <x:c r="Z1086" s="38" t="n">
        <x:f>MAX(0,MIN(100,ROUND(((T1086+U1086+V1086+W1086+X1086)-Y1086)/85*100,0)))</x:f>
        <x:v>67</x:v>
      </x:c>
      <x:c r="AA1086" s="9" t="str">
        <x:f>IF(L1086="暂不做","P3 暂缓",IF(Z1086&gt;=75,"P0 本周做",IF(Z1086&gt;=60,"P1 近期做",IF(Z1086&gt;=45,"P2 备选","P3 暂缓"))))</x:f>
        <x:v>P1 近期做</x:v>
      </x:c>
      <x:c r="AB1086" s="9" t="str">
        <x:f>IF(Y1086&gt;=15,"先做合规/相关性复核，不建议直接商业导流",IF(L1086="主站","建/优化主站商业页",IF(L1086="博客A-知识教程","写知识教程/FAQ文章",IF(L1086="博客B-场景人群","写场景需求/选购指南文章",IF(L1086="博客C-对比评测","写对比评测/榜单文章","暂不做或人工复核")))))</x:f>
        <x:v>建/优化主站商业页</x:v>
      </x:c>
      <x:c r="AC1086" s="9" t="str">
        <x:v>puff vape</x:v>
      </x:c>
      <x:c r="AD1086" s="10" t="str">
        <x:v>48</x:v>
      </x:c>
    </x:row>
    <x:row r="1087">
      <x:c r="A1087" s="34" t="n">
        <x:v>1087</x:v>
      </x:c>
      <x:c r="B1087" s="9" t="str">
        <x:v>48</x:v>
      </x:c>
      <x:c r="C1087" s="9" t="str">
        <x:v>american made disposable vapes</x:v>
      </x:c>
      <x:c r="D1087" s="9" t="str">
        <x:v>recommended</x:v>
      </x:c>
      <x:c r="E1087" s="36" t="n">
        <x:v>390</x:v>
      </x:c>
      <x:c r="F1087" s="36" t="n">
        <x:v>0</x:v>
      </x:c>
      <x:c r="G1087" s="9" t="str">
        <x:v>informational</x:v>
      </x:c>
      <x:c r="H1087" s="9" t="str">
        <x:v>Disposable Vape</x:v>
      </x:c>
      <x:c r="I1087" s="9" t="str">
        <x:v>知识/教程词</x:v>
      </x:c>
      <x:c r="J1087" s="9" t="str">
        <x:v>博客A-知识教程</x:v>
      </x:c>
      <x:c r="K1087" s="9" t="str"/>
      <x:c r="L1087" s="9" t="str">
        <x:f>IF(K1087="",J1087,K1087)</x:f>
        <x:v>博客A-知识教程</x:v>
      </x:c>
      <x:c r="M1087" s="9" t="str">
        <x:v>百科/How-to/FAQ文章</x:v>
      </x:c>
      <x:c r="N1087" s="9" t="str">
        <x:v>Guide angle: explain american made disposable vapes, answer common questions, and avoid sales-first writing</x:v>
      </x:c>
      <x:c r="O1087" s="9" t="str">
        <x:v>/collections/disposable-vapes</x:v>
      </x:c>
      <x:c r="P1087" s="9" t="str">
        <x:v>谨慎</x:v>
      </x:c>
      <x:c r="Q1087" s="9" t="str">
        <x:v>自然句/品牌词</x:v>
      </x:c>
      <x:c r="R1087" s="9" t="str">
        <x:v>低中风险：先满足信息意图，导流要克制</x:v>
      </x:c>
      <x:c r="S1087" s="9" t="str">
        <x:v>如果文章能自然回答下一步购买问题，再放 1 个主站内链；否则只做知识闭环。</x:v>
      </x:c>
      <x:c r="T1087" s="38" t="n">
        <x:v>7</x:v>
      </x:c>
      <x:c r="U1087" s="38" t="n">
        <x:v>15</x:v>
      </x:c>
      <x:c r="V1087" s="38" t="n">
        <x:v>9</x:v>
      </x:c>
      <x:c r="W1087" s="38" t="n">
        <x:v>14</x:v>
      </x:c>
      <x:c r="X1087" s="38" t="n">
        <x:v>12</x:v>
      </x:c>
      <x:c r="Y1087" s="38" t="n">
        <x:v>5</x:v>
      </x:c>
      <x:c r="Z1087" s="38" t="n">
        <x:f>MAX(0,MIN(100,ROUND(((T1087+U1087+V1087+W1087+X1087)-Y1087)/85*100,0)))</x:f>
        <x:v>61</x:v>
      </x:c>
      <x:c r="AA1087" s="9" t="str">
        <x:f>IF(L1087="暂不做","P3 暂缓",IF(Z1087&gt;=75,"P0 本周做",IF(Z1087&gt;=60,"P1 近期做",IF(Z1087&gt;=45,"P2 备选","P3 暂缓"))))</x:f>
        <x:v>P1 近期做</x:v>
      </x:c>
      <x:c r="AB1087" s="9" t="str">
        <x:f>IF(Y1087&gt;=15,"先做合规/相关性复核，不建议直接商业导流",IF(L1087="主站","建/优化主站商业页",IF(L1087="博客A-知识教程","写知识教程/FAQ文章",IF(L1087="博客B-场景人群","写场景需求/选购指南文章",IF(L1087="博客C-对比评测","写对比评测/榜单文章","暂不做或人工复核")))))</x:f>
        <x:v>写知识教程/FAQ文章</x:v>
      </x:c>
      <x:c r="AC1087" s="9" t="str">
        <x:v>american made disposable vapes</x:v>
      </x:c>
      <x:c r="AD1087" s="10" t="str">
        <x:v>48</x:v>
      </x:c>
    </x:row>
    <x:row r="1088">
      <x:c r="A1088" s="34" t="n">
        <x:v>1088</x:v>
      </x:c>
      <x:c r="B1088" s="9" t="str">
        <x:v>48</x:v>
      </x:c>
      <x:c r="C1088" s="9" t="str">
        <x:v>3 nicotine disposable vape</x:v>
      </x:c>
      <x:c r="D1088" s="9" t="str">
        <x:v>recommended</x:v>
      </x:c>
      <x:c r="E1088" s="36" t="n">
        <x:v>320</x:v>
      </x:c>
      <x:c r="F1088" s="36" t="n">
        <x:v>2</x:v>
      </x:c>
      <x:c r="G1088" s="9" t="str">
        <x:v>informational, commercial</x:v>
      </x:c>
      <x:c r="H1088" s="9" t="str">
        <x:v>Disposable Vape</x:v>
      </x:c>
      <x:c r="I1088" s="9" t="str">
        <x:v>品类承接词</x:v>
      </x:c>
      <x:c r="J1088" s="9" t="str">
        <x:v>主站</x:v>
      </x:c>
      <x:c r="K1088" s="9" t="str"/>
      <x:c r="L1088" s="9" t="str">
        <x:f>IF(K1088="",J1088,K1088)</x:f>
        <x:v>主站</x:v>
      </x:c>
      <x:c r="M1088" s="9" t="str">
        <x:v>品类页/集合页 + FAQ内容块</x:v>
      </x:c>
      <x:c r="N1088" s="9" t="str">
        <x:v>主站品类页：用产品集合 + 选购说明承接</x:v>
      </x:c>
      <x:c r="O1088" s="9" t="str">
        <x:v>/collections/disposable-vapes</x:v>
      </x:c>
      <x:c r="P1088" s="9" t="str">
        <x:v>不适用</x:v>
      </x:c>
      <x:c r="Q1088" s="9" t="str">
        <x:v>主站页面自身承接</x:v>
      </x:c>
      <x:c r="R1088" s="9" t="str">
        <x:v>核心品类词：主站优先，博客只做长尾解释，不直接抢同一词</x:v>
      </x:c>
      <x:c r="S1088" s="9" t="str">
        <x:v>如果 Google 首页产品页和指南混合，主站页要加 FAQ、选购指南、对比模块。</x:v>
      </x:c>
      <x:c r="T1088" s="38" t="n">
        <x:v>7</x:v>
      </x:c>
      <x:c r="U1088" s="38" t="n">
        <x:v>15</x:v>
      </x:c>
      <x:c r="V1088" s="38" t="n">
        <x:v>18</x:v>
      </x:c>
      <x:c r="W1088" s="38" t="n">
        <x:v>8</x:v>
      </x:c>
      <x:c r="X1088" s="38" t="n">
        <x:v>15</x:v>
      </x:c>
      <x:c r="Y1088" s="38" t="n">
        <x:v>4</x:v>
      </x:c>
      <x:c r="Z1088" s="38" t="n">
        <x:f>MAX(0,MIN(100,ROUND(((T1088+U1088+V1088+W1088+X1088)-Y1088)/85*100,0)))</x:f>
        <x:v>69</x:v>
      </x:c>
      <x:c r="AA1088" s="9" t="str">
        <x:f>IF(L1088="暂不做","P3 暂缓",IF(Z1088&gt;=75,"P0 本周做",IF(Z1088&gt;=60,"P1 近期做",IF(Z1088&gt;=45,"P2 备选","P3 暂缓"))))</x:f>
        <x:v>P1 近期做</x:v>
      </x:c>
      <x:c r="AB1088" s="9" t="str">
        <x:f>IF(Y1088&gt;=15,"先做合规/相关性复核，不建议直接商业导流",IF(L1088="主站","建/优化主站商业页",IF(L1088="博客A-知识教程","写知识教程/FAQ文章",IF(L1088="博客B-场景人群","写场景需求/选购指南文章",IF(L1088="博客C-对比评测","写对比评测/榜单文章","暂不做或人工复核")))))</x:f>
        <x:v>建/优化主站商业页</x:v>
      </x:c>
      <x:c r="AC1088" s="9" t="str">
        <x:v>american made disposable vapes</x:v>
      </x:c>
      <x:c r="AD1088" s="10" t="str">
        <x:v>48</x:v>
      </x:c>
    </x:row>
    <x:row r="1089">
      <x:c r="A1089" s="34" t="n">
        <x:v>1089</x:v>
      </x:c>
      <x:c r="B1089" s="9" t="str">
        <x:v>48</x:v>
      </x:c>
      <x:c r="C1089" s="9" t="str">
        <x:v>disposable vapes made in usa</x:v>
      </x:c>
      <x:c r="D1089" s="9" t="str">
        <x:v>recommended</x:v>
      </x:c>
      <x:c r="E1089" s="36" t="n">
        <x:v>590</x:v>
      </x:c>
      <x:c r="F1089" s="36" t="n">
        <x:v>18</x:v>
      </x:c>
      <x:c r="G1089" s="9" t="str">
        <x:v>informational</x:v>
      </x:c>
      <x:c r="H1089" s="9" t="str">
        <x:v>Disposable Vape</x:v>
      </x:c>
      <x:c r="I1089" s="9" t="str">
        <x:v>知识/教程词</x:v>
      </x:c>
      <x:c r="J1089" s="9" t="str">
        <x:v>博客A-知识教程</x:v>
      </x:c>
      <x:c r="K1089" s="9" t="str"/>
      <x:c r="L1089" s="9" t="str">
        <x:f>IF(K1089="",J1089,K1089)</x:f>
        <x:v>博客A-知识教程</x:v>
      </x:c>
      <x:c r="M1089" s="9" t="str">
        <x:v>百科/How-to/FAQ文章</x:v>
      </x:c>
      <x:c r="N1089" s="9" t="str">
        <x:v>Guide angle: explain disposable vapes made in usa, answer common questions, and avoid sales-first writing</x:v>
      </x:c>
      <x:c r="O1089" s="9" t="str">
        <x:v>/collections/disposable-vapes</x:v>
      </x:c>
      <x:c r="P1089" s="9" t="str">
        <x:v>谨慎</x:v>
      </x:c>
      <x:c r="Q1089" s="9" t="str">
        <x:v>自然句/品牌词</x:v>
      </x:c>
      <x:c r="R1089" s="9" t="str">
        <x:v>低中风险：先满足信息意图，导流要克制</x:v>
      </x:c>
      <x:c r="S1089" s="9" t="str">
        <x:v>如果文章能自然回答下一步购买问题，再放 1 个主站内链；否则只做知识闭环。</x:v>
      </x:c>
      <x:c r="T1089" s="38" t="n">
        <x:v>10</x:v>
      </x:c>
      <x:c r="U1089" s="38" t="n">
        <x:v>12</x:v>
      </x:c>
      <x:c r="V1089" s="38" t="n">
        <x:v>9</x:v>
      </x:c>
      <x:c r="W1089" s="38" t="n">
        <x:v>14</x:v>
      </x:c>
      <x:c r="X1089" s="38" t="n">
        <x:v>12</x:v>
      </x:c>
      <x:c r="Y1089" s="38" t="n">
        <x:v>5</x:v>
      </x:c>
      <x:c r="Z1089" s="38" t="n">
        <x:f>MAX(0,MIN(100,ROUND(((T1089+U1089+V1089+W1089+X1089)-Y1089)/85*100,0)))</x:f>
        <x:v>61</x:v>
      </x:c>
      <x:c r="AA1089" s="9" t="str">
        <x:f>IF(L1089="暂不做","P3 暂缓",IF(Z1089&gt;=75,"P0 本周做",IF(Z1089&gt;=60,"P1 近期做",IF(Z1089&gt;=45,"P2 备选","P3 暂缓"))))</x:f>
        <x:v>P1 近期做</x:v>
      </x:c>
      <x:c r="AB1089" s="9" t="str">
        <x:f>IF(Y1089&gt;=15,"先做合规/相关性复核，不建议直接商业导流",IF(L1089="主站","建/优化主站商业页",IF(L1089="博客A-知识教程","写知识教程/FAQ文章",IF(L1089="博客B-场景人群","写场景需求/选购指南文章",IF(L1089="博客C-对比评测","写对比评测/榜单文章","暂不做或人工复核")))))</x:f>
        <x:v>写知识教程/FAQ文章</x:v>
      </x:c>
      <x:c r="AC1089" s="9" t="str">
        <x:v>american made disposable vapes</x:v>
      </x:c>
      <x:c r="AD1089" s="10" t="str">
        <x:v>48</x:v>
      </x:c>
    </x:row>
    <x:row r="1090">
      <x:c r="A1090" s="34" t="n">
        <x:v>1090</x:v>
      </x:c>
      <x:c r="B1090" s="9" t="str">
        <x:v>48</x:v>
      </x:c>
      <x:c r="C1090" s="9" t="str">
        <x:v>puff bar vapes</x:v>
      </x:c>
      <x:c r="D1090" s="9" t="str">
        <x:v>recommended</x:v>
      </x:c>
      <x:c r="E1090" s="36" t="n">
        <x:v>590</x:v>
      </x:c>
      <x:c r="F1090" s="36" t="n">
        <x:v>21</x:v>
      </x:c>
      <x:c r="G1090" s="9" t="str">
        <x:v>informational</x:v>
      </x:c>
      <x:c r="H1090" s="9" t="str">
        <x:v>竞品/品牌词</x:v>
      </x:c>
      <x:c r="I1090" s="9" t="str">
        <x:v>竞品品牌词</x:v>
      </x:c>
      <x:c r="J1090" s="9" t="str">
        <x:v>暂不做</x:v>
      </x:c>
      <x:c r="K1090" s="9" t="str"/>
      <x:c r="L1090" s="9" t="str">
        <x:f>IF(K1090="",J1090,K1090)</x:f>
        <x:v>暂不做</x:v>
      </x:c>
      <x:c r="M1090" s="9" t="str">
        <x:v>人工确认后再决定</x:v>
      </x:c>
      <x:c r="N1090" s="9" t="str">
        <x:v>人工确认是否可做客观对比</x:v>
      </x:c>
      <x:c r="O1090" s="9" t="str">
        <x:v>无</x:v>
      </x:c>
      <x:c r="P1090" s="9" t="str">
        <x:v>否</x:v>
      </x:c>
      <x:c r="Q1090" s="9" t="str">
        <x:v>不导流</x:v>
      </x:c>
      <x:c r="R1090" s="9" t="str">
        <x:v>中高风险：纯竞品品牌词容易产生商标/相关性问题</x:v>
      </x:c>
      <x:c r="S1090" s="9" t="str">
        <x:v>只有带 alternative / vs / review / best 这类明确比较意图时，才考虑博客C。</x:v>
      </x:c>
      <x:c r="T1090" s="38" t="n">
        <x:v>10</x:v>
      </x:c>
      <x:c r="U1090" s="38" t="n">
        <x:v>12</x:v>
      </x:c>
      <x:c r="V1090" s="38" t="n">
        <x:v>5</x:v>
      </x:c>
      <x:c r="W1090" s="38" t="n">
        <x:v>7</x:v>
      </x:c>
      <x:c r="X1090" s="38" t="n">
        <x:v>4</x:v>
      </x:c>
      <x:c r="Y1090" s="38" t="n">
        <x:v>14</x:v>
      </x:c>
      <x:c r="Z1090" s="38" t="n">
        <x:f>MAX(0,MIN(100,ROUND(((T1090+U1090+V1090+W1090+X1090)-Y1090)/85*100,0)))</x:f>
        <x:v>28</x:v>
      </x:c>
      <x:c r="AA1090" s="9" t="str">
        <x:f>IF(L1090="暂不做","P3 暂缓",IF(Z1090&gt;=75,"P0 本周做",IF(Z1090&gt;=60,"P1 近期做",IF(Z1090&gt;=45,"P2 备选","P3 暂缓"))))</x:f>
        <x:v>P3 暂缓</x:v>
      </x:c>
      <x:c r="AB1090" s="9" t="str">
        <x:f>IF(Y1090&gt;=15,"先做合规/相关性复核，不建议直接商业导流",IF(L1090="主站","建/优化主站商业页",IF(L1090="博客A-知识教程","写知识教程/FAQ文章",IF(L1090="博客B-场景人群","写场景需求/选购指南文章",IF(L1090="博客C-对比评测","写对比评测/榜单文章","暂不做或人工复核")))))</x:f>
        <x:v>暂不做或人工复核</x:v>
      </x:c>
      <x:c r="AC1090" s="9" t="str">
        <x:v>american made disposable vapes</x:v>
      </x:c>
      <x:c r="AD1090" s="10" t="str">
        <x:v>48</x:v>
      </x:c>
    </x:row>
    <x:row r="1091">
      <x:c r="A1091" s="34" t="n">
        <x:v>1091</x:v>
      </x:c>
      <x:c r="B1091" s="9" t="str">
        <x:v>48</x:v>
      </x:c>
      <x:c r="C1091" s="9" t="str">
        <x:v>blue raz vape</x:v>
      </x:c>
      <x:c r="D1091" s="9" t="str">
        <x:v>recommended</x:v>
      </x:c>
      <x:c r="E1091" s="36" t="n">
        <x:v>720</x:v>
      </x:c>
      <x:c r="F1091" s="36" t="n">
        <x:v>5</x:v>
      </x:c>
      <x:c r="G1091" s="9" t="str">
        <x:v>informational</x:v>
      </x:c>
      <x:c r="H1091" s="9" t="str">
        <x:v>竞品/品牌词</x:v>
      </x:c>
      <x:c r="I1091" s="9" t="str">
        <x:v>竞品品牌词</x:v>
      </x:c>
      <x:c r="J1091" s="9" t="str">
        <x:v>暂不做</x:v>
      </x:c>
      <x:c r="K1091" s="9" t="str"/>
      <x:c r="L1091" s="9" t="str">
        <x:f>IF(K1091="",J1091,K1091)</x:f>
        <x:v>暂不做</x:v>
      </x:c>
      <x:c r="M1091" s="9" t="str">
        <x:v>人工确认后再决定</x:v>
      </x:c>
      <x:c r="N1091" s="9" t="str">
        <x:v>人工确认是否可做客观对比</x:v>
      </x:c>
      <x:c r="O1091" s="9" t="str">
        <x:v>无</x:v>
      </x:c>
      <x:c r="P1091" s="9" t="str">
        <x:v>否</x:v>
      </x:c>
      <x:c r="Q1091" s="9" t="str">
        <x:v>不导流</x:v>
      </x:c>
      <x:c r="R1091" s="9" t="str">
        <x:v>中高风险：纯竞品品牌词容易产生商标/相关性问题</x:v>
      </x:c>
      <x:c r="S1091" s="9" t="str">
        <x:v>只有带 alternative / vs / review / best 这类明确比较意图时，才考虑博客C。</x:v>
      </x:c>
      <x:c r="T1091" s="38" t="n">
        <x:v>10</x:v>
      </x:c>
      <x:c r="U1091" s="38" t="n">
        <x:v>15</x:v>
      </x:c>
      <x:c r="V1091" s="38" t="n">
        <x:v>5</x:v>
      </x:c>
      <x:c r="W1091" s="38" t="n">
        <x:v>7</x:v>
      </x:c>
      <x:c r="X1091" s="38" t="n">
        <x:v>4</x:v>
      </x:c>
      <x:c r="Y1091" s="38" t="n">
        <x:v>14</x:v>
      </x:c>
      <x:c r="Z1091" s="38" t="n">
        <x:f>MAX(0,MIN(100,ROUND(((T1091+U1091+V1091+W1091+X1091)-Y1091)/85*100,0)))</x:f>
        <x:v>32</x:v>
      </x:c>
      <x:c r="AA1091" s="9" t="str">
        <x:f>IF(L1091="暂不做","P3 暂缓",IF(Z1091&gt;=75,"P0 本周做",IF(Z1091&gt;=60,"P1 近期做",IF(Z1091&gt;=45,"P2 备选","P3 暂缓"))))</x:f>
        <x:v>P3 暂缓</x:v>
      </x:c>
      <x:c r="AB1091" s="9" t="str">
        <x:f>IF(Y1091&gt;=15,"先做合规/相关性复核，不建议直接商业导流",IF(L1091="主站","建/优化主站商业页",IF(L1091="博客A-知识教程","写知识教程/FAQ文章",IF(L1091="博客B-场景人群","写场景需求/选购指南文章",IF(L1091="博客C-对比评测","写对比评测/榜单文章","暂不做或人工复核")))))</x:f>
        <x:v>暂不做或人工复核</x:v>
      </x:c>
      <x:c r="AC1091" s="9" t="str">
        <x:v>american made disposable vapes</x:v>
      </x:c>
      <x:c r="AD1091" s="10" t="str">
        <x:v>48</x:v>
      </x:c>
    </x:row>
    <x:row r="1092">
      <x:c r="A1092" s="34" t="n">
        <x:v>1092</x:v>
      </x:c>
      <x:c r="B1092" s="9" t="str">
        <x:v>48</x:v>
      </x:c>
      <x:c r="C1092" s="9" t="str">
        <x:v>cheapest vapes</x:v>
      </x:c>
      <x:c r="D1092" s="9" t="str">
        <x:v>recommended</x:v>
      </x:c>
      <x:c r="E1092" s="36" t="n">
        <x:v>880</x:v>
      </x:c>
      <x:c r="F1092" s="36" t="n">
        <x:v>48</x:v>
      </x:c>
      <x:c r="G1092" s="9" t="str">
        <x:v>commercial</x:v>
      </x:c>
      <x:c r="H1092" s="9" t="str">
        <x:v>购买交易</x:v>
      </x:c>
      <x:c r="I1092" s="9" t="str">
        <x:v>交易词</x:v>
      </x:c>
      <x:c r="J1092" s="9" t="str">
        <x:v>主站</x:v>
      </x:c>
      <x:c r="K1092" s="9" t="str"/>
      <x:c r="L1092" s="9" t="str">
        <x:f>IF(K1092="",J1092,K1092)</x:f>
        <x:v>主站</x:v>
      </x:c>
      <x:c r="M1092" s="9" t="str">
        <x:v>产品集合页/分类页/购买页</x:v>
      </x:c>
      <x:c r="N1092" s="9" t="str">
        <x:v>主站商业页：标题围绕购买意图 + 品类 + 关键卖点</x:v>
      </x:c>
      <x:c r="O1092" s="9" t="str">
        <x:v>/collections/disposable-vapes</x:v>
      </x:c>
      <x:c r="P1092" s="9" t="str">
        <x:v>不适用</x:v>
      </x:c>
      <x:c r="Q1092" s="9" t="str">
        <x:v>主站页面自身承接</x:v>
      </x:c>
      <x:c r="R1092" s="9" t="str">
        <x:v>商业词：优先给主站，避免博客抢主站排名</x:v>
      </x:c>
      <x:c r="S1092" s="9" t="str">
        <x:v>SERP 如为商品列表/品牌站/电商集合页，就建主站页面；若 SERP 全是教程，再拆支持文章。</x:v>
      </x:c>
      <x:c r="T1092" s="38" t="n">
        <x:v>10</x:v>
      </x:c>
      <x:c r="U1092" s="38" t="n">
        <x:v>6</x:v>
      </x:c>
      <x:c r="V1092" s="38" t="n">
        <x:v>20</x:v>
      </x:c>
      <x:c r="W1092" s="38" t="n">
        <x:v>7</x:v>
      </x:c>
      <x:c r="X1092" s="38" t="n">
        <x:v>15</x:v>
      </x:c>
      <x:c r="Y1092" s="38" t="n">
        <x:v>4</x:v>
      </x:c>
      <x:c r="Z1092" s="38" t="n">
        <x:f>MAX(0,MIN(100,ROUND(((T1092+U1092+V1092+W1092+X1092)-Y1092)/85*100,0)))</x:f>
        <x:v>64</x:v>
      </x:c>
      <x:c r="AA1092" s="9" t="str">
        <x:f>IF(L1092="暂不做","P3 暂缓",IF(Z1092&gt;=75,"P0 本周做",IF(Z1092&gt;=60,"P1 近期做",IF(Z1092&gt;=45,"P2 备选","P3 暂缓"))))</x:f>
        <x:v>P1 近期做</x:v>
      </x:c>
      <x:c r="AB1092" s="9" t="str">
        <x:f>IF(Y1092&gt;=15,"先做合规/相关性复核，不建议直接商业导流",IF(L1092="主站","建/优化主站商业页",IF(L1092="博客A-知识教程","写知识教程/FAQ文章",IF(L1092="博客B-场景人群","写场景需求/选购指南文章",IF(L1092="博客C-对比评测","写对比评测/榜单文章","暂不做或人工复核")))))</x:f>
        <x:v>建/优化主站商业页</x:v>
      </x:c>
      <x:c r="AC1092" s="9" t="str">
        <x:v>american made disposable vapes</x:v>
      </x:c>
      <x:c r="AD1092" s="10" t="str">
        <x:v>48</x:v>
      </x:c>
    </x:row>
    <x:row r="1093">
      <x:c r="A1093" s="34" t="n">
        <x:v>1093</x:v>
      </x:c>
      <x:c r="B1093" s="9" t="str">
        <x:v>48</x:v>
      </x:c>
      <x:c r="C1093" s="9" t="str">
        <x:v>dessert flavored disposable vapes</x:v>
      </x:c>
      <x:c r="D1093" s="9" t="str">
        <x:v>recommended</x:v>
      </x:c>
      <x:c r="E1093" s="36" t="n">
        <x:v>210</x:v>
      </x:c>
      <x:c r="F1093" s="36" t="n">
        <x:v>1</x:v>
      </x:c>
      <x:c r="G1093" s="9" t="str">
        <x:v>informational</x:v>
      </x:c>
      <x:c r="H1093" s="9" t="str">
        <x:v>Disposable Vape</x:v>
      </x:c>
      <x:c r="I1093" s="9" t="str">
        <x:v>场景/需求词</x:v>
      </x:c>
      <x:c r="J1093" s="9" t="str">
        <x:v>博客B-场景人群</x:v>
      </x:c>
      <x:c r="K1093" s="9" t="str"/>
      <x:c r="L1093" s="9" t="str">
        <x:f>IF(K1093="",J1093,K1093)</x:f>
        <x:v>博客B-场景人群</x:v>
      </x:c>
      <x:c r="M1093" s="9" t="str">
        <x:v>场景解决方案/选购指南文章</x:v>
      </x:c>
      <x:c r="N1093" s="9" t="str">
        <x:v>Scenario angle: how to choose dessert flavored disposable vapes based on use case, flavor, nicotine, and budget</x:v>
      </x:c>
      <x:c r="O1093" s="9" t="str">
        <x:v>/collections/flavored-disposable-vapes</x:v>
      </x:c>
      <x:c r="P1093" s="9" t="str">
        <x:v>是</x:v>
      </x:c>
      <x:c r="Q1093" s="9" t="str">
        <x:v>自然句/品类词</x:v>
      </x:c>
      <x:c r="R1093" s="9" t="str">
        <x:v>低中风险：适合软性导流，但不要夸大效果或触碰健康疗效</x:v>
      </x:c>
      <x:c r="S1093" s="9" t="str">
        <x:v>围绕使用场景、口味、尼古丁需求、便携性等写，不和主站品类页抢词。</x:v>
      </x:c>
      <x:c r="T1093" s="38" t="n">
        <x:v>7</x:v>
      </x:c>
      <x:c r="U1093" s="38" t="n">
        <x:v>15</x:v>
      </x:c>
      <x:c r="V1093" s="38" t="n">
        <x:v>13</x:v>
      </x:c>
      <x:c r="W1093" s="38" t="n">
        <x:v>14</x:v>
      </x:c>
      <x:c r="X1093" s="38" t="n">
        <x:v>13</x:v>
      </x:c>
      <x:c r="Y1093" s="38" t="n">
        <x:v>5</x:v>
      </x:c>
      <x:c r="Z1093" s="38" t="n">
        <x:f>MAX(0,MIN(100,ROUND(((T1093+U1093+V1093+W1093+X1093)-Y1093)/85*100,0)))</x:f>
        <x:v>67</x:v>
      </x:c>
      <x:c r="AA1093" s="9" t="str">
        <x:f>IF(L1093="暂不做","P3 暂缓",IF(Z1093&gt;=75,"P0 本周做",IF(Z1093&gt;=60,"P1 近期做",IF(Z1093&gt;=45,"P2 备选","P3 暂缓"))))</x:f>
        <x:v>P1 近期做</x:v>
      </x:c>
      <x:c r="AB1093" s="9" t="str">
        <x:f>IF(Y1093&gt;=15,"先做合规/相关性复核，不建议直接商业导流",IF(L1093="主站","建/优化主站商业页",IF(L1093="博客A-知识教程","写知识教程/FAQ文章",IF(L1093="博客B-场景人群","写场景需求/选购指南文章",IF(L1093="博客C-对比评测","写对比评测/榜单文章","暂不做或人工复核")))))</x:f>
        <x:v>写场景需求/选购指南文章</x:v>
      </x:c>
      <x:c r="AC1093" s="9" t="str">
        <x:v>american made disposable vapes</x:v>
      </x:c>
      <x:c r="AD1093" s="10" t="str">
        <x:v>48</x:v>
      </x:c>
    </x:row>
    <x:row r="1094">
      <x:c r="A1094" s="34" t="n">
        <x:v>1094</x:v>
      </x:c>
      <x:c r="B1094" s="9" t="str">
        <x:v>48</x:v>
      </x:c>
      <x:c r="C1094" s="9" t="str">
        <x:v>dispo vape</x:v>
      </x:c>
      <x:c r="D1094" s="9" t="str">
        <x:v>recommended</x:v>
      </x:c>
      <x:c r="E1094" s="36" t="n">
        <x:v>590</x:v>
      </x:c>
      <x:c r="F1094" s="36" t="n">
        <x:v>52</x:v>
      </x:c>
      <x:c r="G1094" s="9" t="str">
        <x:v>informational</x:v>
      </x:c>
      <x:c r="H1094" s="9" t="str">
        <x:v>General Vape</x:v>
      </x:c>
      <x:c r="I1094" s="9" t="str">
        <x:v>品类承接词</x:v>
      </x:c>
      <x:c r="J1094" s="9" t="str">
        <x:v>主站</x:v>
      </x:c>
      <x:c r="K1094" s="9" t="str"/>
      <x:c r="L1094" s="9" t="str">
        <x:f>IF(K1094="",J1094,K1094)</x:f>
        <x:v>主站</x:v>
      </x:c>
      <x:c r="M1094" s="9" t="str">
        <x:v>品类页/集合页 + FAQ内容块</x:v>
      </x:c>
      <x:c r="N1094" s="9" t="str">
        <x:v>主站品类页：用产品集合 + 选购说明承接</x:v>
      </x:c>
      <x:c r="O1094" s="9" t="str">
        <x:v>/collections/disposable-vapes</x:v>
      </x:c>
      <x:c r="P1094" s="9" t="str">
        <x:v>不适用</x:v>
      </x:c>
      <x:c r="Q1094" s="9" t="str">
        <x:v>主站页面自身承接</x:v>
      </x:c>
      <x:c r="R1094" s="9" t="str">
        <x:v>核心品类词：主站优先，博客只做长尾解释，不直接抢同一词</x:v>
      </x:c>
      <x:c r="S1094" s="9" t="str">
        <x:v>如果 Google 首页产品页和指南混合，主站页要加 FAQ、选购指南、对比模块。</x:v>
      </x:c>
      <x:c r="T1094" s="38" t="n">
        <x:v>10</x:v>
      </x:c>
      <x:c r="U1094" s="38" t="n">
        <x:v>6</x:v>
      </x:c>
      <x:c r="V1094" s="38" t="n">
        <x:v>16</x:v>
      </x:c>
      <x:c r="W1094" s="38" t="n">
        <x:v>8</x:v>
      </x:c>
      <x:c r="X1094" s="38" t="n">
        <x:v>15</x:v>
      </x:c>
      <x:c r="Y1094" s="38" t="n">
        <x:v>4</x:v>
      </x:c>
      <x:c r="Z1094" s="38" t="n">
        <x:f>MAX(0,MIN(100,ROUND(((T1094+U1094+V1094+W1094+X1094)-Y1094)/85*100,0)))</x:f>
        <x:v>60</x:v>
      </x:c>
      <x:c r="AA1094" s="9" t="str">
        <x:f>IF(L1094="暂不做","P3 暂缓",IF(Z1094&gt;=75,"P0 本周做",IF(Z1094&gt;=60,"P1 近期做",IF(Z1094&gt;=45,"P2 备选","P3 暂缓"))))</x:f>
        <x:v>P1 近期做</x:v>
      </x:c>
      <x:c r="AB1094" s="9" t="str">
        <x:f>IF(Y1094&gt;=15,"先做合规/相关性复核，不建议直接商业导流",IF(L1094="主站","建/优化主站商业页",IF(L1094="博客A-知识教程","写知识教程/FAQ文章",IF(L1094="博客B-场景人群","写场景需求/选购指南文章",IF(L1094="博客C-对比评测","写对比评测/榜单文章","暂不做或人工复核")))))</x:f>
        <x:v>建/优化主站商业页</x:v>
      </x:c>
      <x:c r="AC1094" s="9" t="str">
        <x:v>american made disposable vapes</x:v>
      </x:c>
      <x:c r="AD1094" s="10" t="str">
        <x:v>48</x:v>
      </x:c>
    </x:row>
    <x:row r="1095">
      <x:c r="A1095" s="34" t="n">
        <x:v>1095</x:v>
      </x:c>
      <x:c r="B1095" s="9" t="str">
        <x:v>48</x:v>
      </x:c>
      <x:c r="C1095" s="9" t="str">
        <x:v>vapes fruity</x:v>
      </x:c>
      <x:c r="D1095" s="9" t="str">
        <x:v>recommended</x:v>
      </x:c>
      <x:c r="E1095" s="36" t="n">
        <x:v>140</x:v>
      </x:c>
      <x:c r="F1095" s="36" t="n">
        <x:v>2</x:v>
      </x:c>
      <x:c r="G1095" s="9" t="str">
        <x:v>informational</x:v>
      </x:c>
      <x:c r="H1095" s="9" t="str">
        <x:v>General Vape</x:v>
      </x:c>
      <x:c r="I1095" s="9" t="str">
        <x:v>品类承接词</x:v>
      </x:c>
      <x:c r="J1095" s="9" t="str">
        <x:v>主站</x:v>
      </x:c>
      <x:c r="K1095" s="9" t="str"/>
      <x:c r="L1095" s="9" t="str">
        <x:f>IF(K1095="",J1095,K1095)</x:f>
        <x:v>主站</x:v>
      </x:c>
      <x:c r="M1095" s="9" t="str">
        <x:v>品类页/集合页 + FAQ内容块</x:v>
      </x:c>
      <x:c r="N1095" s="9" t="str">
        <x:v>主站品类页：用产品集合 + 选购说明承接</x:v>
      </x:c>
      <x:c r="O1095" s="9" t="str">
        <x:v>/collections/disposable-vapes</x:v>
      </x:c>
      <x:c r="P1095" s="9" t="str">
        <x:v>不适用</x:v>
      </x:c>
      <x:c r="Q1095" s="9" t="str">
        <x:v>主站页面自身承接</x:v>
      </x:c>
      <x:c r="R1095" s="9" t="str">
        <x:v>核心品类词：主站优先，博客只做长尾解释，不直接抢同一词</x:v>
      </x:c>
      <x:c r="S1095" s="9" t="str">
        <x:v>如果 Google 首页产品页和指南混合，主站页要加 FAQ、选购指南、对比模块。</x:v>
      </x:c>
      <x:c r="T1095" s="38" t="n">
        <x:v>7</x:v>
      </x:c>
      <x:c r="U1095" s="38" t="n">
        <x:v>15</x:v>
      </x:c>
      <x:c r="V1095" s="38" t="n">
        <x:v>16</x:v>
      </x:c>
      <x:c r="W1095" s="38" t="n">
        <x:v>8</x:v>
      </x:c>
      <x:c r="X1095" s="38" t="n">
        <x:v>15</x:v>
      </x:c>
      <x:c r="Y1095" s="38" t="n">
        <x:v>4</x:v>
      </x:c>
      <x:c r="Z1095" s="38" t="n">
        <x:f>MAX(0,MIN(100,ROUND(((T1095+U1095+V1095+W1095+X1095)-Y1095)/85*100,0)))</x:f>
        <x:v>67</x:v>
      </x:c>
      <x:c r="AA1095" s="9" t="str">
        <x:f>IF(L1095="暂不做","P3 暂缓",IF(Z1095&gt;=75,"P0 本周做",IF(Z1095&gt;=60,"P1 近期做",IF(Z1095&gt;=45,"P2 备选","P3 暂缓"))))</x:f>
        <x:v>P1 近期做</x:v>
      </x:c>
      <x:c r="AB1095" s="9" t="str">
        <x:f>IF(Y1095&gt;=15,"先做合规/相关性复核，不建议直接商业导流",IF(L1095="主站","建/优化主站商业页",IF(L1095="博客A-知识教程","写知识教程/FAQ文章",IF(L1095="博客B-场景人群","写场景需求/选购指南文章",IF(L1095="博客C-对比评测","写对比评测/榜单文章","暂不做或人工复核")))))</x:f>
        <x:v>建/优化主站商业页</x:v>
      </x:c>
      <x:c r="AC1095" s="9" t="str">
        <x:v>american made disposable vapes</x:v>
      </x:c>
      <x:c r="AD1095" s="10" t="str">
        <x:v>48</x:v>
      </x:c>
    </x:row>
    <x:row r="1096">
      <x:c r="A1096" s="34" t="n">
        <x:v>1096</x:v>
      </x:c>
      <x:c r="B1096" s="9" t="str">
        <x:v>48</x:v>
      </x:c>
      <x:c r="C1096" s="9" t="str">
        <x:v>cartridges vapes</x:v>
      </x:c>
      <x:c r="D1096" s="9" t="str">
        <x:v>recommended</x:v>
      </x:c>
      <x:c r="E1096" s="36" t="n">
        <x:v>2900</x:v>
      </x:c>
      <x:c r="F1096" s="36" t="n">
        <x:v>53</x:v>
      </x:c>
      <x:c r="G1096" s="9" t="str">
        <x:v>informational</x:v>
      </x:c>
      <x:c r="H1096" s="9" t="str">
        <x:v>General Vape</x:v>
      </x:c>
      <x:c r="I1096" s="9" t="str">
        <x:v>品类承接词</x:v>
      </x:c>
      <x:c r="J1096" s="9" t="str">
        <x:v>主站</x:v>
      </x:c>
      <x:c r="K1096" s="9" t="str"/>
      <x:c r="L1096" s="9" t="str">
        <x:f>IF(K1096="",J1096,K1096)</x:f>
        <x:v>主站</x:v>
      </x:c>
      <x:c r="M1096" s="9" t="str">
        <x:v>品类页/集合页 + FAQ内容块</x:v>
      </x:c>
      <x:c r="N1096" s="9" t="str">
        <x:v>主站品类页：用产品集合 + 选购说明承接</x:v>
      </x:c>
      <x:c r="O1096" s="9" t="str">
        <x:v>/collections/disposable-vapes</x:v>
      </x:c>
      <x:c r="P1096" s="9" t="str">
        <x:v>不适用</x:v>
      </x:c>
      <x:c r="Q1096" s="9" t="str">
        <x:v>主站页面自身承接</x:v>
      </x:c>
      <x:c r="R1096" s="9" t="str">
        <x:v>核心品类词：主站优先，博客只做长尾解释，不直接抢同一词</x:v>
      </x:c>
      <x:c r="S1096" s="9" t="str">
        <x:v>如果 Google 首页产品页和指南混合，主站页要加 FAQ、选购指南、对比模块。</x:v>
      </x:c>
      <x:c r="T1096" s="38" t="n">
        <x:v>13</x:v>
      </x:c>
      <x:c r="U1096" s="38" t="n">
        <x:v>6</x:v>
      </x:c>
      <x:c r="V1096" s="38" t="n">
        <x:v>16</x:v>
      </x:c>
      <x:c r="W1096" s="38" t="n">
        <x:v>8</x:v>
      </x:c>
      <x:c r="X1096" s="38" t="n">
        <x:v>15</x:v>
      </x:c>
      <x:c r="Y1096" s="38" t="n">
        <x:v>4</x:v>
      </x:c>
      <x:c r="Z1096" s="38" t="n">
        <x:f>MAX(0,MIN(100,ROUND(((T1096+U1096+V1096+W1096+X1096)-Y1096)/85*100,0)))</x:f>
        <x:v>64</x:v>
      </x:c>
      <x:c r="AA1096" s="9" t="str">
        <x:f>IF(L1096="暂不做","P3 暂缓",IF(Z1096&gt;=75,"P0 本周做",IF(Z1096&gt;=60,"P1 近期做",IF(Z1096&gt;=45,"P2 备选","P3 暂缓"))))</x:f>
        <x:v>P1 近期做</x:v>
      </x:c>
      <x:c r="AB1096" s="9" t="str">
        <x:f>IF(Y1096&gt;=15,"先做合规/相关性复核，不建议直接商业导流",IF(L1096="主站","建/优化主站商业页",IF(L1096="博客A-知识教程","写知识教程/FAQ文章",IF(L1096="博客B-场景人群","写场景需求/选购指南文章",IF(L1096="博客C-对比评测","写对比评测/榜单文章","暂不做或人工复核")))))</x:f>
        <x:v>建/优化主站商业页</x:v>
      </x:c>
      <x:c r="AC1096" s="9" t="str">
        <x:v>american made disposable vapes</x:v>
      </x:c>
      <x:c r="AD1096" s="10" t="str">
        <x:v>48</x:v>
      </x:c>
    </x:row>
    <x:row r="1097">
      <x:c r="A1097" s="34" t="n">
        <x:v>1097</x:v>
      </x:c>
      <x:c r="B1097" s="9" t="str">
        <x:v>48</x:v>
      </x:c>
      <x:c r="C1097" s="9" t="str">
        <x:v>menthol flavored vapes</x:v>
      </x:c>
      <x:c r="D1097" s="9" t="str">
        <x:v>recommended</x:v>
      </x:c>
      <x:c r="E1097" s="36" t="n">
        <x:v>110</x:v>
      </x:c>
      <x:c r="F1097" s="36" t="n">
        <x:v>2</x:v>
      </x:c>
      <x:c r="G1097" s="9" t="str">
        <x:v>informational, commercial</x:v>
      </x:c>
      <x:c r="H1097" s="9" t="str">
        <x:v>Flavor / 口味</x:v>
      </x:c>
      <x:c r="I1097" s="9" t="str">
        <x:v>品类承接词</x:v>
      </x:c>
      <x:c r="J1097" s="9" t="str">
        <x:v>主站</x:v>
      </x:c>
      <x:c r="K1097" s="9" t="str"/>
      <x:c r="L1097" s="9" t="str">
        <x:f>IF(K1097="",J1097,K1097)</x:f>
        <x:v>主站</x:v>
      </x:c>
      <x:c r="M1097" s="9" t="str">
        <x:v>品类页/集合页 + FAQ内容块</x:v>
      </x:c>
      <x:c r="N1097" s="9" t="str">
        <x:v>主站品类页：用产品集合 + 选购说明承接</x:v>
      </x:c>
      <x:c r="O1097" s="9" t="str">
        <x:v>/collections/flavored-disposable-vapes</x:v>
      </x:c>
      <x:c r="P1097" s="9" t="str">
        <x:v>不适用</x:v>
      </x:c>
      <x:c r="Q1097" s="9" t="str">
        <x:v>主站页面自身承接</x:v>
      </x:c>
      <x:c r="R1097" s="9" t="str">
        <x:v>核心品类词：主站优先，博客只做长尾解释，不直接抢同一词</x:v>
      </x:c>
      <x:c r="S1097" s="9" t="str">
        <x:v>如果 Google 首页产品页和指南混合，主站页要加 FAQ、选购指南、对比模块。</x:v>
      </x:c>
      <x:c r="T1097" s="38" t="n">
        <x:v>7</x:v>
      </x:c>
      <x:c r="U1097" s="38" t="n">
        <x:v>15</x:v>
      </x:c>
      <x:c r="V1097" s="38" t="n">
        <x:v>18</x:v>
      </x:c>
      <x:c r="W1097" s="38" t="n">
        <x:v>8</x:v>
      </x:c>
      <x:c r="X1097" s="38" t="n">
        <x:v>15</x:v>
      </x:c>
      <x:c r="Y1097" s="38" t="n">
        <x:v>4</x:v>
      </x:c>
      <x:c r="Z1097" s="38" t="n">
        <x:f>MAX(0,MIN(100,ROUND(((T1097+U1097+V1097+W1097+X1097)-Y1097)/85*100,0)))</x:f>
        <x:v>69</x:v>
      </x:c>
      <x:c r="AA1097" s="9" t="str">
        <x:f>IF(L1097="暂不做","P3 暂缓",IF(Z1097&gt;=75,"P0 本周做",IF(Z1097&gt;=60,"P1 近期做",IF(Z1097&gt;=45,"P2 备选","P3 暂缓"))))</x:f>
        <x:v>P1 近期做</x:v>
      </x:c>
      <x:c r="AB1097" s="9" t="str">
        <x:f>IF(Y1097&gt;=15,"先做合规/相关性复核，不建议直接商业导流",IF(L1097="主站","建/优化主站商业页",IF(L1097="博客A-知识教程","写知识教程/FAQ文章",IF(L1097="博客B-场景人群","写场景需求/选购指南文章",IF(L1097="博客C-对比评测","写对比评测/榜单文章","暂不做或人工复核")))))</x:f>
        <x:v>建/优化主站商业页</x:v>
      </x:c>
      <x:c r="AC1097" s="9" t="str">
        <x:v>american made disposable vapes</x:v>
      </x:c>
      <x:c r="AD1097" s="10" t="str">
        <x:v>48</x:v>
      </x:c>
    </x:row>
    <x:row r="1098">
      <x:c r="A1098" s="34" t="n">
        <x:v>1098</x:v>
      </x:c>
      <x:c r="B1098" s="9" t="str">
        <x:v>48</x:v>
      </x:c>
      <x:c r="C1098" s="9" t="str">
        <x:v>vape hardware</x:v>
      </x:c>
      <x:c r="D1098" s="9" t="str">
        <x:v>recommended</x:v>
      </x:c>
      <x:c r="E1098" s="36" t="n">
        <x:v>1900</x:v>
      </x:c>
      <x:c r="F1098" s="36" t="n">
        <x:v>52</x:v>
      </x:c>
      <x:c r="G1098" s="9" t="str">
        <x:v>commercial</x:v>
      </x:c>
      <x:c r="H1098" s="9" t="str">
        <x:v>General Vape</x:v>
      </x:c>
      <x:c r="I1098" s="9" t="str">
        <x:v>品类承接词</x:v>
      </x:c>
      <x:c r="J1098" s="9" t="str">
        <x:v>主站</x:v>
      </x:c>
      <x:c r="K1098" s="9" t="str"/>
      <x:c r="L1098" s="9" t="str">
        <x:f>IF(K1098="",J1098,K1098)</x:f>
        <x:v>主站</x:v>
      </x:c>
      <x:c r="M1098" s="9" t="str">
        <x:v>品类页/集合页 + FAQ内容块</x:v>
      </x:c>
      <x:c r="N1098" s="9" t="str">
        <x:v>主站品类页：用产品集合 + 选购说明承接</x:v>
      </x:c>
      <x:c r="O1098" s="9" t="str">
        <x:v>/collections/disposable-vapes</x:v>
      </x:c>
      <x:c r="P1098" s="9" t="str">
        <x:v>不适用</x:v>
      </x:c>
      <x:c r="Q1098" s="9" t="str">
        <x:v>主站页面自身承接</x:v>
      </x:c>
      <x:c r="R1098" s="9" t="str">
        <x:v>核心品类词：主站优先，博客只做长尾解释，不直接抢同一词</x:v>
      </x:c>
      <x:c r="S1098" s="9" t="str">
        <x:v>如果 Google 首页产品页和指南混合，主站页要加 FAQ、选购指南、对比模块。</x:v>
      </x:c>
      <x:c r="T1098" s="38" t="n">
        <x:v>13</x:v>
      </x:c>
      <x:c r="U1098" s="38" t="n">
        <x:v>6</x:v>
      </x:c>
      <x:c r="V1098" s="38" t="n">
        <x:v>18</x:v>
      </x:c>
      <x:c r="W1098" s="38" t="n">
        <x:v>8</x:v>
      </x:c>
      <x:c r="X1098" s="38" t="n">
        <x:v>15</x:v>
      </x:c>
      <x:c r="Y1098" s="38" t="n">
        <x:v>4</x:v>
      </x:c>
      <x:c r="Z1098" s="38" t="n">
        <x:f>MAX(0,MIN(100,ROUND(((T1098+U1098+V1098+W1098+X1098)-Y1098)/85*100,0)))</x:f>
        <x:v>66</x:v>
      </x:c>
      <x:c r="AA1098" s="9" t="str">
        <x:f>IF(L1098="暂不做","P3 暂缓",IF(Z1098&gt;=75,"P0 本周做",IF(Z1098&gt;=60,"P1 近期做",IF(Z1098&gt;=45,"P2 备选","P3 暂缓"))))</x:f>
        <x:v>P1 近期做</x:v>
      </x:c>
      <x:c r="AB1098" s="9" t="str">
        <x:f>IF(Y1098&gt;=15,"先做合规/相关性复核，不建议直接商业导流",IF(L1098="主站","建/优化主站商业页",IF(L1098="博客A-知识教程","写知识教程/FAQ文章",IF(L1098="博客B-场景人群","写场景需求/选购指南文章",IF(L1098="博客C-对比评测","写对比评测/榜单文章","暂不做或人工复核")))))</x:f>
        <x:v>建/优化主站商业页</x:v>
      </x:c>
      <x:c r="AC1098" s="9" t="str">
        <x:v>american made disposable vapes</x:v>
      </x:c>
      <x:c r="AD1098" s="10" t="str">
        <x:v>48</x:v>
      </x:c>
    </x:row>
    <x:row r="1099">
      <x:c r="A1099" s="34" t="n">
        <x:v>1099</x:v>
      </x:c>
      <x:c r="B1099" s="9" t="str">
        <x:v>48</x:v>
      </x:c>
      <x:c r="C1099" s="9" t="str">
        <x:v>vape fogger flavors</x:v>
      </x:c>
      <x:c r="D1099" s="9" t="str">
        <x:v>recommended</x:v>
      </x:c>
      <x:c r="E1099" s="36" t="n">
        <x:v>90</x:v>
      </x:c>
      <x:c r="F1099" s="36" t="n">
        <x:v>1</x:v>
      </x:c>
      <x:c r="G1099" s="9" t="str">
        <x:v>informational, commercial</x:v>
      </x:c>
      <x:c r="H1099" s="9" t="str">
        <x:v>Flavor / 口味</x:v>
      </x:c>
      <x:c r="I1099" s="9" t="str">
        <x:v>品类承接词</x:v>
      </x:c>
      <x:c r="J1099" s="9" t="str">
        <x:v>主站</x:v>
      </x:c>
      <x:c r="K1099" s="9" t="str"/>
      <x:c r="L1099" s="9" t="str">
        <x:f>IF(K1099="",J1099,K1099)</x:f>
        <x:v>主站</x:v>
      </x:c>
      <x:c r="M1099" s="9" t="str">
        <x:v>品类页/集合页 + FAQ内容块</x:v>
      </x:c>
      <x:c r="N1099" s="9" t="str">
        <x:v>主站品类页：用产品集合 + 选购说明承接</x:v>
      </x:c>
      <x:c r="O1099" s="9" t="str">
        <x:v>/collections/flavored-disposable-vapes</x:v>
      </x:c>
      <x:c r="P1099" s="9" t="str">
        <x:v>不适用</x:v>
      </x:c>
      <x:c r="Q1099" s="9" t="str">
        <x:v>主站页面自身承接</x:v>
      </x:c>
      <x:c r="R1099" s="9" t="str">
        <x:v>核心品类词：主站优先，博客只做长尾解释，不直接抢同一词</x:v>
      </x:c>
      <x:c r="S1099" s="9" t="str">
        <x:v>如果 Google 首页产品页和指南混合，主站页要加 FAQ、选购指南、对比模块。</x:v>
      </x:c>
      <x:c r="T1099" s="38" t="n">
        <x:v>4</x:v>
      </x:c>
      <x:c r="U1099" s="38" t="n">
        <x:v>15</x:v>
      </x:c>
      <x:c r="V1099" s="38" t="n">
        <x:v>18</x:v>
      </x:c>
      <x:c r="W1099" s="38" t="n">
        <x:v>8</x:v>
      </x:c>
      <x:c r="X1099" s="38" t="n">
        <x:v>15</x:v>
      </x:c>
      <x:c r="Y1099" s="38" t="n">
        <x:v>4</x:v>
      </x:c>
      <x:c r="Z1099" s="38" t="n">
        <x:f>MAX(0,MIN(100,ROUND(((T1099+U1099+V1099+W1099+X1099)-Y1099)/85*100,0)))</x:f>
        <x:v>66</x:v>
      </x:c>
      <x:c r="AA1099" s="9" t="str">
        <x:f>IF(L1099="暂不做","P3 暂缓",IF(Z1099&gt;=75,"P0 本周做",IF(Z1099&gt;=60,"P1 近期做",IF(Z1099&gt;=45,"P2 备选","P3 暂缓"))))</x:f>
        <x:v>P1 近期做</x:v>
      </x:c>
      <x:c r="AB1099" s="9" t="str">
        <x:f>IF(Y1099&gt;=15,"先做合规/相关性复核，不建议直接商业导流",IF(L1099="主站","建/优化主站商业页",IF(L1099="博客A-知识教程","写知识教程/FAQ文章",IF(L1099="博客B-场景人群","写场景需求/选购指南文章",IF(L1099="博客C-对比评测","写对比评测/榜单文章","暂不做或人工复核")))))</x:f>
        <x:v>建/优化主站商业页</x:v>
      </x:c>
      <x:c r="AC1099" s="9" t="str">
        <x:v>american made disposable vapes</x:v>
      </x:c>
      <x:c r="AD1099" s="10" t="str">
        <x:v>48</x:v>
      </x:c>
    </x:row>
    <x:row r="1100">
      <x:c r="A1100" s="34" t="n">
        <x:v>1100</x:v>
      </x:c>
      <x:c r="B1100" s="9" t="str">
        <x:v>48</x:v>
      </x:c>
      <x:c r="C1100" s="9" t="str">
        <x:v>vape menthol</x:v>
      </x:c>
      <x:c r="D1100" s="9" t="str">
        <x:v>recommended</x:v>
      </x:c>
      <x:c r="E1100" s="36" t="n">
        <x:v>110</x:v>
      </x:c>
      <x:c r="F1100" s="36" t="n">
        <x:v>5</x:v>
      </x:c>
      <x:c r="G1100" s="9" t="str">
        <x:v>informational</x:v>
      </x:c>
      <x:c r="H1100" s="9" t="str">
        <x:v>General Vape</x:v>
      </x:c>
      <x:c r="I1100" s="9" t="str">
        <x:v>品类承接词</x:v>
      </x:c>
      <x:c r="J1100" s="9" t="str">
        <x:v>主站</x:v>
      </x:c>
      <x:c r="K1100" s="9" t="str"/>
      <x:c r="L1100" s="9" t="str">
        <x:f>IF(K1100="",J1100,K1100)</x:f>
        <x:v>主站</x:v>
      </x:c>
      <x:c r="M1100" s="9" t="str">
        <x:v>品类页/集合页 + FAQ内容块</x:v>
      </x:c>
      <x:c r="N1100" s="9" t="str">
        <x:v>主站品类页：用产品集合 + 选购说明承接</x:v>
      </x:c>
      <x:c r="O1100" s="9" t="str">
        <x:v>/collections/disposable-vapes</x:v>
      </x:c>
      <x:c r="P1100" s="9" t="str">
        <x:v>不适用</x:v>
      </x:c>
      <x:c r="Q1100" s="9" t="str">
        <x:v>主站页面自身承接</x:v>
      </x:c>
      <x:c r="R1100" s="9" t="str">
        <x:v>核心品类词：主站优先，博客只做长尾解释，不直接抢同一词</x:v>
      </x:c>
      <x:c r="S1100" s="9" t="str">
        <x:v>如果 Google 首页产品页和指南混合，主站页要加 FAQ、选购指南、对比模块。</x:v>
      </x:c>
      <x:c r="T1100" s="38" t="n">
        <x:v>7</x:v>
      </x:c>
      <x:c r="U1100" s="38" t="n">
        <x:v>15</x:v>
      </x:c>
      <x:c r="V1100" s="38" t="n">
        <x:v>16</x:v>
      </x:c>
      <x:c r="W1100" s="38" t="n">
        <x:v>8</x:v>
      </x:c>
      <x:c r="X1100" s="38" t="n">
        <x:v>15</x:v>
      </x:c>
      <x:c r="Y1100" s="38" t="n">
        <x:v>4</x:v>
      </x:c>
      <x:c r="Z1100" s="38" t="n">
        <x:f>MAX(0,MIN(100,ROUND(((T1100+U1100+V1100+W1100+X1100)-Y1100)/85*100,0)))</x:f>
        <x:v>67</x:v>
      </x:c>
      <x:c r="AA1100" s="9" t="str">
        <x:f>IF(L1100="暂不做","P3 暂缓",IF(Z1100&gt;=75,"P0 本周做",IF(Z1100&gt;=60,"P1 近期做",IF(Z1100&gt;=45,"P2 备选","P3 暂缓"))))</x:f>
        <x:v>P1 近期做</x:v>
      </x:c>
      <x:c r="AB1100" s="9" t="str">
        <x:f>IF(Y1100&gt;=15,"先做合规/相关性复核，不建议直接商业导流",IF(L1100="主站","建/优化主站商业页",IF(L1100="博客A-知识教程","写知识教程/FAQ文章",IF(L1100="博客B-场景人群","写场景需求/选购指南文章",IF(L1100="博客C-对比评测","写对比评测/榜单文章","暂不做或人工复核")))))</x:f>
        <x:v>建/优化主站商业页</x:v>
      </x:c>
      <x:c r="AC1100" s="9" t="str">
        <x:v>american made disposable vapes</x:v>
      </x:c>
      <x:c r="AD1100" s="10" t="str">
        <x:v>48</x:v>
      </x:c>
    </x:row>
    <x:row r="1101">
      <x:c r="A1101" s="34" t="n">
        <x:v>1101</x:v>
      </x:c>
      <x:c r="B1101" s="9" t="str">
        <x:v>48</x:v>
      </x:c>
      <x:c r="C1101" s="9" t="str">
        <x:v>detachable vapes</x:v>
      </x:c>
      <x:c r="D1101" s="9" t="str">
        <x:v>recommended</x:v>
      </x:c>
      <x:c r="E1101" s="36" t="n">
        <x:v>110</x:v>
      </x:c>
      <x:c r="F1101" s="36" t="n">
        <x:v>22</x:v>
      </x:c>
      <x:c r="G1101" s="9" t="str">
        <x:v>informational, commercial</x:v>
      </x:c>
      <x:c r="H1101" s="9" t="str">
        <x:v>General Vape</x:v>
      </x:c>
      <x:c r="I1101" s="9" t="str">
        <x:v>品类承接词</x:v>
      </x:c>
      <x:c r="J1101" s="9" t="str">
        <x:v>主站</x:v>
      </x:c>
      <x:c r="K1101" s="9" t="str"/>
      <x:c r="L1101" s="9" t="str">
        <x:f>IF(K1101="",J1101,K1101)</x:f>
        <x:v>主站</x:v>
      </x:c>
      <x:c r="M1101" s="9" t="str">
        <x:v>品类页/集合页 + FAQ内容块</x:v>
      </x:c>
      <x:c r="N1101" s="9" t="str">
        <x:v>主站品类页：用产品集合 + 选购说明承接</x:v>
      </x:c>
      <x:c r="O1101" s="9" t="str">
        <x:v>/collections/disposable-vapes</x:v>
      </x:c>
      <x:c r="P1101" s="9" t="str">
        <x:v>不适用</x:v>
      </x:c>
      <x:c r="Q1101" s="9" t="str">
        <x:v>主站页面自身承接</x:v>
      </x:c>
      <x:c r="R1101" s="9" t="str">
        <x:v>核心品类词：主站优先，博客只做长尾解释，不直接抢同一词</x:v>
      </x:c>
      <x:c r="S1101" s="9" t="str">
        <x:v>如果 Google 首页产品页和指南混合，主站页要加 FAQ、选购指南、对比模块。</x:v>
      </x:c>
      <x:c r="T1101" s="38" t="n">
        <x:v>7</x:v>
      </x:c>
      <x:c r="U1101" s="38" t="n">
        <x:v>12</x:v>
      </x:c>
      <x:c r="V1101" s="38" t="n">
        <x:v>18</x:v>
      </x:c>
      <x:c r="W1101" s="38" t="n">
        <x:v>8</x:v>
      </x:c>
      <x:c r="X1101" s="38" t="n">
        <x:v>15</x:v>
      </x:c>
      <x:c r="Y1101" s="38" t="n">
        <x:v>4</x:v>
      </x:c>
      <x:c r="Z1101" s="38" t="n">
        <x:f>MAX(0,MIN(100,ROUND(((T1101+U1101+V1101+W1101+X1101)-Y1101)/85*100,0)))</x:f>
        <x:v>66</x:v>
      </x:c>
      <x:c r="AA1101" s="9" t="str">
        <x:f>IF(L1101="暂不做","P3 暂缓",IF(Z1101&gt;=75,"P0 本周做",IF(Z1101&gt;=60,"P1 近期做",IF(Z1101&gt;=45,"P2 备选","P3 暂缓"))))</x:f>
        <x:v>P1 近期做</x:v>
      </x:c>
      <x:c r="AB1101" s="9" t="str">
        <x:f>IF(Y1101&gt;=15,"先做合规/相关性复核，不建议直接商业导流",IF(L1101="主站","建/优化主站商业页",IF(L1101="博客A-知识教程","写知识教程/FAQ文章",IF(L1101="博客B-场景人群","写场景需求/选购指南文章",IF(L1101="博客C-对比评测","写对比评测/榜单文章","暂不做或人工复核")))))</x:f>
        <x:v>建/优化主站商业页</x:v>
      </x:c>
      <x:c r="AC1101" s="9" t="str">
        <x:v>american made disposable vapes</x:v>
      </x:c>
      <x:c r="AD1101" s="10" t="str">
        <x:v>48</x:v>
      </x:c>
    </x:row>
    <x:row r="1102">
      <x:c r="A1102" s="34" t="n">
        <x:v>1102</x:v>
      </x:c>
      <x:c r="B1102" s="9" t="str">
        <x:v>48</x:v>
      </x:c>
      <x:c r="C1102" s="9" t="str">
        <x:v>cartridges for vapes</x:v>
      </x:c>
      <x:c r="D1102" s="9" t="str">
        <x:v>recommended</x:v>
      </x:c>
      <x:c r="E1102" s="36" t="n">
        <x:v>1600</x:v>
      </x:c>
      <x:c r="F1102" s="36" t="n">
        <x:v>49</x:v>
      </x:c>
      <x:c r="G1102" s="9" t="str">
        <x:v>informational</x:v>
      </x:c>
      <x:c r="H1102" s="9" t="str">
        <x:v>General Vape</x:v>
      </x:c>
      <x:c r="I1102" s="9" t="str">
        <x:v>场景/需求词</x:v>
      </x:c>
      <x:c r="J1102" s="9" t="str">
        <x:v>博客B-场景人群</x:v>
      </x:c>
      <x:c r="K1102" s="9" t="str"/>
      <x:c r="L1102" s="9" t="str">
        <x:f>IF(K1102="",J1102,K1102)</x:f>
        <x:v>博客B-场景人群</x:v>
      </x:c>
      <x:c r="M1102" s="9" t="str">
        <x:v>场景解决方案/选购指南文章</x:v>
      </x:c>
      <x:c r="N1102" s="9" t="str">
        <x:v>Scenario angle: how to choose cartridges for vapes based on use case, flavor, nicotine, and budget</x:v>
      </x:c>
      <x:c r="O1102" s="9" t="str">
        <x:v>/collections/disposable-vapes</x:v>
      </x:c>
      <x:c r="P1102" s="9" t="str">
        <x:v>是</x:v>
      </x:c>
      <x:c r="Q1102" s="9" t="str">
        <x:v>自然句/品类词</x:v>
      </x:c>
      <x:c r="R1102" s="9" t="str">
        <x:v>低中风险：适合软性导流，但不要夸大效果或触碰健康疗效</x:v>
      </x:c>
      <x:c r="S1102" s="9" t="str">
        <x:v>围绕使用场景、口味、尼古丁需求、便携性等写，不和主站品类页抢词。</x:v>
      </x:c>
      <x:c r="T1102" s="38" t="n">
        <x:v>13</x:v>
      </x:c>
      <x:c r="U1102" s="38" t="n">
        <x:v>6</x:v>
      </x:c>
      <x:c r="V1102" s="38" t="n">
        <x:v>13</x:v>
      </x:c>
      <x:c r="W1102" s="38" t="n">
        <x:v>14</x:v>
      </x:c>
      <x:c r="X1102" s="38" t="n">
        <x:v>13</x:v>
      </x:c>
      <x:c r="Y1102" s="38" t="n">
        <x:v>5</x:v>
      </x:c>
      <x:c r="Z1102" s="38" t="n">
        <x:f>MAX(0,MIN(100,ROUND(((T1102+U1102+V1102+W1102+X1102)-Y1102)/85*100,0)))</x:f>
        <x:v>64</x:v>
      </x:c>
      <x:c r="AA1102" s="9" t="str">
        <x:f>IF(L1102="暂不做","P3 暂缓",IF(Z1102&gt;=75,"P0 本周做",IF(Z1102&gt;=60,"P1 近期做",IF(Z1102&gt;=45,"P2 备选","P3 暂缓"))))</x:f>
        <x:v>P1 近期做</x:v>
      </x:c>
      <x:c r="AB1102" s="9" t="str">
        <x:f>IF(Y1102&gt;=15,"先做合规/相关性复核，不建议直接商业导流",IF(L1102="主站","建/优化主站商业页",IF(L1102="博客A-知识教程","写知识教程/FAQ文章",IF(L1102="博客B-场景人群","写场景需求/选购指南文章",IF(L1102="博客C-对比评测","写对比评测/榜单文章","暂不做或人工复核")))))</x:f>
        <x:v>写场景需求/选购指南文章</x:v>
      </x:c>
      <x:c r="AC1102" s="9" t="str">
        <x:v>american made disposable vapes</x:v>
      </x:c>
      <x:c r="AD1102" s="10" t="str">
        <x:v>48</x:v>
      </x:c>
    </x:row>
    <x:row r="1103">
      <x:c r="A1103" s="34" t="n">
        <x:v>1103</x:v>
      </x:c>
      <x:c r="B1103" s="9" t="str">
        <x:v>48</x:v>
      </x:c>
      <x:c r="C1103" s="9" t="str">
        <x:v>blue raz ice vape</x:v>
      </x:c>
      <x:c r="D1103" s="9" t="str">
        <x:v>recommended</x:v>
      </x:c>
      <x:c r="E1103" s="36" t="n">
        <x:v>110</x:v>
      </x:c>
      <x:c r="F1103" s="36" t="n">
        <x:v>0</x:v>
      </x:c>
      <x:c r="G1103" s="9" t="str">
        <x:v>informational, commercial</x:v>
      </x:c>
      <x:c r="H1103" s="9" t="str">
        <x:v>竞品/品牌词</x:v>
      </x:c>
      <x:c r="I1103" s="9" t="str">
        <x:v>竞品品牌词</x:v>
      </x:c>
      <x:c r="J1103" s="9" t="str">
        <x:v>暂不做</x:v>
      </x:c>
      <x:c r="K1103" s="9" t="str"/>
      <x:c r="L1103" s="9" t="str">
        <x:f>IF(K1103="",J1103,K1103)</x:f>
        <x:v>暂不做</x:v>
      </x:c>
      <x:c r="M1103" s="9" t="str">
        <x:v>人工确认后再决定</x:v>
      </x:c>
      <x:c r="N1103" s="9" t="str">
        <x:v>人工确认是否可做客观对比</x:v>
      </x:c>
      <x:c r="O1103" s="9" t="str">
        <x:v>无</x:v>
      </x:c>
      <x:c r="P1103" s="9" t="str">
        <x:v>否</x:v>
      </x:c>
      <x:c r="Q1103" s="9" t="str">
        <x:v>不导流</x:v>
      </x:c>
      <x:c r="R1103" s="9" t="str">
        <x:v>中高风险：纯竞品品牌词容易产生商标/相关性问题</x:v>
      </x:c>
      <x:c r="S1103" s="9" t="str">
        <x:v>只有带 alternative / vs / review / best 这类明确比较意图时，才考虑博客C。</x:v>
      </x:c>
      <x:c r="T1103" s="38" t="n">
        <x:v>7</x:v>
      </x:c>
      <x:c r="U1103" s="38" t="n">
        <x:v>15</x:v>
      </x:c>
      <x:c r="V1103" s="38" t="n">
        <x:v>5</x:v>
      </x:c>
      <x:c r="W1103" s="38" t="n">
        <x:v>7</x:v>
      </x:c>
      <x:c r="X1103" s="38" t="n">
        <x:v>4</x:v>
      </x:c>
      <x:c r="Y1103" s="38" t="n">
        <x:v>14</x:v>
      </x:c>
      <x:c r="Z1103" s="38" t="n">
        <x:f>MAX(0,MIN(100,ROUND(((T1103+U1103+V1103+W1103+X1103)-Y1103)/85*100,0)))</x:f>
        <x:v>28</x:v>
      </x:c>
      <x:c r="AA1103" s="9" t="str">
        <x:f>IF(L1103="暂不做","P3 暂缓",IF(Z1103&gt;=75,"P0 本周做",IF(Z1103&gt;=60,"P1 近期做",IF(Z1103&gt;=45,"P2 备选","P3 暂缓"))))</x:f>
        <x:v>P3 暂缓</x:v>
      </x:c>
      <x:c r="AB1103" s="9" t="str">
        <x:f>IF(Y1103&gt;=15,"先做合规/相关性复核，不建议直接商业导流",IF(L1103="主站","建/优化主站商业页",IF(L1103="博客A-知识教程","写知识教程/FAQ文章",IF(L1103="博客B-场景人群","写场景需求/选购指南文章",IF(L1103="博客C-对比评测","写对比评测/榜单文章","暂不做或人工复核")))))</x:f>
        <x:v>暂不做或人工复核</x:v>
      </x:c>
      <x:c r="AC1103" s="9" t="str">
        <x:v>american made disposable vapes</x:v>
      </x:c>
      <x:c r="AD1103" s="10" t="str">
        <x:v>48</x:v>
      </x:c>
    </x:row>
    <x:row r="1104">
      <x:c r="A1104" s="34" t="n">
        <x:v>1104</x:v>
      </x:c>
      <x:c r="B1104" s="9" t="str">
        <x:v>48</x:v>
      </x:c>
      <x:c r="C1104" s="9" t="str">
        <x:v>lower nicotine disposable vapes</x:v>
      </x:c>
      <x:c r="D1104" s="9" t="str">
        <x:v>recommended</x:v>
      </x:c>
      <x:c r="E1104" s="36" t="n">
        <x:v>40</x:v>
      </x:c>
      <x:c r="F1104" s="36" t="n">
        <x:v>1</x:v>
      </x:c>
      <x:c r="G1104" s="9" t="str">
        <x:v>commercial</x:v>
      </x:c>
      <x:c r="H1104" s="9" t="str">
        <x:v>Disposable Vape</x:v>
      </x:c>
      <x:c r="I1104" s="9" t="str">
        <x:v>品类承接词</x:v>
      </x:c>
      <x:c r="J1104" s="9" t="str">
        <x:v>主站</x:v>
      </x:c>
      <x:c r="K1104" s="9" t="str"/>
      <x:c r="L1104" s="9" t="str">
        <x:f>IF(K1104="",J1104,K1104)</x:f>
        <x:v>主站</x:v>
      </x:c>
      <x:c r="M1104" s="9" t="str">
        <x:v>品类页/集合页 + FAQ内容块</x:v>
      </x:c>
      <x:c r="N1104" s="9" t="str">
        <x:v>主站品类页：用产品集合 + 选购说明承接</x:v>
      </x:c>
      <x:c r="O1104" s="9" t="str">
        <x:v>/collections/disposable-vapes</x:v>
      </x:c>
      <x:c r="P1104" s="9" t="str">
        <x:v>不适用</x:v>
      </x:c>
      <x:c r="Q1104" s="9" t="str">
        <x:v>主站页面自身承接</x:v>
      </x:c>
      <x:c r="R1104" s="9" t="str">
        <x:v>核心品类词：主站优先，博客只做长尾解释，不直接抢同一词</x:v>
      </x:c>
      <x:c r="S1104" s="9" t="str">
        <x:v>如果 Google 首页产品页和指南混合，主站页要加 FAQ、选购指南、对比模块。</x:v>
      </x:c>
      <x:c r="T1104" s="38" t="n">
        <x:v>4</x:v>
      </x:c>
      <x:c r="U1104" s="38" t="n">
        <x:v>15</x:v>
      </x:c>
      <x:c r="V1104" s="38" t="n">
        <x:v>18</x:v>
      </x:c>
      <x:c r="W1104" s="38" t="n">
        <x:v>8</x:v>
      </x:c>
      <x:c r="X1104" s="38" t="n">
        <x:v>15</x:v>
      </x:c>
      <x:c r="Y1104" s="38" t="n">
        <x:v>4</x:v>
      </x:c>
      <x:c r="Z1104" s="38" t="n">
        <x:f>MAX(0,MIN(100,ROUND(((T1104+U1104+V1104+W1104+X1104)-Y1104)/85*100,0)))</x:f>
        <x:v>66</x:v>
      </x:c>
      <x:c r="AA1104" s="9" t="str">
        <x:f>IF(L1104="暂不做","P3 暂缓",IF(Z1104&gt;=75,"P0 本周做",IF(Z1104&gt;=60,"P1 近期做",IF(Z1104&gt;=45,"P2 备选","P3 暂缓"))))</x:f>
        <x:v>P1 近期做</x:v>
      </x:c>
      <x:c r="AB1104" s="9" t="str">
        <x:f>IF(Y1104&gt;=15,"先做合规/相关性复核，不建议直接商业导流",IF(L1104="主站","建/优化主站商业页",IF(L1104="博客A-知识教程","写知识教程/FAQ文章",IF(L1104="博客B-场景人群","写场景需求/选购指南文章",IF(L1104="博客C-对比评测","写对比评测/榜单文章","暂不做或人工复核")))))</x:f>
        <x:v>建/优化主站商业页</x:v>
      </x:c>
      <x:c r="AC1104" s="9" t="str">
        <x:v>american made disposable vapes</x:v>
      </x:c>
      <x:c r="AD1104" s="10" t="str">
        <x:v>48</x:v>
      </x:c>
    </x:row>
    <x:row r="1105">
      <x:c r="A1105" s="34" t="n">
        <x:v>1105</x:v>
      </x:c>
      <x:c r="B1105" s="9" t="str">
        <x:v>48</x:v>
      </x:c>
      <x:c r="C1105" s="9" t="str">
        <x:v>blue raz raz vape</x:v>
      </x:c>
      <x:c r="D1105" s="9" t="str">
        <x:v>recommended</x:v>
      </x:c>
      <x:c r="E1105" s="36" t="n">
        <x:v>70</x:v>
      </x:c>
      <x:c r="F1105" s="36" t="n">
        <x:v>0</x:v>
      </x:c>
      <x:c r="G1105" s="9" t="str">
        <x:v>informational</x:v>
      </x:c>
      <x:c r="H1105" s="9" t="str">
        <x:v>竞品/品牌词</x:v>
      </x:c>
      <x:c r="I1105" s="9" t="str">
        <x:v>竞品品牌词</x:v>
      </x:c>
      <x:c r="J1105" s="9" t="str">
        <x:v>暂不做</x:v>
      </x:c>
      <x:c r="K1105" s="9" t="str"/>
      <x:c r="L1105" s="9" t="str">
        <x:f>IF(K1105="",J1105,K1105)</x:f>
        <x:v>暂不做</x:v>
      </x:c>
      <x:c r="M1105" s="9" t="str">
        <x:v>人工确认后再决定</x:v>
      </x:c>
      <x:c r="N1105" s="9" t="str">
        <x:v>人工确认是否可做客观对比</x:v>
      </x:c>
      <x:c r="O1105" s="9" t="str">
        <x:v>无</x:v>
      </x:c>
      <x:c r="P1105" s="9" t="str">
        <x:v>否</x:v>
      </x:c>
      <x:c r="Q1105" s="9" t="str">
        <x:v>不导流</x:v>
      </x:c>
      <x:c r="R1105" s="9" t="str">
        <x:v>中高风险：纯竞品品牌词容易产生商标/相关性问题</x:v>
      </x:c>
      <x:c r="S1105" s="9" t="str">
        <x:v>只有带 alternative / vs / review / best 这类明确比较意图时，才考虑博客C。</x:v>
      </x:c>
      <x:c r="T1105" s="38" t="n">
        <x:v>4</x:v>
      </x:c>
      <x:c r="U1105" s="38" t="n">
        <x:v>15</x:v>
      </x:c>
      <x:c r="V1105" s="38" t="n">
        <x:v>5</x:v>
      </x:c>
      <x:c r="W1105" s="38" t="n">
        <x:v>7</x:v>
      </x:c>
      <x:c r="X1105" s="38" t="n">
        <x:v>4</x:v>
      </x:c>
      <x:c r="Y1105" s="38" t="n">
        <x:v>14</x:v>
      </x:c>
      <x:c r="Z1105" s="38" t="n">
        <x:f>MAX(0,MIN(100,ROUND(((T1105+U1105+V1105+W1105+X1105)-Y1105)/85*100,0)))</x:f>
        <x:v>25</x:v>
      </x:c>
      <x:c r="AA1105" s="9" t="str">
        <x:f>IF(L1105="暂不做","P3 暂缓",IF(Z1105&gt;=75,"P0 本周做",IF(Z1105&gt;=60,"P1 近期做",IF(Z1105&gt;=45,"P2 备选","P3 暂缓"))))</x:f>
        <x:v>P3 暂缓</x:v>
      </x:c>
      <x:c r="AB1105" s="9" t="str">
        <x:f>IF(Y1105&gt;=15,"先做合规/相关性复核，不建议直接商业导流",IF(L1105="主站","建/优化主站商业页",IF(L1105="博客A-知识教程","写知识教程/FAQ文章",IF(L1105="博客B-场景人群","写场景需求/选购指南文章",IF(L1105="博客C-对比评测","写对比评测/榜单文章","暂不做或人工复核")))))</x:f>
        <x:v>暂不做或人工复核</x:v>
      </x:c>
      <x:c r="AC1105" s="9" t="str">
        <x:v>american made disposable vapes</x:v>
      </x:c>
      <x:c r="AD1105" s="10" t="str">
        <x:v>48</x:v>
      </x:c>
    </x:row>
    <x:row r="1106">
      <x:c r="A1106" s="34" t="n">
        <x:v>1106</x:v>
      </x:c>
      <x:c r="B1106" s="9" t="str">
        <x:v>48</x:v>
      </x:c>
      <x:c r="C1106" s="9" t="str">
        <x:v>smallest disposable vape</x:v>
      </x:c>
      <x:c r="D1106" s="9" t="str">
        <x:v>recommended</x:v>
      </x:c>
      <x:c r="E1106" s="36" t="n">
        <x:v>50</x:v>
      </x:c>
      <x:c r="F1106" s="36" t="n">
        <x:v>21</x:v>
      </x:c>
      <x:c r="G1106" s="9" t="str">
        <x:v>informational</x:v>
      </x:c>
      <x:c r="H1106" s="9" t="str">
        <x:v>Disposable Vape</x:v>
      </x:c>
      <x:c r="I1106" s="9" t="str">
        <x:v>品类承接词</x:v>
      </x:c>
      <x:c r="J1106" s="9" t="str">
        <x:v>主站</x:v>
      </x:c>
      <x:c r="K1106" s="9" t="str"/>
      <x:c r="L1106" s="9" t="str">
        <x:f>IF(K1106="",J1106,K1106)</x:f>
        <x:v>主站</x:v>
      </x:c>
      <x:c r="M1106" s="9" t="str">
        <x:v>品类页/集合页 + FAQ内容块</x:v>
      </x:c>
      <x:c r="N1106" s="9" t="str">
        <x:v>主站品类页：用产品集合 + 选购说明承接</x:v>
      </x:c>
      <x:c r="O1106" s="9" t="str">
        <x:v>/collections/disposable-vapes</x:v>
      </x:c>
      <x:c r="P1106" s="9" t="str">
        <x:v>不适用</x:v>
      </x:c>
      <x:c r="Q1106" s="9" t="str">
        <x:v>主站页面自身承接</x:v>
      </x:c>
      <x:c r="R1106" s="9" t="str">
        <x:v>核心品类词：主站优先，博客只做长尾解释，不直接抢同一词</x:v>
      </x:c>
      <x:c r="S1106" s="9" t="str">
        <x:v>如果 Google 首页产品页和指南混合，主站页要加 FAQ、选购指南、对比模块。</x:v>
      </x:c>
      <x:c r="T1106" s="38" t="n">
        <x:v>4</x:v>
      </x:c>
      <x:c r="U1106" s="38" t="n">
        <x:v>12</x:v>
      </x:c>
      <x:c r="V1106" s="38" t="n">
        <x:v>16</x:v>
      </x:c>
      <x:c r="W1106" s="38" t="n">
        <x:v>8</x:v>
      </x:c>
      <x:c r="X1106" s="38" t="n">
        <x:v>15</x:v>
      </x:c>
      <x:c r="Y1106" s="38" t="n">
        <x:v>4</x:v>
      </x:c>
      <x:c r="Z1106" s="38" t="n">
        <x:f>MAX(0,MIN(100,ROUND(((T1106+U1106+V1106+W1106+X1106)-Y1106)/85*100,0)))</x:f>
        <x:v>60</x:v>
      </x:c>
      <x:c r="AA1106" s="9" t="str">
        <x:f>IF(L1106="暂不做","P3 暂缓",IF(Z1106&gt;=75,"P0 本周做",IF(Z1106&gt;=60,"P1 近期做",IF(Z1106&gt;=45,"P2 备选","P3 暂缓"))))</x:f>
        <x:v>P1 近期做</x:v>
      </x:c>
      <x:c r="AB1106" s="9" t="str">
        <x:f>IF(Y1106&gt;=15,"先做合规/相关性复核，不建议直接商业导流",IF(L1106="主站","建/优化主站商业页",IF(L1106="博客A-知识教程","写知识教程/FAQ文章",IF(L1106="博客B-场景人群","写场景需求/选购指南文章",IF(L1106="博客C-对比评测","写对比评测/榜单文章","暂不做或人工复核")))))</x:f>
        <x:v>建/优化主站商业页</x:v>
      </x:c>
      <x:c r="AC1106" s="9" t="str">
        <x:v>american made disposable vapes</x:v>
      </x:c>
      <x:c r="AD1106" s="10" t="str">
        <x:v>48</x:v>
      </x:c>
    </x:row>
    <x:row r="1107">
      <x:c r="A1107" s="34" t="n">
        <x:v>1107</x:v>
      </x:c>
      <x:c r="B1107" s="9" t="str">
        <x:v>48</x:v>
      </x:c>
      <x:c r="C1107" s="9" t="str">
        <x:v>cheap disposable vapes under 5</x:v>
      </x:c>
      <x:c r="D1107" s="9" t="str">
        <x:v>recommended</x:v>
      </x:c>
      <x:c r="E1107" s="36" t="n">
        <x:v>40</x:v>
      </x:c>
      <x:c r="F1107" s="36" t="n">
        <x:v>3</x:v>
      </x:c>
      <x:c r="G1107" s="9" t="str">
        <x:v>commercial</x:v>
      </x:c>
      <x:c r="H1107" s="9" t="str">
        <x:v>Disposable Vape</x:v>
      </x:c>
      <x:c r="I1107" s="9" t="str">
        <x:v>交易词</x:v>
      </x:c>
      <x:c r="J1107" s="9" t="str">
        <x:v>主站</x:v>
      </x:c>
      <x:c r="K1107" s="9" t="str"/>
      <x:c r="L1107" s="9" t="str">
        <x:f>IF(K1107="",J1107,K1107)</x:f>
        <x:v>主站</x:v>
      </x:c>
      <x:c r="M1107" s="9" t="str">
        <x:v>产品集合页/分类页/购买页</x:v>
      </x:c>
      <x:c r="N1107" s="9" t="str">
        <x:v>主站商业页：标题围绕购买意图 + 品类 + 关键卖点</x:v>
      </x:c>
      <x:c r="O1107" s="9" t="str">
        <x:v>/collections/disposable-vapes</x:v>
      </x:c>
      <x:c r="P1107" s="9" t="str">
        <x:v>不适用</x:v>
      </x:c>
      <x:c r="Q1107" s="9" t="str">
        <x:v>主站页面自身承接</x:v>
      </x:c>
      <x:c r="R1107" s="9" t="str">
        <x:v>商业词：优先给主站，避免博客抢主站排名</x:v>
      </x:c>
      <x:c r="S1107" s="9" t="str">
        <x:v>SERP 如为商品列表/品牌站/电商集合页，就建主站页面；若 SERP 全是教程，再拆支持文章。</x:v>
      </x:c>
      <x:c r="T1107" s="38" t="n">
        <x:v>4</x:v>
      </x:c>
      <x:c r="U1107" s="38" t="n">
        <x:v>15</x:v>
      </x:c>
      <x:c r="V1107" s="38" t="n">
        <x:v>20</x:v>
      </x:c>
      <x:c r="W1107" s="38" t="n">
        <x:v>7</x:v>
      </x:c>
      <x:c r="X1107" s="38" t="n">
        <x:v>15</x:v>
      </x:c>
      <x:c r="Y1107" s="38" t="n">
        <x:v>4</x:v>
      </x:c>
      <x:c r="Z1107" s="38" t="n">
        <x:f>MAX(0,MIN(100,ROUND(((T1107+U1107+V1107+W1107+X1107)-Y1107)/85*100,0)))</x:f>
        <x:v>67</x:v>
      </x:c>
      <x:c r="AA1107" s="9" t="str">
        <x:f>IF(L1107="暂不做","P3 暂缓",IF(Z1107&gt;=75,"P0 本周做",IF(Z1107&gt;=60,"P1 近期做",IF(Z1107&gt;=45,"P2 备选","P3 暂缓"))))</x:f>
        <x:v>P1 近期做</x:v>
      </x:c>
      <x:c r="AB1107" s="9" t="str">
        <x:f>IF(Y1107&gt;=15,"先做合规/相关性复核，不建议直接商业导流",IF(L1107="主站","建/优化主站商业页",IF(L1107="博客A-知识教程","写知识教程/FAQ文章",IF(L1107="博客B-场景人群","写场景需求/选购指南文章",IF(L1107="博客C-对比评测","写对比评测/榜单文章","暂不做或人工复核")))))</x:f>
        <x:v>建/优化主站商业页</x:v>
      </x:c>
      <x:c r="AC1107" s="9" t="str">
        <x:v>american made disposable vapes</x:v>
      </x:c>
      <x:c r="AD1107" s="10" t="str">
        <x:v>48</x:v>
      </x:c>
    </x:row>
    <x:row r="1108">
      <x:c r="A1108" s="34" t="n">
        <x:v>1108</x:v>
      </x:c>
      <x:c r="B1108" s="9" t="str">
        <x:v>48</x:v>
      </x:c>
      <x:c r="C1108" s="9" t="str">
        <x:v>fogger kits vape</x:v>
      </x:c>
      <x:c r="D1108" s="9" t="str">
        <x:v>recommended</x:v>
      </x:c>
      <x:c r="E1108" s="36" t="n">
        <x:v>50</x:v>
      </x:c>
      <x:c r="F1108" s="36" t="n">
        <x:v>8</x:v>
      </x:c>
      <x:c r="G1108" s="9" t="str">
        <x:v>commercial</x:v>
      </x:c>
      <x:c r="H1108" s="9" t="str">
        <x:v>General Vape</x:v>
      </x:c>
      <x:c r="I1108" s="9" t="str">
        <x:v>品类承接词</x:v>
      </x:c>
      <x:c r="J1108" s="9" t="str">
        <x:v>主站</x:v>
      </x:c>
      <x:c r="K1108" s="9" t="str"/>
      <x:c r="L1108" s="9" t="str">
        <x:f>IF(K1108="",J1108,K1108)</x:f>
        <x:v>主站</x:v>
      </x:c>
      <x:c r="M1108" s="9" t="str">
        <x:v>品类页/集合页 + FAQ内容块</x:v>
      </x:c>
      <x:c r="N1108" s="9" t="str">
        <x:v>主站品类页：用产品集合 + 选购说明承接</x:v>
      </x:c>
      <x:c r="O1108" s="9" t="str">
        <x:v>/collections/disposable-vapes</x:v>
      </x:c>
      <x:c r="P1108" s="9" t="str">
        <x:v>不适用</x:v>
      </x:c>
      <x:c r="Q1108" s="9" t="str">
        <x:v>主站页面自身承接</x:v>
      </x:c>
      <x:c r="R1108" s="9" t="str">
        <x:v>核心品类词：主站优先，博客只做长尾解释，不直接抢同一词</x:v>
      </x:c>
      <x:c r="S1108" s="9" t="str">
        <x:v>如果 Google 首页产品页和指南混合，主站页要加 FAQ、选购指南、对比模块。</x:v>
      </x:c>
      <x:c r="T1108" s="38" t="n">
        <x:v>4</x:v>
      </x:c>
      <x:c r="U1108" s="38" t="n">
        <x:v>15</x:v>
      </x:c>
      <x:c r="V1108" s="38" t="n">
        <x:v>18</x:v>
      </x:c>
      <x:c r="W1108" s="38" t="n">
        <x:v>8</x:v>
      </x:c>
      <x:c r="X1108" s="38" t="n">
        <x:v>15</x:v>
      </x:c>
      <x:c r="Y1108" s="38" t="n">
        <x:v>4</x:v>
      </x:c>
      <x:c r="Z1108" s="38" t="n">
        <x:f>MAX(0,MIN(100,ROUND(((T1108+U1108+V1108+W1108+X1108)-Y1108)/85*100,0)))</x:f>
        <x:v>66</x:v>
      </x:c>
      <x:c r="AA1108" s="9" t="str">
        <x:f>IF(L1108="暂不做","P3 暂缓",IF(Z1108&gt;=75,"P0 本周做",IF(Z1108&gt;=60,"P1 近期做",IF(Z1108&gt;=45,"P2 备选","P3 暂缓"))))</x:f>
        <x:v>P1 近期做</x:v>
      </x:c>
      <x:c r="AB1108" s="9" t="str">
        <x:f>IF(Y1108&gt;=15,"先做合规/相关性复核，不建议直接商业导流",IF(L1108="主站","建/优化主站商业页",IF(L1108="博客A-知识教程","写知识教程/FAQ文章",IF(L1108="博客B-场景人群","写场景需求/选购指南文章",IF(L1108="博客C-对比评测","写对比评测/榜单文章","暂不做或人工复核")))))</x:f>
        <x:v>建/优化主站商业页</x:v>
      </x:c>
      <x:c r="AC1108" s="9" t="str">
        <x:v>american made disposable vapes</x:v>
      </x:c>
      <x:c r="AD1108" s="10" t="str">
        <x:v>48</x:v>
      </x:c>
    </x:row>
    <x:row r="1109">
      <x:c r="A1109" s="34" t="n">
        <x:v>1109</x:v>
      </x:c>
      <x:c r="B1109" s="9" t="str">
        <x:v>48</x:v>
      </x:c>
      <x:c r="C1109" s="9" t="str">
        <x:v>iced vape juice</x:v>
      </x:c>
      <x:c r="D1109" s="9" t="str">
        <x:v>recommended</x:v>
      </x:c>
      <x:c r="E1109" s="36" t="n">
        <x:v>40</x:v>
      </x:c>
      <x:c r="F1109" s="36" t="n">
        <x:v>1</x:v>
      </x:c>
      <x:c r="G1109" s="9" t="str">
        <x:v>commercial</x:v>
      </x:c>
      <x:c r="H1109" s="9" t="str">
        <x:v>General Vape</x:v>
      </x:c>
      <x:c r="I1109" s="9" t="str">
        <x:v>品类承接词</x:v>
      </x:c>
      <x:c r="J1109" s="9" t="str">
        <x:v>主站</x:v>
      </x:c>
      <x:c r="K1109" s="9" t="str"/>
      <x:c r="L1109" s="9" t="str">
        <x:f>IF(K1109="",J1109,K1109)</x:f>
        <x:v>主站</x:v>
      </x:c>
      <x:c r="M1109" s="9" t="str">
        <x:v>品类页/集合页 + FAQ内容块</x:v>
      </x:c>
      <x:c r="N1109" s="9" t="str">
        <x:v>主站品类页：用产品集合 + 选购说明承接</x:v>
      </x:c>
      <x:c r="O1109" s="9" t="str">
        <x:v>/collections/disposable-vapes</x:v>
      </x:c>
      <x:c r="P1109" s="9" t="str">
        <x:v>不适用</x:v>
      </x:c>
      <x:c r="Q1109" s="9" t="str">
        <x:v>主站页面自身承接</x:v>
      </x:c>
      <x:c r="R1109" s="9" t="str">
        <x:v>核心品类词：主站优先，博客只做长尾解释，不直接抢同一词</x:v>
      </x:c>
      <x:c r="S1109" s="9" t="str">
        <x:v>如果 Google 首页产品页和指南混合，主站页要加 FAQ、选购指南、对比模块。</x:v>
      </x:c>
      <x:c r="T1109" s="38" t="n">
        <x:v>4</x:v>
      </x:c>
      <x:c r="U1109" s="38" t="n">
        <x:v>15</x:v>
      </x:c>
      <x:c r="V1109" s="38" t="n">
        <x:v>18</x:v>
      </x:c>
      <x:c r="W1109" s="38" t="n">
        <x:v>8</x:v>
      </x:c>
      <x:c r="X1109" s="38" t="n">
        <x:v>15</x:v>
      </x:c>
      <x:c r="Y1109" s="38" t="n">
        <x:v>4</x:v>
      </x:c>
      <x:c r="Z1109" s="38" t="n">
        <x:f>MAX(0,MIN(100,ROUND(((T1109+U1109+V1109+W1109+X1109)-Y1109)/85*100,0)))</x:f>
        <x:v>66</x:v>
      </x:c>
      <x:c r="AA1109" s="9" t="str">
        <x:f>IF(L1109="暂不做","P3 暂缓",IF(Z1109&gt;=75,"P0 本周做",IF(Z1109&gt;=60,"P1 近期做",IF(Z1109&gt;=45,"P2 备选","P3 暂缓"))))</x:f>
        <x:v>P1 近期做</x:v>
      </x:c>
      <x:c r="AB1109" s="9" t="str">
        <x:f>IF(Y1109&gt;=15,"先做合规/相关性复核，不建议直接商业导流",IF(L1109="主站","建/优化主站商业页",IF(L1109="博客A-知识教程","写知识教程/FAQ文章",IF(L1109="博客B-场景人群","写场景需求/选购指南文章",IF(L1109="博客C-对比评测","写对比评测/榜单文章","暂不做或人工复核")))))</x:f>
        <x:v>建/优化主站商业页</x:v>
      </x:c>
      <x:c r="AC1109" s="9" t="str">
        <x:v>american made disposable vapes</x:v>
      </x:c>
      <x:c r="AD1109" s="10" t="str">
        <x:v>48</x:v>
      </x:c>
    </x:row>
    <x:row r="1110">
      <x:c r="A1110" s="34" t="n">
        <x:v>1110</x:v>
      </x:c>
      <x:c r="B1110" s="9" t="str">
        <x:v>48</x:v>
      </x:c>
      <x:c r="C1110" s="9" t="str">
        <x:v>vapes with magnetic battery</x:v>
      </x:c>
      <x:c r="D1110" s="9" t="str">
        <x:v>recommended</x:v>
      </x:c>
      <x:c r="E1110" s="36" t="n">
        <x:v>70</x:v>
      </x:c>
      <x:c r="F1110" s="36" t="n">
        <x:v>18</x:v>
      </x:c>
      <x:c r="G1110" s="9" t="str">
        <x:v>informational</x:v>
      </x:c>
      <x:c r="H1110" s="9" t="str">
        <x:v>General Vape</x:v>
      </x:c>
      <x:c r="I1110" s="9" t="str">
        <x:v>场景/需求词</x:v>
      </x:c>
      <x:c r="J1110" s="9" t="str">
        <x:v>博客B-场景人群</x:v>
      </x:c>
      <x:c r="K1110" s="9" t="str"/>
      <x:c r="L1110" s="9" t="str">
        <x:f>IF(K1110="",J1110,K1110)</x:f>
        <x:v>博客B-场景人群</x:v>
      </x:c>
      <x:c r="M1110" s="9" t="str">
        <x:v>场景解决方案/选购指南文章</x:v>
      </x:c>
      <x:c r="N1110" s="9" t="str">
        <x:v>Scenario angle: how to choose vapes with magnetic battery based on use case, flavor, nicotine, and budget</x:v>
      </x:c>
      <x:c r="O1110" s="9" t="str">
        <x:v>/collections/disposable-vapes</x:v>
      </x:c>
      <x:c r="P1110" s="9" t="str">
        <x:v>是</x:v>
      </x:c>
      <x:c r="Q1110" s="9" t="str">
        <x:v>自然句/品类词</x:v>
      </x:c>
      <x:c r="R1110" s="9" t="str">
        <x:v>低中风险：适合软性导流，但不要夸大效果或触碰健康疗效</x:v>
      </x:c>
      <x:c r="S1110" s="9" t="str">
        <x:v>围绕使用场景、口味、尼古丁需求、便携性等写，不和主站品类页抢词。</x:v>
      </x:c>
      <x:c r="T1110" s="38" t="n">
        <x:v>4</x:v>
      </x:c>
      <x:c r="U1110" s="38" t="n">
        <x:v>12</x:v>
      </x:c>
      <x:c r="V1110" s="38" t="n">
        <x:v>13</x:v>
      </x:c>
      <x:c r="W1110" s="38" t="n">
        <x:v>14</x:v>
      </x:c>
      <x:c r="X1110" s="38" t="n">
        <x:v>13</x:v>
      </x:c>
      <x:c r="Y1110" s="38" t="n">
        <x:v>5</x:v>
      </x:c>
      <x:c r="Z1110" s="38" t="n">
        <x:f>MAX(0,MIN(100,ROUND(((T1110+U1110+V1110+W1110+X1110)-Y1110)/85*100,0)))</x:f>
        <x:v>60</x:v>
      </x:c>
      <x:c r="AA1110" s="9" t="str">
        <x:f>IF(L1110="暂不做","P3 暂缓",IF(Z1110&gt;=75,"P0 本周做",IF(Z1110&gt;=60,"P1 近期做",IF(Z1110&gt;=45,"P2 备选","P3 暂缓"))))</x:f>
        <x:v>P1 近期做</x:v>
      </x:c>
      <x:c r="AB1110" s="9" t="str">
        <x:f>IF(Y1110&gt;=15,"先做合规/相关性复核，不建议直接商业导流",IF(L1110="主站","建/优化主站商业页",IF(L1110="博客A-知识教程","写知识教程/FAQ文章",IF(L1110="博客B-场景人群","写场景需求/选购指南文章",IF(L1110="博客C-对比评测","写对比评测/榜单文章","暂不做或人工复核")))))</x:f>
        <x:v>写场景需求/选购指南文章</x:v>
      </x:c>
      <x:c r="AC1110" s="9" t="str">
        <x:v>american made disposable vapes</x:v>
      </x:c>
      <x:c r="AD1110" s="10" t="str">
        <x:v>48</x:v>
      </x:c>
    </x:row>
    <x:row r="1111">
      <x:c r="A1111" s="34" t="n">
        <x:v>1111</x:v>
      </x:c>
      <x:c r="B1111" s="9" t="str">
        <x:v>48</x:v>
      </x:c>
      <x:c r="C1111" s="9" t="str">
        <x:v>raz refillable vape</x:v>
      </x:c>
      <x:c r="D1111" s="9" t="str">
        <x:v>recommended</x:v>
      </x:c>
      <x:c r="E1111" s="36" t="n">
        <x:v>70</x:v>
      </x:c>
      <x:c r="F1111" s="36" t="n">
        <x:v>19</x:v>
      </x:c>
      <x:c r="G1111" s="9" t="str">
        <x:v>informational</x:v>
      </x:c>
      <x:c r="H1111" s="9" t="str">
        <x:v>竞品/品牌词</x:v>
      </x:c>
      <x:c r="I1111" s="9" t="str">
        <x:v>竞品品牌词</x:v>
      </x:c>
      <x:c r="J1111" s="9" t="str">
        <x:v>暂不做</x:v>
      </x:c>
      <x:c r="K1111" s="9" t="str"/>
      <x:c r="L1111" s="9" t="str">
        <x:f>IF(K1111="",J1111,K1111)</x:f>
        <x:v>暂不做</x:v>
      </x:c>
      <x:c r="M1111" s="9" t="str">
        <x:v>人工确认后再决定</x:v>
      </x:c>
      <x:c r="N1111" s="9" t="str">
        <x:v>人工确认是否可做客观对比</x:v>
      </x:c>
      <x:c r="O1111" s="9" t="str">
        <x:v>无</x:v>
      </x:c>
      <x:c r="P1111" s="9" t="str">
        <x:v>否</x:v>
      </x:c>
      <x:c r="Q1111" s="9" t="str">
        <x:v>不导流</x:v>
      </x:c>
      <x:c r="R1111" s="9" t="str">
        <x:v>中高风险：纯竞品品牌词容易产生商标/相关性问题</x:v>
      </x:c>
      <x:c r="S1111" s="9" t="str">
        <x:v>只有带 alternative / vs / review / best 这类明确比较意图时，才考虑博客C。</x:v>
      </x:c>
      <x:c r="T1111" s="38" t="n">
        <x:v>4</x:v>
      </x:c>
      <x:c r="U1111" s="38" t="n">
        <x:v>12</x:v>
      </x:c>
      <x:c r="V1111" s="38" t="n">
        <x:v>5</x:v>
      </x:c>
      <x:c r="W1111" s="38" t="n">
        <x:v>7</x:v>
      </x:c>
      <x:c r="X1111" s="38" t="n">
        <x:v>4</x:v>
      </x:c>
      <x:c r="Y1111" s="38" t="n">
        <x:v>14</x:v>
      </x:c>
      <x:c r="Z1111" s="38" t="n">
        <x:f>MAX(0,MIN(100,ROUND(((T1111+U1111+V1111+W1111+X1111)-Y1111)/85*100,0)))</x:f>
        <x:v>21</x:v>
      </x:c>
      <x:c r="AA1111" s="9" t="str">
        <x:f>IF(L1111="暂不做","P3 暂缓",IF(Z1111&gt;=75,"P0 本周做",IF(Z1111&gt;=60,"P1 近期做",IF(Z1111&gt;=45,"P2 备选","P3 暂缓"))))</x:f>
        <x:v>P3 暂缓</x:v>
      </x:c>
      <x:c r="AB1111" s="9" t="str">
        <x:f>IF(Y1111&gt;=15,"先做合规/相关性复核，不建议直接商业导流",IF(L1111="主站","建/优化主站商业页",IF(L1111="博客A-知识教程","写知识教程/FAQ文章",IF(L1111="博客B-场景人群","写场景需求/选购指南文章",IF(L1111="博客C-对比评测","写对比评测/榜单文章","暂不做或人工复核")))))</x:f>
        <x:v>暂不做或人工复核</x:v>
      </x:c>
      <x:c r="AC1111" s="9" t="str">
        <x:v>american made disposable vapes</x:v>
      </x:c>
      <x:c r="AD1111" s="10" t="str">
        <x:v>48</x:v>
      </x:c>
    </x:row>
    <x:row r="1112">
      <x:c r="A1112" s="34" t="n">
        <x:v>1112</x:v>
      </x:c>
      <x:c r="B1112" s="9" t="str">
        <x:v>48</x:v>
      </x:c>
      <x:c r="C1112" s="9" t="str">
        <x:v>vapers electrónicos</x:v>
      </x:c>
      <x:c r="D1112" s="9" t="str">
        <x:v>recommended</x:v>
      </x:c>
      <x:c r="E1112" s="36" t="n">
        <x:v>260</x:v>
      </x:c>
      <x:c r="F1112" s="36" t="n">
        <x:v>56</x:v>
      </x:c>
      <x:c r="G1112" s="9" t="str">
        <x:v>informational</x:v>
      </x:c>
      <x:c r="H1112" s="9" t="str">
        <x:v>General Vape</x:v>
      </x:c>
      <x:c r="I1112" s="9" t="str">
        <x:v>品类承接词</x:v>
      </x:c>
      <x:c r="J1112" s="9" t="str">
        <x:v>主站</x:v>
      </x:c>
      <x:c r="K1112" s="9" t="str"/>
      <x:c r="L1112" s="9" t="str">
        <x:f>IF(K1112="",J1112,K1112)</x:f>
        <x:v>主站</x:v>
      </x:c>
      <x:c r="M1112" s="9" t="str">
        <x:v>品类页/集合页 + FAQ内容块</x:v>
      </x:c>
      <x:c r="N1112" s="9" t="str">
        <x:v>主站品类页：用产品集合 + 选购说明承接</x:v>
      </x:c>
      <x:c r="O1112" s="9" t="str">
        <x:v>/collections/disposable-vapes</x:v>
      </x:c>
      <x:c r="P1112" s="9" t="str">
        <x:v>不适用</x:v>
      </x:c>
      <x:c r="Q1112" s="9" t="str">
        <x:v>主站页面自身承接</x:v>
      </x:c>
      <x:c r="R1112" s="9" t="str">
        <x:v>核心品类词：主站优先，博客只做长尾解释，不直接抢同一词</x:v>
      </x:c>
      <x:c r="S1112" s="9" t="str">
        <x:v>如果 Google 首页产品页和指南混合，主站页要加 FAQ、选购指南、对比模块。</x:v>
      </x:c>
      <x:c r="T1112" s="38" t="n">
        <x:v>7</x:v>
      </x:c>
      <x:c r="U1112" s="38" t="n">
        <x:v>6</x:v>
      </x:c>
      <x:c r="V1112" s="38" t="n">
        <x:v>16</x:v>
      </x:c>
      <x:c r="W1112" s="38" t="n">
        <x:v>8</x:v>
      </x:c>
      <x:c r="X1112" s="38" t="n">
        <x:v>15</x:v>
      </x:c>
      <x:c r="Y1112" s="38" t="n">
        <x:v>4</x:v>
      </x:c>
      <x:c r="Z1112" s="38" t="n">
        <x:f>MAX(0,MIN(100,ROUND(((T1112+U1112+V1112+W1112+X1112)-Y1112)/85*100,0)))</x:f>
        <x:v>56</x:v>
      </x:c>
      <x:c r="AA1112" s="9" t="str">
        <x:f>IF(L1112="暂不做","P3 暂缓",IF(Z1112&gt;=75,"P0 本周做",IF(Z1112&gt;=60,"P1 近期做",IF(Z1112&gt;=45,"P2 备选","P3 暂缓"))))</x:f>
        <x:v>P2 备选</x:v>
      </x:c>
      <x:c r="AB1112" s="9" t="str">
        <x:f>IF(Y1112&gt;=15,"先做合规/相关性复核，不建议直接商业导流",IF(L1112="主站","建/优化主站商业页",IF(L1112="博客A-知识教程","写知识教程/FAQ文章",IF(L1112="博客B-场景人群","写场景需求/选购指南文章",IF(L1112="博客C-对比评测","写对比评测/榜单文章","暂不做或人工复核")))))</x:f>
        <x:v>建/优化主站商业页</x:v>
      </x:c>
      <x:c r="AC1112" s="9" t="str">
        <x:v>american made disposable vapes</x:v>
      </x:c>
      <x:c r="AD1112" s="10" t="str">
        <x:v>48</x:v>
      </x:c>
    </x:row>
    <x:row r="1113">
      <x:c r="A1113" s="34" t="n">
        <x:v>1113</x:v>
      </x:c>
      <x:c r="B1113" s="9" t="str">
        <x:v>48</x:v>
      </x:c>
      <x:c r="C1113" s="9" t="str">
        <x:v>vape flavora</x:v>
      </x:c>
      <x:c r="D1113" s="9" t="str">
        <x:v>recommended</x:v>
      </x:c>
      <x:c r="E1113" s="36" t="n">
        <x:v>50</x:v>
      </x:c>
      <x:c r="F1113" s="36" t="n">
        <x:v>50</x:v>
      </x:c>
      <x:c r="G1113" s="9" t="str">
        <x:v>informational</x:v>
      </x:c>
      <x:c r="H1113" s="9" t="str">
        <x:v>Flavor / 口味</x:v>
      </x:c>
      <x:c r="I1113" s="9" t="str">
        <x:v>场景/需求词</x:v>
      </x:c>
      <x:c r="J1113" s="9" t="str">
        <x:v>博客B-场景人群</x:v>
      </x:c>
      <x:c r="K1113" s="9" t="str"/>
      <x:c r="L1113" s="9" t="str">
        <x:f>IF(K1113="",J1113,K1113)</x:f>
        <x:v>博客B-场景人群</x:v>
      </x:c>
      <x:c r="M1113" s="9" t="str">
        <x:v>场景解决方案/选购指南文章</x:v>
      </x:c>
      <x:c r="N1113" s="9" t="str">
        <x:v>Scenario angle: how to choose vape flavora based on use case, flavor, nicotine, and budget</x:v>
      </x:c>
      <x:c r="O1113" s="9" t="str">
        <x:v>/collections/flavored-disposable-vapes</x:v>
      </x:c>
      <x:c r="P1113" s="9" t="str">
        <x:v>是</x:v>
      </x:c>
      <x:c r="Q1113" s="9" t="str">
        <x:v>自然句/品类词</x:v>
      </x:c>
      <x:c r="R1113" s="9" t="str">
        <x:v>低中风险：适合软性导流，但不要夸大效果或触碰健康疗效</x:v>
      </x:c>
      <x:c r="S1113" s="9" t="str">
        <x:v>围绕使用场景、口味、尼古丁需求、便携性等写，不和主站品类页抢词。</x:v>
      </x:c>
      <x:c r="T1113" s="38" t="n">
        <x:v>4</x:v>
      </x:c>
      <x:c r="U1113" s="38" t="n">
        <x:v>6</x:v>
      </x:c>
      <x:c r="V1113" s="38" t="n">
        <x:v>13</x:v>
      </x:c>
      <x:c r="W1113" s="38" t="n">
        <x:v>14</x:v>
      </x:c>
      <x:c r="X1113" s="38" t="n">
        <x:v>13</x:v>
      </x:c>
      <x:c r="Y1113" s="38" t="n">
        <x:v>5</x:v>
      </x:c>
      <x:c r="Z1113" s="38" t="n">
        <x:f>MAX(0,MIN(100,ROUND(((T1113+U1113+V1113+W1113+X1113)-Y1113)/85*100,0)))</x:f>
        <x:v>53</x:v>
      </x:c>
      <x:c r="AA1113" s="9" t="str">
        <x:f>IF(L1113="暂不做","P3 暂缓",IF(Z1113&gt;=75,"P0 本周做",IF(Z1113&gt;=60,"P1 近期做",IF(Z1113&gt;=45,"P2 备选","P3 暂缓"))))</x:f>
        <x:v>P2 备选</x:v>
      </x:c>
      <x:c r="AB1113" s="9" t="str">
        <x:f>IF(Y1113&gt;=15,"先做合规/相关性复核，不建议直接商业导流",IF(L1113="主站","建/优化主站商业页",IF(L1113="博客A-知识教程","写知识教程/FAQ文章",IF(L1113="博客B-场景人群","写场景需求/选购指南文章",IF(L1113="博客C-对比评测","写对比评测/榜单文章","暂不做或人工复核")))))</x:f>
        <x:v>写场景需求/选购指南文章</x:v>
      </x:c>
      <x:c r="AC1113" s="9" t="str">
        <x:v>american made disposable vapes</x:v>
      </x:c>
      <x:c r="AD1113" s="10" t="str">
        <x:v>48</x:v>
      </x:c>
    </x:row>
    <x:row r="1114">
      <x:c r="A1114" s="34" t="n">
        <x:v>1114</x:v>
      </x:c>
      <x:c r="B1114" s="9" t="str">
        <x:v>48</x:v>
      </x:c>
      <x:c r="C1114" s="9" t="str">
        <x:v>miami mint vape near me</x:v>
      </x:c>
      <x:c r="D1114" s="9" t="str">
        <x:v>recommended</x:v>
      </x:c>
      <x:c r="E1114" s="36" t="n">
        <x:v>70</x:v>
      </x:c>
      <x:c r="F1114" s="36" t="n">
        <x:v>42</x:v>
      </x:c>
      <x:c r="G1114" s="9" t="str">
        <x:v>transactional</x:v>
      </x:c>
      <x:c r="H1114" s="9" t="str">
        <x:v>购买交易</x:v>
      </x:c>
      <x:c r="I1114" s="9" t="str">
        <x:v>本地交易词</x:v>
      </x:c>
      <x:c r="J1114" s="9" t="str">
        <x:v>暂不做</x:v>
      </x:c>
      <x:c r="K1114" s="9" t="str"/>
      <x:c r="L1114" s="9" t="str">
        <x:f>IF(K1114="",J1114,K1114)</x:f>
        <x:v>暂不做</x:v>
      </x:c>
      <x:c r="M1114" s="9" t="str">
        <x:v>除非有门店页，否则暂不做</x:v>
      </x:c>
      <x:c r="N1114" s="9" t="str">
        <x:v>暂不进入博客生产</x:v>
      </x:c>
      <x:c r="O1114" s="9" t="str">
        <x:v>门店/经销商页（若有）</x:v>
      </x:c>
      <x:c r="P1114" s="9" t="str">
        <x:v>否</x:v>
      </x:c>
      <x:c r="Q1114" s="9" t="str">
        <x:v>不导流</x:v>
      </x:c>
      <x:c r="R1114" s="9" t="str">
        <x:v>匹配风险：near me 通常需要本地门店/地图结果，独立站难承接</x:v>
      </x:c>
      <x:c r="S1114" s="9" t="str">
        <x:v>如果未来有经销商/门店查询页，可改为主站门店页。</x:v>
      </x:c>
      <x:c r="T1114" s="38" t="n">
        <x:v>4</x:v>
      </x:c>
      <x:c r="U1114" s="38" t="n">
        <x:v>9</x:v>
      </x:c>
      <x:c r="V1114" s="38" t="n">
        <x:v>8</x:v>
      </x:c>
      <x:c r="W1114" s="38" t="n">
        <x:v>4</x:v>
      </x:c>
      <x:c r="X1114" s="38" t="n">
        <x:v>5</x:v>
      </x:c>
      <x:c r="Y1114" s="38" t="n">
        <x:v>12</x:v>
      </x:c>
      <x:c r="Z1114" s="38" t="n">
        <x:f>MAX(0,MIN(100,ROUND(((T1114+U1114+V1114+W1114+X1114)-Y1114)/85*100,0)))</x:f>
        <x:v>21</x:v>
      </x:c>
      <x:c r="AA1114" s="9" t="str">
        <x:f>IF(L1114="暂不做","P3 暂缓",IF(Z1114&gt;=75,"P0 本周做",IF(Z1114&gt;=60,"P1 近期做",IF(Z1114&gt;=45,"P2 备选","P3 暂缓"))))</x:f>
        <x:v>P3 暂缓</x:v>
      </x:c>
      <x:c r="AB1114" s="9" t="str">
        <x:f>IF(Y1114&gt;=15,"先做合规/相关性复核，不建议直接商业导流",IF(L1114="主站","建/优化主站商业页",IF(L1114="博客A-知识教程","写知识教程/FAQ文章",IF(L1114="博客B-场景人群","写场景需求/选购指南文章",IF(L1114="博客C-对比评测","写对比评测/榜单文章","暂不做或人工复核")))))</x:f>
        <x:v>暂不做或人工复核</x:v>
      </x:c>
      <x:c r="AC1114" s="9" t="str">
        <x:v>american made disposable vapes</x:v>
      </x:c>
      <x:c r="AD1114" s="10" t="str">
        <x:v>48</x:v>
      </x:c>
    </x:row>
    <x:row r="1115">
      <x:c r="A1115" s="34" t="n">
        <x:v>1115</x:v>
      </x:c>
      <x:c r="B1115" s="9" t="str">
        <x:v>48</x:v>
      </x:c>
      <x:c r="C1115" s="9" t="str">
        <x:v>large vape</x:v>
      </x:c>
      <x:c r="D1115" s="9" t="str">
        <x:v>recommended</x:v>
      </x:c>
      <x:c r="E1115" s="36" t="n">
        <x:v>90</x:v>
      </x:c>
      <x:c r="F1115" s="36" t="n">
        <x:v>55</x:v>
      </x:c>
      <x:c r="G1115" s="9" t="str">
        <x:v>informational</x:v>
      </x:c>
      <x:c r="H1115" s="9" t="str">
        <x:v>General Vape</x:v>
      </x:c>
      <x:c r="I1115" s="9" t="str">
        <x:v>品类承接词</x:v>
      </x:c>
      <x:c r="J1115" s="9" t="str">
        <x:v>主站</x:v>
      </x:c>
      <x:c r="K1115" s="9" t="str"/>
      <x:c r="L1115" s="9" t="str">
        <x:f>IF(K1115="",J1115,K1115)</x:f>
        <x:v>主站</x:v>
      </x:c>
      <x:c r="M1115" s="9" t="str">
        <x:v>品类页/集合页 + FAQ内容块</x:v>
      </x:c>
      <x:c r="N1115" s="9" t="str">
        <x:v>主站品类页：用产品集合 + 选购说明承接</x:v>
      </x:c>
      <x:c r="O1115" s="9" t="str">
        <x:v>/collections/disposable-vapes</x:v>
      </x:c>
      <x:c r="P1115" s="9" t="str">
        <x:v>不适用</x:v>
      </x:c>
      <x:c r="Q1115" s="9" t="str">
        <x:v>主站页面自身承接</x:v>
      </x:c>
      <x:c r="R1115" s="9" t="str">
        <x:v>核心品类词：主站优先，博客只做长尾解释，不直接抢同一词</x:v>
      </x:c>
      <x:c r="S1115" s="9" t="str">
        <x:v>如果 Google 首页产品页和指南混合，主站页要加 FAQ、选购指南、对比模块。</x:v>
      </x:c>
      <x:c r="T1115" s="38" t="n">
        <x:v>4</x:v>
      </x:c>
      <x:c r="U1115" s="38" t="n">
        <x:v>6</x:v>
      </x:c>
      <x:c r="V1115" s="38" t="n">
        <x:v>16</x:v>
      </x:c>
      <x:c r="W1115" s="38" t="n">
        <x:v>8</x:v>
      </x:c>
      <x:c r="X1115" s="38" t="n">
        <x:v>15</x:v>
      </x:c>
      <x:c r="Y1115" s="38" t="n">
        <x:v>4</x:v>
      </x:c>
      <x:c r="Z1115" s="38" t="n">
        <x:f>MAX(0,MIN(100,ROUND(((T1115+U1115+V1115+W1115+X1115)-Y1115)/85*100,0)))</x:f>
        <x:v>53</x:v>
      </x:c>
      <x:c r="AA1115" s="9" t="str">
        <x:f>IF(L1115="暂不做","P3 暂缓",IF(Z1115&gt;=75,"P0 本周做",IF(Z1115&gt;=60,"P1 近期做",IF(Z1115&gt;=45,"P2 备选","P3 暂缓"))))</x:f>
        <x:v>P2 备选</x:v>
      </x:c>
      <x:c r="AB1115" s="9" t="str">
        <x:f>IF(Y1115&gt;=15,"先做合规/相关性复核，不建议直接商业导流",IF(L1115="主站","建/优化主站商业页",IF(L1115="博客A-知识教程","写知识教程/FAQ文章",IF(L1115="博客B-场景人群","写场景需求/选购指南文章",IF(L1115="博客C-对比评测","写对比评测/榜单文章","暂不做或人工复核")))))</x:f>
        <x:v>建/优化主站商业页</x:v>
      </x:c>
      <x:c r="AC1115" s="9" t="str">
        <x:v>american made disposable vapes</x:v>
      </x:c>
      <x:c r="AD1115" s="10" t="str">
        <x:v>48</x:v>
      </x:c>
    </x:row>
    <x:row r="1116">
      <x:c r="A1116" s="34" t="n">
        <x:v>1116</x:v>
      </x:c>
      <x:c r="B1116" s="9" t="str">
        <x:v>48</x:v>
      </x:c>
      <x:c r="C1116" s="9" t="str">
        <x:v>vapes for carts</x:v>
      </x:c>
      <x:c r="D1116" s="9" t="str">
        <x:v>recommended</x:v>
      </x:c>
      <x:c r="E1116" s="36" t="n">
        <x:v>50</x:v>
      </x:c>
      <x:c r="F1116" s="36" t="n">
        <x:v>49</x:v>
      </x:c>
      <x:c r="G1116" s="9" t="str">
        <x:v>commercial</x:v>
      </x:c>
      <x:c r="H1116" s="9" t="str">
        <x:v>General Vape</x:v>
      </x:c>
      <x:c r="I1116" s="9" t="str">
        <x:v>品类承接词</x:v>
      </x:c>
      <x:c r="J1116" s="9" t="str">
        <x:v>主站</x:v>
      </x:c>
      <x:c r="K1116" s="9" t="str"/>
      <x:c r="L1116" s="9" t="str">
        <x:f>IF(K1116="",J1116,K1116)</x:f>
        <x:v>主站</x:v>
      </x:c>
      <x:c r="M1116" s="9" t="str">
        <x:v>品类页/集合页 + FAQ内容块</x:v>
      </x:c>
      <x:c r="N1116" s="9" t="str">
        <x:v>主站品类页：用产品集合 + 选购说明承接</x:v>
      </x:c>
      <x:c r="O1116" s="9" t="str">
        <x:v>/collections/disposable-vapes</x:v>
      </x:c>
      <x:c r="P1116" s="9" t="str">
        <x:v>不适用</x:v>
      </x:c>
      <x:c r="Q1116" s="9" t="str">
        <x:v>主站页面自身承接</x:v>
      </x:c>
      <x:c r="R1116" s="9" t="str">
        <x:v>核心品类词：主站优先，博客只做长尾解释，不直接抢同一词</x:v>
      </x:c>
      <x:c r="S1116" s="9" t="str">
        <x:v>如果 Google 首页产品页和指南混合，主站页要加 FAQ、选购指南、对比模块。</x:v>
      </x:c>
      <x:c r="T1116" s="38" t="n">
        <x:v>4</x:v>
      </x:c>
      <x:c r="U1116" s="38" t="n">
        <x:v>6</x:v>
      </x:c>
      <x:c r="V1116" s="38" t="n">
        <x:v>18</x:v>
      </x:c>
      <x:c r="W1116" s="38" t="n">
        <x:v>8</x:v>
      </x:c>
      <x:c r="X1116" s="38" t="n">
        <x:v>15</x:v>
      </x:c>
      <x:c r="Y1116" s="38" t="n">
        <x:v>4</x:v>
      </x:c>
      <x:c r="Z1116" s="38" t="n">
        <x:f>MAX(0,MIN(100,ROUND(((T1116+U1116+V1116+W1116+X1116)-Y1116)/85*100,0)))</x:f>
        <x:v>55</x:v>
      </x:c>
      <x:c r="AA1116" s="9" t="str">
        <x:f>IF(L1116="暂不做","P3 暂缓",IF(Z1116&gt;=75,"P0 本周做",IF(Z1116&gt;=60,"P1 近期做",IF(Z1116&gt;=45,"P2 备选","P3 暂缓"))))</x:f>
        <x:v>P2 备选</x:v>
      </x:c>
      <x:c r="AB1116" s="9" t="str">
        <x:f>IF(Y1116&gt;=15,"先做合规/相关性复核，不建议直接商业导流",IF(L1116="主站","建/优化主站商业页",IF(L1116="博客A-知识教程","写知识教程/FAQ文章",IF(L1116="博客B-场景人群","写场景需求/选购指南文章",IF(L1116="博客C-对比评测","写对比评测/榜单文章","暂不做或人工复核")))))</x:f>
        <x:v>建/优化主站商业页</x:v>
      </x:c>
      <x:c r="AC1116" s="9" t="str">
        <x:v>american made disposable vapes</x:v>
      </x:c>
      <x:c r="AD1116" s="10" t="str">
        <x:v>48</x:v>
      </x:c>
    </x:row>
    <x:row r="1117">
      <x:c r="A1117" s="34" t="n">
        <x:v>1117</x:v>
      </x:c>
      <x:c r="B1117" s="9" t="str">
        <x:v>48</x:v>
      </x:c>
      <x:c r="C1117" s="9" t="str">
        <x:v>cigarette look alike vape</x:v>
      </x:c>
      <x:c r="D1117" s="9" t="str">
        <x:v>recommended</x:v>
      </x:c>
      <x:c r="E1117" s="36" t="n">
        <x:v>170</x:v>
      </x:c>
      <x:c r="F1117" s="36" t="n">
        <x:v>22</x:v>
      </x:c>
      <x:c r="G1117" s="9" t="str">
        <x:v>informational</x:v>
      </x:c>
      <x:c r="H1117" s="9" t="str">
        <x:v>E-Cigarette</x:v>
      </x:c>
      <x:c r="I1117" s="9" t="str">
        <x:v>知识/教程词</x:v>
      </x:c>
      <x:c r="J1117" s="9" t="str">
        <x:v>博客A-知识教程</x:v>
      </x:c>
      <x:c r="K1117" s="9" t="str"/>
      <x:c r="L1117" s="9" t="str">
        <x:f>IF(K1117="",J1117,K1117)</x:f>
        <x:v>博客A-知识教程</x:v>
      </x:c>
      <x:c r="M1117" s="9" t="str">
        <x:v>百科/How-to/FAQ文章</x:v>
      </x:c>
      <x:c r="N1117" s="9" t="str">
        <x:v>Guide angle: explain cigarette look alike vape, answer common questions, and avoid sales-first writing</x:v>
      </x:c>
      <x:c r="O1117" s="9" t="str">
        <x:v>/collections/e-cigarettes</x:v>
      </x:c>
      <x:c r="P1117" s="9" t="str">
        <x:v>谨慎</x:v>
      </x:c>
      <x:c r="Q1117" s="9" t="str">
        <x:v>自然句/品牌词</x:v>
      </x:c>
      <x:c r="R1117" s="9" t="str">
        <x:v>低中风险：先满足信息意图，导流要克制</x:v>
      </x:c>
      <x:c r="S1117" s="9" t="str">
        <x:v>如果文章能自然回答下一步购买问题，再放 1 个主站内链；否则只做知识闭环。</x:v>
      </x:c>
      <x:c r="T1117" s="38" t="n">
        <x:v>7</x:v>
      </x:c>
      <x:c r="U1117" s="38" t="n">
        <x:v>12</x:v>
      </x:c>
      <x:c r="V1117" s="38" t="n">
        <x:v>9</x:v>
      </x:c>
      <x:c r="W1117" s="38" t="n">
        <x:v>14</x:v>
      </x:c>
      <x:c r="X1117" s="38" t="n">
        <x:v>12</x:v>
      </x:c>
      <x:c r="Y1117" s="38" t="n">
        <x:v>5</x:v>
      </x:c>
      <x:c r="Z1117" s="38" t="n">
        <x:f>MAX(0,MIN(100,ROUND(((T1117+U1117+V1117+W1117+X1117)-Y1117)/85*100,0)))</x:f>
        <x:v>58</x:v>
      </x:c>
      <x:c r="AA1117" s="9" t="str">
        <x:f>IF(L1117="暂不做","P3 暂缓",IF(Z1117&gt;=75,"P0 本周做",IF(Z1117&gt;=60,"P1 近期做",IF(Z1117&gt;=45,"P2 备选","P3 暂缓"))))</x:f>
        <x:v>P2 备选</x:v>
      </x:c>
      <x:c r="AB1117" s="9" t="str">
        <x:f>IF(Y1117&gt;=15,"先做合规/相关性复核，不建议直接商业导流",IF(L1117="主站","建/优化主站商业页",IF(L1117="博客A-知识教程","写知识教程/FAQ文章",IF(L1117="博客B-场景人群","写场景需求/选购指南文章",IF(L1117="博客C-对比评测","写对比评测/榜单文章","暂不做或人工复核")))))</x:f>
        <x:v>写知识教程/FAQ文章</x:v>
      </x:c>
      <x:c r="AC1117" s="9" t="str">
        <x:v>cigarette look alike vape</x:v>
      </x:c>
      <x:c r="AD1117" s="10" t="str">
        <x:v>48</x:v>
      </x:c>
    </x:row>
    <x:row r="1118">
      <x:c r="A1118" s="34" t="n">
        <x:v>1118</x:v>
      </x:c>
      <x:c r="B1118" s="9" t="str">
        <x:v>48</x:v>
      </x:c>
      <x:c r="C1118" s="9" t="str">
        <x:v>what do vapes look like</x:v>
      </x:c>
      <x:c r="D1118" s="9" t="str">
        <x:v>recommended</x:v>
      </x:c>
      <x:c r="E1118" s="36" t="n">
        <x:v>210</x:v>
      </x:c>
      <x:c r="F1118" s="36" t="n">
        <x:v>29</x:v>
      </x:c>
      <x:c r="G1118" s="9" t="str">
        <x:v>informational</x:v>
      </x:c>
      <x:c r="H1118" s="9" t="str">
        <x:v>知识教程</x:v>
      </x:c>
      <x:c r="I1118" s="9" t="str">
        <x:v>知识/教程词</x:v>
      </x:c>
      <x:c r="J1118" s="9" t="str">
        <x:v>博客A-知识教程</x:v>
      </x:c>
      <x:c r="K1118" s="9" t="str"/>
      <x:c r="L1118" s="9" t="str">
        <x:f>IF(K1118="",J1118,K1118)</x:f>
        <x:v>博客A-知识教程</x:v>
      </x:c>
      <x:c r="M1118" s="9" t="str">
        <x:v>百科/How-to/FAQ文章</x:v>
      </x:c>
      <x:c r="N1118" s="9" t="str">
        <x:v>Guide angle: explain what do vapes look like, answer common questions, and avoid sales-first writing</x:v>
      </x:c>
      <x:c r="O1118" s="9" t="str">
        <x:v>/collections/disposable-vapes</x:v>
      </x:c>
      <x:c r="P1118" s="9" t="str">
        <x:v>谨慎</x:v>
      </x:c>
      <x:c r="Q1118" s="9" t="str">
        <x:v>自然句/品牌词</x:v>
      </x:c>
      <x:c r="R1118" s="9" t="str">
        <x:v>低中风险：先满足信息意图，导流要克制</x:v>
      </x:c>
      <x:c r="S1118" s="9" t="str">
        <x:v>如果文章能自然回答下一步购买问题，再放 1 个主站内链；否则只做知识闭环。</x:v>
      </x:c>
      <x:c r="T1118" s="38" t="n">
        <x:v>7</x:v>
      </x:c>
      <x:c r="U1118" s="38" t="n">
        <x:v>12</x:v>
      </x:c>
      <x:c r="V1118" s="38" t="n">
        <x:v>9</x:v>
      </x:c>
      <x:c r="W1118" s="38" t="n">
        <x:v>14</x:v>
      </x:c>
      <x:c r="X1118" s="38" t="n">
        <x:v>12</x:v>
      </x:c>
      <x:c r="Y1118" s="38" t="n">
        <x:v>5</x:v>
      </x:c>
      <x:c r="Z1118" s="38" t="n">
        <x:f>MAX(0,MIN(100,ROUND(((T1118+U1118+V1118+W1118+X1118)-Y1118)/85*100,0)))</x:f>
        <x:v>58</x:v>
      </x:c>
      <x:c r="AA1118" s="9" t="str">
        <x:f>IF(L1118="暂不做","P3 暂缓",IF(Z1118&gt;=75,"P0 本周做",IF(Z1118&gt;=60,"P1 近期做",IF(Z1118&gt;=45,"P2 备选","P3 暂缓"))))</x:f>
        <x:v>P2 备选</x:v>
      </x:c>
      <x:c r="AB1118" s="9" t="str">
        <x:f>IF(Y1118&gt;=15,"先做合规/相关性复核，不建议直接商业导流",IF(L1118="主站","建/优化主站商业页",IF(L1118="博客A-知识教程","写知识教程/FAQ文章",IF(L1118="博客B-场景人群","写场景需求/选购指南文章",IF(L1118="博客C-对比评测","写对比评测/榜单文章","暂不做或人工复核")))))</x:f>
        <x:v>写知识教程/FAQ文章</x:v>
      </x:c>
      <x:c r="AC1118" s="9" t="str">
        <x:v>cigarette look alike vape</x:v>
      </x:c>
      <x:c r="AD1118" s="10" t="str">
        <x:v>48</x:v>
      </x:c>
    </x:row>
    <x:row r="1119">
      <x:c r="A1119" s="34" t="n">
        <x:v>1119</x:v>
      </x:c>
      <x:c r="B1119" s="9" t="str">
        <x:v>48</x:v>
      </x:c>
      <x:c r="C1119" s="9" t="str">
        <x:v>white gummy flavor</x:v>
      </x:c>
      <x:c r="D1119" s="9" t="str">
        <x:v>recommended</x:v>
      </x:c>
      <x:c r="E1119" s="36" t="n">
        <x:v>140</x:v>
      </x:c>
      <x:c r="F1119" s="36" t="n">
        <x:v>6</x:v>
      </x:c>
      <x:c r="G1119" s="9" t="str">
        <x:v>commercial</x:v>
      </x:c>
      <x:c r="H1119" s="9" t="str">
        <x:v>Flavor / 口味</x:v>
      </x:c>
      <x:c r="I1119" s="9" t="str">
        <x:v>场景/需求词</x:v>
      </x:c>
      <x:c r="J1119" s="9" t="str">
        <x:v>博客B-场景人群</x:v>
      </x:c>
      <x:c r="K1119" s="9" t="str"/>
      <x:c r="L1119" s="9" t="str">
        <x:f>IF(K1119="",J1119,K1119)</x:f>
        <x:v>博客B-场景人群</x:v>
      </x:c>
      <x:c r="M1119" s="9" t="str">
        <x:v>场景解决方案/选购指南文章</x:v>
      </x:c>
      <x:c r="N1119" s="9" t="str">
        <x:v>Scenario angle: how to choose white gummy flavor based on use case, flavor, nicotine, and budget</x:v>
      </x:c>
      <x:c r="O1119" s="9" t="str">
        <x:v>/collections/flavored-disposable-vapes</x:v>
      </x:c>
      <x:c r="P1119" s="9" t="str">
        <x:v>是</x:v>
      </x:c>
      <x:c r="Q1119" s="9" t="str">
        <x:v>自然句/品类词</x:v>
      </x:c>
      <x:c r="R1119" s="9" t="str">
        <x:v>低中风险：适合软性导流，但不要夸大效果或触碰健康疗效</x:v>
      </x:c>
      <x:c r="S1119" s="9" t="str">
        <x:v>围绕使用场景、口味、尼古丁需求、便携性等写，不和主站品类页抢词。</x:v>
      </x:c>
      <x:c r="T1119" s="38" t="n">
        <x:v>7</x:v>
      </x:c>
      <x:c r="U1119" s="38" t="n">
        <x:v>15</x:v>
      </x:c>
      <x:c r="V1119" s="38" t="n">
        <x:v>13</x:v>
      </x:c>
      <x:c r="W1119" s="38" t="n">
        <x:v>14</x:v>
      </x:c>
      <x:c r="X1119" s="38" t="n">
        <x:v>13</x:v>
      </x:c>
      <x:c r="Y1119" s="38" t="n">
        <x:v>5</x:v>
      </x:c>
      <x:c r="Z1119" s="38" t="n">
        <x:f>MAX(0,MIN(100,ROUND(((T1119+U1119+V1119+W1119+X1119)-Y1119)/85*100,0)))</x:f>
        <x:v>67</x:v>
      </x:c>
      <x:c r="AA1119" s="9" t="str">
        <x:f>IF(L1119="暂不做","P3 暂缓",IF(Z1119&gt;=75,"P0 本周做",IF(Z1119&gt;=60,"P1 近期做",IF(Z1119&gt;=45,"P2 备选","P3 暂缓"))))</x:f>
        <x:v>P1 近期做</x:v>
      </x:c>
      <x:c r="AB1119" s="9" t="str">
        <x:f>IF(Y1119&gt;=15,"先做合规/相关性复核，不建议直接商业导流",IF(L1119="主站","建/优化主站商业页",IF(L1119="博客A-知识教程","写知识教程/FAQ文章",IF(L1119="博客B-场景人群","写场景需求/选购指南文章",IF(L1119="博客C-对比评测","写对比评测/榜单文章","暂不做或人工复核")))))</x:f>
        <x:v>写场景需求/选购指南文章</x:v>
      </x:c>
      <x:c r="AC1119" s="9" t="str">
        <x:v>white gummy flavor</x:v>
      </x:c>
      <x:c r="AD1119" s="10" t="str">
        <x:v>48</x:v>
      </x:c>
    </x:row>
    <x:row r="1120">
      <x:c r="A1120" s="34" t="n">
        <x:v>1120</x:v>
      </x:c>
      <x:c r="B1120" s="9" t="str">
        <x:v>48</x:v>
      </x:c>
      <x:c r="C1120" s="9" t="str">
        <x:v>what flavor is white gummy</x:v>
      </x:c>
      <x:c r="D1120" s="9" t="str">
        <x:v>recommended</x:v>
      </x:c>
      <x:c r="E1120" s="36" t="n">
        <x:v>50</x:v>
      </x:c>
      <x:c r="F1120" s="36" t="n">
        <x:v>4</x:v>
      </x:c>
      <x:c r="G1120" s="9" t="str">
        <x:v>informational</x:v>
      </x:c>
      <x:c r="H1120" s="9" t="str">
        <x:v>Flavor / 口味</x:v>
      </x:c>
      <x:c r="I1120" s="9" t="str">
        <x:v>场景/需求词</x:v>
      </x:c>
      <x:c r="J1120" s="9" t="str">
        <x:v>博客B-场景人群</x:v>
      </x:c>
      <x:c r="K1120" s="9" t="str"/>
      <x:c r="L1120" s="9" t="str">
        <x:f>IF(K1120="",J1120,K1120)</x:f>
        <x:v>博客B-场景人群</x:v>
      </x:c>
      <x:c r="M1120" s="9" t="str">
        <x:v>场景解决方案/选购指南文章</x:v>
      </x:c>
      <x:c r="N1120" s="9" t="str">
        <x:v>Scenario angle: how to choose what flavor is white gummy based on use case, flavor, nicotine, and budget</x:v>
      </x:c>
      <x:c r="O1120" s="9" t="str">
        <x:v>/collections/flavored-disposable-vapes</x:v>
      </x:c>
      <x:c r="P1120" s="9" t="str">
        <x:v>是</x:v>
      </x:c>
      <x:c r="Q1120" s="9" t="str">
        <x:v>自然句/品类词</x:v>
      </x:c>
      <x:c r="R1120" s="9" t="str">
        <x:v>低中风险：适合软性导流，但不要夸大效果或触碰健康疗效</x:v>
      </x:c>
      <x:c r="S1120" s="9" t="str">
        <x:v>围绕使用场景、口味、尼古丁需求、便携性等写，不和主站品类页抢词。</x:v>
      </x:c>
      <x:c r="T1120" s="38" t="n">
        <x:v>4</x:v>
      </x:c>
      <x:c r="U1120" s="38" t="n">
        <x:v>15</x:v>
      </x:c>
      <x:c r="V1120" s="38" t="n">
        <x:v>13</x:v>
      </x:c>
      <x:c r="W1120" s="38" t="n">
        <x:v>14</x:v>
      </x:c>
      <x:c r="X1120" s="38" t="n">
        <x:v>13</x:v>
      </x:c>
      <x:c r="Y1120" s="38" t="n">
        <x:v>5</x:v>
      </x:c>
      <x:c r="Z1120" s="38" t="n">
        <x:f>MAX(0,MIN(100,ROUND(((T1120+U1120+V1120+W1120+X1120)-Y1120)/85*100,0)))</x:f>
        <x:v>64</x:v>
      </x:c>
      <x:c r="AA1120" s="9" t="str">
        <x:f>IF(L1120="暂不做","P3 暂缓",IF(Z1120&gt;=75,"P0 本周做",IF(Z1120&gt;=60,"P1 近期做",IF(Z1120&gt;=45,"P2 备选","P3 暂缓"))))</x:f>
        <x:v>P1 近期做</x:v>
      </x:c>
      <x:c r="AB1120" s="9" t="str">
        <x:f>IF(Y1120&gt;=15,"先做合规/相关性复核，不建议直接商业导流",IF(L1120="主站","建/优化主站商业页",IF(L1120="博客A-知识教程","写知识教程/FAQ文章",IF(L1120="博客B-场景人群","写场景需求/选购指南文章",IF(L1120="博客C-对比评测","写对比评测/榜单文章","暂不做或人工复核")))))</x:f>
        <x:v>写场景需求/选购指南文章</x:v>
      </x:c>
      <x:c r="AC1120" s="9" t="str">
        <x:v>white gummy flavor</x:v>
      </x:c>
      <x:c r="AD1120" s="10" t="str">
        <x:v>48</x:v>
      </x:c>
    </x:row>
    <x:row r="1121">
      <x:c r="A1121" s="34" t="n">
        <x:v>1121</x:v>
      </x:c>
      <x:c r="B1121" s="9" t="str">
        <x:v>48</x:v>
      </x:c>
      <x:c r="C1121" s="9" t="str">
        <x:v>dessert vape flavors</x:v>
      </x:c>
      <x:c r="D1121" s="9" t="str">
        <x:v>recommended</x:v>
      </x:c>
      <x:c r="E1121" s="36" t="n">
        <x:v>40</x:v>
      </x:c>
      <x:c r="F1121" s="36" t="n">
        <x:v>9</x:v>
      </x:c>
      <x:c r="G1121" s="9" t="str">
        <x:v>informational</x:v>
      </x:c>
      <x:c r="H1121" s="9" t="str">
        <x:v>Flavor / 口味</x:v>
      </x:c>
      <x:c r="I1121" s="9" t="str">
        <x:v>场景/需求词</x:v>
      </x:c>
      <x:c r="J1121" s="9" t="str">
        <x:v>博客B-场景人群</x:v>
      </x:c>
      <x:c r="K1121" s="9" t="str"/>
      <x:c r="L1121" s="9" t="str">
        <x:f>IF(K1121="",J1121,K1121)</x:f>
        <x:v>博客B-场景人群</x:v>
      </x:c>
      <x:c r="M1121" s="9" t="str">
        <x:v>场景解决方案/选购指南文章</x:v>
      </x:c>
      <x:c r="N1121" s="9" t="str">
        <x:v>Scenario angle: how to choose dessert vape flavors based on use case, flavor, nicotine, and budget</x:v>
      </x:c>
      <x:c r="O1121" s="9" t="str">
        <x:v>/collections/flavored-disposable-vapes</x:v>
      </x:c>
      <x:c r="P1121" s="9" t="str">
        <x:v>是</x:v>
      </x:c>
      <x:c r="Q1121" s="9" t="str">
        <x:v>自然句/品类词</x:v>
      </x:c>
      <x:c r="R1121" s="9" t="str">
        <x:v>低中风险：适合软性导流，但不要夸大效果或触碰健康疗效</x:v>
      </x:c>
      <x:c r="S1121" s="9" t="str">
        <x:v>围绕使用场景、口味、尼古丁需求、便携性等写，不和主站品类页抢词。</x:v>
      </x:c>
      <x:c r="T1121" s="38" t="n">
        <x:v>4</x:v>
      </x:c>
      <x:c r="U1121" s="38" t="n">
        <x:v>15</x:v>
      </x:c>
      <x:c r="V1121" s="38" t="n">
        <x:v>13</x:v>
      </x:c>
      <x:c r="W1121" s="38" t="n">
        <x:v>14</x:v>
      </x:c>
      <x:c r="X1121" s="38" t="n">
        <x:v>13</x:v>
      </x:c>
      <x:c r="Y1121" s="38" t="n">
        <x:v>5</x:v>
      </x:c>
      <x:c r="Z1121" s="38" t="n">
        <x:f>MAX(0,MIN(100,ROUND(((T1121+U1121+V1121+W1121+X1121)-Y1121)/85*100,0)))</x:f>
        <x:v>64</x:v>
      </x:c>
      <x:c r="AA1121" s="9" t="str">
        <x:f>IF(L1121="暂不做","P3 暂缓",IF(Z1121&gt;=75,"P0 本周做",IF(Z1121&gt;=60,"P1 近期做",IF(Z1121&gt;=45,"P2 备选","P3 暂缓"))))</x:f>
        <x:v>P1 近期做</x:v>
      </x:c>
      <x:c r="AB1121" s="9" t="str">
        <x:f>IF(Y1121&gt;=15,"先做合规/相关性复核，不建议直接商业导流",IF(L1121="主站","建/优化主站商业页",IF(L1121="博客A-知识教程","写知识教程/FAQ文章",IF(L1121="博客B-场景人群","写场景需求/选购指南文章",IF(L1121="博客C-对比评测","写对比评测/榜单文章","暂不做或人工复核")))))</x:f>
        <x:v>写场景需求/选购指南文章</x:v>
      </x:c>
      <x:c r="AC1121" s="9" t="str">
        <x:v>dessert vape flavors</x:v>
      </x:c>
      <x:c r="AD1121" s="10" t="str">
        <x:v>48</x:v>
      </x:c>
    </x:row>
    <x:row r="1122">
      <x:c r="A1122" s="34" t="n">
        <x:v>1122</x:v>
      </x:c>
      <x:c r="B1122" s="9" t="str">
        <x:v>48</x:v>
      </x:c>
      <x:c r="C1122" s="9" t="str">
        <x:v>dessert vape flavor review</x:v>
      </x:c>
      <x:c r="D1122" s="9" t="str">
        <x:v>recommended</x:v>
      </x:c>
      <x:c r="E1122" s="36" t="n">
        <x:v>0</x:v>
      </x:c>
      <x:c r="F1122" s="36" t="n">
        <x:v>0</x:v>
      </x:c>
      <x:c r="G1122" s="9" t="str">
        <x:v>48</x:v>
      </x:c>
      <x:c r="H1122" s="9" t="str">
        <x:v>Flavor / 口味</x:v>
      </x:c>
      <x:c r="I1122" s="9" t="str">
        <x:v>商业调查词</x:v>
      </x:c>
      <x:c r="J1122" s="9" t="str">
        <x:v>博客C-对比评测</x:v>
      </x:c>
      <x:c r="K1122" s="9" t="str"/>
      <x:c r="L1122" s="9" t="str">
        <x:f>IF(K1122="",J1122,K1122)</x:f>
        <x:v>博客C-对比评测</x:v>
      </x:c>
      <x:c r="M1122" s="9" t="str">
        <x:v>Best/Top/Review/VS/替代方案文章</x:v>
      </x:c>
      <x:c r="N1122" s="9" t="str">
        <x:v>Best angle: dessert vape flavor review - comparison, pros/cons, and which option fits different buyers</x:v>
      </x:c>
      <x:c r="O1122" s="9" t="str">
        <x:v>/collections/flavored-disposable-vapes</x:v>
      </x:c>
      <x:c r="P1122" s="9" t="str">
        <x:v>是</x:v>
      </x:c>
      <x:c r="Q1122" s="9" t="str">
        <x:v>自然句/品类词/品牌词</x:v>
      </x:c>
      <x:c r="R1122" s="9" t="str">
        <x:v>中风险：榜单和评测必须真实、中立，避免夸大</x:v>
      </x:c>
      <x:c r="S1122" s="9" t="str">
        <x:v>这类词不直接给主站，先用博客C教育和比较，再导流到最相关集合页。</x:v>
      </x:c>
      <x:c r="T1122" s="38" t="n">
        <x:v>1</x:v>
      </x:c>
      <x:c r="U1122" s="38" t="n">
        <x:v>15</x:v>
      </x:c>
      <x:c r="V1122" s="38" t="n">
        <x:v>16</x:v>
      </x:c>
      <x:c r="W1122" s="38" t="n">
        <x:v>15</x:v>
      </x:c>
      <x:c r="X1122" s="38" t="n">
        <x:v>13</x:v>
      </x:c>
      <x:c r="Y1122" s="38" t="n">
        <x:v>6</x:v>
      </x:c>
      <x:c r="Z1122" s="38" t="n">
        <x:f>MAX(0,MIN(100,ROUND(((T1122+U1122+V1122+W1122+X1122)-Y1122)/85*100,0)))</x:f>
        <x:v>64</x:v>
      </x:c>
      <x:c r="AA1122" s="9" t="str">
        <x:f>IF(L1122="暂不做","P3 暂缓",IF(Z1122&gt;=75,"P0 本周做",IF(Z1122&gt;=60,"P1 近期做",IF(Z1122&gt;=45,"P2 备选","P3 暂缓"))))</x:f>
        <x:v>P1 近期做</x:v>
      </x:c>
      <x:c r="AB1122" s="9" t="str">
        <x:f>IF(Y1122&gt;=15,"先做合规/相关性复核，不建议直接商业导流",IF(L1122="主站","建/优化主站商业页",IF(L1122="博客A-知识教程","写知识教程/FAQ文章",IF(L1122="博客B-场景人群","写场景需求/选购指南文章",IF(L1122="博客C-对比评测","写对比评测/榜单文章","暂不做或人工复核")))))</x:f>
        <x:v>写对比评测/榜单文章</x:v>
      </x:c>
      <x:c r="AC1122" s="9" t="str">
        <x:v>dessert vape flavors</x:v>
      </x:c>
      <x:c r="AD1122" s="10" t="str">
        <x:v>48</x:v>
      </x:c>
    </x:row>
    <x:row r="1123">
      <x:c r="A1123" s="34" t="n">
        <x:v>1123</x:v>
      </x:c>
      <x:c r="B1123" s="9" t="str">
        <x:v>48</x:v>
      </x:c>
      <x:c r="C1123" s="9" t="str">
        <x:v>logic vape</x:v>
      </x:c>
      <x:c r="D1123" s="9" t="str">
        <x:v>recommended</x:v>
      </x:c>
      <x:c r="E1123" s="36" t="n">
        <x:v>1600</x:v>
      </x:c>
      <x:c r="F1123" s="36" t="n">
        <x:v>16</x:v>
      </x:c>
      <x:c r="G1123" s="9" t="str">
        <x:v>informational, transactional</x:v>
      </x:c>
      <x:c r="H1123" s="9" t="str">
        <x:v>General Vape</x:v>
      </x:c>
      <x:c r="I1123" s="9" t="str">
        <x:v>交易词</x:v>
      </x:c>
      <x:c r="J1123" s="9" t="str">
        <x:v>主站</x:v>
      </x:c>
      <x:c r="K1123" s="9" t="str"/>
      <x:c r="L1123" s="9" t="str">
        <x:f>IF(K1123="",J1123,K1123)</x:f>
        <x:v>主站</x:v>
      </x:c>
      <x:c r="M1123" s="9" t="str">
        <x:v>产品集合页/分类页/购买页</x:v>
      </x:c>
      <x:c r="N1123" s="9" t="str">
        <x:v>主站商业页：标题围绕购买意图 + 品类 + 关键卖点</x:v>
      </x:c>
      <x:c r="O1123" s="9" t="str">
        <x:v>/collections/disposable-vapes</x:v>
      </x:c>
      <x:c r="P1123" s="9" t="str">
        <x:v>不适用</x:v>
      </x:c>
      <x:c r="Q1123" s="9" t="str">
        <x:v>主站页面自身承接</x:v>
      </x:c>
      <x:c r="R1123" s="9" t="str">
        <x:v>商业词：优先给主站，避免博客抢主站排名</x:v>
      </x:c>
      <x:c r="S1123" s="9" t="str">
        <x:v>SERP 如为商品列表/品牌站/电商集合页，就建主站页面；若 SERP 全是教程，再拆支持文章。</x:v>
      </x:c>
      <x:c r="T1123" s="38" t="n">
        <x:v>13</x:v>
      </x:c>
      <x:c r="U1123" s="38" t="n">
        <x:v>12</x:v>
      </x:c>
      <x:c r="V1123" s="38" t="n">
        <x:v>20</x:v>
      </x:c>
      <x:c r="W1123" s="38" t="n">
        <x:v>7</x:v>
      </x:c>
      <x:c r="X1123" s="38" t="n">
        <x:v>15</x:v>
      </x:c>
      <x:c r="Y1123" s="38" t="n">
        <x:v>4</x:v>
      </x:c>
      <x:c r="Z1123" s="38" t="n">
        <x:f>MAX(0,MIN(100,ROUND(((T1123+U1123+V1123+W1123+X1123)-Y1123)/85*100,0)))</x:f>
        <x:v>74</x:v>
      </x:c>
      <x:c r="AA1123" s="9" t="str">
        <x:f>IF(L1123="暂不做","P3 暂缓",IF(Z1123&gt;=75,"P0 本周做",IF(Z1123&gt;=60,"P1 近期做",IF(Z1123&gt;=45,"P2 备选","P3 暂缓"))))</x:f>
        <x:v>P1 近期做</x:v>
      </x:c>
      <x:c r="AB1123" s="9" t="str">
        <x:f>IF(Y1123&gt;=15,"先做合规/相关性复核，不建议直接商业导流",IF(L1123="主站","建/优化主站商业页",IF(L1123="博客A-知识教程","写知识教程/FAQ文章",IF(L1123="博客B-场景人群","写场景需求/选购指南文章",IF(L1123="博客C-对比评测","写对比评测/榜单文章","暂不做或人工复核")))))</x:f>
        <x:v>建/优化主站商业页</x:v>
      </x:c>
      <x:c r="AC1123" s="9" t="str">
        <x:v>logic vape</x:v>
      </x:c>
      <x:c r="AD1123" s="10" t="str">
        <x:v>48</x:v>
      </x:c>
    </x:row>
    <x:row r="1124">
      <x:c r="A1124" s="34" t="n">
        <x:v>1124</x:v>
      </x:c>
      <x:c r="B1124" s="9" t="str">
        <x:v>48</x:v>
      </x:c>
      <x:c r="C1124" s="9" t="str">
        <x:v>logic vapes</x:v>
      </x:c>
      <x:c r="D1124" s="9" t="str">
        <x:v>recommended</x:v>
      </x:c>
      <x:c r="E1124" s="36" t="n">
        <x:v>1600</x:v>
      </x:c>
      <x:c r="F1124" s="36" t="n">
        <x:v>17</x:v>
      </x:c>
      <x:c r="G1124" s="9" t="str">
        <x:v>informational</x:v>
      </x:c>
      <x:c r="H1124" s="9" t="str">
        <x:v>General Vape</x:v>
      </x:c>
      <x:c r="I1124" s="9" t="str">
        <x:v>品类承接词</x:v>
      </x:c>
      <x:c r="J1124" s="9" t="str">
        <x:v>主站</x:v>
      </x:c>
      <x:c r="K1124" s="9" t="str"/>
      <x:c r="L1124" s="9" t="str">
        <x:f>IF(K1124="",J1124,K1124)</x:f>
        <x:v>主站</x:v>
      </x:c>
      <x:c r="M1124" s="9" t="str">
        <x:v>品类页/集合页 + FAQ内容块</x:v>
      </x:c>
      <x:c r="N1124" s="9" t="str">
        <x:v>主站品类页：用产品集合 + 选购说明承接</x:v>
      </x:c>
      <x:c r="O1124" s="9" t="str">
        <x:v>/collections/disposable-vapes</x:v>
      </x:c>
      <x:c r="P1124" s="9" t="str">
        <x:v>不适用</x:v>
      </x:c>
      <x:c r="Q1124" s="9" t="str">
        <x:v>主站页面自身承接</x:v>
      </x:c>
      <x:c r="R1124" s="9" t="str">
        <x:v>核心品类词：主站优先，博客只做长尾解释，不直接抢同一词</x:v>
      </x:c>
      <x:c r="S1124" s="9" t="str">
        <x:v>如果 Google 首页产品页和指南混合，主站页要加 FAQ、选购指南、对比模块。</x:v>
      </x:c>
      <x:c r="T1124" s="38" t="n">
        <x:v>13</x:v>
      </x:c>
      <x:c r="U1124" s="38" t="n">
        <x:v>12</x:v>
      </x:c>
      <x:c r="V1124" s="38" t="n">
        <x:v>16</x:v>
      </x:c>
      <x:c r="W1124" s="38" t="n">
        <x:v>8</x:v>
      </x:c>
      <x:c r="X1124" s="38" t="n">
        <x:v>15</x:v>
      </x:c>
      <x:c r="Y1124" s="38" t="n">
        <x:v>4</x:v>
      </x:c>
      <x:c r="Z1124" s="38" t="n">
        <x:f>MAX(0,MIN(100,ROUND(((T1124+U1124+V1124+W1124+X1124)-Y1124)/85*100,0)))</x:f>
        <x:v>71</x:v>
      </x:c>
      <x:c r="AA1124" s="9" t="str">
        <x:f>IF(L1124="暂不做","P3 暂缓",IF(Z1124&gt;=75,"P0 本周做",IF(Z1124&gt;=60,"P1 近期做",IF(Z1124&gt;=45,"P2 备选","P3 暂缓"))))</x:f>
        <x:v>P1 近期做</x:v>
      </x:c>
      <x:c r="AB1124" s="9" t="str">
        <x:f>IF(Y1124&gt;=15,"先做合规/相关性复核，不建议直接商业导流",IF(L1124="主站","建/优化主站商业页",IF(L1124="博客A-知识教程","写知识教程/FAQ文章",IF(L1124="博客B-场景人群","写场景需求/选购指南文章",IF(L1124="博客C-对比评测","写对比评测/榜单文章","暂不做或人工复核")))))</x:f>
        <x:v>建/优化主站商业页</x:v>
      </x:c>
      <x:c r="AC1124" s="9" t="str">
        <x:v>logic vape</x:v>
      </x:c>
      <x:c r="AD1124" s="10" t="str">
        <x:v>48</x:v>
      </x:c>
    </x:row>
    <x:row r="1125">
      <x:c r="A1125" s="34" t="n">
        <x:v>1125</x:v>
      </x:c>
      <x:c r="B1125" s="9" t="str">
        <x:v>48</x:v>
      </x:c>
      <x:c r="C1125" s="9" t="str">
        <x:v>elfbar vape</x:v>
      </x:c>
      <x:c r="D1125" s="9" t="str">
        <x:v>recommended</x:v>
      </x:c>
      <x:c r="E1125" s="36" t="n">
        <x:v>2400</x:v>
      </x:c>
      <x:c r="F1125" s="36" t="n">
        <x:v>27</x:v>
      </x:c>
      <x:c r="G1125" s="9" t="str">
        <x:v>navigational</x:v>
      </x:c>
      <x:c r="H1125" s="9" t="str">
        <x:v>General Vape</x:v>
      </x:c>
      <x:c r="I1125" s="9" t="str">
        <x:v>品类承接词</x:v>
      </x:c>
      <x:c r="J1125" s="9" t="str">
        <x:v>主站</x:v>
      </x:c>
      <x:c r="K1125" s="9" t="str"/>
      <x:c r="L1125" s="9" t="str">
        <x:f>IF(K1125="",J1125,K1125)</x:f>
        <x:v>主站</x:v>
      </x:c>
      <x:c r="M1125" s="9" t="str">
        <x:v>品类页/集合页 + FAQ内容块</x:v>
      </x:c>
      <x:c r="N1125" s="9" t="str">
        <x:v>主站品类页：用产品集合 + 选购说明承接</x:v>
      </x:c>
      <x:c r="O1125" s="9" t="str">
        <x:v>/collections/disposable-vapes</x:v>
      </x:c>
      <x:c r="P1125" s="9" t="str">
        <x:v>不适用</x:v>
      </x:c>
      <x:c r="Q1125" s="9" t="str">
        <x:v>主站页面自身承接</x:v>
      </x:c>
      <x:c r="R1125" s="9" t="str">
        <x:v>核心品类词：主站优先，博客只做长尾解释，不直接抢同一词</x:v>
      </x:c>
      <x:c r="S1125" s="9" t="str">
        <x:v>如果 Google 首页产品页和指南混合，主站页要加 FAQ、选购指南、对比模块。</x:v>
      </x:c>
      <x:c r="T1125" s="38" t="n">
        <x:v>13</x:v>
      </x:c>
      <x:c r="U1125" s="38" t="n">
        <x:v>12</x:v>
      </x:c>
      <x:c r="V1125" s="38" t="n">
        <x:v>16</x:v>
      </x:c>
      <x:c r="W1125" s="38" t="n">
        <x:v>8</x:v>
      </x:c>
      <x:c r="X1125" s="38" t="n">
        <x:v>15</x:v>
      </x:c>
      <x:c r="Y1125" s="38" t="n">
        <x:v>4</x:v>
      </x:c>
      <x:c r="Z1125" s="38" t="n">
        <x:f>MAX(0,MIN(100,ROUND(((T1125+U1125+V1125+W1125+X1125)-Y1125)/85*100,0)))</x:f>
        <x:v>71</x:v>
      </x:c>
      <x:c r="AA1125" s="9" t="str">
        <x:f>IF(L1125="暂不做","P3 暂缓",IF(Z1125&gt;=75,"P0 本周做",IF(Z1125&gt;=60,"P1 近期做",IF(Z1125&gt;=45,"P2 备选","P3 暂缓"))))</x:f>
        <x:v>P1 近期做</x:v>
      </x:c>
      <x:c r="AB1125" s="9" t="str">
        <x:f>IF(Y1125&gt;=15,"先做合规/相关性复核，不建议直接商业导流",IF(L1125="主站","建/优化主站商业页",IF(L1125="博客A-知识教程","写知识教程/FAQ文章",IF(L1125="博客B-场景人群","写场景需求/选购指南文章",IF(L1125="博客C-对比评测","写对比评测/榜单文章","暂不做或人工复核")))))</x:f>
        <x:v>建/优化主站商业页</x:v>
      </x:c>
      <x:c r="AC1125" s="9" t="str">
        <x:v>elfbar vape</x:v>
      </x:c>
      <x:c r="AD1125" s="10" t="str">
        <x:v>48</x:v>
      </x:c>
    </x:row>
    <x:row r="1126">
      <x:c r="A1126" s="34" t="n">
        <x:v>1126</x:v>
      </x:c>
      <x:c r="B1126" s="9" t="str">
        <x:v>48</x:v>
      </x:c>
      <x:c r="C1126" s="9" t="str">
        <x:v>elfbar disposable vape brand website</x:v>
      </x:c>
      <x:c r="D1126" s="9" t="str">
        <x:v>recommended</x:v>
      </x:c>
      <x:c r="E1126" s="36" t="n">
        <x:v>1900</x:v>
      </x:c>
      <x:c r="F1126" s="36" t="n">
        <x:v>32</x:v>
      </x:c>
      <x:c r="G1126" s="9" t="str">
        <x:v>navigational, transactional</x:v>
      </x:c>
      <x:c r="H1126" s="9" t="str">
        <x:v>Disposable Vape</x:v>
      </x:c>
      <x:c r="I1126" s="9" t="str">
        <x:v>交易词</x:v>
      </x:c>
      <x:c r="J1126" s="9" t="str">
        <x:v>主站</x:v>
      </x:c>
      <x:c r="K1126" s="9" t="str"/>
      <x:c r="L1126" s="9" t="str">
        <x:f>IF(K1126="",J1126,K1126)</x:f>
        <x:v>主站</x:v>
      </x:c>
      <x:c r="M1126" s="9" t="str">
        <x:v>产品集合页/分类页/购买页</x:v>
      </x:c>
      <x:c r="N1126" s="9" t="str">
        <x:v>主站商业页：标题围绕购买意图 + 品类 + 关键卖点</x:v>
      </x:c>
      <x:c r="O1126" s="9" t="str">
        <x:v>/collections/disposable-vapes</x:v>
      </x:c>
      <x:c r="P1126" s="9" t="str">
        <x:v>不适用</x:v>
      </x:c>
      <x:c r="Q1126" s="9" t="str">
        <x:v>主站页面自身承接</x:v>
      </x:c>
      <x:c r="R1126" s="9" t="str">
        <x:v>商业词：优先给主站，避免博客抢主站排名</x:v>
      </x:c>
      <x:c r="S1126" s="9" t="str">
        <x:v>SERP 如为商品列表/品牌站/电商集合页，就建主站页面；若 SERP 全是教程，再拆支持文章。</x:v>
      </x:c>
      <x:c r="T1126" s="38" t="n">
        <x:v>13</x:v>
      </x:c>
      <x:c r="U1126" s="38" t="n">
        <x:v>9</x:v>
      </x:c>
      <x:c r="V1126" s="38" t="n">
        <x:v>20</x:v>
      </x:c>
      <x:c r="W1126" s="38" t="n">
        <x:v>7</x:v>
      </x:c>
      <x:c r="X1126" s="38" t="n">
        <x:v>15</x:v>
      </x:c>
      <x:c r="Y1126" s="38" t="n">
        <x:v>4</x:v>
      </x:c>
      <x:c r="Z1126" s="38" t="n">
        <x:f>MAX(0,MIN(100,ROUND(((T1126+U1126+V1126+W1126+X1126)-Y1126)/85*100,0)))</x:f>
        <x:v>71</x:v>
      </x:c>
      <x:c r="AA1126" s="9" t="str">
        <x:f>IF(L1126="暂不做","P3 暂缓",IF(Z1126&gt;=75,"P0 本周做",IF(Z1126&gt;=60,"P1 近期做",IF(Z1126&gt;=45,"P2 备选","P3 暂缓"))))</x:f>
        <x:v>P1 近期做</x:v>
      </x:c>
      <x:c r="AB1126" s="9" t="str">
        <x:f>IF(Y1126&gt;=15,"先做合规/相关性复核，不建议直接商业导流",IF(L1126="主站","建/优化主站商业页",IF(L1126="博客A-知识教程","写知识教程/FAQ文章",IF(L1126="博客B-场景人群","写场景需求/选购指南文章",IF(L1126="博客C-对比评测","写对比评测/榜单文章","暂不做或人工复核")))))</x:f>
        <x:v>建/优化主站商业页</x:v>
      </x:c>
      <x:c r="AC1126" s="9" t="str">
        <x:v>elfbar vape</x:v>
      </x:c>
      <x:c r="AD1126" s="10" t="str">
        <x:v>48</x:v>
      </x:c>
    </x:row>
    <x:row r="1127">
      <x:c r="A1127" s="34" t="n">
        <x:v>1127</x:v>
      </x:c>
      <x:c r="B1127" s="9" t="str">
        <x:v>48</x:v>
      </x:c>
      <x:c r="C1127" s="9" t="str">
        <x:v>exdivo flora collection</x:v>
      </x:c>
      <x:c r="D1127" s="9" t="str">
        <x:v>recommended</x:v>
      </x:c>
      <x:c r="E1127" s="36" t="n">
        <x:v>0</x:v>
      </x:c>
      <x:c r="F1127" s="36" t="n">
        <x:v>0</x:v>
      </x:c>
      <x:c r="G1127" s="9" t="str">
        <x:v>48</x:v>
      </x:c>
      <x:c r="H1127" s="9" t="str">
        <x:v>General Vape</x:v>
      </x:c>
      <x:c r="I1127" s="9" t="str">
        <x:v>弱相关词</x:v>
      </x:c>
      <x:c r="J1127" s="9" t="str">
        <x:v>暂不做</x:v>
      </x:c>
      <x:c r="K1127" s="9" t="str"/>
      <x:c r="L1127" s="9" t="str">
        <x:f>IF(K1127="",J1127,K1127)</x:f>
        <x:v>暂不做</x:v>
      </x:c>
      <x:c r="M1127" s="9" t="str">
        <x:v>不建议建页</x:v>
      </x:c>
      <x:c r="N1127" s="9" t="str">
        <x:v>不进入内容生产</x:v>
      </x:c>
      <x:c r="O1127" s="9" t="str">
        <x:v>无</x:v>
      </x:c>
      <x:c r="P1127" s="9" t="str">
        <x:v>否</x:v>
      </x:c>
      <x:c r="Q1127" s="9" t="str">
        <x:v>不导流</x:v>
      </x:c>
      <x:c r="R1127" s="9" t="str">
        <x:v>相关性弱：可能带来无效流量或偏离产品定位</x:v>
      </x:c>
      <x:c r="S1127" s="9" t="str">
        <x:v>除非人工确认与核心产品强相关，否则不要进入内容排期。</x:v>
      </x:c>
      <x:c r="T1127" s="38" t="n">
        <x:v>1</x:v>
      </x:c>
      <x:c r="U1127" s="38" t="n">
        <x:v>15</x:v>
      </x:c>
      <x:c r="V1127" s="38" t="n">
        <x:v>2</x:v>
      </x:c>
      <x:c r="W1127" s="38" t="n">
        <x:v>3</x:v>
      </x:c>
      <x:c r="X1127" s="38" t="n">
        <x:v>2</x:v>
      </x:c>
      <x:c r="Y1127" s="38" t="n">
        <x:v>16</x:v>
      </x:c>
      <x:c r="Z1127" s="38" t="n">
        <x:f>MAX(0,MIN(100,ROUND(((T1127+U1127+V1127+W1127+X1127)-Y1127)/85*100,0)))</x:f>
        <x:v>8</x:v>
      </x:c>
      <x:c r="AA1127" s="9" t="str">
        <x:f>IF(L1127="暂不做","P3 暂缓",IF(Z1127&gt;=75,"P0 本周做",IF(Z1127&gt;=60,"P1 近期做",IF(Z1127&gt;=45,"P2 备选","P3 暂缓"))))</x:f>
        <x:v>P3 暂缓</x:v>
      </x:c>
      <x:c r="AB1127" s="9" t="str">
        <x:f>IF(Y1127&gt;=15,"先做合规/相关性复核，不建议直接商业导流",IF(L1127="主站","建/优化主站商业页",IF(L1127="博客A-知识教程","写知识教程/FAQ文章",IF(L1127="博客B-场景人群","写场景需求/选购指南文章",IF(L1127="博客C-对比评测","写对比评测/榜单文章","暂不做或人工复核")))))</x:f>
        <x:v>先做合规/相关性复核，不建议直接商业导流</x:v>
      </x:c>
      <x:c r="AC1127" s="9" t="str">
        <x:v>exdivo flora 40k</x:v>
      </x:c>
      <x:c r="AD1127" s="10" t="str">
        <x:v>48</x:v>
      </x:c>
    </x:row>
    <x:row r="1128">
      <x:c r="A1128" s="34" t="n">
        <x:v>1128</x:v>
      </x:c>
      <x:c r="B1128" s="9" t="str">
        <x:v>48</x:v>
      </x:c>
      <x:c r="C1128" s="9" t="str">
        <x:v>flora 40k juicy peach ice</x:v>
      </x:c>
      <x:c r="D1128" s="9" t="str">
        <x:v>recommended</x:v>
      </x:c>
      <x:c r="E1128" s="36" t="n">
        <x:v>0</x:v>
      </x:c>
      <x:c r="F1128" s="36" t="n">
        <x:v>0</x:v>
      </x:c>
      <x:c r="G1128" s="9" t="str">
        <x:v>48</x:v>
      </x:c>
      <x:c r="H1128" s="9" t="str">
        <x:v>General Vape</x:v>
      </x:c>
      <x:c r="I1128" s="9" t="str">
        <x:v>弱相关词</x:v>
      </x:c>
      <x:c r="J1128" s="9" t="str">
        <x:v>暂不做</x:v>
      </x:c>
      <x:c r="K1128" s="9" t="str"/>
      <x:c r="L1128" s="9" t="str">
        <x:f>IF(K1128="",J1128,K1128)</x:f>
        <x:v>暂不做</x:v>
      </x:c>
      <x:c r="M1128" s="9" t="str">
        <x:v>不建议建页</x:v>
      </x:c>
      <x:c r="N1128" s="9" t="str">
        <x:v>不进入内容生产</x:v>
      </x:c>
      <x:c r="O1128" s="9" t="str">
        <x:v>无</x:v>
      </x:c>
      <x:c r="P1128" s="9" t="str">
        <x:v>否</x:v>
      </x:c>
      <x:c r="Q1128" s="9" t="str">
        <x:v>不导流</x:v>
      </x:c>
      <x:c r="R1128" s="9" t="str">
        <x:v>相关性弱：可能带来无效流量或偏离产品定位</x:v>
      </x:c>
      <x:c r="S1128" s="9" t="str">
        <x:v>除非人工确认与核心产品强相关，否则不要进入内容排期。</x:v>
      </x:c>
      <x:c r="T1128" s="38" t="n">
        <x:v>1</x:v>
      </x:c>
      <x:c r="U1128" s="38" t="n">
        <x:v>15</x:v>
      </x:c>
      <x:c r="V1128" s="38" t="n">
        <x:v>2</x:v>
      </x:c>
      <x:c r="W1128" s="38" t="n">
        <x:v>3</x:v>
      </x:c>
      <x:c r="X1128" s="38" t="n">
        <x:v>2</x:v>
      </x:c>
      <x:c r="Y1128" s="38" t="n">
        <x:v>16</x:v>
      </x:c>
      <x:c r="Z1128" s="38" t="n">
        <x:f>MAX(0,MIN(100,ROUND(((T1128+U1128+V1128+W1128+X1128)-Y1128)/85*100,0)))</x:f>
        <x:v>8</x:v>
      </x:c>
      <x:c r="AA1128" s="9" t="str">
        <x:f>IF(L1128="暂不做","P3 暂缓",IF(Z1128&gt;=75,"P0 本周做",IF(Z1128&gt;=60,"P1 近期做",IF(Z1128&gt;=45,"P2 备选","P3 暂缓"))))</x:f>
        <x:v>P3 暂缓</x:v>
      </x:c>
      <x:c r="AB1128" s="9" t="str">
        <x:f>IF(Y1128&gt;=15,"先做合规/相关性复核，不建议直接商业导流",IF(L1128="主站","建/优化主站商业页",IF(L1128="博客A-知识教程","写知识教程/FAQ文章",IF(L1128="博客B-场景人群","写场景需求/选购指南文章",IF(L1128="博客C-对比评测","写对比评测/榜单文章","暂不做或人工复核")))))</x:f>
        <x:v>先做合规/相关性复核，不建议直接商业导流</x:v>
      </x:c>
      <x:c r="AC1128" s="9" t="str">
        <x:v>exdivo flora 40k</x:v>
      </x:c>
      <x:c r="AD1128" s="10" t="str">
        <x:v>48</x:v>
      </x:c>
    </x:row>
    <x:row r="1129">
      <x:c r="A1129" s="34" t="n">
        <x:v>1129</x:v>
      </x:c>
      <x:c r="B1129" s="9" t="str">
        <x:v>48</x:v>
      </x:c>
      <x:c r="C1129" s="9" t="str">
        <x:v>exdivo flora 40k</x:v>
      </x:c>
      <x:c r="D1129" s="9" t="str">
        <x:v>recommended</x:v>
      </x:c>
      <x:c r="E1129" s="36" t="n">
        <x:v>0</x:v>
      </x:c>
      <x:c r="F1129" s="36" t="n">
        <x:v>0</x:v>
      </x:c>
      <x:c r="G1129" s="9" t="str">
        <x:v>48</x:v>
      </x:c>
      <x:c r="H1129" s="9" t="str">
        <x:v>General Vape</x:v>
      </x:c>
      <x:c r="I1129" s="9" t="str">
        <x:v>弱相关词</x:v>
      </x:c>
      <x:c r="J1129" s="9" t="str">
        <x:v>暂不做</x:v>
      </x:c>
      <x:c r="K1129" s="9" t="str"/>
      <x:c r="L1129" s="9" t="str">
        <x:f>IF(K1129="",J1129,K1129)</x:f>
        <x:v>暂不做</x:v>
      </x:c>
      <x:c r="M1129" s="9" t="str">
        <x:v>不建议建页</x:v>
      </x:c>
      <x:c r="N1129" s="9" t="str">
        <x:v>不进入内容生产</x:v>
      </x:c>
      <x:c r="O1129" s="9" t="str">
        <x:v>无</x:v>
      </x:c>
      <x:c r="P1129" s="9" t="str">
        <x:v>否</x:v>
      </x:c>
      <x:c r="Q1129" s="9" t="str">
        <x:v>不导流</x:v>
      </x:c>
      <x:c r="R1129" s="9" t="str">
        <x:v>相关性弱：可能带来无效流量或偏离产品定位</x:v>
      </x:c>
      <x:c r="S1129" s="9" t="str">
        <x:v>除非人工确认与核心产品强相关，否则不要进入内容排期。</x:v>
      </x:c>
      <x:c r="T1129" s="38" t="n">
        <x:v>1</x:v>
      </x:c>
      <x:c r="U1129" s="38" t="n">
        <x:v>15</x:v>
      </x:c>
      <x:c r="V1129" s="38" t="n">
        <x:v>2</x:v>
      </x:c>
      <x:c r="W1129" s="38" t="n">
        <x:v>3</x:v>
      </x:c>
      <x:c r="X1129" s="38" t="n">
        <x:v>2</x:v>
      </x:c>
      <x:c r="Y1129" s="38" t="n">
        <x:v>16</x:v>
      </x:c>
      <x:c r="Z1129" s="38" t="n">
        <x:f>MAX(0,MIN(100,ROUND(((T1129+U1129+V1129+W1129+X1129)-Y1129)/85*100,0)))</x:f>
        <x:v>8</x:v>
      </x:c>
      <x:c r="AA1129" s="9" t="str">
        <x:f>IF(L1129="暂不做","P3 暂缓",IF(Z1129&gt;=75,"P0 本周做",IF(Z1129&gt;=60,"P1 近期做",IF(Z1129&gt;=45,"P2 备选","P3 暂缓"))))</x:f>
        <x:v>P3 暂缓</x:v>
      </x:c>
      <x:c r="AB1129" s="9" t="str">
        <x:f>IF(Y1129&gt;=15,"先做合规/相关性复核，不建议直接商业导流",IF(L1129="主站","建/优化主站商业页",IF(L1129="博客A-知识教程","写知识教程/FAQ文章",IF(L1129="博客B-场景人群","写场景需求/选购指南文章",IF(L1129="博客C-对比评测","写对比评测/榜单文章","暂不做或人工复核")))))</x:f>
        <x:v>先做合规/相关性复核，不建议直接商业导流</x:v>
      </x:c>
      <x:c r="AC1129" s="9" t="str">
        <x:v>exdivo flora 40k</x:v>
      </x:c>
      <x:c r="AD1129" s="10" t="str">
        <x:v>48</x:v>
      </x:c>
    </x:row>
    <x:row r="1130">
      <x:c r="A1130" s="34" t="n">
        <x:v>1130</x:v>
      </x:c>
      <x:c r="B1130" s="9" t="str">
        <x:v>48</x:v>
      </x:c>
      <x:c r="C1130" s="9" t="str">
        <x:v>lighted makeup mirror</x:v>
      </x:c>
      <x:c r="D1130" s="9" t="str">
        <x:v>recommended</x:v>
      </x:c>
      <x:c r="E1130" s="36" t="n">
        <x:v>6600</x:v>
      </x:c>
      <x:c r="F1130" s="36" t="n">
        <x:v>28</x:v>
      </x:c>
      <x:c r="G1130" s="9" t="str">
        <x:v>commercial</x:v>
      </x:c>
      <x:c r="H1130" s="9" t="str">
        <x:v>General Vape</x:v>
      </x:c>
      <x:c r="I1130" s="9" t="str">
        <x:v>弱相关词</x:v>
      </x:c>
      <x:c r="J1130" s="9" t="str">
        <x:v>暂不做</x:v>
      </x:c>
      <x:c r="K1130" s="9" t="str"/>
      <x:c r="L1130" s="9" t="str">
        <x:f>IF(K1130="",J1130,K1130)</x:f>
        <x:v>暂不做</x:v>
      </x:c>
      <x:c r="M1130" s="9" t="str">
        <x:v>不建议建页</x:v>
      </x:c>
      <x:c r="N1130" s="9" t="str">
        <x:v>不进入内容生产</x:v>
      </x:c>
      <x:c r="O1130" s="9" t="str">
        <x:v>无</x:v>
      </x:c>
      <x:c r="P1130" s="9" t="str">
        <x:v>否</x:v>
      </x:c>
      <x:c r="Q1130" s="9" t="str">
        <x:v>不导流</x:v>
      </x:c>
      <x:c r="R1130" s="9" t="str">
        <x:v>相关性弱：可能带来无效流量或偏离产品定位</x:v>
      </x:c>
      <x:c r="S1130" s="9" t="str">
        <x:v>除非人工确认与核心产品强相关，否则不要进入内容排期。</x:v>
      </x:c>
      <x:c r="T1130" s="38" t="n">
        <x:v>16</x:v>
      </x:c>
      <x:c r="U1130" s="38" t="n">
        <x:v>12</x:v>
      </x:c>
      <x:c r="V1130" s="38" t="n">
        <x:v>2</x:v>
      </x:c>
      <x:c r="W1130" s="38" t="n">
        <x:v>3</x:v>
      </x:c>
      <x:c r="X1130" s="38" t="n">
        <x:v>2</x:v>
      </x:c>
      <x:c r="Y1130" s="38" t="n">
        <x:v>16</x:v>
      </x:c>
      <x:c r="Z1130" s="38" t="n">
        <x:f>MAX(0,MIN(100,ROUND(((T1130+U1130+V1130+W1130+X1130)-Y1130)/85*100,0)))</x:f>
        <x:v>22</x:v>
      </x:c>
      <x:c r="AA1130" s="9" t="str">
        <x:f>IF(L1130="暂不做","P3 暂缓",IF(Z1130&gt;=75,"P0 本周做",IF(Z1130&gt;=60,"P1 近期做",IF(Z1130&gt;=45,"P2 备选","P3 暂缓"))))</x:f>
        <x:v>P3 暂缓</x:v>
      </x:c>
      <x:c r="AB1130" s="9" t="str">
        <x:f>IF(Y1130&gt;=15,"先做合规/相关性复核，不建议直接商业导流",IF(L1130="主站","建/优化主站商业页",IF(L1130="博客A-知识教程","写知识教程/FAQ文章",IF(L1130="博客B-场景人群","写场景需求/选购指南文章",IF(L1130="博客C-对比评测","写对比评测/榜单文章","暂不做或人工复核")))))</x:f>
        <x:v>先做合规/相关性复核，不建议直接商业导流</x:v>
      </x:c>
      <x:c r="AC1130" s="9" t="str">
        <x:v>lighted makeup mirror</x:v>
      </x:c>
      <x:c r="AD1130" s="10" t="str">
        <x:v>48</x:v>
      </x:c>
    </x:row>
    <x:row r="1131">
      <x:c r="A1131" s="34" t="n">
        <x:v>1131</x:v>
      </x:c>
      <x:c r="B1131" s="9" t="str">
        <x:v>48</x:v>
      </x:c>
      <x:c r="C1131" s="9" t="str">
        <x:v>lighted vanity mirror nearby</x:v>
      </x:c>
      <x:c r="D1131" s="9" t="str">
        <x:v>recommended</x:v>
      </x:c>
      <x:c r="E1131" s="36" t="n">
        <x:v>30</x:v>
      </x:c>
      <x:c r="F1131" s="36" t="n">
        <x:v>31</x:v>
      </x:c>
      <x:c r="G1131" s="9" t="str">
        <x:v>transactional</x:v>
      </x:c>
      <x:c r="H1131" s="9" t="str">
        <x:v>General Vape</x:v>
      </x:c>
      <x:c r="I1131" s="9" t="str">
        <x:v>交易词</x:v>
      </x:c>
      <x:c r="J1131" s="9" t="str">
        <x:v>主站</x:v>
      </x:c>
      <x:c r="K1131" s="9" t="str"/>
      <x:c r="L1131" s="9" t="str">
        <x:f>IF(K1131="",J1131,K1131)</x:f>
        <x:v>主站</x:v>
      </x:c>
      <x:c r="M1131" s="9" t="str">
        <x:v>产品集合页/分类页/购买页</x:v>
      </x:c>
      <x:c r="N1131" s="9" t="str">
        <x:v>主站商业页：标题围绕购买意图 + 品类 + 关键卖点</x:v>
      </x:c>
      <x:c r="O1131" s="9" t="str">
        <x:v>/collections/disposable-vapes</x:v>
      </x:c>
      <x:c r="P1131" s="9" t="str">
        <x:v>不适用</x:v>
      </x:c>
      <x:c r="Q1131" s="9" t="str">
        <x:v>主站页面自身承接</x:v>
      </x:c>
      <x:c r="R1131" s="9" t="str">
        <x:v>商业词：优先给主站，避免博客抢主站排名</x:v>
      </x:c>
      <x:c r="S1131" s="9" t="str">
        <x:v>SERP 如为商品列表/品牌站/电商集合页，就建主站页面；若 SERP 全是教程，再拆支持文章。</x:v>
      </x:c>
      <x:c r="T1131" s="38" t="n">
        <x:v>4</x:v>
      </x:c>
      <x:c r="U1131" s="38" t="n">
        <x:v>9</x:v>
      </x:c>
      <x:c r="V1131" s="38" t="n">
        <x:v>20</x:v>
      </x:c>
      <x:c r="W1131" s="38" t="n">
        <x:v>7</x:v>
      </x:c>
      <x:c r="X1131" s="38" t="n">
        <x:v>15</x:v>
      </x:c>
      <x:c r="Y1131" s="38" t="n">
        <x:v>4</x:v>
      </x:c>
      <x:c r="Z1131" s="38" t="n">
        <x:f>MAX(0,MIN(100,ROUND(((T1131+U1131+V1131+W1131+X1131)-Y1131)/85*100,0)))</x:f>
        <x:v>60</x:v>
      </x:c>
      <x:c r="AA1131" s="9" t="str">
        <x:f>IF(L1131="暂不做","P3 暂缓",IF(Z1131&gt;=75,"P0 本周做",IF(Z1131&gt;=60,"P1 近期做",IF(Z1131&gt;=45,"P2 备选","P3 暂缓"))))</x:f>
        <x:v>P1 近期做</x:v>
      </x:c>
      <x:c r="AB1131" s="9" t="str">
        <x:f>IF(Y1131&gt;=15,"先做合规/相关性复核，不建议直接商业导流",IF(L1131="主站","建/优化主站商业页",IF(L1131="博客A-知识教程","写知识教程/FAQ文章",IF(L1131="博客B-场景人群","写场景需求/选购指南文章",IF(L1131="博客C-对比评测","写对比评测/榜单文章","暂不做或人工复核")))))</x:f>
        <x:v>建/优化主站商业页</x:v>
      </x:c>
      <x:c r="AC1131" s="9" t="str">
        <x:v>lighted makeup mirror</x:v>
      </x:c>
      <x:c r="AD1131" s="10" t="str">
        <x:v>48</x:v>
      </x:c>
    </x:row>
    <x:row r="1132">
      <x:c r="A1132" s="34" t="n">
        <x:v>1132</x:v>
      </x:c>
      <x:c r="B1132" s="9" t="str">
        <x:v>48</x:v>
      </x:c>
      <x:c r="C1132" s="9" t="str">
        <x:v>where to buy vapes online</x:v>
      </x:c>
      <x:c r="D1132" s="9" t="str">
        <x:v>recommended</x:v>
      </x:c>
      <x:c r="E1132" s="36" t="n">
        <x:v>880</x:v>
      </x:c>
      <x:c r="F1132" s="36" t="n">
        <x:v>78</x:v>
      </x:c>
      <x:c r="G1132" s="9" t="str">
        <x:v>informational</x:v>
      </x:c>
      <x:c r="H1132" s="9" t="str">
        <x:v>购买交易</x:v>
      </x:c>
      <x:c r="I1132" s="9" t="str">
        <x:v>交易词</x:v>
      </x:c>
      <x:c r="J1132" s="9" t="str">
        <x:v>主站</x:v>
      </x:c>
      <x:c r="K1132" s="9" t="str"/>
      <x:c r="L1132" s="9" t="str">
        <x:f>IF(K1132="",J1132,K1132)</x:f>
        <x:v>主站</x:v>
      </x:c>
      <x:c r="M1132" s="9" t="str">
        <x:v>产品集合页/分类页/购买页</x:v>
      </x:c>
      <x:c r="N1132" s="9" t="str">
        <x:v>主站商业页：标题围绕购买意图 + 品类 + 关键卖点</x:v>
      </x:c>
      <x:c r="O1132" s="9" t="str">
        <x:v>/collections/disposable-vapes</x:v>
      </x:c>
      <x:c r="P1132" s="9" t="str">
        <x:v>不适用</x:v>
      </x:c>
      <x:c r="Q1132" s="9" t="str">
        <x:v>主站页面自身承接</x:v>
      </x:c>
      <x:c r="R1132" s="9" t="str">
        <x:v>商业词：优先给主站，避免博客抢主站排名</x:v>
      </x:c>
      <x:c r="S1132" s="9" t="str">
        <x:v>SERP 如为商品列表/品牌站/电商集合页，就建主站页面；若 SERP 全是教程，再拆支持文章。</x:v>
      </x:c>
      <x:c r="T1132" s="38" t="n">
        <x:v>10</x:v>
      </x:c>
      <x:c r="U1132" s="38" t="n">
        <x:v>1</x:v>
      </x:c>
      <x:c r="V1132" s="38" t="n">
        <x:v>20</x:v>
      </x:c>
      <x:c r="W1132" s="38" t="n">
        <x:v>7</x:v>
      </x:c>
      <x:c r="X1132" s="38" t="n">
        <x:v>15</x:v>
      </x:c>
      <x:c r="Y1132" s="38" t="n">
        <x:v>4</x:v>
      </x:c>
      <x:c r="Z1132" s="38" t="n">
        <x:f>MAX(0,MIN(100,ROUND(((T1132+U1132+V1132+W1132+X1132)-Y1132)/85*100,0)))</x:f>
        <x:v>58</x:v>
      </x:c>
      <x:c r="AA1132" s="9" t="str">
        <x:f>IF(L1132="暂不做","P3 暂缓",IF(Z1132&gt;=75,"P0 本周做",IF(Z1132&gt;=60,"P1 近期做",IF(Z1132&gt;=45,"P2 备选","P3 暂缓"))))</x:f>
        <x:v>P2 备选</x:v>
      </x:c>
      <x:c r="AB1132" s="9" t="str">
        <x:f>IF(Y1132&gt;=15,"先做合规/相关性复核，不建议直接商业导流",IF(L1132="主站","建/优化主站商业页",IF(L1132="博客A-知识教程","写知识教程/FAQ文章",IF(L1132="博客B-场景人群","写场景需求/选购指南文章",IF(L1132="博客C-对比评测","写对比评测/榜单文章","暂不做或人工复核")))))</x:f>
        <x:v>建/优化主站商业页</x:v>
      </x:c>
      <x:c r="AC1132" s="9" t="str">
        <x:v>cheap vapes</x:v>
      </x:c>
      <x:c r="AD1132" s="10" t="str">
        <x:v>48</x:v>
      </x:c>
    </x:row>
    <x:row r="1133">
      <x:c r="A1133" s="34" t="n">
        <x:v>1133</x:v>
      </x:c>
      <x:c r="B1133" s="9" t="str">
        <x:v>48</x:v>
      </x:c>
      <x:c r="C1133" s="9" t="str">
        <x:v>how much are disposable vapes</x:v>
      </x:c>
      <x:c r="D1133" s="9" t="str">
        <x:v>recommended</x:v>
      </x:c>
      <x:c r="E1133" s="36" t="n">
        <x:v>140</x:v>
      </x:c>
      <x:c r="F1133" s="36" t="n">
        <x:v>35</x:v>
      </x:c>
      <x:c r="G1133" s="9" t="str">
        <x:v>informational</x:v>
      </x:c>
      <x:c r="H1133" s="9" t="str">
        <x:v>Disposable Vape</x:v>
      </x:c>
      <x:c r="I1133" s="9" t="str">
        <x:v>知识/教程词</x:v>
      </x:c>
      <x:c r="J1133" s="9" t="str">
        <x:v>博客A-知识教程</x:v>
      </x:c>
      <x:c r="K1133" s="9" t="str"/>
      <x:c r="L1133" s="9" t="str">
        <x:f>IF(K1133="",J1133,K1133)</x:f>
        <x:v>博客A-知识教程</x:v>
      </x:c>
      <x:c r="M1133" s="9" t="str">
        <x:v>百科/How-to/FAQ文章</x:v>
      </x:c>
      <x:c r="N1133" s="9" t="str">
        <x:v>Guide angle: explain how much are disposable vapes, answer common questions, and avoid sales-first writing</x:v>
      </x:c>
      <x:c r="O1133" s="9" t="str">
        <x:v>/collections/disposable-vapes</x:v>
      </x:c>
      <x:c r="P1133" s="9" t="str">
        <x:v>谨慎</x:v>
      </x:c>
      <x:c r="Q1133" s="9" t="str">
        <x:v>自然句/品牌词</x:v>
      </x:c>
      <x:c r="R1133" s="9" t="str">
        <x:v>低中风险：先满足信息意图，导流要克制</x:v>
      </x:c>
      <x:c r="S1133" s="9" t="str">
        <x:v>如果文章能自然回答下一步购买问题，再放 1 个主站内链；否则只做知识闭环。</x:v>
      </x:c>
      <x:c r="T1133" s="38" t="n">
        <x:v>7</x:v>
      </x:c>
      <x:c r="U1133" s="38" t="n">
        <x:v>9</x:v>
      </x:c>
      <x:c r="V1133" s="38" t="n">
        <x:v>9</x:v>
      </x:c>
      <x:c r="W1133" s="38" t="n">
        <x:v>14</x:v>
      </x:c>
      <x:c r="X1133" s="38" t="n">
        <x:v>12</x:v>
      </x:c>
      <x:c r="Y1133" s="38" t="n">
        <x:v>5</x:v>
      </x:c>
      <x:c r="Z1133" s="38" t="n">
        <x:f>MAX(0,MIN(100,ROUND(((T1133+U1133+V1133+W1133+X1133)-Y1133)/85*100,0)))</x:f>
        <x:v>54</x:v>
      </x:c>
      <x:c r="AA1133" s="9" t="str">
        <x:f>IF(L1133="暂不做","P3 暂缓",IF(Z1133&gt;=75,"P0 本周做",IF(Z1133&gt;=60,"P1 近期做",IF(Z1133&gt;=45,"P2 备选","P3 暂缓"))))</x:f>
        <x:v>P2 备选</x:v>
      </x:c>
      <x:c r="AB1133" s="9" t="str">
        <x:f>IF(Y1133&gt;=15,"先做合规/相关性复核，不建议直接商业导流",IF(L1133="主站","建/优化主站商业页",IF(L1133="博客A-知识教程","写知识教程/FAQ文章",IF(L1133="博客B-场景人群","写场景需求/选购指南文章",IF(L1133="博客C-对比评测","写对比评测/榜单文章","暂不做或人工复核")))))</x:f>
        <x:v>写知识教程/FAQ文章</x:v>
      </x:c>
      <x:c r="AC1133" s="9" t="str">
        <x:v>cheap vapes</x:v>
      </x:c>
      <x:c r="AD1133" s="10" t="str">
        <x:v>48</x:v>
      </x:c>
    </x:row>
    <x:row r="1134">
      <x:c r="A1134" s="34" t="n">
        <x:v>1134</x:v>
      </x:c>
      <x:c r="B1134" s="9" t="str">
        <x:v>48</x:v>
      </x:c>
      <x:c r="C1134" s="9" t="str">
        <x:v>where to buy a vape</x:v>
      </x:c>
      <x:c r="D1134" s="9" t="str">
        <x:v>recommended</x:v>
      </x:c>
      <x:c r="E1134" s="36" t="n">
        <x:v>320</x:v>
      </x:c>
      <x:c r="F1134" s="36" t="n">
        <x:v>80</x:v>
      </x:c>
      <x:c r="G1134" s="9" t="str">
        <x:v>transactional</x:v>
      </x:c>
      <x:c r="H1134" s="9" t="str">
        <x:v>购买交易</x:v>
      </x:c>
      <x:c r="I1134" s="9" t="str">
        <x:v>交易词</x:v>
      </x:c>
      <x:c r="J1134" s="9" t="str">
        <x:v>主站</x:v>
      </x:c>
      <x:c r="K1134" s="9" t="str"/>
      <x:c r="L1134" s="9" t="str">
        <x:f>IF(K1134="",J1134,K1134)</x:f>
        <x:v>主站</x:v>
      </x:c>
      <x:c r="M1134" s="9" t="str">
        <x:v>产品集合页/分类页/购买页</x:v>
      </x:c>
      <x:c r="N1134" s="9" t="str">
        <x:v>主站商业页：标题围绕购买意图 + 品类 + 关键卖点</x:v>
      </x:c>
      <x:c r="O1134" s="9" t="str">
        <x:v>/collections/disposable-vapes</x:v>
      </x:c>
      <x:c r="P1134" s="9" t="str">
        <x:v>不适用</x:v>
      </x:c>
      <x:c r="Q1134" s="9" t="str">
        <x:v>主站页面自身承接</x:v>
      </x:c>
      <x:c r="R1134" s="9" t="str">
        <x:v>商业词：优先给主站，避免博客抢主站排名</x:v>
      </x:c>
      <x:c r="S1134" s="9" t="str">
        <x:v>SERP 如为商品列表/品牌站/电商集合页，就建主站页面；若 SERP 全是教程，再拆支持文章。</x:v>
      </x:c>
      <x:c r="T1134" s="38" t="n">
        <x:v>7</x:v>
      </x:c>
      <x:c r="U1134" s="38" t="n">
        <x:v>1</x:v>
      </x:c>
      <x:c r="V1134" s="38" t="n">
        <x:v>20</x:v>
      </x:c>
      <x:c r="W1134" s="38" t="n">
        <x:v>7</x:v>
      </x:c>
      <x:c r="X1134" s="38" t="n">
        <x:v>15</x:v>
      </x:c>
      <x:c r="Y1134" s="38" t="n">
        <x:v>4</x:v>
      </x:c>
      <x:c r="Z1134" s="38" t="n">
        <x:f>MAX(0,MIN(100,ROUND(((T1134+U1134+V1134+W1134+X1134)-Y1134)/85*100,0)))</x:f>
        <x:v>54</x:v>
      </x:c>
      <x:c r="AA1134" s="9" t="str">
        <x:f>IF(L1134="暂不做","P3 暂缓",IF(Z1134&gt;=75,"P0 本周做",IF(Z1134&gt;=60,"P1 近期做",IF(Z1134&gt;=45,"P2 备选","P3 暂缓"))))</x:f>
        <x:v>P2 备选</x:v>
      </x:c>
      <x:c r="AB1134" s="9" t="str">
        <x:f>IF(Y1134&gt;=15,"先做合规/相关性复核，不建议直接商业导流",IF(L1134="主站","建/优化主站商业页",IF(L1134="博客A-知识教程","写知识教程/FAQ文章",IF(L1134="博客B-场景人群","写场景需求/选购指南文章",IF(L1134="博客C-对比评测","写对比评测/榜单文章","暂不做或人工复核")))))</x:f>
        <x:v>建/优化主站商业页</x:v>
      </x:c>
      <x:c r="AC1134" s="9" t="str">
        <x:v>cheap vapes</x:v>
      </x:c>
      <x:c r="AD1134" s="10" t="str">
        <x:v>48</x:v>
      </x:c>
    </x:row>
    <x:row r="1135">
      <x:c r="A1135" s="34" t="n">
        <x:v>1135</x:v>
      </x:c>
      <x:c r="B1135" s="9" t="str">
        <x:v>48</x:v>
      </x:c>
      <x:c r="C1135" s="9" t="str">
        <x:v>how to buy vapes</x:v>
      </x:c>
      <x:c r="D1135" s="9" t="str">
        <x:v>recommended</x:v>
      </x:c>
      <x:c r="E1135" s="36" t="n">
        <x:v>70</x:v>
      </x:c>
      <x:c r="F1135" s="36" t="n">
        <x:v>38</x:v>
      </x:c>
      <x:c r="G1135" s="9" t="str">
        <x:v>informational</x:v>
      </x:c>
      <x:c r="H1135" s="9" t="str">
        <x:v>知识教程</x:v>
      </x:c>
      <x:c r="I1135" s="9" t="str">
        <x:v>交易词</x:v>
      </x:c>
      <x:c r="J1135" s="9" t="str">
        <x:v>主站</x:v>
      </x:c>
      <x:c r="K1135" s="9" t="str"/>
      <x:c r="L1135" s="9" t="str">
        <x:f>IF(K1135="",J1135,K1135)</x:f>
        <x:v>主站</x:v>
      </x:c>
      <x:c r="M1135" s="9" t="str">
        <x:v>产品集合页/分类页/购买页</x:v>
      </x:c>
      <x:c r="N1135" s="9" t="str">
        <x:v>主站商业页：标题围绕购买意图 + 品类 + 关键卖点</x:v>
      </x:c>
      <x:c r="O1135" s="9" t="str">
        <x:v>/collections/disposable-vapes</x:v>
      </x:c>
      <x:c r="P1135" s="9" t="str">
        <x:v>不适用</x:v>
      </x:c>
      <x:c r="Q1135" s="9" t="str">
        <x:v>主站页面自身承接</x:v>
      </x:c>
      <x:c r="R1135" s="9" t="str">
        <x:v>商业词：优先给主站，避免博客抢主站排名</x:v>
      </x:c>
      <x:c r="S1135" s="9" t="str">
        <x:v>SERP 如为商品列表/品牌站/电商集合页，就建主站页面；若 SERP 全是教程，再拆支持文章。</x:v>
      </x:c>
      <x:c r="T1135" s="38" t="n">
        <x:v>4</x:v>
      </x:c>
      <x:c r="U1135" s="38" t="n">
        <x:v>9</x:v>
      </x:c>
      <x:c r="V1135" s="38" t="n">
        <x:v>20</x:v>
      </x:c>
      <x:c r="W1135" s="38" t="n">
        <x:v>7</x:v>
      </x:c>
      <x:c r="X1135" s="38" t="n">
        <x:v>15</x:v>
      </x:c>
      <x:c r="Y1135" s="38" t="n">
        <x:v>4</x:v>
      </x:c>
      <x:c r="Z1135" s="38" t="n">
        <x:f>MAX(0,MIN(100,ROUND(((T1135+U1135+V1135+W1135+X1135)-Y1135)/85*100,0)))</x:f>
        <x:v>60</x:v>
      </x:c>
      <x:c r="AA1135" s="9" t="str">
        <x:f>IF(L1135="暂不做","P3 暂缓",IF(Z1135&gt;=75,"P0 本周做",IF(Z1135&gt;=60,"P1 近期做",IF(Z1135&gt;=45,"P2 备选","P3 暂缓"))))</x:f>
        <x:v>P1 近期做</x:v>
      </x:c>
      <x:c r="AB1135" s="9" t="str">
        <x:f>IF(Y1135&gt;=15,"先做合规/相关性复核，不建议直接商业导流",IF(L1135="主站","建/优化主站商业页",IF(L1135="博客A-知识教程","写知识教程/FAQ文章",IF(L1135="博客B-场景人群","写场景需求/选购指南文章",IF(L1135="博客C-对比评测","写对比评测/榜单文章","暂不做或人工复核")))))</x:f>
        <x:v>建/优化主站商业页</x:v>
      </x:c>
      <x:c r="AC1135" s="9" t="str">
        <x:v>cheap vapes</x:v>
      </x:c>
      <x:c r="AD1135" s="10" t="str">
        <x:v>48</x:v>
      </x:c>
    </x:row>
    <x:row r="1136">
      <x:c r="A1136" s="34" t="n">
        <x:v>1136</x:v>
      </x:c>
      <x:c r="B1136" s="9" t="str">
        <x:v>48</x:v>
      </x:c>
      <x:c r="C1136" s="9" t="str">
        <x:v>where can i get a vape</x:v>
      </x:c>
      <x:c r="D1136" s="9" t="str">
        <x:v>recommended</x:v>
      </x:c>
      <x:c r="E1136" s="36" t="n">
        <x:v>170</x:v>
      </x:c>
      <x:c r="F1136" s="36" t="n">
        <x:v>70</x:v>
      </x:c>
      <x:c r="G1136" s="9" t="str">
        <x:v>transactional</x:v>
      </x:c>
      <x:c r="H1136" s="9" t="str">
        <x:v>知识教程</x:v>
      </x:c>
      <x:c r="I1136" s="9" t="str">
        <x:v>交易词</x:v>
      </x:c>
      <x:c r="J1136" s="9" t="str">
        <x:v>主站</x:v>
      </x:c>
      <x:c r="K1136" s="9" t="str"/>
      <x:c r="L1136" s="9" t="str">
        <x:f>IF(K1136="",J1136,K1136)</x:f>
        <x:v>主站</x:v>
      </x:c>
      <x:c r="M1136" s="9" t="str">
        <x:v>产品集合页/分类页/购买页</x:v>
      </x:c>
      <x:c r="N1136" s="9" t="str">
        <x:v>主站商业页：标题围绕购买意图 + 品类 + 关键卖点</x:v>
      </x:c>
      <x:c r="O1136" s="9" t="str">
        <x:v>/collections/disposable-vapes</x:v>
      </x:c>
      <x:c r="P1136" s="9" t="str">
        <x:v>不适用</x:v>
      </x:c>
      <x:c r="Q1136" s="9" t="str">
        <x:v>主站页面自身承接</x:v>
      </x:c>
      <x:c r="R1136" s="9" t="str">
        <x:v>商业词：优先给主站，避免博客抢主站排名</x:v>
      </x:c>
      <x:c r="S1136" s="9" t="str">
        <x:v>SERP 如为商品列表/品牌站/电商集合页，就建主站页面；若 SERP 全是教程，再拆支持文章。</x:v>
      </x:c>
      <x:c r="T1136" s="38" t="n">
        <x:v>7</x:v>
      </x:c>
      <x:c r="U1136" s="38" t="n">
        <x:v>3</x:v>
      </x:c>
      <x:c r="V1136" s="38" t="n">
        <x:v>20</x:v>
      </x:c>
      <x:c r="W1136" s="38" t="n">
        <x:v>7</x:v>
      </x:c>
      <x:c r="X1136" s="38" t="n">
        <x:v>15</x:v>
      </x:c>
      <x:c r="Y1136" s="38" t="n">
        <x:v>4</x:v>
      </x:c>
      <x:c r="Z1136" s="38" t="n">
        <x:f>MAX(0,MIN(100,ROUND(((T1136+U1136+V1136+W1136+X1136)-Y1136)/85*100,0)))</x:f>
        <x:v>56</x:v>
      </x:c>
      <x:c r="AA1136" s="9" t="str">
        <x:f>IF(L1136="暂不做","P3 暂缓",IF(Z1136&gt;=75,"P0 本周做",IF(Z1136&gt;=60,"P1 近期做",IF(Z1136&gt;=45,"P2 备选","P3 暂缓"))))</x:f>
        <x:v>P2 备选</x:v>
      </x:c>
      <x:c r="AB1136" s="9" t="str">
        <x:f>IF(Y1136&gt;=15,"先做合规/相关性复核，不建议直接商业导流",IF(L1136="主站","建/优化主站商业页",IF(L1136="博客A-知识教程","写知识教程/FAQ文章",IF(L1136="博客B-场景人群","写场景需求/选购指南文章",IF(L1136="博客C-对比评测","写对比评测/榜单文章","暂不做或人工复核")))))</x:f>
        <x:v>建/优化主站商业页</x:v>
      </x:c>
      <x:c r="AC1136" s="9" t="str">
        <x:v>cheap vapes</x:v>
      </x:c>
      <x:c r="AD1136" s="10" t="str">
        <x:v>48</x:v>
      </x:c>
    </x:row>
    <x:row r="1137">
      <x:c r="A1137" s="34" t="n">
        <x:v>1137</x:v>
      </x:c>
      <x:c r="B1137" s="9" t="str">
        <x:v>48</x:v>
      </x:c>
      <x:c r="C1137" s="9" t="str">
        <x:v>where can i buy vape online</x:v>
      </x:c>
      <x:c r="D1137" s="9" t="str">
        <x:v>recommended</x:v>
      </x:c>
      <x:c r="E1137" s="36" t="n">
        <x:v>260</x:v>
      </x:c>
      <x:c r="F1137" s="36" t="n">
        <x:v>79</x:v>
      </x:c>
      <x:c r="G1137" s="9" t="str">
        <x:v>informational, transactional</x:v>
      </x:c>
      <x:c r="H1137" s="9" t="str">
        <x:v>知识教程</x:v>
      </x:c>
      <x:c r="I1137" s="9" t="str">
        <x:v>交易词</x:v>
      </x:c>
      <x:c r="J1137" s="9" t="str">
        <x:v>主站</x:v>
      </x:c>
      <x:c r="K1137" s="9" t="str"/>
      <x:c r="L1137" s="9" t="str">
        <x:f>IF(K1137="",J1137,K1137)</x:f>
        <x:v>主站</x:v>
      </x:c>
      <x:c r="M1137" s="9" t="str">
        <x:v>产品集合页/分类页/购买页</x:v>
      </x:c>
      <x:c r="N1137" s="9" t="str">
        <x:v>主站商业页：标题围绕购买意图 + 品类 + 关键卖点</x:v>
      </x:c>
      <x:c r="O1137" s="9" t="str">
        <x:v>/collections/disposable-vapes</x:v>
      </x:c>
      <x:c r="P1137" s="9" t="str">
        <x:v>不适用</x:v>
      </x:c>
      <x:c r="Q1137" s="9" t="str">
        <x:v>主站页面自身承接</x:v>
      </x:c>
      <x:c r="R1137" s="9" t="str">
        <x:v>商业词：优先给主站，避免博客抢主站排名</x:v>
      </x:c>
      <x:c r="S1137" s="9" t="str">
        <x:v>SERP 如为商品列表/品牌站/电商集合页，就建主站页面；若 SERP 全是教程，再拆支持文章。</x:v>
      </x:c>
      <x:c r="T1137" s="38" t="n">
        <x:v>7</x:v>
      </x:c>
      <x:c r="U1137" s="38" t="n">
        <x:v>1</x:v>
      </x:c>
      <x:c r="V1137" s="38" t="n">
        <x:v>20</x:v>
      </x:c>
      <x:c r="W1137" s="38" t="n">
        <x:v>7</x:v>
      </x:c>
      <x:c r="X1137" s="38" t="n">
        <x:v>15</x:v>
      </x:c>
      <x:c r="Y1137" s="38" t="n">
        <x:v>4</x:v>
      </x:c>
      <x:c r="Z1137" s="38" t="n">
        <x:f>MAX(0,MIN(100,ROUND(((T1137+U1137+V1137+W1137+X1137)-Y1137)/85*100,0)))</x:f>
        <x:v>54</x:v>
      </x:c>
      <x:c r="AA1137" s="9" t="str">
        <x:f>IF(L1137="暂不做","P3 暂缓",IF(Z1137&gt;=75,"P0 本周做",IF(Z1137&gt;=60,"P1 近期做",IF(Z1137&gt;=45,"P2 备选","P3 暂缓"))))</x:f>
        <x:v>P2 备选</x:v>
      </x:c>
      <x:c r="AB1137" s="9" t="str">
        <x:f>IF(Y1137&gt;=15,"先做合规/相关性复核，不建议直接商业导流",IF(L1137="主站","建/优化主站商业页",IF(L1137="博客A-知识教程","写知识教程/FAQ文章",IF(L1137="博客B-场景人群","写场景需求/选购指南文章",IF(L1137="博客C-对比评测","写对比评测/榜单文章","暂不做或人工复核")))))</x:f>
        <x:v>建/优化主站商业页</x:v>
      </x:c>
      <x:c r="AC1137" s="9" t="str">
        <x:v>cheap vapes</x:v>
      </x:c>
      <x:c r="AD1137" s="10" t="str">
        <x:v>48</x:v>
      </x:c>
    </x:row>
    <x:row r="1138">
      <x:c r="A1138" s="34" t="n">
        <x:v>1138</x:v>
      </x:c>
      <x:c r="B1138" s="9" t="str">
        <x:v>48</x:v>
      </x:c>
      <x:c r="C1138" s="9" t="str">
        <x:v>where can i buy a vape near me</x:v>
      </x:c>
      <x:c r="D1138" s="9" t="str">
        <x:v>recommended</x:v>
      </x:c>
      <x:c r="E1138" s="36" t="n">
        <x:v>480</x:v>
      </x:c>
      <x:c r="F1138" s="36" t="n">
        <x:v>64</x:v>
      </x:c>
      <x:c r="G1138" s="9" t="str">
        <x:v>transactional</x:v>
      </x:c>
      <x:c r="H1138" s="9" t="str">
        <x:v>知识教程</x:v>
      </x:c>
      <x:c r="I1138" s="9" t="str">
        <x:v>本地交易词</x:v>
      </x:c>
      <x:c r="J1138" s="9" t="str">
        <x:v>暂不做</x:v>
      </x:c>
      <x:c r="K1138" s="9" t="str"/>
      <x:c r="L1138" s="9" t="str">
        <x:f>IF(K1138="",J1138,K1138)</x:f>
        <x:v>暂不做</x:v>
      </x:c>
      <x:c r="M1138" s="9" t="str">
        <x:v>除非有门店页，否则暂不做</x:v>
      </x:c>
      <x:c r="N1138" s="9" t="str">
        <x:v>暂不进入博客生产</x:v>
      </x:c>
      <x:c r="O1138" s="9" t="str">
        <x:v>门店/经销商页（若有）</x:v>
      </x:c>
      <x:c r="P1138" s="9" t="str">
        <x:v>否</x:v>
      </x:c>
      <x:c r="Q1138" s="9" t="str">
        <x:v>不导流</x:v>
      </x:c>
      <x:c r="R1138" s="9" t="str">
        <x:v>匹配风险：near me 通常需要本地门店/地图结果，独立站难承接</x:v>
      </x:c>
      <x:c r="S1138" s="9" t="str">
        <x:v>如果未来有经销商/门店查询页，可改为主站门店页。</x:v>
      </x:c>
      <x:c r="T1138" s="38" t="n">
        <x:v>7</x:v>
      </x:c>
      <x:c r="U1138" s="38" t="n">
        <x:v>3</x:v>
      </x:c>
      <x:c r="V1138" s="38" t="n">
        <x:v>8</x:v>
      </x:c>
      <x:c r="W1138" s="38" t="n">
        <x:v>4</x:v>
      </x:c>
      <x:c r="X1138" s="38" t="n">
        <x:v>5</x:v>
      </x:c>
      <x:c r="Y1138" s="38" t="n">
        <x:v>12</x:v>
      </x:c>
      <x:c r="Z1138" s="38" t="n">
        <x:f>MAX(0,MIN(100,ROUND(((T1138+U1138+V1138+W1138+X1138)-Y1138)/85*100,0)))</x:f>
        <x:v>18</x:v>
      </x:c>
      <x:c r="AA1138" s="9" t="str">
        <x:f>IF(L1138="暂不做","P3 暂缓",IF(Z1138&gt;=75,"P0 本周做",IF(Z1138&gt;=60,"P1 近期做",IF(Z1138&gt;=45,"P2 备选","P3 暂缓"))))</x:f>
        <x:v>P3 暂缓</x:v>
      </x:c>
      <x:c r="AB1138" s="9" t="str">
        <x:f>IF(Y1138&gt;=15,"先做合规/相关性复核，不建议直接商业导流",IF(L1138="主站","建/优化主站商业页",IF(L1138="博客A-知识教程","写知识教程/FAQ文章",IF(L1138="博客B-场景人群","写场景需求/选购指南文章",IF(L1138="博客C-对比评测","写对比评测/榜单文章","暂不做或人工复核")))))</x:f>
        <x:v>暂不做或人工复核</x:v>
      </x:c>
      <x:c r="AC1138" s="9" t="str">
        <x:v>cheap vapes</x:v>
      </x:c>
      <x:c r="AD1138" s="10" t="str">
        <x:v>48</x:v>
      </x:c>
    </x:row>
    <x:row r="1139">
      <x:c r="A1139" s="34" t="n">
        <x:v>1139</x:v>
      </x:c>
      <x:c r="B1139" s="9" t="str">
        <x:v>48</x:v>
      </x:c>
      <x:c r="C1139" s="9" t="str">
        <x:v>can you buy a vape online</x:v>
      </x:c>
      <x:c r="D1139" s="9" t="str">
        <x:v>recommended</x:v>
      </x:c>
      <x:c r="E1139" s="36" t="n">
        <x:v>210</x:v>
      </x:c>
      <x:c r="F1139" s="36" t="n">
        <x:v>76</x:v>
      </x:c>
      <x:c r="G1139" s="9" t="str">
        <x:v>informational</x:v>
      </x:c>
      <x:c r="H1139" s="9" t="str">
        <x:v>知识教程</x:v>
      </x:c>
      <x:c r="I1139" s="9" t="str">
        <x:v>交易词</x:v>
      </x:c>
      <x:c r="J1139" s="9" t="str">
        <x:v>主站</x:v>
      </x:c>
      <x:c r="K1139" s="9" t="str"/>
      <x:c r="L1139" s="9" t="str">
        <x:f>IF(K1139="",J1139,K1139)</x:f>
        <x:v>主站</x:v>
      </x:c>
      <x:c r="M1139" s="9" t="str">
        <x:v>产品集合页/分类页/购买页</x:v>
      </x:c>
      <x:c r="N1139" s="9" t="str">
        <x:v>主站商业页：标题围绕购买意图 + 品类 + 关键卖点</x:v>
      </x:c>
      <x:c r="O1139" s="9" t="str">
        <x:v>/collections/disposable-vapes</x:v>
      </x:c>
      <x:c r="P1139" s="9" t="str">
        <x:v>不适用</x:v>
      </x:c>
      <x:c r="Q1139" s="9" t="str">
        <x:v>主站页面自身承接</x:v>
      </x:c>
      <x:c r="R1139" s="9" t="str">
        <x:v>商业词：优先给主站，避免博客抢主站排名</x:v>
      </x:c>
      <x:c r="S1139" s="9" t="str">
        <x:v>SERP 如为商品列表/品牌站/电商集合页，就建主站页面；若 SERP 全是教程，再拆支持文章。</x:v>
      </x:c>
      <x:c r="T1139" s="38" t="n">
        <x:v>7</x:v>
      </x:c>
      <x:c r="U1139" s="38" t="n">
        <x:v>1</x:v>
      </x:c>
      <x:c r="V1139" s="38" t="n">
        <x:v>20</x:v>
      </x:c>
      <x:c r="W1139" s="38" t="n">
        <x:v>7</x:v>
      </x:c>
      <x:c r="X1139" s="38" t="n">
        <x:v>15</x:v>
      </x:c>
      <x:c r="Y1139" s="38" t="n">
        <x:v>4</x:v>
      </x:c>
      <x:c r="Z1139" s="38" t="n">
        <x:f>MAX(0,MIN(100,ROUND(((T1139+U1139+V1139+W1139+X1139)-Y1139)/85*100,0)))</x:f>
        <x:v>54</x:v>
      </x:c>
      <x:c r="AA1139" s="9" t="str">
        <x:f>IF(L1139="暂不做","P3 暂缓",IF(Z1139&gt;=75,"P0 本周做",IF(Z1139&gt;=60,"P1 近期做",IF(Z1139&gt;=45,"P2 备选","P3 暂缓"))))</x:f>
        <x:v>P2 备选</x:v>
      </x:c>
      <x:c r="AB1139" s="9" t="str">
        <x:f>IF(Y1139&gt;=15,"先做合规/相关性复核，不建议直接商业导流",IF(L1139="主站","建/优化主站商业页",IF(L1139="博客A-知识教程","写知识教程/FAQ文章",IF(L1139="博客B-场景人群","写场景需求/选购指南文章",IF(L1139="博客C-对比评测","写对比评测/榜单文章","暂不做或人工复核")))))</x:f>
        <x:v>建/优化主站商业页</x:v>
      </x:c>
      <x:c r="AC1139" s="9" t="str">
        <x:v>cheap vapes</x:v>
      </x:c>
      <x:c r="AD1139" s="10" t="str">
        <x:v>48</x:v>
      </x:c>
    </x:row>
    <x:row r="1140">
      <x:c r="A1140" s="34" t="n">
        <x:v>1140</x:v>
      </x:c>
      <x:c r="B1140" s="9" t="str">
        <x:v>48</x:v>
      </x:c>
      <x:c r="C1140" s="9" t="str">
        <x:v>where can you buy vapes</x:v>
      </x:c>
      <x:c r="D1140" s="9" t="str">
        <x:v>recommended</x:v>
      </x:c>
      <x:c r="E1140" s="36" t="n">
        <x:v>210</x:v>
      </x:c>
      <x:c r="F1140" s="36" t="n">
        <x:v>77</x:v>
      </x:c>
      <x:c r="G1140" s="9" t="str">
        <x:v>transactional</x:v>
      </x:c>
      <x:c r="H1140" s="9" t="str">
        <x:v>知识教程</x:v>
      </x:c>
      <x:c r="I1140" s="9" t="str">
        <x:v>交易词</x:v>
      </x:c>
      <x:c r="J1140" s="9" t="str">
        <x:v>主站</x:v>
      </x:c>
      <x:c r="K1140" s="9" t="str"/>
      <x:c r="L1140" s="9" t="str">
        <x:f>IF(K1140="",J1140,K1140)</x:f>
        <x:v>主站</x:v>
      </x:c>
      <x:c r="M1140" s="9" t="str">
        <x:v>产品集合页/分类页/购买页</x:v>
      </x:c>
      <x:c r="N1140" s="9" t="str">
        <x:v>主站商业页：标题围绕购买意图 + 品类 + 关键卖点</x:v>
      </x:c>
      <x:c r="O1140" s="9" t="str">
        <x:v>/collections/disposable-vapes</x:v>
      </x:c>
      <x:c r="P1140" s="9" t="str">
        <x:v>不适用</x:v>
      </x:c>
      <x:c r="Q1140" s="9" t="str">
        <x:v>主站页面自身承接</x:v>
      </x:c>
      <x:c r="R1140" s="9" t="str">
        <x:v>商业词：优先给主站，避免博客抢主站排名</x:v>
      </x:c>
      <x:c r="S1140" s="9" t="str">
        <x:v>SERP 如为商品列表/品牌站/电商集合页，就建主站页面；若 SERP 全是教程，再拆支持文章。</x:v>
      </x:c>
      <x:c r="T1140" s="38" t="n">
        <x:v>7</x:v>
      </x:c>
      <x:c r="U1140" s="38" t="n">
        <x:v>1</x:v>
      </x:c>
      <x:c r="V1140" s="38" t="n">
        <x:v>20</x:v>
      </x:c>
      <x:c r="W1140" s="38" t="n">
        <x:v>7</x:v>
      </x:c>
      <x:c r="X1140" s="38" t="n">
        <x:v>15</x:v>
      </x:c>
      <x:c r="Y1140" s="38" t="n">
        <x:v>4</x:v>
      </x:c>
      <x:c r="Z1140" s="38" t="n">
        <x:f>MAX(0,MIN(100,ROUND(((T1140+U1140+V1140+W1140+X1140)-Y1140)/85*100,0)))</x:f>
        <x:v>54</x:v>
      </x:c>
      <x:c r="AA1140" s="9" t="str">
        <x:f>IF(L1140="暂不做","P3 暂缓",IF(Z1140&gt;=75,"P0 本周做",IF(Z1140&gt;=60,"P1 近期做",IF(Z1140&gt;=45,"P2 备选","P3 暂缓"))))</x:f>
        <x:v>P2 备选</x:v>
      </x:c>
      <x:c r="AB1140" s="9" t="str">
        <x:f>IF(Y1140&gt;=15,"先做合规/相关性复核，不建议直接商业导流",IF(L1140="主站","建/优化主站商业页",IF(L1140="博客A-知识教程","写知识教程/FAQ文章",IF(L1140="博客B-场景人群","写场景需求/选购指南文章",IF(L1140="博客C-对比评测","写对比评测/榜单文章","暂不做或人工复核")))))</x:f>
        <x:v>建/优化主站商业页</x:v>
      </x:c>
      <x:c r="AC1140" s="9" t="str">
        <x:v>cheap vapes</x:v>
      </x:c>
      <x:c r="AD1140" s="10" t="str">
        <x:v>48</x:v>
      </x:c>
    </x:row>
    <x:row r="1141">
      <x:c r="A1141" s="34" t="n">
        <x:v>1141</x:v>
      </x:c>
      <x:c r="B1141" s="9" t="str">
        <x:v>48</x:v>
      </x:c>
      <x:c r="C1141" s="9" t="str">
        <x:v>can i order a vape online</x:v>
      </x:c>
      <x:c r="D1141" s="9" t="str">
        <x:v>recommended</x:v>
      </x:c>
      <x:c r="E1141" s="36" t="n">
        <x:v>170</x:v>
      </x:c>
      <x:c r="F1141" s="36" t="n">
        <x:v>73</x:v>
      </x:c>
      <x:c r="G1141" s="9" t="str">
        <x:v>informational</x:v>
      </x:c>
      <x:c r="H1141" s="9" t="str">
        <x:v>知识教程</x:v>
      </x:c>
      <x:c r="I1141" s="9" t="str">
        <x:v>交易词</x:v>
      </x:c>
      <x:c r="J1141" s="9" t="str">
        <x:v>主站</x:v>
      </x:c>
      <x:c r="K1141" s="9" t="str"/>
      <x:c r="L1141" s="9" t="str">
        <x:f>IF(K1141="",J1141,K1141)</x:f>
        <x:v>主站</x:v>
      </x:c>
      <x:c r="M1141" s="9" t="str">
        <x:v>产品集合页/分类页/购买页</x:v>
      </x:c>
      <x:c r="N1141" s="9" t="str">
        <x:v>主站商业页：标题围绕购买意图 + 品类 + 关键卖点</x:v>
      </x:c>
      <x:c r="O1141" s="9" t="str">
        <x:v>/collections/disposable-vapes</x:v>
      </x:c>
      <x:c r="P1141" s="9" t="str">
        <x:v>不适用</x:v>
      </x:c>
      <x:c r="Q1141" s="9" t="str">
        <x:v>主站页面自身承接</x:v>
      </x:c>
      <x:c r="R1141" s="9" t="str">
        <x:v>商业词：优先给主站，避免博客抢主站排名</x:v>
      </x:c>
      <x:c r="S1141" s="9" t="str">
        <x:v>SERP 如为商品列表/品牌站/电商集合页，就建主站页面；若 SERP 全是教程，再拆支持文章。</x:v>
      </x:c>
      <x:c r="T1141" s="38" t="n">
        <x:v>7</x:v>
      </x:c>
      <x:c r="U1141" s="38" t="n">
        <x:v>3</x:v>
      </x:c>
      <x:c r="V1141" s="38" t="n">
        <x:v>20</x:v>
      </x:c>
      <x:c r="W1141" s="38" t="n">
        <x:v>7</x:v>
      </x:c>
      <x:c r="X1141" s="38" t="n">
        <x:v>15</x:v>
      </x:c>
      <x:c r="Y1141" s="38" t="n">
        <x:v>4</x:v>
      </x:c>
      <x:c r="Z1141" s="38" t="n">
        <x:f>MAX(0,MIN(100,ROUND(((T1141+U1141+V1141+W1141+X1141)-Y1141)/85*100,0)))</x:f>
        <x:v>56</x:v>
      </x:c>
      <x:c r="AA1141" s="9" t="str">
        <x:f>IF(L1141="暂不做","P3 暂缓",IF(Z1141&gt;=75,"P0 本周做",IF(Z1141&gt;=60,"P1 近期做",IF(Z1141&gt;=45,"P2 备选","P3 暂缓"))))</x:f>
        <x:v>P2 备选</x:v>
      </x:c>
      <x:c r="AB1141" s="9" t="str">
        <x:f>IF(Y1141&gt;=15,"先做合规/相关性复核，不建议直接商业导流",IF(L1141="主站","建/优化主站商业页",IF(L1141="博客A-知识教程","写知识教程/FAQ文章",IF(L1141="博客B-场景人群","写场景需求/选购指南文章",IF(L1141="博客C-对比评测","写对比评测/榜单文章","暂不做或人工复核")))))</x:f>
        <x:v>建/优化主站商业页</x:v>
      </x:c>
      <x:c r="AC1141" s="9" t="str">
        <x:v>cheap vapes</x:v>
      </x:c>
      <x:c r="AD1141" s="10" t="str">
        <x:v>48</x:v>
      </x:c>
    </x:row>
    <x:row r="1142">
      <x:c r="A1142" s="34" t="n">
        <x:v>1142</x:v>
      </x:c>
      <x:c r="B1142" s="9" t="str">
        <x:v>48</x:v>
      </x:c>
      <x:c r="C1142" s="9" t="str">
        <x:v>can i order a vape</x:v>
      </x:c>
      <x:c r="D1142" s="9" t="str">
        <x:v>recommended</x:v>
      </x:c>
      <x:c r="E1142" s="36" t="n">
        <x:v>50</x:v>
      </x:c>
      <x:c r="F1142" s="36" t="n">
        <x:v>45</x:v>
      </x:c>
      <x:c r="G1142" s="9" t="str">
        <x:v>informational</x:v>
      </x:c>
      <x:c r="H1142" s="9" t="str">
        <x:v>知识教程</x:v>
      </x:c>
      <x:c r="I1142" s="9" t="str">
        <x:v>交易词</x:v>
      </x:c>
      <x:c r="J1142" s="9" t="str">
        <x:v>主站</x:v>
      </x:c>
      <x:c r="K1142" s="9" t="str"/>
      <x:c r="L1142" s="9" t="str">
        <x:f>IF(K1142="",J1142,K1142)</x:f>
        <x:v>主站</x:v>
      </x:c>
      <x:c r="M1142" s="9" t="str">
        <x:v>产品集合页/分类页/购买页</x:v>
      </x:c>
      <x:c r="N1142" s="9" t="str">
        <x:v>主站商业页：标题围绕购买意图 + 品类 + 关键卖点</x:v>
      </x:c>
      <x:c r="O1142" s="9" t="str">
        <x:v>/collections/disposable-vapes</x:v>
      </x:c>
      <x:c r="P1142" s="9" t="str">
        <x:v>不适用</x:v>
      </x:c>
      <x:c r="Q1142" s="9" t="str">
        <x:v>主站页面自身承接</x:v>
      </x:c>
      <x:c r="R1142" s="9" t="str">
        <x:v>商业词：优先给主站，避免博客抢主站排名</x:v>
      </x:c>
      <x:c r="S1142" s="9" t="str">
        <x:v>SERP 如为商品列表/品牌站/电商集合页，就建主站页面；若 SERP 全是教程，再拆支持文章。</x:v>
      </x:c>
      <x:c r="T1142" s="38" t="n">
        <x:v>4</x:v>
      </x:c>
      <x:c r="U1142" s="38" t="n">
        <x:v>9</x:v>
      </x:c>
      <x:c r="V1142" s="38" t="n">
        <x:v>20</x:v>
      </x:c>
      <x:c r="W1142" s="38" t="n">
        <x:v>7</x:v>
      </x:c>
      <x:c r="X1142" s="38" t="n">
        <x:v>15</x:v>
      </x:c>
      <x:c r="Y1142" s="38" t="n">
        <x:v>4</x:v>
      </x:c>
      <x:c r="Z1142" s="38" t="n">
        <x:f>MAX(0,MIN(100,ROUND(((T1142+U1142+V1142+W1142+X1142)-Y1142)/85*100,0)))</x:f>
        <x:v>60</x:v>
      </x:c>
      <x:c r="AA1142" s="9" t="str">
        <x:f>IF(L1142="暂不做","P3 暂缓",IF(Z1142&gt;=75,"P0 本周做",IF(Z1142&gt;=60,"P1 近期做",IF(Z1142&gt;=45,"P2 备选","P3 暂缓"))))</x:f>
        <x:v>P1 近期做</x:v>
      </x:c>
      <x:c r="AB1142" s="9" t="str">
        <x:f>IF(Y1142&gt;=15,"先做合规/相关性复核，不建议直接商业导流",IF(L1142="主站","建/优化主站商业页",IF(L1142="博客A-知识教程","写知识教程/FAQ文章",IF(L1142="博客B-场景人群","写场景需求/选购指南文章",IF(L1142="博客C-对比评测","写对比评测/榜单文章","暂不做或人工复核")))))</x:f>
        <x:v>建/优化主站商业页</x:v>
      </x:c>
      <x:c r="AC1142" s="9" t="str">
        <x:v>cheap vapes</x:v>
      </x:c>
      <x:c r="AD1142" s="10" t="str">
        <x:v>48</x:v>
      </x:c>
    </x:row>
    <x:row r="1143">
      <x:c r="A1143" s="34" t="n">
        <x:v>1143</x:v>
      </x:c>
      <x:c r="B1143" s="9" t="str">
        <x:v>48</x:v>
      </x:c>
      <x:c r="C1143" s="9" t="str">
        <x:v>where to buy disposable vapes online</x:v>
      </x:c>
      <x:c r="D1143" s="9" t="str">
        <x:v>recommended</x:v>
      </x:c>
      <x:c r="E1143" s="36" t="n">
        <x:v>70</x:v>
      </x:c>
      <x:c r="F1143" s="36" t="n">
        <x:v>57</x:v>
      </x:c>
      <x:c r="G1143" s="9" t="str">
        <x:v>informational, transactional</x:v>
      </x:c>
      <x:c r="H1143" s="9" t="str">
        <x:v>Disposable Vape</x:v>
      </x:c>
      <x:c r="I1143" s="9" t="str">
        <x:v>交易词</x:v>
      </x:c>
      <x:c r="J1143" s="9" t="str">
        <x:v>主站</x:v>
      </x:c>
      <x:c r="K1143" s="9" t="str"/>
      <x:c r="L1143" s="9" t="str">
        <x:f>IF(K1143="",J1143,K1143)</x:f>
        <x:v>主站</x:v>
      </x:c>
      <x:c r="M1143" s="9" t="str">
        <x:v>产品集合页/分类页/购买页</x:v>
      </x:c>
      <x:c r="N1143" s="9" t="str">
        <x:v>主站商业页：标题围绕购买意图 + 品类 + 关键卖点</x:v>
      </x:c>
      <x:c r="O1143" s="9" t="str">
        <x:v>/collections/disposable-vapes</x:v>
      </x:c>
      <x:c r="P1143" s="9" t="str">
        <x:v>不适用</x:v>
      </x:c>
      <x:c r="Q1143" s="9" t="str">
        <x:v>主站页面自身承接</x:v>
      </x:c>
      <x:c r="R1143" s="9" t="str">
        <x:v>商业词：优先给主站，避免博客抢主站排名</x:v>
      </x:c>
      <x:c r="S1143" s="9" t="str">
        <x:v>SERP 如为商品列表/品牌站/电商集合页，就建主站页面；若 SERP 全是教程，再拆支持文章。</x:v>
      </x:c>
      <x:c r="T1143" s="38" t="n">
        <x:v>4</x:v>
      </x:c>
      <x:c r="U1143" s="38" t="n">
        <x:v>6</x:v>
      </x:c>
      <x:c r="V1143" s="38" t="n">
        <x:v>20</x:v>
      </x:c>
      <x:c r="W1143" s="38" t="n">
        <x:v>7</x:v>
      </x:c>
      <x:c r="X1143" s="38" t="n">
        <x:v>15</x:v>
      </x:c>
      <x:c r="Y1143" s="38" t="n">
        <x:v>4</x:v>
      </x:c>
      <x:c r="Z1143" s="38" t="n">
        <x:f>MAX(0,MIN(100,ROUND(((T1143+U1143+V1143+W1143+X1143)-Y1143)/85*100,0)))</x:f>
        <x:v>56</x:v>
      </x:c>
      <x:c r="AA1143" s="9" t="str">
        <x:f>IF(L1143="暂不做","P3 暂缓",IF(Z1143&gt;=75,"P0 本周做",IF(Z1143&gt;=60,"P1 近期做",IF(Z1143&gt;=45,"P2 备选","P3 暂缓"))))</x:f>
        <x:v>P2 备选</x:v>
      </x:c>
      <x:c r="AB1143" s="9" t="str">
        <x:f>IF(Y1143&gt;=15,"先做合规/相关性复核，不建议直接商业导流",IF(L1143="主站","建/优化主站商业页",IF(L1143="博客A-知识教程","写知识教程/FAQ文章",IF(L1143="博客B-场景人群","写场景需求/选购指南文章",IF(L1143="博客C-对比评测","写对比评测/榜单文章","暂不做或人工复核")))))</x:f>
        <x:v>建/优化主站商业页</x:v>
      </x:c>
      <x:c r="AC1143" s="9" t="str">
        <x:v>cheap vapes</x:v>
      </x:c>
      <x:c r="AD1143" s="10" t="str">
        <x:v>48</x:v>
      </x:c>
    </x:row>
    <x:row r="1144">
      <x:c r="A1144" s="34" t="n">
        <x:v>1144</x:v>
      </x:c>
      <x:c r="B1144" s="9" t="str">
        <x:v>48</x:v>
      </x:c>
      <x:c r="C1144" s="9" t="str">
        <x:v>where to buy ecigs</x:v>
      </x:c>
      <x:c r="D1144" s="9" t="str">
        <x:v>recommended</x:v>
      </x:c>
      <x:c r="E1144" s="36" t="n">
        <x:v>140</x:v>
      </x:c>
      <x:c r="F1144" s="36" t="n">
        <x:v>77</x:v>
      </x:c>
      <x:c r="G1144" s="9" t="str">
        <x:v>transactional</x:v>
      </x:c>
      <x:c r="H1144" s="9" t="str">
        <x:v>购买交易</x:v>
      </x:c>
      <x:c r="I1144" s="9" t="str">
        <x:v>交易词</x:v>
      </x:c>
      <x:c r="J1144" s="9" t="str">
        <x:v>主站</x:v>
      </x:c>
      <x:c r="K1144" s="9" t="str"/>
      <x:c r="L1144" s="9" t="str">
        <x:f>IF(K1144="",J1144,K1144)</x:f>
        <x:v>主站</x:v>
      </x:c>
      <x:c r="M1144" s="9" t="str">
        <x:v>产品集合页/分类页/购买页</x:v>
      </x:c>
      <x:c r="N1144" s="9" t="str">
        <x:v>主站商业页：标题围绕购买意图 + 品类 + 关键卖点</x:v>
      </x:c>
      <x:c r="O1144" s="9" t="str">
        <x:v>/collections/disposable-vapes</x:v>
      </x:c>
      <x:c r="P1144" s="9" t="str">
        <x:v>不适用</x:v>
      </x:c>
      <x:c r="Q1144" s="9" t="str">
        <x:v>主站页面自身承接</x:v>
      </x:c>
      <x:c r="R1144" s="9" t="str">
        <x:v>商业词：优先给主站，避免博客抢主站排名</x:v>
      </x:c>
      <x:c r="S1144" s="9" t="str">
        <x:v>SERP 如为商品列表/品牌站/电商集合页，就建主站页面；若 SERP 全是教程，再拆支持文章。</x:v>
      </x:c>
      <x:c r="T1144" s="38" t="n">
        <x:v>7</x:v>
      </x:c>
      <x:c r="U1144" s="38" t="n">
        <x:v>1</x:v>
      </x:c>
      <x:c r="V1144" s="38" t="n">
        <x:v>20</x:v>
      </x:c>
      <x:c r="W1144" s="38" t="n">
        <x:v>7</x:v>
      </x:c>
      <x:c r="X1144" s="38" t="n">
        <x:v>15</x:v>
      </x:c>
      <x:c r="Y1144" s="38" t="n">
        <x:v>4</x:v>
      </x:c>
      <x:c r="Z1144" s="38" t="n">
        <x:f>MAX(0,MIN(100,ROUND(((T1144+U1144+V1144+W1144+X1144)-Y1144)/85*100,0)))</x:f>
        <x:v>54</x:v>
      </x:c>
      <x:c r="AA1144" s="9" t="str">
        <x:f>IF(L1144="暂不做","P3 暂缓",IF(Z1144&gt;=75,"P0 本周做",IF(Z1144&gt;=60,"P1 近期做",IF(Z1144&gt;=45,"P2 备选","P3 暂缓"))))</x:f>
        <x:v>P2 备选</x:v>
      </x:c>
      <x:c r="AB1144" s="9" t="str">
        <x:f>IF(Y1144&gt;=15,"先做合规/相关性复核，不建议直接商业导流",IF(L1144="主站","建/优化主站商业页",IF(L1144="博客A-知识教程","写知识教程/FAQ文章",IF(L1144="博客B-场景人群","写场景需求/选购指南文章",IF(L1144="博客C-对比评测","写对比评测/榜单文章","暂不做或人工复核")))))</x:f>
        <x:v>建/优化主站商业页</x:v>
      </x:c>
      <x:c r="AC1144" s="9" t="str">
        <x:v>cheap vapes</x:v>
      </x:c>
      <x:c r="AD1144" s="10" t="str">
        <x:v>48</x:v>
      </x:c>
    </x:row>
    <x:row r="1145">
      <x:c r="A1145" s="34" t="n">
        <x:v>1145</x:v>
      </x:c>
      <x:c r="B1145" s="9" t="str">
        <x:v>48</x:v>
      </x:c>
      <x:c r="C1145" s="9" t="str">
        <x:v>where to buy flavored vapes</x:v>
      </x:c>
      <x:c r="D1145" s="9" t="str">
        <x:v>recommended</x:v>
      </x:c>
      <x:c r="E1145" s="36" t="n">
        <x:v>70</x:v>
      </x:c>
      <x:c r="F1145" s="36" t="n">
        <x:v>40</x:v>
      </x:c>
      <x:c r="G1145" s="9" t="str">
        <x:v>transactional</x:v>
      </x:c>
      <x:c r="H1145" s="9" t="str">
        <x:v>Flavor / 口味</x:v>
      </x:c>
      <x:c r="I1145" s="9" t="str">
        <x:v>交易词</x:v>
      </x:c>
      <x:c r="J1145" s="9" t="str">
        <x:v>主站</x:v>
      </x:c>
      <x:c r="K1145" s="9" t="str"/>
      <x:c r="L1145" s="9" t="str">
        <x:f>IF(K1145="",J1145,K1145)</x:f>
        <x:v>主站</x:v>
      </x:c>
      <x:c r="M1145" s="9" t="str">
        <x:v>产品集合页/分类页/购买页</x:v>
      </x:c>
      <x:c r="N1145" s="9" t="str">
        <x:v>主站商业页：标题围绕购买意图 + 品类 + 关键卖点</x:v>
      </x:c>
      <x:c r="O1145" s="9" t="str">
        <x:v>/collections/flavored-disposable-vapes</x:v>
      </x:c>
      <x:c r="P1145" s="9" t="str">
        <x:v>不适用</x:v>
      </x:c>
      <x:c r="Q1145" s="9" t="str">
        <x:v>主站页面自身承接</x:v>
      </x:c>
      <x:c r="R1145" s="9" t="str">
        <x:v>商业词：优先给主站，避免博客抢主站排名</x:v>
      </x:c>
      <x:c r="S1145" s="9" t="str">
        <x:v>SERP 如为商品列表/品牌站/电商集合页，就建主站页面；若 SERP 全是教程，再拆支持文章。</x:v>
      </x:c>
      <x:c r="T1145" s="38" t="n">
        <x:v>4</x:v>
      </x:c>
      <x:c r="U1145" s="38" t="n">
        <x:v>9</x:v>
      </x:c>
      <x:c r="V1145" s="38" t="n">
        <x:v>20</x:v>
      </x:c>
      <x:c r="W1145" s="38" t="n">
        <x:v>7</x:v>
      </x:c>
      <x:c r="X1145" s="38" t="n">
        <x:v>15</x:v>
      </x:c>
      <x:c r="Y1145" s="38" t="n">
        <x:v>4</x:v>
      </x:c>
      <x:c r="Z1145" s="38" t="n">
        <x:f>MAX(0,MIN(100,ROUND(((T1145+U1145+V1145+W1145+X1145)-Y1145)/85*100,0)))</x:f>
        <x:v>60</x:v>
      </x:c>
      <x:c r="AA1145" s="9" t="str">
        <x:f>IF(L1145="暂不做","P3 暂缓",IF(Z1145&gt;=75,"P0 本周做",IF(Z1145&gt;=60,"P1 近期做",IF(Z1145&gt;=45,"P2 备选","P3 暂缓"))))</x:f>
        <x:v>P1 近期做</x:v>
      </x:c>
      <x:c r="AB1145" s="9" t="str">
        <x:f>IF(Y1145&gt;=15,"先做合规/相关性复核，不建议直接商业导流",IF(L1145="主站","建/优化主站商业页",IF(L1145="博客A-知识教程","写知识教程/FAQ文章",IF(L1145="博客B-场景人群","写场景需求/选购指南文章",IF(L1145="博客C-对比评测","写对比评测/榜单文章","暂不做或人工复核")))))</x:f>
        <x:v>建/优化主站商业页</x:v>
      </x:c>
      <x:c r="AC1145" s="9" t="str">
        <x:v>cheap vapes</x:v>
      </x:c>
      <x:c r="AD1145" s="10" t="str">
        <x:v>48</x:v>
      </x:c>
    </x:row>
    <x:row r="1146">
      <x:c r="A1146" s="34" t="n">
        <x:v>1146</x:v>
      </x:c>
      <x:c r="B1146" s="9" t="str">
        <x:v>48</x:v>
      </x:c>
      <x:c r="C1146" s="9" t="str">
        <x:v>where to buy cheap vapes</x:v>
      </x:c>
      <x:c r="D1146" s="9" t="str">
        <x:v>recommended</x:v>
      </x:c>
      <x:c r="E1146" s="36" t="n">
        <x:v>40</x:v>
      </x:c>
      <x:c r="F1146" s="36" t="n">
        <x:v>50</x:v>
      </x:c>
      <x:c r="G1146" s="9" t="str">
        <x:v>transactional</x:v>
      </x:c>
      <x:c r="H1146" s="9" t="str">
        <x:v>购买交易</x:v>
      </x:c>
      <x:c r="I1146" s="9" t="str">
        <x:v>交易词</x:v>
      </x:c>
      <x:c r="J1146" s="9" t="str">
        <x:v>主站</x:v>
      </x:c>
      <x:c r="K1146" s="9" t="str"/>
      <x:c r="L1146" s="9" t="str">
        <x:f>IF(K1146="",J1146,K1146)</x:f>
        <x:v>主站</x:v>
      </x:c>
      <x:c r="M1146" s="9" t="str">
        <x:v>产品集合页/分类页/购买页</x:v>
      </x:c>
      <x:c r="N1146" s="9" t="str">
        <x:v>主站商业页：标题围绕购买意图 + 品类 + 关键卖点</x:v>
      </x:c>
      <x:c r="O1146" s="9" t="str">
        <x:v>/collections/disposable-vapes</x:v>
      </x:c>
      <x:c r="P1146" s="9" t="str">
        <x:v>不适用</x:v>
      </x:c>
      <x:c r="Q1146" s="9" t="str">
        <x:v>主站页面自身承接</x:v>
      </x:c>
      <x:c r="R1146" s="9" t="str">
        <x:v>商业词：优先给主站，避免博客抢主站排名</x:v>
      </x:c>
      <x:c r="S1146" s="9" t="str">
        <x:v>SERP 如为商品列表/品牌站/电商集合页，就建主站页面；若 SERP 全是教程，再拆支持文章。</x:v>
      </x:c>
      <x:c r="T1146" s="38" t="n">
        <x:v>4</x:v>
      </x:c>
      <x:c r="U1146" s="38" t="n">
        <x:v>6</x:v>
      </x:c>
      <x:c r="V1146" s="38" t="n">
        <x:v>20</x:v>
      </x:c>
      <x:c r="W1146" s="38" t="n">
        <x:v>7</x:v>
      </x:c>
      <x:c r="X1146" s="38" t="n">
        <x:v>15</x:v>
      </x:c>
      <x:c r="Y1146" s="38" t="n">
        <x:v>4</x:v>
      </x:c>
      <x:c r="Z1146" s="38" t="n">
        <x:f>MAX(0,MIN(100,ROUND(((T1146+U1146+V1146+W1146+X1146)-Y1146)/85*100,0)))</x:f>
        <x:v>56</x:v>
      </x:c>
      <x:c r="AA1146" s="9" t="str">
        <x:f>IF(L1146="暂不做","P3 暂缓",IF(Z1146&gt;=75,"P0 本周做",IF(Z1146&gt;=60,"P1 近期做",IF(Z1146&gt;=45,"P2 备选","P3 暂缓"))))</x:f>
        <x:v>P2 备选</x:v>
      </x:c>
      <x:c r="AB1146" s="9" t="str">
        <x:f>IF(Y1146&gt;=15,"先做合规/相关性复核，不建议直接商业导流",IF(L1146="主站","建/优化主站商业页",IF(L1146="博客A-知识教程","写知识教程/FAQ文章",IF(L1146="博客B-场景人群","写场景需求/选购指南文章",IF(L1146="博客C-对比评测","写对比评测/榜单文章","暂不做或人工复核")))))</x:f>
        <x:v>建/优化主站商业页</x:v>
      </x:c>
      <x:c r="AC1146" s="9" t="str">
        <x:v>cheap vapes</x:v>
      </x:c>
      <x:c r="AD1146" s="10" t="str">
        <x:v>48</x:v>
      </x:c>
    </x:row>
    <x:row r="1147">
      <x:c r="A1147" s="34" t="n">
        <x:v>1147</x:v>
      </x:c>
      <x:c r="B1147" s="9" t="str">
        <x:v>48</x:v>
      </x:c>
      <x:c r="C1147" s="9" t="str">
        <x:v>cheap vapes</x:v>
      </x:c>
      <x:c r="D1147" s="9" t="str">
        <x:v>recommended</x:v>
      </x:c>
      <x:c r="E1147" s="36" t="n">
        <x:v>6600</x:v>
      </x:c>
      <x:c r="F1147" s="36" t="n">
        <x:v>41</x:v>
      </x:c>
      <x:c r="G1147" s="9" t="str">
        <x:v>commercial</x:v>
      </x:c>
      <x:c r="H1147" s="9" t="str">
        <x:v>购买交易</x:v>
      </x:c>
      <x:c r="I1147" s="9" t="str">
        <x:v>交易词</x:v>
      </x:c>
      <x:c r="J1147" s="9" t="str">
        <x:v>主站</x:v>
      </x:c>
      <x:c r="K1147" s="9" t="str"/>
      <x:c r="L1147" s="9" t="str">
        <x:f>IF(K1147="",J1147,K1147)</x:f>
        <x:v>主站</x:v>
      </x:c>
      <x:c r="M1147" s="9" t="str">
        <x:v>产品集合页/分类页/购买页</x:v>
      </x:c>
      <x:c r="N1147" s="9" t="str">
        <x:v>主站商业页：标题围绕购买意图 + 品类 + 关键卖点</x:v>
      </x:c>
      <x:c r="O1147" s="9" t="str">
        <x:v>/collections/disposable-vapes</x:v>
      </x:c>
      <x:c r="P1147" s="9" t="str">
        <x:v>不适用</x:v>
      </x:c>
      <x:c r="Q1147" s="9" t="str">
        <x:v>主站页面自身承接</x:v>
      </x:c>
      <x:c r="R1147" s="9" t="str">
        <x:v>商业词：优先给主站，避免博客抢主站排名</x:v>
      </x:c>
      <x:c r="S1147" s="9" t="str">
        <x:v>SERP 如为商品列表/品牌站/电商集合页，就建主站页面；若 SERP 全是教程，再拆支持文章。</x:v>
      </x:c>
      <x:c r="T1147" s="38" t="n">
        <x:v>16</x:v>
      </x:c>
      <x:c r="U1147" s="38" t="n">
        <x:v>9</x:v>
      </x:c>
      <x:c r="V1147" s="38" t="n">
        <x:v>20</x:v>
      </x:c>
      <x:c r="W1147" s="38" t="n">
        <x:v>7</x:v>
      </x:c>
      <x:c r="X1147" s="38" t="n">
        <x:v>15</x:v>
      </x:c>
      <x:c r="Y1147" s="38" t="n">
        <x:v>4</x:v>
      </x:c>
      <x:c r="Z1147" s="38" t="n">
        <x:f>MAX(0,MIN(100,ROUND(((T1147+U1147+V1147+W1147+X1147)-Y1147)/85*100,0)))</x:f>
        <x:v>74</x:v>
      </x:c>
      <x:c r="AA1147" s="9" t="str">
        <x:f>IF(L1147="暂不做","P3 暂缓",IF(Z1147&gt;=75,"P0 本周做",IF(Z1147&gt;=60,"P1 近期做",IF(Z1147&gt;=45,"P2 备选","P3 暂缓"))))</x:f>
        <x:v>P1 近期做</x:v>
      </x:c>
      <x:c r="AB1147" s="9" t="str">
        <x:f>IF(Y1147&gt;=15,"先做合规/相关性复核，不建议直接商业导流",IF(L1147="主站","建/优化主站商业页",IF(L1147="博客A-知识教程","写知识教程/FAQ文章",IF(L1147="博客B-场景人群","写场景需求/选购指南文章",IF(L1147="博客C-对比评测","写对比评测/榜单文章","暂不做或人工复核")))))</x:f>
        <x:v>建/优化主站商业页</x:v>
      </x:c>
      <x:c r="AC1147" s="9" t="str">
        <x:v>cheap vapes</x:v>
      </x:c>
      <x:c r="AD1147" s="10" t="str">
        <x:v>48</x:v>
      </x:c>
    </x:row>
    <x:row r="1148">
      <x:c r="A1148" s="34" t="n">
        <x:v>1148</x:v>
      </x:c>
      <x:c r="B1148" s="9" t="str">
        <x:v>48</x:v>
      </x:c>
      <x:c r="C1148" s="9" t="str">
        <x:v>best online vape store</x:v>
      </x:c>
      <x:c r="D1148" s="9" t="str">
        <x:v>recommended</x:v>
      </x:c>
      <x:c r="E1148" s="36" t="n">
        <x:v>6600</x:v>
      </x:c>
      <x:c r="F1148" s="36" t="n">
        <x:v>81</x:v>
      </x:c>
      <x:c r="G1148" s="9" t="str">
        <x:v>commercial</x:v>
      </x:c>
      <x:c r="H1148" s="9" t="str">
        <x:v>对比评测</x:v>
      </x:c>
      <x:c r="I1148" s="9" t="str">
        <x:v>交易词</x:v>
      </x:c>
      <x:c r="J1148" s="9" t="str">
        <x:v>主站</x:v>
      </x:c>
      <x:c r="K1148" s="9" t="str"/>
      <x:c r="L1148" s="9" t="str">
        <x:f>IF(K1148="",J1148,K1148)</x:f>
        <x:v>主站</x:v>
      </x:c>
      <x:c r="M1148" s="9" t="str">
        <x:v>产品集合页/分类页/购买页</x:v>
      </x:c>
      <x:c r="N1148" s="9" t="str">
        <x:v>主站商业页：标题围绕购买意图 + 品类 + 关键卖点</x:v>
      </x:c>
      <x:c r="O1148" s="9" t="str">
        <x:v>/collections/disposable-vapes</x:v>
      </x:c>
      <x:c r="P1148" s="9" t="str">
        <x:v>不适用</x:v>
      </x:c>
      <x:c r="Q1148" s="9" t="str">
        <x:v>主站页面自身承接</x:v>
      </x:c>
      <x:c r="R1148" s="9" t="str">
        <x:v>商业词：优先给主站，避免博客抢主站排名</x:v>
      </x:c>
      <x:c r="S1148" s="9" t="str">
        <x:v>SERP 如为商品列表/品牌站/电商集合页，就建主站页面；若 SERP 全是教程，再拆支持文章。</x:v>
      </x:c>
      <x:c r="T1148" s="38" t="n">
        <x:v>16</x:v>
      </x:c>
      <x:c r="U1148" s="38" t="n">
        <x:v>1</x:v>
      </x:c>
      <x:c r="V1148" s="38" t="n">
        <x:v>20</x:v>
      </x:c>
      <x:c r="W1148" s="38" t="n">
        <x:v>7</x:v>
      </x:c>
      <x:c r="X1148" s="38" t="n">
        <x:v>15</x:v>
      </x:c>
      <x:c r="Y1148" s="38" t="n">
        <x:v>4</x:v>
      </x:c>
      <x:c r="Z1148" s="38" t="n">
        <x:f>MAX(0,MIN(100,ROUND(((T1148+U1148+V1148+W1148+X1148)-Y1148)/85*100,0)))</x:f>
        <x:v>65</x:v>
      </x:c>
      <x:c r="AA1148" s="9" t="str">
        <x:f>IF(L1148="暂不做","P3 暂缓",IF(Z1148&gt;=75,"P0 本周做",IF(Z1148&gt;=60,"P1 近期做",IF(Z1148&gt;=45,"P2 备选","P3 暂缓"))))</x:f>
        <x:v>P1 近期做</x:v>
      </x:c>
      <x:c r="AB1148" s="9" t="str">
        <x:f>IF(Y1148&gt;=15,"先做合规/相关性复核，不建议直接商业导流",IF(L1148="主站","建/优化主站商业页",IF(L1148="博客A-知识教程","写知识教程/FAQ文章",IF(L1148="博客B-场景人群","写场景需求/选购指南文章",IF(L1148="博客C-对比评测","写对比评测/榜单文章","暂不做或人工复核")))))</x:f>
        <x:v>建/优化主站商业页</x:v>
      </x:c>
      <x:c r="AC1148" s="9" t="str">
        <x:v>cheap vapes</x:v>
      </x:c>
      <x:c r="AD1148" s="10" t="str">
        <x:v>48</x:v>
      </x:c>
    </x:row>
    <x:row r="1149">
      <x:c r="A1149" s="34" t="n">
        <x:v>1149</x:v>
      </x:c>
      <x:c r="B1149" s="9" t="str">
        <x:v>48</x:v>
      </x:c>
      <x:c r="C1149" s="9" t="str">
        <x:v>buy vapes online</x:v>
      </x:c>
      <x:c r="D1149" s="9" t="str">
        <x:v>recommended</x:v>
      </x:c>
      <x:c r="E1149" s="36" t="n">
        <x:v>5400</x:v>
      </x:c>
      <x:c r="F1149" s="36" t="n">
        <x:v>81</x:v>
      </x:c>
      <x:c r="G1149" s="9" t="str">
        <x:v>transactional</x:v>
      </x:c>
      <x:c r="H1149" s="9" t="str">
        <x:v>购买交易</x:v>
      </x:c>
      <x:c r="I1149" s="9" t="str">
        <x:v>交易词</x:v>
      </x:c>
      <x:c r="J1149" s="9" t="str">
        <x:v>主站</x:v>
      </x:c>
      <x:c r="K1149" s="9" t="str"/>
      <x:c r="L1149" s="9" t="str">
        <x:f>IF(K1149="",J1149,K1149)</x:f>
        <x:v>主站</x:v>
      </x:c>
      <x:c r="M1149" s="9" t="str">
        <x:v>产品集合页/分类页/购买页</x:v>
      </x:c>
      <x:c r="N1149" s="9" t="str">
        <x:v>主站商业页：标题围绕购买意图 + 品类 + 关键卖点</x:v>
      </x:c>
      <x:c r="O1149" s="9" t="str">
        <x:v>/collections/disposable-vapes</x:v>
      </x:c>
      <x:c r="P1149" s="9" t="str">
        <x:v>不适用</x:v>
      </x:c>
      <x:c r="Q1149" s="9" t="str">
        <x:v>主站页面自身承接</x:v>
      </x:c>
      <x:c r="R1149" s="9" t="str">
        <x:v>商业词：优先给主站，避免博客抢主站排名</x:v>
      </x:c>
      <x:c r="S1149" s="9" t="str">
        <x:v>SERP 如为商品列表/品牌站/电商集合页，就建主站页面；若 SERP 全是教程，再拆支持文章。</x:v>
      </x:c>
      <x:c r="T1149" s="38" t="n">
        <x:v>16</x:v>
      </x:c>
      <x:c r="U1149" s="38" t="n">
        <x:v>1</x:v>
      </x:c>
      <x:c r="V1149" s="38" t="n">
        <x:v>20</x:v>
      </x:c>
      <x:c r="W1149" s="38" t="n">
        <x:v>7</x:v>
      </x:c>
      <x:c r="X1149" s="38" t="n">
        <x:v>15</x:v>
      </x:c>
      <x:c r="Y1149" s="38" t="n">
        <x:v>4</x:v>
      </x:c>
      <x:c r="Z1149" s="38" t="n">
        <x:f>MAX(0,MIN(100,ROUND(((T1149+U1149+V1149+W1149+X1149)-Y1149)/85*100,0)))</x:f>
        <x:v>65</x:v>
      </x:c>
      <x:c r="AA1149" s="9" t="str">
        <x:f>IF(L1149="暂不做","P3 暂缓",IF(Z1149&gt;=75,"P0 本周做",IF(Z1149&gt;=60,"P1 近期做",IF(Z1149&gt;=45,"P2 备选","P3 暂缓"))))</x:f>
        <x:v>P1 近期做</x:v>
      </x:c>
      <x:c r="AB1149" s="9" t="str">
        <x:f>IF(Y1149&gt;=15,"先做合规/相关性复核，不建议直接商业导流",IF(L1149="主站","建/优化主站商业页",IF(L1149="博客A-知识教程","写知识教程/FAQ文章",IF(L1149="博客B-场景人群","写场景需求/选购指南文章",IF(L1149="博客C-对比评测","写对比评测/榜单文章","暂不做或人工复核")))))</x:f>
        <x:v>建/优化主站商业页</x:v>
      </x:c>
      <x:c r="AC1149" s="9" t="str">
        <x:v>cheap vapes</x:v>
      </x:c>
      <x:c r="AD1149" s="10" t="str">
        <x:v>48</x:v>
      </x:c>
    </x:row>
    <x:row r="1150">
      <x:c r="A1150" s="34" t="n">
        <x:v>1150</x:v>
      </x:c>
      <x:c r="B1150" s="9" t="str">
        <x:v>48</x:v>
      </x:c>
      <x:c r="C1150" s="9" t="str">
        <x:v>cheap vapes online</x:v>
      </x:c>
      <x:c r="D1150" s="9" t="str">
        <x:v>recommended</x:v>
      </x:c>
      <x:c r="E1150" s="36" t="n">
        <x:v>1600</x:v>
      </x:c>
      <x:c r="F1150" s="36" t="n">
        <x:v>54</x:v>
      </x:c>
      <x:c r="G1150" s="9" t="str">
        <x:v>commercial</x:v>
      </x:c>
      <x:c r="H1150" s="9" t="str">
        <x:v>购买交易</x:v>
      </x:c>
      <x:c r="I1150" s="9" t="str">
        <x:v>交易词</x:v>
      </x:c>
      <x:c r="J1150" s="9" t="str">
        <x:v>主站</x:v>
      </x:c>
      <x:c r="K1150" s="9" t="str"/>
      <x:c r="L1150" s="9" t="str">
        <x:f>IF(K1150="",J1150,K1150)</x:f>
        <x:v>主站</x:v>
      </x:c>
      <x:c r="M1150" s="9" t="str">
        <x:v>产品集合页/分类页/购买页</x:v>
      </x:c>
      <x:c r="N1150" s="9" t="str">
        <x:v>主站商业页：标题围绕购买意图 + 品类 + 关键卖点</x:v>
      </x:c>
      <x:c r="O1150" s="9" t="str">
        <x:v>/collections/disposable-vapes</x:v>
      </x:c>
      <x:c r="P1150" s="9" t="str">
        <x:v>不适用</x:v>
      </x:c>
      <x:c r="Q1150" s="9" t="str">
        <x:v>主站页面自身承接</x:v>
      </x:c>
      <x:c r="R1150" s="9" t="str">
        <x:v>商业词：优先给主站，避免博客抢主站排名</x:v>
      </x:c>
      <x:c r="S1150" s="9" t="str">
        <x:v>SERP 如为商品列表/品牌站/电商集合页，就建主站页面；若 SERP 全是教程，再拆支持文章。</x:v>
      </x:c>
      <x:c r="T1150" s="38" t="n">
        <x:v>13</x:v>
      </x:c>
      <x:c r="U1150" s="38" t="n">
        <x:v>6</x:v>
      </x:c>
      <x:c r="V1150" s="38" t="n">
        <x:v>20</x:v>
      </x:c>
      <x:c r="W1150" s="38" t="n">
        <x:v>7</x:v>
      </x:c>
      <x:c r="X1150" s="38" t="n">
        <x:v>15</x:v>
      </x:c>
      <x:c r="Y1150" s="38" t="n">
        <x:v>4</x:v>
      </x:c>
      <x:c r="Z1150" s="38" t="n">
        <x:f>MAX(0,MIN(100,ROUND(((T1150+U1150+V1150+W1150+X1150)-Y1150)/85*100,0)))</x:f>
        <x:v>67</x:v>
      </x:c>
      <x:c r="AA1150" s="9" t="str">
        <x:f>IF(L1150="暂不做","P3 暂缓",IF(Z1150&gt;=75,"P0 本周做",IF(Z1150&gt;=60,"P1 近期做",IF(Z1150&gt;=45,"P2 备选","P3 暂缓"))))</x:f>
        <x:v>P1 近期做</x:v>
      </x:c>
      <x:c r="AB1150" s="9" t="str">
        <x:f>IF(Y1150&gt;=15,"先做合规/相关性复核，不建议直接商业导流",IF(L1150="主站","建/优化主站商业页",IF(L1150="博客A-知识教程","写知识教程/FAQ文章",IF(L1150="博客B-场景人群","写场景需求/选购指南文章",IF(L1150="博客C-对比评测","写对比评测/榜单文章","暂不做或人工复核")))))</x:f>
        <x:v>建/优化主站商业页</x:v>
      </x:c>
      <x:c r="AC1150" s="9" t="str">
        <x:v>cheap vapes</x:v>
      </x:c>
      <x:c r="AD1150" s="10" t="str">
        <x:v>48</x:v>
      </x:c>
    </x:row>
    <x:row r="1151">
      <x:c r="A1151" s="34" t="n">
        <x:v>1151</x:v>
      </x:c>
      <x:c r="B1151" s="9" t="str">
        <x:v>48</x:v>
      </x:c>
      <x:c r="C1151" s="9" t="str">
        <x:v>vape store online</x:v>
      </x:c>
      <x:c r="D1151" s="9" t="str">
        <x:v>recommended</x:v>
      </x:c>
      <x:c r="E1151" s="36" t="n">
        <x:v>4400</x:v>
      </x:c>
      <x:c r="F1151" s="36" t="n">
        <x:v>84</x:v>
      </x:c>
      <x:c r="G1151" s="9" t="str">
        <x:v>informational</x:v>
      </x:c>
      <x:c r="H1151" s="9" t="str">
        <x:v>购买交易</x:v>
      </x:c>
      <x:c r="I1151" s="9" t="str">
        <x:v>交易词</x:v>
      </x:c>
      <x:c r="J1151" s="9" t="str">
        <x:v>主站</x:v>
      </x:c>
      <x:c r="K1151" s="9" t="str"/>
      <x:c r="L1151" s="9" t="str">
        <x:f>IF(K1151="",J1151,K1151)</x:f>
        <x:v>主站</x:v>
      </x:c>
      <x:c r="M1151" s="9" t="str">
        <x:v>产品集合页/分类页/购买页</x:v>
      </x:c>
      <x:c r="N1151" s="9" t="str">
        <x:v>主站商业页：标题围绕购买意图 + 品类 + 关键卖点</x:v>
      </x:c>
      <x:c r="O1151" s="9" t="str">
        <x:v>/collections/disposable-vapes</x:v>
      </x:c>
      <x:c r="P1151" s="9" t="str">
        <x:v>不适用</x:v>
      </x:c>
      <x:c r="Q1151" s="9" t="str">
        <x:v>主站页面自身承接</x:v>
      </x:c>
      <x:c r="R1151" s="9" t="str">
        <x:v>商业词：优先给主站，避免博客抢主站排名</x:v>
      </x:c>
      <x:c r="S1151" s="9" t="str">
        <x:v>SERP 如为商品列表/品牌站/电商集合页，就建主站页面；若 SERP 全是教程，再拆支持文章。</x:v>
      </x:c>
      <x:c r="T1151" s="38" t="n">
        <x:v>13</x:v>
      </x:c>
      <x:c r="U1151" s="38" t="n">
        <x:v>1</x:v>
      </x:c>
      <x:c r="V1151" s="38" t="n">
        <x:v>20</x:v>
      </x:c>
      <x:c r="W1151" s="38" t="n">
        <x:v>7</x:v>
      </x:c>
      <x:c r="X1151" s="38" t="n">
        <x:v>15</x:v>
      </x:c>
      <x:c r="Y1151" s="38" t="n">
        <x:v>4</x:v>
      </x:c>
      <x:c r="Z1151" s="38" t="n">
        <x:f>MAX(0,MIN(100,ROUND(((T1151+U1151+V1151+W1151+X1151)-Y1151)/85*100,0)))</x:f>
        <x:v>61</x:v>
      </x:c>
      <x:c r="AA1151" s="9" t="str">
        <x:f>IF(L1151="暂不做","P3 暂缓",IF(Z1151&gt;=75,"P0 本周做",IF(Z1151&gt;=60,"P1 近期做",IF(Z1151&gt;=45,"P2 备选","P3 暂缓"))))</x:f>
        <x:v>P1 近期做</x:v>
      </x:c>
      <x:c r="AB1151" s="9" t="str">
        <x:f>IF(Y1151&gt;=15,"先做合规/相关性复核，不建议直接商业导流",IF(L1151="主站","建/优化主站商业页",IF(L1151="博客A-知识教程","写知识教程/FAQ文章",IF(L1151="博客B-场景人群","写场景需求/选购指南文章",IF(L1151="博客C-对比评测","写对比评测/榜单文章","暂不做或人工复核")))))</x:f>
        <x:v>建/优化主站商业页</x:v>
      </x:c>
      <x:c r="AC1151" s="9" t="str">
        <x:v>cheap vapes</x:v>
      </x:c>
      <x:c r="AD1151" s="10" t="str">
        <x:v>48</x:v>
      </x:c>
    </x:row>
    <x:row r="1152">
      <x:c r="A1152" s="34" t="n">
        <x:v>1152</x:v>
      </x:c>
      <x:c r="B1152" s="9" t="str">
        <x:v>48</x:v>
      </x:c>
      <x:c r="C1152" s="9" t="str">
        <x:v>mods vape</x:v>
      </x:c>
      <x:c r="D1152" s="9" t="str">
        <x:v>recommended</x:v>
      </x:c>
      <x:c r="E1152" s="36" t="n">
        <x:v>480</x:v>
      </x:c>
      <x:c r="F1152" s="36" t="n">
        <x:v>34</x:v>
      </x:c>
      <x:c r="G1152" s="9" t="str">
        <x:v>commercial</x:v>
      </x:c>
      <x:c r="H1152" s="9" t="str">
        <x:v>General Vape</x:v>
      </x:c>
      <x:c r="I1152" s="9" t="str">
        <x:v>品类承接词</x:v>
      </x:c>
      <x:c r="J1152" s="9" t="str">
        <x:v>主站</x:v>
      </x:c>
      <x:c r="K1152" s="9" t="str"/>
      <x:c r="L1152" s="9" t="str">
        <x:f>IF(K1152="",J1152,K1152)</x:f>
        <x:v>主站</x:v>
      </x:c>
      <x:c r="M1152" s="9" t="str">
        <x:v>品类页/集合页 + FAQ内容块</x:v>
      </x:c>
      <x:c r="N1152" s="9" t="str">
        <x:v>主站品类页：用产品集合 + 选购说明承接</x:v>
      </x:c>
      <x:c r="O1152" s="9" t="str">
        <x:v>/collections/disposable-vapes</x:v>
      </x:c>
      <x:c r="P1152" s="9" t="str">
        <x:v>不适用</x:v>
      </x:c>
      <x:c r="Q1152" s="9" t="str">
        <x:v>主站页面自身承接</x:v>
      </x:c>
      <x:c r="R1152" s="9" t="str">
        <x:v>核心品类词：主站优先，博客只做长尾解释，不直接抢同一词</x:v>
      </x:c>
      <x:c r="S1152" s="9" t="str">
        <x:v>如果 Google 首页产品页和指南混合，主站页要加 FAQ、选购指南、对比模块。</x:v>
      </x:c>
      <x:c r="T1152" s="38" t="n">
        <x:v>7</x:v>
      </x:c>
      <x:c r="U1152" s="38" t="n">
        <x:v>9</x:v>
      </x:c>
      <x:c r="V1152" s="38" t="n">
        <x:v>18</x:v>
      </x:c>
      <x:c r="W1152" s="38" t="n">
        <x:v>8</x:v>
      </x:c>
      <x:c r="X1152" s="38" t="n">
        <x:v>15</x:v>
      </x:c>
      <x:c r="Y1152" s="38" t="n">
        <x:v>4</x:v>
      </x:c>
      <x:c r="Z1152" s="38" t="n">
        <x:f>MAX(0,MIN(100,ROUND(((T1152+U1152+V1152+W1152+X1152)-Y1152)/85*100,0)))</x:f>
        <x:v>62</x:v>
      </x:c>
      <x:c r="AA1152" s="9" t="str">
        <x:f>IF(L1152="暂不做","P3 暂缓",IF(Z1152&gt;=75,"P0 本周做",IF(Z1152&gt;=60,"P1 近期做",IF(Z1152&gt;=45,"P2 备选","P3 暂缓"))))</x:f>
        <x:v>P1 近期做</x:v>
      </x:c>
      <x:c r="AB1152" s="9" t="str">
        <x:f>IF(Y1152&gt;=15,"先做合规/相关性复核，不建议直接商业导流",IF(L1152="主站","建/优化主站商业页",IF(L1152="博客A-知识教程","写知识教程/FAQ文章",IF(L1152="博客B-场景人群","写场景需求/选购指南文章",IF(L1152="博客C-对比评测","写对比评测/榜单文章","暂不做或人工复核")))))</x:f>
        <x:v>建/优化主站商业页</x:v>
      </x:c>
      <x:c r="AC1152" s="9" t="str">
        <x:v>cheap vapes</x:v>
      </x:c>
      <x:c r="AD1152" s="10" t="str">
        <x:v>48</x:v>
      </x:c>
    </x:row>
    <x:row r="1153">
      <x:c r="A1153" s="34" t="n">
        <x:v>1153</x:v>
      </x:c>
      <x:c r="B1153" s="9" t="str">
        <x:v>48</x:v>
      </x:c>
      <x:c r="C1153" s="9" t="str">
        <x:v>online vape stores</x:v>
      </x:c>
      <x:c r="D1153" s="9" t="str">
        <x:v>recommended</x:v>
      </x:c>
      <x:c r="E1153" s="36" t="n">
        <x:v>1600</x:v>
      </x:c>
      <x:c r="F1153" s="36" t="n">
        <x:v>79</x:v>
      </x:c>
      <x:c r="G1153" s="9" t="str">
        <x:v>informational, commercial</x:v>
      </x:c>
      <x:c r="H1153" s="9" t="str">
        <x:v>购买交易</x:v>
      </x:c>
      <x:c r="I1153" s="9" t="str">
        <x:v>交易词</x:v>
      </x:c>
      <x:c r="J1153" s="9" t="str">
        <x:v>主站</x:v>
      </x:c>
      <x:c r="K1153" s="9" t="str"/>
      <x:c r="L1153" s="9" t="str">
        <x:f>IF(K1153="",J1153,K1153)</x:f>
        <x:v>主站</x:v>
      </x:c>
      <x:c r="M1153" s="9" t="str">
        <x:v>产品集合页/分类页/购买页</x:v>
      </x:c>
      <x:c r="N1153" s="9" t="str">
        <x:v>主站商业页：标题围绕购买意图 + 品类 + 关键卖点</x:v>
      </x:c>
      <x:c r="O1153" s="9" t="str">
        <x:v>/collections/disposable-vapes</x:v>
      </x:c>
      <x:c r="P1153" s="9" t="str">
        <x:v>不适用</x:v>
      </x:c>
      <x:c r="Q1153" s="9" t="str">
        <x:v>主站页面自身承接</x:v>
      </x:c>
      <x:c r="R1153" s="9" t="str">
        <x:v>商业词：优先给主站，避免博客抢主站排名</x:v>
      </x:c>
      <x:c r="S1153" s="9" t="str">
        <x:v>SERP 如为商品列表/品牌站/电商集合页，就建主站页面；若 SERP 全是教程，再拆支持文章。</x:v>
      </x:c>
      <x:c r="T1153" s="38" t="n">
        <x:v>13</x:v>
      </x:c>
      <x:c r="U1153" s="38" t="n">
        <x:v>1</x:v>
      </x:c>
      <x:c r="V1153" s="38" t="n">
        <x:v>20</x:v>
      </x:c>
      <x:c r="W1153" s="38" t="n">
        <x:v>7</x:v>
      </x:c>
      <x:c r="X1153" s="38" t="n">
        <x:v>15</x:v>
      </x:c>
      <x:c r="Y1153" s="38" t="n">
        <x:v>4</x:v>
      </x:c>
      <x:c r="Z1153" s="38" t="n">
        <x:f>MAX(0,MIN(100,ROUND(((T1153+U1153+V1153+W1153+X1153)-Y1153)/85*100,0)))</x:f>
        <x:v>61</x:v>
      </x:c>
      <x:c r="AA1153" s="9" t="str">
        <x:f>IF(L1153="暂不做","P3 暂缓",IF(Z1153&gt;=75,"P0 本周做",IF(Z1153&gt;=60,"P1 近期做",IF(Z1153&gt;=45,"P2 备选","P3 暂缓"))))</x:f>
        <x:v>P1 近期做</x:v>
      </x:c>
      <x:c r="AB1153" s="9" t="str">
        <x:f>IF(Y1153&gt;=15,"先做合规/相关性复核，不建议直接商业导流",IF(L1153="主站","建/优化主站商业页",IF(L1153="博客A-知识教程","写知识教程/FAQ文章",IF(L1153="博客B-场景人群","写场景需求/选购指南文章",IF(L1153="博客C-对比评测","写对比评测/榜单文章","暂不做或人工复核")))))</x:f>
        <x:v>建/优化主站商业页</x:v>
      </x:c>
      <x:c r="AC1153" s="9" t="str">
        <x:v>cheap vapes</x:v>
      </x:c>
      <x:c r="AD1153" s="10" t="str">
        <x:v>48</x:v>
      </x:c>
    </x:row>
    <x:row r="1154">
      <x:c r="A1154" s="34" t="n">
        <x:v>1154</x:v>
      </x:c>
      <x:c r="B1154" s="9" t="str">
        <x:v>48</x:v>
      </x:c>
      <x:c r="C1154" s="9" t="str">
        <x:v>thc vapes cartridges</x:v>
      </x:c>
      <x:c r="D1154" s="9" t="str">
        <x:v>recommended</x:v>
      </x:c>
      <x:c r="E1154" s="36" t="n">
        <x:v>3600</x:v>
      </x:c>
      <x:c r="F1154" s="36" t="n">
        <x:v>58</x:v>
      </x:c>
      <x:c r="G1154" s="9" t="str">
        <x:v>informational</x:v>
      </x:c>
      <x:c r="H1154" s="9" t="str">
        <x:v>高风险/非主营</x:v>
      </x:c>
      <x:c r="I1154" s="9" t="str">
        <x:v>高风险/非主营词</x:v>
      </x:c>
      <x:c r="J1154" s="9" t="str">
        <x:v>暂不做</x:v>
      </x:c>
      <x:c r="K1154" s="9" t="str"/>
      <x:c r="L1154" s="9" t="str">
        <x:f>IF(K1154="",J1154,K1154)</x:f>
        <x:v>暂不做</x:v>
      </x:c>
      <x:c r="M1154" s="9" t="str">
        <x:v>不建议建页</x:v>
      </x:c>
      <x:c r="N1154" s="9" t="str">
        <x:v>不进入内容生产</x:v>
      </x:c>
      <x:c r="O1154" s="9" t="str">
        <x:v>无</x:v>
      </x:c>
      <x:c r="P1154" s="9" t="str">
        <x:v>否</x:v>
      </x:c>
      <x:c r="Q1154" s="9" t="str">
        <x:v>不导流</x:v>
      </x:c>
      <x:c r="R1154" s="9" t="str">
        <x:v>高风险：可能涉及 THC/CBD/大麻/药物或非主营品类，不建议用于主站导流</x:v>
      </x:c>
      <x:c r="S1154" s="9" t="str">
        <x:v>仅在确认合法资质、产品范围和地区法规后再考虑，否则删除。</x:v>
      </x:c>
      <x:c r="T1154" s="38" t="n">
        <x:v>13</x:v>
      </x:c>
      <x:c r="U1154" s="38" t="n">
        <x:v>6</x:v>
      </x:c>
      <x:c r="V1154" s="38" t="n">
        <x:v>1</x:v>
      </x:c>
      <x:c r="W1154" s="38" t="n">
        <x:v>2</x:v>
      </x:c>
      <x:c r="X1154" s="38" t="n">
        <x:v>1</x:v>
      </x:c>
      <x:c r="Y1154" s="38" t="n">
        <x:v>20</x:v>
      </x:c>
      <x:c r="Z1154" s="38" t="n">
        <x:f>MAX(0,MIN(100,ROUND(((T1154+U1154+V1154+W1154+X1154)-Y1154)/85*100,0)))</x:f>
        <x:v>4</x:v>
      </x:c>
      <x:c r="AA1154" s="9" t="str">
        <x:f>IF(L1154="暂不做","P3 暂缓",IF(Z1154&gt;=75,"P0 本周做",IF(Z1154&gt;=60,"P1 近期做",IF(Z1154&gt;=45,"P2 备选","P3 暂缓"))))</x:f>
        <x:v>P3 暂缓</x:v>
      </x:c>
      <x:c r="AB1154" s="9" t="str">
        <x:f>IF(Y1154&gt;=15,"先做合规/相关性复核，不建议直接商业导流",IF(L1154="主站","建/优化主站商业页",IF(L1154="博客A-知识教程","写知识教程/FAQ文章",IF(L1154="博客B-场景人群","写场景需求/选购指南文章",IF(L1154="博客C-对比评测","写对比评测/榜单文章","暂不做或人工复核")))))</x:f>
        <x:v>先做合规/相关性复核，不建议直接商业导流</x:v>
      </x:c>
      <x:c r="AC1154" s="9" t="str">
        <x:v>cheap vapes</x:v>
      </x:c>
      <x:c r="AD1154" s="10" t="str">
        <x:v>48</x:v>
      </x:c>
    </x:row>
    <x:row r="1155">
      <x:c r="A1155" s="34" t="n">
        <x:v>1155</x:v>
      </x:c>
      <x:c r="B1155" s="9" t="str">
        <x:v>48</x:v>
      </x:c>
      <x:c r="C1155" s="9" t="str">
        <x:v>online vape</x:v>
      </x:c>
      <x:c r="D1155" s="9" t="str">
        <x:v>recommended</x:v>
      </x:c>
      <x:c r="E1155" s="36" t="n">
        <x:v>1300</x:v>
      </x:c>
      <x:c r="F1155" s="36" t="n">
        <x:v>80</x:v>
      </x:c>
      <x:c r="G1155" s="9" t="str">
        <x:v>commercial</x:v>
      </x:c>
      <x:c r="H1155" s="9" t="str">
        <x:v>购买交易</x:v>
      </x:c>
      <x:c r="I1155" s="9" t="str">
        <x:v>交易词</x:v>
      </x:c>
      <x:c r="J1155" s="9" t="str">
        <x:v>主站</x:v>
      </x:c>
      <x:c r="K1155" s="9" t="str"/>
      <x:c r="L1155" s="9" t="str">
        <x:f>IF(K1155="",J1155,K1155)</x:f>
        <x:v>主站</x:v>
      </x:c>
      <x:c r="M1155" s="9" t="str">
        <x:v>产品集合页/分类页/购买页</x:v>
      </x:c>
      <x:c r="N1155" s="9" t="str">
        <x:v>主站商业页：标题围绕购买意图 + 品类 + 关键卖点</x:v>
      </x:c>
      <x:c r="O1155" s="9" t="str">
        <x:v>/collections/disposable-vapes</x:v>
      </x:c>
      <x:c r="P1155" s="9" t="str">
        <x:v>不适用</x:v>
      </x:c>
      <x:c r="Q1155" s="9" t="str">
        <x:v>主站页面自身承接</x:v>
      </x:c>
      <x:c r="R1155" s="9" t="str">
        <x:v>商业词：优先给主站，避免博客抢主站排名</x:v>
      </x:c>
      <x:c r="S1155" s="9" t="str">
        <x:v>SERP 如为商品列表/品牌站/电商集合页，就建主站页面；若 SERP 全是教程，再拆支持文章。</x:v>
      </x:c>
      <x:c r="T1155" s="38" t="n">
        <x:v>13</x:v>
      </x:c>
      <x:c r="U1155" s="38" t="n">
        <x:v>1</x:v>
      </x:c>
      <x:c r="V1155" s="38" t="n">
        <x:v>20</x:v>
      </x:c>
      <x:c r="W1155" s="38" t="n">
        <x:v>7</x:v>
      </x:c>
      <x:c r="X1155" s="38" t="n">
        <x:v>15</x:v>
      </x:c>
      <x:c r="Y1155" s="38" t="n">
        <x:v>4</x:v>
      </x:c>
      <x:c r="Z1155" s="38" t="n">
        <x:f>MAX(0,MIN(100,ROUND(((T1155+U1155+V1155+W1155+X1155)-Y1155)/85*100,0)))</x:f>
        <x:v>61</x:v>
      </x:c>
      <x:c r="AA1155" s="9" t="str">
        <x:f>IF(L1155="暂不做","P3 暂缓",IF(Z1155&gt;=75,"P0 本周做",IF(Z1155&gt;=60,"P1 近期做",IF(Z1155&gt;=45,"P2 备选","P3 暂缓"))))</x:f>
        <x:v>P1 近期做</x:v>
      </x:c>
      <x:c r="AB1155" s="9" t="str">
        <x:f>IF(Y1155&gt;=15,"先做合规/相关性复核，不建议直接商业导流",IF(L1155="主站","建/优化主站商业页",IF(L1155="博客A-知识教程","写知识教程/FAQ文章",IF(L1155="博客B-场景人群","写场景需求/选购指南文章",IF(L1155="博客C-对比评测","写对比评测/榜单文章","暂不做或人工复核")))))</x:f>
        <x:v>建/优化主站商业页</x:v>
      </x:c>
      <x:c r="AC1155" s="9" t="str">
        <x:v>cheap vapes</x:v>
      </x:c>
      <x:c r="AD1155" s="10" t="str">
        <x:v>48</x:v>
      </x:c>
    </x:row>
    <x:row r="1156">
      <x:c r="A1156" s="34" t="n">
        <x:v>1156</x:v>
      </x:c>
      <x:c r="B1156" s="9" t="str">
        <x:v>48</x:v>
      </x:c>
      <x:c r="C1156" s="9" t="str">
        <x:v>vape with battery pack</x:v>
      </x:c>
      <x:c r="D1156" s="9" t="str">
        <x:v>recommended</x:v>
      </x:c>
      <x:c r="E1156" s="36" t="n">
        <x:v>170</x:v>
      </x:c>
      <x:c r="F1156" s="36" t="n">
        <x:v>20</x:v>
      </x:c>
      <x:c r="G1156" s="9" t="str">
        <x:v>informational, transactional</x:v>
      </x:c>
      <x:c r="H1156" s="9" t="str">
        <x:v>General Vape</x:v>
      </x:c>
      <x:c r="I1156" s="9" t="str">
        <x:v>交易词</x:v>
      </x:c>
      <x:c r="J1156" s="9" t="str">
        <x:v>主站</x:v>
      </x:c>
      <x:c r="K1156" s="9" t="str"/>
      <x:c r="L1156" s="9" t="str">
        <x:f>IF(K1156="",J1156,K1156)</x:f>
        <x:v>主站</x:v>
      </x:c>
      <x:c r="M1156" s="9" t="str">
        <x:v>产品集合页/分类页/购买页</x:v>
      </x:c>
      <x:c r="N1156" s="9" t="str">
        <x:v>主站商业页：标题围绕购买意图 + 品类 + 关键卖点</x:v>
      </x:c>
      <x:c r="O1156" s="9" t="str">
        <x:v>/collections/disposable-vapes</x:v>
      </x:c>
      <x:c r="P1156" s="9" t="str">
        <x:v>不适用</x:v>
      </x:c>
      <x:c r="Q1156" s="9" t="str">
        <x:v>主站页面自身承接</x:v>
      </x:c>
      <x:c r="R1156" s="9" t="str">
        <x:v>商业词：优先给主站，避免博客抢主站排名</x:v>
      </x:c>
      <x:c r="S1156" s="9" t="str">
        <x:v>SERP 如为商品列表/品牌站/电商集合页，就建主站页面；若 SERP 全是教程，再拆支持文章。</x:v>
      </x:c>
      <x:c r="T1156" s="38" t="n">
        <x:v>7</x:v>
      </x:c>
      <x:c r="U1156" s="38" t="n">
        <x:v>12</x:v>
      </x:c>
      <x:c r="V1156" s="38" t="n">
        <x:v>20</x:v>
      </x:c>
      <x:c r="W1156" s="38" t="n">
        <x:v>7</x:v>
      </x:c>
      <x:c r="X1156" s="38" t="n">
        <x:v>15</x:v>
      </x:c>
      <x:c r="Y1156" s="38" t="n">
        <x:v>4</x:v>
      </x:c>
      <x:c r="Z1156" s="38" t="n">
        <x:f>MAX(0,MIN(100,ROUND(((T1156+U1156+V1156+W1156+X1156)-Y1156)/85*100,0)))</x:f>
        <x:v>67</x:v>
      </x:c>
      <x:c r="AA1156" s="9" t="str">
        <x:f>IF(L1156="暂不做","P3 暂缓",IF(Z1156&gt;=75,"P0 本周做",IF(Z1156&gt;=60,"P1 近期做",IF(Z1156&gt;=45,"P2 备选","P3 暂缓"))))</x:f>
        <x:v>P1 近期做</x:v>
      </x:c>
      <x:c r="AB1156" s="9" t="str">
        <x:f>IF(Y1156&gt;=15,"先做合规/相关性复核，不建议直接商业导流",IF(L1156="主站","建/优化主站商业页",IF(L1156="博客A-知识教程","写知识教程/FAQ文章",IF(L1156="博客B-场景人群","写场景需求/选购指南文章",IF(L1156="博客C-对比评测","写对比评测/榜单文章","暂不做或人工复核")))))</x:f>
        <x:v>建/优化主站商业页</x:v>
      </x:c>
      <x:c r="AC1156" s="9" t="str">
        <x:v>cheap vapes</x:v>
      </x:c>
      <x:c r="AD1156" s="10" t="str">
        <x:v>48</x:v>
      </x:c>
    </x:row>
    <x:row r="1157">
      <x:c r="A1157" s="34" t="n">
        <x:v>1157</x:v>
      </x:c>
      <x:c r="B1157" s="9" t="str">
        <x:v>48</x:v>
      </x:c>
      <x:c r="C1157" s="9" t="str">
        <x:v>small vape disposable</x:v>
      </x:c>
      <x:c r="D1157" s="9" t="str">
        <x:v>recommended</x:v>
      </x:c>
      <x:c r="E1157" s="36" t="n">
        <x:v>170</x:v>
      </x:c>
      <x:c r="F1157" s="36" t="n">
        <x:v>25</x:v>
      </x:c>
      <x:c r="G1157" s="9" t="str">
        <x:v>informational</x:v>
      </x:c>
      <x:c r="H1157" s="9" t="str">
        <x:v>Disposable Vape</x:v>
      </x:c>
      <x:c r="I1157" s="9" t="str">
        <x:v>品类承接词</x:v>
      </x:c>
      <x:c r="J1157" s="9" t="str">
        <x:v>主站</x:v>
      </x:c>
      <x:c r="K1157" s="9" t="str"/>
      <x:c r="L1157" s="9" t="str">
        <x:f>IF(K1157="",J1157,K1157)</x:f>
        <x:v>主站</x:v>
      </x:c>
      <x:c r="M1157" s="9" t="str">
        <x:v>品类页/集合页 + FAQ内容块</x:v>
      </x:c>
      <x:c r="N1157" s="9" t="str">
        <x:v>主站品类页：用产品集合 + 选购说明承接</x:v>
      </x:c>
      <x:c r="O1157" s="9" t="str">
        <x:v>/collections/disposable-vapes</x:v>
      </x:c>
      <x:c r="P1157" s="9" t="str">
        <x:v>不适用</x:v>
      </x:c>
      <x:c r="Q1157" s="9" t="str">
        <x:v>主站页面自身承接</x:v>
      </x:c>
      <x:c r="R1157" s="9" t="str">
        <x:v>核心品类词：主站优先，博客只做长尾解释，不直接抢同一词</x:v>
      </x:c>
      <x:c r="S1157" s="9" t="str">
        <x:v>如果 Google 首页产品页和指南混合，主站页要加 FAQ、选购指南、对比模块。</x:v>
      </x:c>
      <x:c r="T1157" s="38" t="n">
        <x:v>7</x:v>
      </x:c>
      <x:c r="U1157" s="38" t="n">
        <x:v>12</x:v>
      </x:c>
      <x:c r="V1157" s="38" t="n">
        <x:v>16</x:v>
      </x:c>
      <x:c r="W1157" s="38" t="n">
        <x:v>8</x:v>
      </x:c>
      <x:c r="X1157" s="38" t="n">
        <x:v>15</x:v>
      </x:c>
      <x:c r="Y1157" s="38" t="n">
        <x:v>4</x:v>
      </x:c>
      <x:c r="Z1157" s="38" t="n">
        <x:f>MAX(0,MIN(100,ROUND(((T1157+U1157+V1157+W1157+X1157)-Y1157)/85*100,0)))</x:f>
        <x:v>64</x:v>
      </x:c>
      <x:c r="AA1157" s="9" t="str">
        <x:f>IF(L1157="暂不做","P3 暂缓",IF(Z1157&gt;=75,"P0 本周做",IF(Z1157&gt;=60,"P1 近期做",IF(Z1157&gt;=45,"P2 备选","P3 暂缓"))))</x:f>
        <x:v>P1 近期做</x:v>
      </x:c>
      <x:c r="AB1157" s="9" t="str">
        <x:f>IF(Y1157&gt;=15,"先做合规/相关性复核，不建议直接商业导流",IF(L1157="主站","建/优化主站商业页",IF(L1157="博客A-知识教程","写知识教程/FAQ文章",IF(L1157="博客B-场景人群","写场景需求/选购指南文章",IF(L1157="博客C-对比评测","写对比评测/榜单文章","暂不做或人工复核")))))</x:f>
        <x:v>建/优化主站商业页</x:v>
      </x:c>
      <x:c r="AC1157" s="9" t="str">
        <x:v>cheap vapes</x:v>
      </x:c>
      <x:c r="AD1157" s="10" t="str">
        <x:v>48</x:v>
      </x:c>
    </x:row>
    <x:row r="1158">
      <x:c r="A1158" s="34" t="n">
        <x:v>1158</x:v>
      </x:c>
      <x:c r="B1158" s="9" t="str">
        <x:v>48</x:v>
      </x:c>
      <x:c r="C1158" s="9" t="str">
        <x:v>vape sale</x:v>
      </x:c>
      <x:c r="D1158" s="9" t="str">
        <x:v>recommended</x:v>
      </x:c>
      <x:c r="E1158" s="36" t="n">
        <x:v>720</x:v>
      </x:c>
      <x:c r="F1158" s="36" t="n">
        <x:v>72</x:v>
      </x:c>
      <x:c r="G1158" s="9" t="str">
        <x:v>transactional</x:v>
      </x:c>
      <x:c r="H1158" s="9" t="str">
        <x:v>购买交易</x:v>
      </x:c>
      <x:c r="I1158" s="9" t="str">
        <x:v>交易词</x:v>
      </x:c>
      <x:c r="J1158" s="9" t="str">
        <x:v>主站</x:v>
      </x:c>
      <x:c r="K1158" s="9" t="str"/>
      <x:c r="L1158" s="9" t="str">
        <x:f>IF(K1158="",J1158,K1158)</x:f>
        <x:v>主站</x:v>
      </x:c>
      <x:c r="M1158" s="9" t="str">
        <x:v>产品集合页/分类页/购买页</x:v>
      </x:c>
      <x:c r="N1158" s="9" t="str">
        <x:v>主站商业页：标题围绕购买意图 + 品类 + 关键卖点</x:v>
      </x:c>
      <x:c r="O1158" s="9" t="str">
        <x:v>/collections/disposable-vapes</x:v>
      </x:c>
      <x:c r="P1158" s="9" t="str">
        <x:v>不适用</x:v>
      </x:c>
      <x:c r="Q1158" s="9" t="str">
        <x:v>主站页面自身承接</x:v>
      </x:c>
      <x:c r="R1158" s="9" t="str">
        <x:v>商业词：优先给主站，避免博客抢主站排名</x:v>
      </x:c>
      <x:c r="S1158" s="9" t="str">
        <x:v>SERP 如为商品列表/品牌站/电商集合页，就建主站页面；若 SERP 全是教程，再拆支持文章。</x:v>
      </x:c>
      <x:c r="T1158" s="38" t="n">
        <x:v>10</x:v>
      </x:c>
      <x:c r="U1158" s="38" t="n">
        <x:v>3</x:v>
      </x:c>
      <x:c r="V1158" s="38" t="n">
        <x:v>20</x:v>
      </x:c>
      <x:c r="W1158" s="38" t="n">
        <x:v>7</x:v>
      </x:c>
      <x:c r="X1158" s="38" t="n">
        <x:v>15</x:v>
      </x:c>
      <x:c r="Y1158" s="38" t="n">
        <x:v>4</x:v>
      </x:c>
      <x:c r="Z1158" s="38" t="n">
        <x:f>MAX(0,MIN(100,ROUND(((T1158+U1158+V1158+W1158+X1158)-Y1158)/85*100,0)))</x:f>
        <x:v>60</x:v>
      </x:c>
      <x:c r="AA1158" s="9" t="str">
        <x:f>IF(L1158="暂不做","P3 暂缓",IF(Z1158&gt;=75,"P0 本周做",IF(Z1158&gt;=60,"P1 近期做",IF(Z1158&gt;=45,"P2 备选","P3 暂缓"))))</x:f>
        <x:v>P1 近期做</x:v>
      </x:c>
      <x:c r="AB1158" s="9" t="str">
        <x:f>IF(Y1158&gt;=15,"先做合规/相关性复核，不建议直接商业导流",IF(L1158="主站","建/优化主站商业页",IF(L1158="博客A-知识教程","写知识教程/FAQ文章",IF(L1158="博客B-场景人群","写场景需求/选购指南文章",IF(L1158="博客C-对比评测","写对比评测/榜单文章","暂不做或人工复核")))))</x:f>
        <x:v>建/优化主站商业页</x:v>
      </x:c>
      <x:c r="AC1158" s="9" t="str">
        <x:v>cheap vapes</x:v>
      </x:c>
      <x:c r="AD1158" s="10" t="str">
        <x:v>48</x:v>
      </x:c>
    </x:row>
    <x:row r="1159">
      <x:c r="A1159" s="34" t="n">
        <x:v>1159</x:v>
      </x:c>
      <x:c r="B1159" s="9" t="str">
        <x:v>48</x:v>
      </x:c>
      <x:c r="C1159" s="9" t="str">
        <x:v>vape websites</x:v>
      </x:c>
      <x:c r="D1159" s="9" t="str">
        <x:v>recommended</x:v>
      </x:c>
      <x:c r="E1159" s="36" t="n">
        <x:v>3600</x:v>
      </x:c>
      <x:c r="F1159" s="36" t="n">
        <x:v>83</x:v>
      </x:c>
      <x:c r="G1159" s="9" t="str">
        <x:v>commercial</x:v>
      </x:c>
      <x:c r="H1159" s="9" t="str">
        <x:v>General Vape</x:v>
      </x:c>
      <x:c r="I1159" s="9" t="str">
        <x:v>品类承接词</x:v>
      </x:c>
      <x:c r="J1159" s="9" t="str">
        <x:v>主站</x:v>
      </x:c>
      <x:c r="K1159" s="9" t="str"/>
      <x:c r="L1159" s="9" t="str">
        <x:f>IF(K1159="",J1159,K1159)</x:f>
        <x:v>主站</x:v>
      </x:c>
      <x:c r="M1159" s="9" t="str">
        <x:v>品类页/集合页 + FAQ内容块</x:v>
      </x:c>
      <x:c r="N1159" s="9" t="str">
        <x:v>主站品类页：用产品集合 + 选购说明承接</x:v>
      </x:c>
      <x:c r="O1159" s="9" t="str">
        <x:v>/collections/disposable-vapes</x:v>
      </x:c>
      <x:c r="P1159" s="9" t="str">
        <x:v>不适用</x:v>
      </x:c>
      <x:c r="Q1159" s="9" t="str">
        <x:v>主站页面自身承接</x:v>
      </x:c>
      <x:c r="R1159" s="9" t="str">
        <x:v>核心品类词：主站优先，博客只做长尾解释，不直接抢同一词</x:v>
      </x:c>
      <x:c r="S1159" s="9" t="str">
        <x:v>如果 Google 首页产品页和指南混合，主站页要加 FAQ、选购指南、对比模块。</x:v>
      </x:c>
      <x:c r="T1159" s="38" t="n">
        <x:v>13</x:v>
      </x:c>
      <x:c r="U1159" s="38" t="n">
        <x:v>1</x:v>
      </x:c>
      <x:c r="V1159" s="38" t="n">
        <x:v>18</x:v>
      </x:c>
      <x:c r="W1159" s="38" t="n">
        <x:v>8</x:v>
      </x:c>
      <x:c r="X1159" s="38" t="n">
        <x:v>15</x:v>
      </x:c>
      <x:c r="Y1159" s="38" t="n">
        <x:v>4</x:v>
      </x:c>
      <x:c r="Z1159" s="38" t="n">
        <x:f>MAX(0,MIN(100,ROUND(((T1159+U1159+V1159+W1159+X1159)-Y1159)/85*100,0)))</x:f>
        <x:v>60</x:v>
      </x:c>
      <x:c r="AA1159" s="9" t="str">
        <x:f>IF(L1159="暂不做","P3 暂缓",IF(Z1159&gt;=75,"P0 本周做",IF(Z1159&gt;=60,"P1 近期做",IF(Z1159&gt;=45,"P2 备选","P3 暂缓"))))</x:f>
        <x:v>P1 近期做</x:v>
      </x:c>
      <x:c r="AB1159" s="9" t="str">
        <x:f>IF(Y1159&gt;=15,"先做合规/相关性复核，不建议直接商业导流",IF(L1159="主站","建/优化主站商业页",IF(L1159="博客A-知识教程","写知识教程/FAQ文章",IF(L1159="博客B-场景人群","写场景需求/选购指南文章",IF(L1159="博客C-对比评测","写对比评测/榜单文章","暂不做或人工复核")))))</x:f>
        <x:v>建/优化主站商业页</x:v>
      </x:c>
      <x:c r="AC1159" s="9" t="str">
        <x:v>cheap vapes</x:v>
      </x:c>
      <x:c r="AD1159" s="10" t="str">
        <x:v>48</x:v>
      </x:c>
    </x:row>
    <x:row r="1160">
      <x:c r="A1160" s="34" t="n">
        <x:v>1160</x:v>
      </x:c>
      <x:c r="B1160" s="9" t="str">
        <x:v>48</x:v>
      </x:c>
      <x:c r="C1160" s="9" t="str">
        <x:v>fasta vape review</x:v>
      </x:c>
      <x:c r="D1160" s="9" t="str">
        <x:v>recommended</x:v>
      </x:c>
      <x:c r="E1160" s="36" t="n">
        <x:v>90</x:v>
      </x:c>
      <x:c r="F1160" s="36" t="n">
        <x:v>5</x:v>
      </x:c>
      <x:c r="G1160" s="9" t="str">
        <x:v>informational, commercial</x:v>
      </x:c>
      <x:c r="H1160" s="9" t="str">
        <x:v>对比评测</x:v>
      </x:c>
      <x:c r="I1160" s="9" t="str">
        <x:v>商业调查词</x:v>
      </x:c>
      <x:c r="J1160" s="9" t="str">
        <x:v>博客C-对比评测</x:v>
      </x:c>
      <x:c r="K1160" s="9" t="str"/>
      <x:c r="L1160" s="9" t="str">
        <x:f>IF(K1160="",J1160,K1160)</x:f>
        <x:v>博客C-对比评测</x:v>
      </x:c>
      <x:c r="M1160" s="9" t="str">
        <x:v>Best/Top/Review/VS/替代方案文章</x:v>
      </x:c>
      <x:c r="N1160" s="9" t="str">
        <x:v>Best angle: fasta vape review - comparison, pros/cons, and which option fits different buyers</x:v>
      </x:c>
      <x:c r="O1160" s="9" t="str">
        <x:v>/collections/disposable-vapes</x:v>
      </x:c>
      <x:c r="P1160" s="9" t="str">
        <x:v>是</x:v>
      </x:c>
      <x:c r="Q1160" s="9" t="str">
        <x:v>自然句/品类词/品牌词</x:v>
      </x:c>
      <x:c r="R1160" s="9" t="str">
        <x:v>中风险：榜单和评测必须真实、中立，避免夸大</x:v>
      </x:c>
      <x:c r="S1160" s="9" t="str">
        <x:v>这类词不直接给主站，先用博客C教育和比较，再导流到最相关集合页。</x:v>
      </x:c>
      <x:c r="T1160" s="38" t="n">
        <x:v>4</x:v>
      </x:c>
      <x:c r="U1160" s="38" t="n">
        <x:v>15</x:v>
      </x:c>
      <x:c r="V1160" s="38" t="n">
        <x:v>16</x:v>
      </x:c>
      <x:c r="W1160" s="38" t="n">
        <x:v>15</x:v>
      </x:c>
      <x:c r="X1160" s="38" t="n">
        <x:v>13</x:v>
      </x:c>
      <x:c r="Y1160" s="38" t="n">
        <x:v>6</x:v>
      </x:c>
      <x:c r="Z1160" s="38" t="n">
        <x:f>MAX(0,MIN(100,ROUND(((T1160+U1160+V1160+W1160+X1160)-Y1160)/85*100,0)))</x:f>
        <x:v>67</x:v>
      </x:c>
      <x:c r="AA1160" s="9" t="str">
        <x:f>IF(L1160="暂不做","P3 暂缓",IF(Z1160&gt;=75,"P0 本周做",IF(Z1160&gt;=60,"P1 近期做",IF(Z1160&gt;=45,"P2 备选","P3 暂缓"))))</x:f>
        <x:v>P1 近期做</x:v>
      </x:c>
      <x:c r="AB1160" s="9" t="str">
        <x:f>IF(Y1160&gt;=15,"先做合规/相关性复核，不建议直接商业导流",IF(L1160="主站","建/优化主站商业页",IF(L1160="博客A-知识教程","写知识教程/FAQ文章",IF(L1160="博客B-场景人群","写场景需求/选购指南文章",IF(L1160="博客C-对比评测","写对比评测/榜单文章","暂不做或人工复核")))))</x:f>
        <x:v>写对比评测/榜单文章</x:v>
      </x:c>
      <x:c r="AC1160" s="9" t="str">
        <x:v>cheap vapes</x:v>
      </x:c>
      <x:c r="AD1160" s="10" t="str">
        <x:v>48</x:v>
      </x:c>
    </x:row>
    <x:row r="1161">
      <x:c r="A1161" s="34" t="n">
        <x:v>1161</x:v>
      </x:c>
      <x:c r="B1161" s="9" t="str">
        <x:v>48</x:v>
      </x:c>
      <x:c r="C1161" s="9" t="str">
        <x:v>mint vape pen</x:v>
      </x:c>
      <x:c r="D1161" s="9" t="str">
        <x:v>recommended</x:v>
      </x:c>
      <x:c r="E1161" s="36" t="n">
        <x:v>70</x:v>
      </x:c>
      <x:c r="F1161" s="36" t="n">
        <x:v>3</x:v>
      </x:c>
      <x:c r="G1161" s="9" t="str">
        <x:v>informational</x:v>
      </x:c>
      <x:c r="H1161" s="9" t="str">
        <x:v>General Vape</x:v>
      </x:c>
      <x:c r="I1161" s="9" t="str">
        <x:v>品类承接词</x:v>
      </x:c>
      <x:c r="J1161" s="9" t="str">
        <x:v>主站</x:v>
      </x:c>
      <x:c r="K1161" s="9" t="str"/>
      <x:c r="L1161" s="9" t="str">
        <x:f>IF(K1161="",J1161,K1161)</x:f>
        <x:v>主站</x:v>
      </x:c>
      <x:c r="M1161" s="9" t="str">
        <x:v>品类页/集合页 + FAQ内容块</x:v>
      </x:c>
      <x:c r="N1161" s="9" t="str">
        <x:v>主站品类页：用产品集合 + 选购说明承接</x:v>
      </x:c>
      <x:c r="O1161" s="9" t="str">
        <x:v>/collections/disposable-vapes</x:v>
      </x:c>
      <x:c r="P1161" s="9" t="str">
        <x:v>不适用</x:v>
      </x:c>
      <x:c r="Q1161" s="9" t="str">
        <x:v>主站页面自身承接</x:v>
      </x:c>
      <x:c r="R1161" s="9" t="str">
        <x:v>核心品类词：主站优先，博客只做长尾解释，不直接抢同一词</x:v>
      </x:c>
      <x:c r="S1161" s="9" t="str">
        <x:v>如果 Google 首页产品页和指南混合，主站页要加 FAQ、选购指南、对比模块。</x:v>
      </x:c>
      <x:c r="T1161" s="38" t="n">
        <x:v>4</x:v>
      </x:c>
      <x:c r="U1161" s="38" t="n">
        <x:v>15</x:v>
      </x:c>
      <x:c r="V1161" s="38" t="n">
        <x:v>16</x:v>
      </x:c>
      <x:c r="W1161" s="38" t="n">
        <x:v>8</x:v>
      </x:c>
      <x:c r="X1161" s="38" t="n">
        <x:v>15</x:v>
      </x:c>
      <x:c r="Y1161" s="38" t="n">
        <x:v>4</x:v>
      </x:c>
      <x:c r="Z1161" s="38" t="n">
        <x:f>MAX(0,MIN(100,ROUND(((T1161+U1161+V1161+W1161+X1161)-Y1161)/85*100,0)))</x:f>
        <x:v>64</x:v>
      </x:c>
      <x:c r="AA1161" s="9" t="str">
        <x:f>IF(L1161="暂不做","P3 暂缓",IF(Z1161&gt;=75,"P0 本周做",IF(Z1161&gt;=60,"P1 近期做",IF(Z1161&gt;=45,"P2 备选","P3 暂缓"))))</x:f>
        <x:v>P1 近期做</x:v>
      </x:c>
      <x:c r="AB1161" s="9" t="str">
        <x:f>IF(Y1161&gt;=15,"先做合规/相关性复核，不建议直接商业导流",IF(L1161="主站","建/优化主站商业页",IF(L1161="博客A-知识教程","写知识教程/FAQ文章",IF(L1161="博客B-场景人群","写场景需求/选购指南文章",IF(L1161="博客C-对比评测","写对比评测/榜单文章","暂不做或人工复核")))))</x:f>
        <x:v>建/优化主站商业页</x:v>
      </x:c>
      <x:c r="AC1161" s="9" t="str">
        <x:v>cheap vapes</x:v>
      </x:c>
      <x:c r="AD1161" s="10" t="str">
        <x:v>48</x:v>
      </x:c>
    </x:row>
    <x:row r="1162">
      <x:c r="A1162" s="34" t="n">
        <x:v>1162</x:v>
      </x:c>
      <x:c r="B1162" s="9" t="str">
        <x:v>48</x:v>
      </x:c>
      <x:c r="C1162" s="9" t="str">
        <x:v>foger vape kit</x:v>
      </x:c>
      <x:c r="D1162" s="9" t="str">
        <x:v>recommended</x:v>
      </x:c>
      <x:c r="E1162" s="36" t="n">
        <x:v>140</x:v>
      </x:c>
      <x:c r="F1162" s="36" t="n">
        <x:v>14</x:v>
      </x:c>
      <x:c r="G1162" s="9" t="str">
        <x:v>informational</x:v>
      </x:c>
      <x:c r="H1162" s="9" t="str">
        <x:v>General Vape</x:v>
      </x:c>
      <x:c r="I1162" s="9" t="str">
        <x:v>品类承接词</x:v>
      </x:c>
      <x:c r="J1162" s="9" t="str">
        <x:v>主站</x:v>
      </x:c>
      <x:c r="K1162" s="9" t="str"/>
      <x:c r="L1162" s="9" t="str">
        <x:f>IF(K1162="",J1162,K1162)</x:f>
        <x:v>主站</x:v>
      </x:c>
      <x:c r="M1162" s="9" t="str">
        <x:v>品类页/集合页 + FAQ内容块</x:v>
      </x:c>
      <x:c r="N1162" s="9" t="str">
        <x:v>主站品类页：用产品集合 + 选购说明承接</x:v>
      </x:c>
      <x:c r="O1162" s="9" t="str">
        <x:v>/collections/disposable-vapes</x:v>
      </x:c>
      <x:c r="P1162" s="9" t="str">
        <x:v>不适用</x:v>
      </x:c>
      <x:c r="Q1162" s="9" t="str">
        <x:v>主站页面自身承接</x:v>
      </x:c>
      <x:c r="R1162" s="9" t="str">
        <x:v>核心品类词：主站优先，博客只做长尾解释，不直接抢同一词</x:v>
      </x:c>
      <x:c r="S1162" s="9" t="str">
        <x:v>如果 Google 首页产品页和指南混合，主站页要加 FAQ、选购指南、对比模块。</x:v>
      </x:c>
      <x:c r="T1162" s="38" t="n">
        <x:v>7</x:v>
      </x:c>
      <x:c r="U1162" s="38" t="n">
        <x:v>15</x:v>
      </x:c>
      <x:c r="V1162" s="38" t="n">
        <x:v>16</x:v>
      </x:c>
      <x:c r="W1162" s="38" t="n">
        <x:v>8</x:v>
      </x:c>
      <x:c r="X1162" s="38" t="n">
        <x:v>15</x:v>
      </x:c>
      <x:c r="Y1162" s="38" t="n">
        <x:v>4</x:v>
      </x:c>
      <x:c r="Z1162" s="38" t="n">
        <x:f>MAX(0,MIN(100,ROUND(((T1162+U1162+V1162+W1162+X1162)-Y1162)/85*100,0)))</x:f>
        <x:v>67</x:v>
      </x:c>
      <x:c r="AA1162" s="9" t="str">
        <x:f>IF(L1162="暂不做","P3 暂缓",IF(Z1162&gt;=75,"P0 本周做",IF(Z1162&gt;=60,"P1 近期做",IF(Z1162&gt;=45,"P2 备选","P3 暂缓"))))</x:f>
        <x:v>P1 近期做</x:v>
      </x:c>
      <x:c r="AB1162" s="9" t="str">
        <x:f>IF(Y1162&gt;=15,"先做合规/相关性复核，不建议直接商业导流",IF(L1162="主站","建/优化主站商业页",IF(L1162="博客A-知识教程","写知识教程/FAQ文章",IF(L1162="博客B-场景人群","写场景需求/选购指南文章",IF(L1162="博客C-对比评测","写对比评测/榜单文章","暂不做或人工复核")))))</x:f>
        <x:v>建/优化主站商业页</x:v>
      </x:c>
      <x:c r="AC1162" s="9" t="str">
        <x:v>foger vape kit</x:v>
      </x:c>
      <x:c r="AD1162" s="10" t="str">
        <x:v>48</x:v>
      </x:c>
    </x:row>
    <x:row r="1163">
      <x:c r="A1163" s="34" t="n">
        <x:v>1163</x:v>
      </x:c>
      <x:c r="B1163" s="9" t="str">
        <x:v>48</x:v>
      </x:c>
      <x:c r="C1163" s="9" t="str">
        <x:v>strawberry ice foger</x:v>
      </x:c>
      <x:c r="D1163" s="9" t="str">
        <x:v>recommended</x:v>
      </x:c>
      <x:c r="E1163" s="36" t="n">
        <x:v>70</x:v>
      </x:c>
      <x:c r="F1163" s="36" t="n">
        <x:v>1</x:v>
      </x:c>
      <x:c r="G1163" s="9" t="str">
        <x:v>informational</x:v>
      </x:c>
      <x:c r="H1163" s="9" t="str">
        <x:v>General Vape</x:v>
      </x:c>
      <x:c r="I1163" s="9" t="str">
        <x:v>知识/教程词</x:v>
      </x:c>
      <x:c r="J1163" s="9" t="str">
        <x:v>博客A-知识教程</x:v>
      </x:c>
      <x:c r="K1163" s="9" t="str"/>
      <x:c r="L1163" s="9" t="str">
        <x:f>IF(K1163="",J1163,K1163)</x:f>
        <x:v>博客A-知识教程</x:v>
      </x:c>
      <x:c r="M1163" s="9" t="str">
        <x:v>百科/How-to/FAQ文章</x:v>
      </x:c>
      <x:c r="N1163" s="9" t="str">
        <x:v>Guide angle: explain strawberry ice foger, answer common questions, and avoid sales-first writing</x:v>
      </x:c>
      <x:c r="O1163" s="9" t="str">
        <x:v>/collections/disposable-vapes</x:v>
      </x:c>
      <x:c r="P1163" s="9" t="str">
        <x:v>谨慎</x:v>
      </x:c>
      <x:c r="Q1163" s="9" t="str">
        <x:v>自然句/品牌词</x:v>
      </x:c>
      <x:c r="R1163" s="9" t="str">
        <x:v>低中风险：先满足信息意图，导流要克制</x:v>
      </x:c>
      <x:c r="S1163" s="9" t="str">
        <x:v>如果文章能自然回答下一步购买问题，再放 1 个主站内链；否则只做知识闭环。</x:v>
      </x:c>
      <x:c r="T1163" s="38" t="n">
        <x:v>4</x:v>
      </x:c>
      <x:c r="U1163" s="38" t="n">
        <x:v>15</x:v>
      </x:c>
      <x:c r="V1163" s="38" t="n">
        <x:v>9</x:v>
      </x:c>
      <x:c r="W1163" s="38" t="n">
        <x:v>14</x:v>
      </x:c>
      <x:c r="X1163" s="38" t="n">
        <x:v>12</x:v>
      </x:c>
      <x:c r="Y1163" s="38" t="n">
        <x:v>5</x:v>
      </x:c>
      <x:c r="Z1163" s="38" t="n">
        <x:f>MAX(0,MIN(100,ROUND(((T1163+U1163+V1163+W1163+X1163)-Y1163)/85*100,0)))</x:f>
        <x:v>58</x:v>
      </x:c>
      <x:c r="AA1163" s="9" t="str">
        <x:f>IF(L1163="暂不做","P3 暂缓",IF(Z1163&gt;=75,"P0 本周做",IF(Z1163&gt;=60,"P1 近期做",IF(Z1163&gt;=45,"P2 备选","P3 暂缓"))))</x:f>
        <x:v>P2 备选</x:v>
      </x:c>
      <x:c r="AB1163" s="9" t="str">
        <x:f>IF(Y1163&gt;=15,"先做合规/相关性复核，不建议直接商业导流",IF(L1163="主站","建/优化主站商业页",IF(L1163="博客A-知识教程","写知识教程/FAQ文章",IF(L1163="博客B-场景人群","写场景需求/选购指南文章",IF(L1163="博客C-对比评测","写对比评测/榜单文章","暂不做或人工复核")))))</x:f>
        <x:v>写知识教程/FAQ文章</x:v>
      </x:c>
      <x:c r="AC1163" s="9" t="str">
        <x:v>foger vape kit</x:v>
      </x:c>
      <x:c r="AD1163" s="10" t="str">
        <x:v>48</x:v>
      </x:c>
    </x:row>
    <x:row r="1164">
      <x:c r="A1164" s="34" t="n">
        <x:v>1164</x:v>
      </x:c>
      <x:c r="B1164" s="9" t="str">
        <x:v>48</x:v>
      </x:c>
      <x:c r="C1164" s="9" t="str">
        <x:v>how do you use a vape</x:v>
      </x:c>
      <x:c r="D1164" s="9" t="str">
        <x:v>recommended</x:v>
      </x:c>
      <x:c r="E1164" s="36" t="n">
        <x:v>170</x:v>
      </x:c>
      <x:c r="F1164" s="36" t="n">
        <x:v>15</x:v>
      </x:c>
      <x:c r="G1164" s="9" t="str">
        <x:v>informational</x:v>
      </x:c>
      <x:c r="H1164" s="9" t="str">
        <x:v>知识教程</x:v>
      </x:c>
      <x:c r="I1164" s="9" t="str">
        <x:v>知识/教程词</x:v>
      </x:c>
      <x:c r="J1164" s="9" t="str">
        <x:v>博客A-知识教程</x:v>
      </x:c>
      <x:c r="K1164" s="9" t="str"/>
      <x:c r="L1164" s="9" t="str">
        <x:f>IF(K1164="",J1164,K1164)</x:f>
        <x:v>博客A-知识教程</x:v>
      </x:c>
      <x:c r="M1164" s="9" t="str">
        <x:v>百科/How-to/FAQ文章</x:v>
      </x:c>
      <x:c r="N1164" s="9" t="str">
        <x:v>Guide angle: explain how do you use a vape, answer common questions, and avoid sales-first writing</x:v>
      </x:c>
      <x:c r="O1164" s="9" t="str">
        <x:v>/collections/disposable-vapes</x:v>
      </x:c>
      <x:c r="P1164" s="9" t="str">
        <x:v>谨慎</x:v>
      </x:c>
      <x:c r="Q1164" s="9" t="str">
        <x:v>自然句/品牌词</x:v>
      </x:c>
      <x:c r="R1164" s="9" t="str">
        <x:v>低中风险：先满足信息意图，导流要克制</x:v>
      </x:c>
      <x:c r="S1164" s="9" t="str">
        <x:v>如果文章能自然回答下一步购买问题，再放 1 个主站内链；否则只做知识闭环。</x:v>
      </x:c>
      <x:c r="T1164" s="38" t="n">
        <x:v>7</x:v>
      </x:c>
      <x:c r="U1164" s="38" t="n">
        <x:v>15</x:v>
      </x:c>
      <x:c r="V1164" s="38" t="n">
        <x:v>9</x:v>
      </x:c>
      <x:c r="W1164" s="38" t="n">
        <x:v>14</x:v>
      </x:c>
      <x:c r="X1164" s="38" t="n">
        <x:v>12</x:v>
      </x:c>
      <x:c r="Y1164" s="38" t="n">
        <x:v>5</x:v>
      </x:c>
      <x:c r="Z1164" s="38" t="n">
        <x:f>MAX(0,MIN(100,ROUND(((T1164+U1164+V1164+W1164+X1164)-Y1164)/85*100,0)))</x:f>
        <x:v>61</x:v>
      </x:c>
      <x:c r="AA1164" s="9" t="str">
        <x:f>IF(L1164="暂不做","P3 暂缓",IF(Z1164&gt;=75,"P0 本周做",IF(Z1164&gt;=60,"P1 近期做",IF(Z1164&gt;=45,"P2 备选","P3 暂缓"))))</x:f>
        <x:v>P1 近期做</x:v>
      </x:c>
      <x:c r="AB1164" s="9" t="str">
        <x:f>IF(Y1164&gt;=15,"先做合规/相关性复核，不建议直接商业导流",IF(L1164="主站","建/优化主站商业页",IF(L1164="博客A-知识教程","写知识教程/FAQ文章",IF(L1164="博客B-场景人群","写场景需求/选购指南文章",IF(L1164="博客C-对比评测","写对比评测/榜单文章","暂不做或人工复核")))))</x:f>
        <x:v>写知识教程/FAQ文章</x:v>
      </x:c>
      <x:c r="AC1164" s="9" t="str">
        <x:v>foger vape kit</x:v>
      </x:c>
      <x:c r="AD1164" s="10" t="str">
        <x:v>48</x:v>
      </x:c>
    </x:row>
    <x:row r="1165">
      <x:c r="A1165" s="34" t="n">
        <x:v>1165</x:v>
      </x:c>
      <x:c r="B1165" s="9" t="str">
        <x:v>48</x:v>
      </x:c>
      <x:c r="C1165" s="9" t="str">
        <x:v>vg vape</x:v>
      </x:c>
      <x:c r="D1165" s="9" t="str">
        <x:v>recommended</x:v>
      </x:c>
      <x:c r="E1165" s="36" t="n">
        <x:v>110</x:v>
      </x:c>
      <x:c r="F1165" s="36" t="n">
        <x:v>16</x:v>
      </x:c>
      <x:c r="G1165" s="9" t="str">
        <x:v>informational, commercial</x:v>
      </x:c>
      <x:c r="H1165" s="9" t="str">
        <x:v>General Vape</x:v>
      </x:c>
      <x:c r="I1165" s="9" t="str">
        <x:v>品类承接词</x:v>
      </x:c>
      <x:c r="J1165" s="9" t="str">
        <x:v>主站</x:v>
      </x:c>
      <x:c r="K1165" s="9" t="str"/>
      <x:c r="L1165" s="9" t="str">
        <x:f>IF(K1165="",J1165,K1165)</x:f>
        <x:v>主站</x:v>
      </x:c>
      <x:c r="M1165" s="9" t="str">
        <x:v>品类页/集合页 + FAQ内容块</x:v>
      </x:c>
      <x:c r="N1165" s="9" t="str">
        <x:v>主站品类页：用产品集合 + 选购说明承接</x:v>
      </x:c>
      <x:c r="O1165" s="9" t="str">
        <x:v>/collections/disposable-vapes</x:v>
      </x:c>
      <x:c r="P1165" s="9" t="str">
        <x:v>不适用</x:v>
      </x:c>
      <x:c r="Q1165" s="9" t="str">
        <x:v>主站页面自身承接</x:v>
      </x:c>
      <x:c r="R1165" s="9" t="str">
        <x:v>核心品类词：主站优先，博客只做长尾解释，不直接抢同一词</x:v>
      </x:c>
      <x:c r="S1165" s="9" t="str">
        <x:v>如果 Google 首页产品页和指南混合，主站页要加 FAQ、选购指南、对比模块。</x:v>
      </x:c>
      <x:c r="T1165" s="38" t="n">
        <x:v>7</x:v>
      </x:c>
      <x:c r="U1165" s="38" t="n">
        <x:v>12</x:v>
      </x:c>
      <x:c r="V1165" s="38" t="n">
        <x:v>18</x:v>
      </x:c>
      <x:c r="W1165" s="38" t="n">
        <x:v>8</x:v>
      </x:c>
      <x:c r="X1165" s="38" t="n">
        <x:v>15</x:v>
      </x:c>
      <x:c r="Y1165" s="38" t="n">
        <x:v>4</x:v>
      </x:c>
      <x:c r="Z1165" s="38" t="n">
        <x:f>MAX(0,MIN(100,ROUND(((T1165+U1165+V1165+W1165+X1165)-Y1165)/85*100,0)))</x:f>
        <x:v>66</x:v>
      </x:c>
      <x:c r="AA1165" s="9" t="str">
        <x:f>IF(L1165="暂不做","P3 暂缓",IF(Z1165&gt;=75,"P0 本周做",IF(Z1165&gt;=60,"P1 近期做",IF(Z1165&gt;=45,"P2 备选","P3 暂缓"))))</x:f>
        <x:v>P1 近期做</x:v>
      </x:c>
      <x:c r="AB1165" s="9" t="str">
        <x:f>IF(Y1165&gt;=15,"先做合规/相关性复核，不建议直接商业导流",IF(L1165="主站","建/优化主站商业页",IF(L1165="博客A-知识教程","写知识教程/FAQ文章",IF(L1165="博客B-场景人群","写场景需求/选购指南文章",IF(L1165="博客C-对比评测","写对比评测/榜单文章","暂不做或人工复核")))))</x:f>
        <x:v>建/优化主站商业页</x:v>
      </x:c>
      <x:c r="AC1165" s="9" t="str">
        <x:v>vg vape</x:v>
      </x:c>
      <x:c r="AD1165" s="10" t="str">
        <x:v>48</x:v>
      </x:c>
    </x:row>
    <x:row r="1166">
      <x:c r="A1166" s="34" t="n">
        <x:v>1166</x:v>
      </x:c>
      <x:c r="B1166" s="9" t="str">
        <x:v>48</x:v>
      </x:c>
      <x:c r="C1166" s="9" t="str">
        <x:v>exdivo 35k kit</x:v>
      </x:c>
      <x:c r="D1166" s="9" t="str">
        <x:v>recommended</x:v>
      </x:c>
      <x:c r="E1166" s="36" t="n">
        <x:v>0</x:v>
      </x:c>
      <x:c r="F1166" s="36" t="n">
        <x:v>0</x:v>
      </x:c>
      <x:c r="G1166" s="9" t="str">
        <x:v>48</x:v>
      </x:c>
      <x:c r="H1166" s="9" t="str">
        <x:v>General Vape</x:v>
      </x:c>
      <x:c r="I1166" s="9" t="str">
        <x:v>弱相关词</x:v>
      </x:c>
      <x:c r="J1166" s="9" t="str">
        <x:v>暂不做</x:v>
      </x:c>
      <x:c r="K1166" s="9" t="str"/>
      <x:c r="L1166" s="9" t="str">
        <x:f>IF(K1166="",J1166,K1166)</x:f>
        <x:v>暂不做</x:v>
      </x:c>
      <x:c r="M1166" s="9" t="str">
        <x:v>不建议建页</x:v>
      </x:c>
      <x:c r="N1166" s="9" t="str">
        <x:v>不进入内容生产</x:v>
      </x:c>
      <x:c r="O1166" s="9" t="str">
        <x:v>无</x:v>
      </x:c>
      <x:c r="P1166" s="9" t="str">
        <x:v>否</x:v>
      </x:c>
      <x:c r="Q1166" s="9" t="str">
        <x:v>不导流</x:v>
      </x:c>
      <x:c r="R1166" s="9" t="str">
        <x:v>相关性弱：可能带来无效流量或偏离产品定位</x:v>
      </x:c>
      <x:c r="S1166" s="9" t="str">
        <x:v>除非人工确认与核心产品强相关，否则不要进入内容排期。</x:v>
      </x:c>
      <x:c r="T1166" s="38" t="n">
        <x:v>1</x:v>
      </x:c>
      <x:c r="U1166" s="38" t="n">
        <x:v>15</x:v>
      </x:c>
      <x:c r="V1166" s="38" t="n">
        <x:v>2</x:v>
      </x:c>
      <x:c r="W1166" s="38" t="n">
        <x:v>3</x:v>
      </x:c>
      <x:c r="X1166" s="38" t="n">
        <x:v>2</x:v>
      </x:c>
      <x:c r="Y1166" s="38" t="n">
        <x:v>16</x:v>
      </x:c>
      <x:c r="Z1166" s="38" t="n">
        <x:f>MAX(0,MIN(100,ROUND(((T1166+U1166+V1166+W1166+X1166)-Y1166)/85*100,0)))</x:f>
        <x:v>8</x:v>
      </x:c>
      <x:c r="AA1166" s="9" t="str">
        <x:f>IF(L1166="暂不做","P3 暂缓",IF(Z1166&gt;=75,"P0 本周做",IF(Z1166&gt;=60,"P1 近期做",IF(Z1166&gt;=45,"P2 备选","P3 暂缓"))))</x:f>
        <x:v>P3 暂缓</x:v>
      </x:c>
      <x:c r="AB1166" s="9" t="str">
        <x:f>IF(Y1166&gt;=15,"先做合规/相关性复核，不建议直接商业导流",IF(L1166="主站","建/优化主站商业页",IF(L1166="博客A-知识教程","写知识教程/FAQ文章",IF(L1166="博客B-场景人群","写场景需求/选购指南文章",IF(L1166="博客C-对比评测","写对比评测/榜单文章","暂不做或人工复核")))))</x:f>
        <x:v>先做合规/相关性复核，不建议直接商业导流</x:v>
      </x:c>
      <x:c r="AC1166" s="9" t="str">
        <x:v>vg vape</x:v>
      </x:c>
      <x:c r="AD1166" s="10" t="str">
        <x:v>48</x:v>
      </x:c>
    </x:row>
    <x:row r="1167">
      <x:c r="A1167" s="34" t="n">
        <x:v>1167</x:v>
      </x:c>
      <x:c r="B1167" s="9" t="str">
        <x:v>48</x:v>
      </x:c>
      <x:c r="C1167" s="9" t="str">
        <x:v>kangvape</x:v>
      </x:c>
      <x:c r="D1167" s="9" t="str">
        <x:v>recommended</x:v>
      </x:c>
      <x:c r="E1167" s="36" t="n">
        <x:v>4400</x:v>
      </x:c>
      <x:c r="F1167" s="36" t="n">
        <x:v>9</x:v>
      </x:c>
      <x:c r="G1167" s="9" t="str">
        <x:v>informational, commercial</x:v>
      </x:c>
      <x:c r="H1167" s="9" t="str">
        <x:v>竞品/品牌词</x:v>
      </x:c>
      <x:c r="I1167" s="9" t="str">
        <x:v>竞品品牌词</x:v>
      </x:c>
      <x:c r="J1167" s="9" t="str">
        <x:v>暂不做</x:v>
      </x:c>
      <x:c r="K1167" s="9" t="str"/>
      <x:c r="L1167" s="9" t="str">
        <x:f>IF(K1167="",J1167,K1167)</x:f>
        <x:v>暂不做</x:v>
      </x:c>
      <x:c r="M1167" s="9" t="str">
        <x:v>人工确认后再决定</x:v>
      </x:c>
      <x:c r="N1167" s="9" t="str">
        <x:v>人工确认是否可做客观对比</x:v>
      </x:c>
      <x:c r="O1167" s="9" t="str">
        <x:v>无</x:v>
      </x:c>
      <x:c r="P1167" s="9" t="str">
        <x:v>否</x:v>
      </x:c>
      <x:c r="Q1167" s="9" t="str">
        <x:v>不导流</x:v>
      </x:c>
      <x:c r="R1167" s="9" t="str">
        <x:v>中高风险：纯竞品品牌词容易产生商标/相关性问题</x:v>
      </x:c>
      <x:c r="S1167" s="9" t="str">
        <x:v>只有带 alternative / vs / review / best 这类明确比较意图时，才考虑博客C。</x:v>
      </x:c>
      <x:c r="T1167" s="38" t="n">
        <x:v>13</x:v>
      </x:c>
      <x:c r="U1167" s="38" t="n">
        <x:v>15</x:v>
      </x:c>
      <x:c r="V1167" s="38" t="n">
        <x:v>5</x:v>
      </x:c>
      <x:c r="W1167" s="38" t="n">
        <x:v>7</x:v>
      </x:c>
      <x:c r="X1167" s="38" t="n">
        <x:v>4</x:v>
      </x:c>
      <x:c r="Y1167" s="38" t="n">
        <x:v>14</x:v>
      </x:c>
      <x:c r="Z1167" s="38" t="n">
        <x:f>MAX(0,MIN(100,ROUND(((T1167+U1167+V1167+W1167+X1167)-Y1167)/85*100,0)))</x:f>
        <x:v>35</x:v>
      </x:c>
      <x:c r="AA1167" s="9" t="str">
        <x:f>IF(L1167="暂不做","P3 暂缓",IF(Z1167&gt;=75,"P0 本周做",IF(Z1167&gt;=60,"P1 近期做",IF(Z1167&gt;=45,"P2 备选","P3 暂缓"))))</x:f>
        <x:v>P3 暂缓</x:v>
      </x:c>
      <x:c r="AB1167" s="9" t="str">
        <x:f>IF(Y1167&gt;=15,"先做合规/相关性复核，不建议直接商业导流",IF(L1167="主站","建/优化主站商业页",IF(L1167="博客A-知识教程","写知识教程/FAQ文章",IF(L1167="博客B-场景人群","写场景需求/选购指南文章",IF(L1167="博客C-对比评测","写对比评测/榜单文章","暂不做或人工复核")))))</x:f>
        <x:v>暂不做或人工复核</x:v>
      </x:c>
      <x:c r="AC1167" s="9" t="str">
        <x:v>kangvape</x:v>
      </x:c>
      <x:c r="AD1167" s="10" t="str">
        <x:v>48</x:v>
      </x:c>
    </x:row>
    <x:row r="1168">
      <x:c r="A1168" s="34" t="n">
        <x:v>1168</x:v>
      </x:c>
      <x:c r="B1168" s="9" t="str">
        <x:v>48</x:v>
      </x:c>
      <x:c r="C1168" s="9" t="str">
        <x:v>kang vape</x:v>
      </x:c>
      <x:c r="D1168" s="9" t="str">
        <x:v>recommended</x:v>
      </x:c>
      <x:c r="E1168" s="36" t="n">
        <x:v>2900</x:v>
      </x:c>
      <x:c r="F1168" s="36" t="n">
        <x:v>8</x:v>
      </x:c>
      <x:c r="G1168" s="9" t="str">
        <x:v>informational, commercial</x:v>
      </x:c>
      <x:c r="H1168" s="9" t="str">
        <x:v>General Vape</x:v>
      </x:c>
      <x:c r="I1168" s="9" t="str">
        <x:v>品类承接词</x:v>
      </x:c>
      <x:c r="J1168" s="9" t="str">
        <x:v>主站</x:v>
      </x:c>
      <x:c r="K1168" s="9" t="str"/>
      <x:c r="L1168" s="9" t="str">
        <x:f>IF(K1168="",J1168,K1168)</x:f>
        <x:v>主站</x:v>
      </x:c>
      <x:c r="M1168" s="9" t="str">
        <x:v>品类页/集合页 + FAQ内容块</x:v>
      </x:c>
      <x:c r="N1168" s="9" t="str">
        <x:v>主站品类页：用产品集合 + 选购说明承接</x:v>
      </x:c>
      <x:c r="O1168" s="9" t="str">
        <x:v>/collections/disposable-vapes</x:v>
      </x:c>
      <x:c r="P1168" s="9" t="str">
        <x:v>不适用</x:v>
      </x:c>
      <x:c r="Q1168" s="9" t="str">
        <x:v>主站页面自身承接</x:v>
      </x:c>
      <x:c r="R1168" s="9" t="str">
        <x:v>核心品类词：主站优先，博客只做长尾解释，不直接抢同一词</x:v>
      </x:c>
      <x:c r="S1168" s="9" t="str">
        <x:v>如果 Google 首页产品页和指南混合，主站页要加 FAQ、选购指南、对比模块。</x:v>
      </x:c>
      <x:c r="T1168" s="38" t="n">
        <x:v>13</x:v>
      </x:c>
      <x:c r="U1168" s="38" t="n">
        <x:v>15</x:v>
      </x:c>
      <x:c r="V1168" s="38" t="n">
        <x:v>18</x:v>
      </x:c>
      <x:c r="W1168" s="38" t="n">
        <x:v>8</x:v>
      </x:c>
      <x:c r="X1168" s="38" t="n">
        <x:v>15</x:v>
      </x:c>
      <x:c r="Y1168" s="38" t="n">
        <x:v>4</x:v>
      </x:c>
      <x:c r="Z1168" s="38" t="n">
        <x:f>MAX(0,MIN(100,ROUND(((T1168+U1168+V1168+W1168+X1168)-Y1168)/85*100,0)))</x:f>
        <x:v>76</x:v>
      </x:c>
      <x:c r="AA1168" s="9" t="str">
        <x:f>IF(L1168="暂不做","P3 暂缓",IF(Z1168&gt;=75,"P0 本周做",IF(Z1168&gt;=60,"P1 近期做",IF(Z1168&gt;=45,"P2 备选","P3 暂缓"))))</x:f>
        <x:v>P0 本周做</x:v>
      </x:c>
      <x:c r="AB1168" s="9" t="str">
        <x:f>IF(Y1168&gt;=15,"先做合规/相关性复核，不建议直接商业导流",IF(L1168="主站","建/优化主站商业页",IF(L1168="博客A-知识教程","写知识教程/FAQ文章",IF(L1168="博客B-场景人群","写场景需求/选购指南文章",IF(L1168="博客C-对比评测","写对比评测/榜单文章","暂不做或人工复核")))))</x:f>
        <x:v>建/优化主站商业页</x:v>
      </x:c>
      <x:c r="AC1168" s="9" t="str">
        <x:v>kangvape</x:v>
      </x:c>
      <x:c r="AD1168" s="10" t="str">
        <x:v>48</x:v>
      </x:c>
    </x:row>
    <x:row r="1169">
      <x:c r="A1169" s="34" t="n">
        <x:v>1169</x:v>
      </x:c>
      <x:c r="B1169" s="9" t="str">
        <x:v>48</x:v>
      </x:c>
      <x:c r="C1169" s="9" t="str">
        <x:v>interstellar 35k cool mint</x:v>
      </x:c>
      <x:c r="D1169" s="9" t="str">
        <x:v>recommended</x:v>
      </x:c>
      <x:c r="E1169" s="36" t="n">
        <x:v>0</x:v>
      </x:c>
      <x:c r="F1169" s="36" t="n">
        <x:v>0</x:v>
      </x:c>
      <x:c r="G1169" s="9" t="str">
        <x:v>48</x:v>
      </x:c>
      <x:c r="H1169" s="9" t="str">
        <x:v>General Vape</x:v>
      </x:c>
      <x:c r="I1169" s="9" t="str">
        <x:v>弱相关词</x:v>
      </x:c>
      <x:c r="J1169" s="9" t="str">
        <x:v>暂不做</x:v>
      </x:c>
      <x:c r="K1169" s="9" t="str"/>
      <x:c r="L1169" s="9" t="str">
        <x:f>IF(K1169="",J1169,K1169)</x:f>
        <x:v>暂不做</x:v>
      </x:c>
      <x:c r="M1169" s="9" t="str">
        <x:v>不建议建页</x:v>
      </x:c>
      <x:c r="N1169" s="9" t="str">
        <x:v>不进入内容生产</x:v>
      </x:c>
      <x:c r="O1169" s="9" t="str">
        <x:v>无</x:v>
      </x:c>
      <x:c r="P1169" s="9" t="str">
        <x:v>否</x:v>
      </x:c>
      <x:c r="Q1169" s="9" t="str">
        <x:v>不导流</x:v>
      </x:c>
      <x:c r="R1169" s="9" t="str">
        <x:v>相关性弱：可能带来无效流量或偏离产品定位</x:v>
      </x:c>
      <x:c r="S1169" s="9" t="str">
        <x:v>除非人工确认与核心产品强相关，否则不要进入内容排期。</x:v>
      </x:c>
      <x:c r="T1169" s="38" t="n">
        <x:v>1</x:v>
      </x:c>
      <x:c r="U1169" s="38" t="n">
        <x:v>15</x:v>
      </x:c>
      <x:c r="V1169" s="38" t="n">
        <x:v>2</x:v>
      </x:c>
      <x:c r="W1169" s="38" t="n">
        <x:v>3</x:v>
      </x:c>
      <x:c r="X1169" s="38" t="n">
        <x:v>2</x:v>
      </x:c>
      <x:c r="Y1169" s="38" t="n">
        <x:v>16</x:v>
      </x:c>
      <x:c r="Z1169" s="38" t="n">
        <x:f>MAX(0,MIN(100,ROUND(((T1169+U1169+V1169+W1169+X1169)-Y1169)/85*100,0)))</x:f>
        <x:v>8</x:v>
      </x:c>
      <x:c r="AA1169" s="9" t="str">
        <x:f>IF(L1169="暂不做","P3 暂缓",IF(Z1169&gt;=75,"P0 本周做",IF(Z1169&gt;=60,"P1 近期做",IF(Z1169&gt;=45,"P2 备选","P3 暂缓"))))</x:f>
        <x:v>P3 暂缓</x:v>
      </x:c>
      <x:c r="AB1169" s="9" t="str">
        <x:f>IF(Y1169&gt;=15,"先做合规/相关性复核，不建议直接商业导流",IF(L1169="主站","建/优化主站商业页",IF(L1169="博客A-知识教程","写知识教程/FAQ文章",IF(L1169="博客B-场景人群","写场景需求/选购指南文章",IF(L1169="博客C-对比评测","写对比评测/榜单文章","暂不做或人工复核")))))</x:f>
        <x:v>先做合规/相关性复核，不建议直接商业导流</x:v>
      </x:c>
      <x:c r="AC1169" s="9" t="str">
        <x:v>exdivo interstellar 35k</x:v>
      </x:c>
      <x:c r="AD1169" s="10" t="str">
        <x:v>48</x:v>
      </x:c>
    </x:row>
    <x:row r="1170">
      <x:c r="A1170" s="34" t="n">
        <x:v>1170</x:v>
      </x:c>
      <x:c r="B1170" s="9" t="str">
        <x:v>48</x:v>
      </x:c>
      <x:c r="C1170" s="9" t="str">
        <x:v>exdivo interstellar 35k disposable</x:v>
      </x:c>
      <x:c r="D1170" s="9" t="str">
        <x:v>recommended</x:v>
      </x:c>
      <x:c r="E1170" s="36" t="n">
        <x:v>0</x:v>
      </x:c>
      <x:c r="F1170" s="36" t="n">
        <x:v>0</x:v>
      </x:c>
      <x:c r="G1170" s="9" t="str">
        <x:v>48</x:v>
      </x:c>
      <x:c r="H1170" s="9" t="str">
        <x:v>Disposable Vape</x:v>
      </x:c>
      <x:c r="I1170" s="9" t="str">
        <x:v>内容词</x:v>
      </x:c>
      <x:c r="J1170" s="9" t="str">
        <x:v>博客A-知识教程</x:v>
      </x:c>
      <x:c r="K1170" s="9" t="str"/>
      <x:c r="L1170" s="9" t="str">
        <x:f>IF(K1170="",J1170,K1170)</x:f>
        <x:v>博客A-知识教程</x:v>
      </x:c>
      <x:c r="M1170" s="9" t="str">
        <x:v>知识/教程文章</x:v>
      </x:c>
      <x:c r="N1170" s="9" t="str">
        <x:v>Guide angle: explain exdivo interstellar 35k disposable, answer common questions, and avoid sales-first writing</x:v>
      </x:c>
      <x:c r="O1170" s="9" t="str">
        <x:v>/collections/disposable-vapes 或最接近的产品集合页</x:v>
      </x:c>
      <x:c r="P1170" s="9" t="str">
        <x:v>谨慎</x:v>
      </x:c>
      <x:c r="Q1170" s="9" t="str">
        <x:v>品牌词/自然句</x:v>
      </x:c>
      <x:c r="R1170" s="9" t="str">
        <x:v>低风险：按常规内容质量和搜索意图校验</x:v>
      </x:c>
      <x:c r="S1170" s="9" t="str">
        <x:v>先看 Google SERP：如果首页多数为产品集合页，改回主站；如果多数为教程/问答，保持博客。</x:v>
      </x:c>
      <x:c r="T1170" s="38" t="n">
        <x:v>1</x:v>
      </x:c>
      <x:c r="U1170" s="38" t="n">
        <x:v>15</x:v>
      </x:c>
      <x:c r="V1170" s="38" t="n">
        <x:v>10</x:v>
      </x:c>
      <x:c r="W1170" s="38" t="n">
        <x:v>12</x:v>
      </x:c>
      <x:c r="X1170" s="38" t="n">
        <x:v>12</x:v>
      </x:c>
      <x:c r="Y1170" s="38" t="n">
        <x:v>4</x:v>
      </x:c>
      <x:c r="Z1170" s="38" t="n">
        <x:f>MAX(0,MIN(100,ROUND(((T1170+U1170+V1170+W1170+X1170)-Y1170)/85*100,0)))</x:f>
        <x:v>54</x:v>
      </x:c>
      <x:c r="AA1170" s="9" t="str">
        <x:f>IF(L1170="暂不做","P3 暂缓",IF(Z1170&gt;=75,"P0 本周做",IF(Z1170&gt;=60,"P1 近期做",IF(Z1170&gt;=45,"P2 备选","P3 暂缓"))))</x:f>
        <x:v>P2 备选</x:v>
      </x:c>
      <x:c r="AB1170" s="9" t="str">
        <x:f>IF(Y1170&gt;=15,"先做合规/相关性复核，不建议直接商业导流",IF(L1170="主站","建/优化主站商业页",IF(L1170="博客A-知识教程","写知识教程/FAQ文章",IF(L1170="博客B-场景人群","写场景需求/选购指南文章",IF(L1170="博客C-对比评测","写对比评测/榜单文章","暂不做或人工复核")))))</x:f>
        <x:v>写知识教程/FAQ文章</x:v>
      </x:c>
      <x:c r="AC1170" s="9" t="str">
        <x:v>exdivo interstellar 35k</x:v>
      </x:c>
      <x:c r="AD1170" s="10" t="str">
        <x:v>48</x:v>
      </x:c>
    </x:row>
    <x:row r="1171">
      <x:c r="A1171" s="34" t="n">
        <x:v>1171</x:v>
      </x:c>
      <x:c r="B1171" s="9" t="str">
        <x:v>48</x:v>
      </x:c>
      <x:c r="C1171" s="9" t="str">
        <x:v>exdivo interstellar flavor options</x:v>
      </x:c>
      <x:c r="D1171" s="9" t="str">
        <x:v>recommended</x:v>
      </x:c>
      <x:c r="E1171" s="36" t="n">
        <x:v>0</x:v>
      </x:c>
      <x:c r="F1171" s="36" t="n">
        <x:v>0</x:v>
      </x:c>
      <x:c r="G1171" s="9" t="str">
        <x:v>48</x:v>
      </x:c>
      <x:c r="H1171" s="9" t="str">
        <x:v>Flavor / 口味</x:v>
      </x:c>
      <x:c r="I1171" s="9" t="str">
        <x:v>场景/需求词</x:v>
      </x:c>
      <x:c r="J1171" s="9" t="str">
        <x:v>博客B-场景人群</x:v>
      </x:c>
      <x:c r="K1171" s="9" t="str"/>
      <x:c r="L1171" s="9" t="str">
        <x:f>IF(K1171="",J1171,K1171)</x:f>
        <x:v>博客B-场景人群</x:v>
      </x:c>
      <x:c r="M1171" s="9" t="str">
        <x:v>场景解决方案/选购指南文章</x:v>
      </x:c>
      <x:c r="N1171" s="9" t="str">
        <x:v>Scenario angle: how to choose exdivo interstellar flavor options based on use case, flavor, nicotine, and budget</x:v>
      </x:c>
      <x:c r="O1171" s="9" t="str">
        <x:v>/collections/flavored-disposable-vapes</x:v>
      </x:c>
      <x:c r="P1171" s="9" t="str">
        <x:v>是</x:v>
      </x:c>
      <x:c r="Q1171" s="9" t="str">
        <x:v>自然句/品类词</x:v>
      </x:c>
      <x:c r="R1171" s="9" t="str">
        <x:v>低中风险：适合软性导流，但不要夸大效果或触碰健康疗效</x:v>
      </x:c>
      <x:c r="S1171" s="9" t="str">
        <x:v>围绕使用场景、口味、尼古丁需求、便携性等写，不和主站品类页抢词。</x:v>
      </x:c>
      <x:c r="T1171" s="38" t="n">
        <x:v>1</x:v>
      </x:c>
      <x:c r="U1171" s="38" t="n">
        <x:v>15</x:v>
      </x:c>
      <x:c r="V1171" s="38" t="n">
        <x:v>13</x:v>
      </x:c>
      <x:c r="W1171" s="38" t="n">
        <x:v>14</x:v>
      </x:c>
      <x:c r="X1171" s="38" t="n">
        <x:v>13</x:v>
      </x:c>
      <x:c r="Y1171" s="38" t="n">
        <x:v>5</x:v>
      </x:c>
      <x:c r="Z1171" s="38" t="n">
        <x:f>MAX(0,MIN(100,ROUND(((T1171+U1171+V1171+W1171+X1171)-Y1171)/85*100,0)))</x:f>
        <x:v>60</x:v>
      </x:c>
      <x:c r="AA1171" s="9" t="str">
        <x:f>IF(L1171="暂不做","P3 暂缓",IF(Z1171&gt;=75,"P0 本周做",IF(Z1171&gt;=60,"P1 近期做",IF(Z1171&gt;=45,"P2 备选","P3 暂缓"))))</x:f>
        <x:v>P1 近期做</x:v>
      </x:c>
      <x:c r="AB1171" s="9" t="str">
        <x:f>IF(Y1171&gt;=15,"先做合规/相关性复核，不建议直接商业导流",IF(L1171="主站","建/优化主站商业页",IF(L1171="博客A-知识教程","写知识教程/FAQ文章",IF(L1171="博客B-场景人群","写场景需求/选购指南文章",IF(L1171="博客C-对比评测","写对比评测/榜单文章","暂不做或人工复核")))))</x:f>
        <x:v>写场景需求/选购指南文章</x:v>
      </x:c>
      <x:c r="AC1171" s="9" t="str">
        <x:v>exdivo interstellar 35k</x:v>
      </x:c>
      <x:c r="AD1171" s="10" t="str">
        <x:v>48</x:v>
      </x:c>
    </x:row>
    <x:row r="1172">
      <x:c r="A1172" s="34" t="n">
        <x:v>1172</x:v>
      </x:c>
      <x:c r="B1172" s="9" t="str">
        <x:v>48</x:v>
      </x:c>
      <x:c r="C1172" s="9" t="str">
        <x:v>exdivo interstellar 35k</x:v>
      </x:c>
      <x:c r="D1172" s="9" t="str">
        <x:v>recommended</x:v>
      </x:c>
      <x:c r="E1172" s="36" t="n">
        <x:v>0</x:v>
      </x:c>
      <x:c r="F1172" s="36" t="n">
        <x:v>0</x:v>
      </x:c>
      <x:c r="G1172" s="9" t="str">
        <x:v>48</x:v>
      </x:c>
      <x:c r="H1172" s="9" t="str">
        <x:v>General Vape</x:v>
      </x:c>
      <x:c r="I1172" s="9" t="str">
        <x:v>弱相关词</x:v>
      </x:c>
      <x:c r="J1172" s="9" t="str">
        <x:v>暂不做</x:v>
      </x:c>
      <x:c r="K1172" s="9" t="str"/>
      <x:c r="L1172" s="9" t="str">
        <x:f>IF(K1172="",J1172,K1172)</x:f>
        <x:v>暂不做</x:v>
      </x:c>
      <x:c r="M1172" s="9" t="str">
        <x:v>不建议建页</x:v>
      </x:c>
      <x:c r="N1172" s="9" t="str">
        <x:v>不进入内容生产</x:v>
      </x:c>
      <x:c r="O1172" s="9" t="str">
        <x:v>无</x:v>
      </x:c>
      <x:c r="P1172" s="9" t="str">
        <x:v>否</x:v>
      </x:c>
      <x:c r="Q1172" s="9" t="str">
        <x:v>不导流</x:v>
      </x:c>
      <x:c r="R1172" s="9" t="str">
        <x:v>相关性弱：可能带来无效流量或偏离产品定位</x:v>
      </x:c>
      <x:c r="S1172" s="9" t="str">
        <x:v>除非人工确认与核心产品强相关，否则不要进入内容排期。</x:v>
      </x:c>
      <x:c r="T1172" s="38" t="n">
        <x:v>1</x:v>
      </x:c>
      <x:c r="U1172" s="38" t="n">
        <x:v>15</x:v>
      </x:c>
      <x:c r="V1172" s="38" t="n">
        <x:v>2</x:v>
      </x:c>
      <x:c r="W1172" s="38" t="n">
        <x:v>3</x:v>
      </x:c>
      <x:c r="X1172" s="38" t="n">
        <x:v>2</x:v>
      </x:c>
      <x:c r="Y1172" s="38" t="n">
        <x:v>16</x:v>
      </x:c>
      <x:c r="Z1172" s="38" t="n">
        <x:f>MAX(0,MIN(100,ROUND(((T1172+U1172+V1172+W1172+X1172)-Y1172)/85*100,0)))</x:f>
        <x:v>8</x:v>
      </x:c>
      <x:c r="AA1172" s="9" t="str">
        <x:f>IF(L1172="暂不做","P3 暂缓",IF(Z1172&gt;=75,"P0 本周做",IF(Z1172&gt;=60,"P1 近期做",IF(Z1172&gt;=45,"P2 备选","P3 暂缓"))))</x:f>
        <x:v>P3 暂缓</x:v>
      </x:c>
      <x:c r="AB1172" s="9" t="str">
        <x:f>IF(Y1172&gt;=15,"先做合规/相关性复核，不建议直接商业导流",IF(L1172="主站","建/优化主站商业页",IF(L1172="博客A-知识教程","写知识教程/FAQ文章",IF(L1172="博客B-场景人群","写场景需求/选购指南文章",IF(L1172="博客C-对比评测","写对比评测/榜单文章","暂不做或人工复核")))))</x:f>
        <x:v>先做合规/相关性复核，不建议直接商业导流</x:v>
      </x:c>
      <x:c r="AC1172" s="9" t="str">
        <x:v>exdivo interstellar 35k</x:v>
      </x:c>
      <x:c r="AD1172" s="10" t="str">
        <x:v>48</x:v>
      </x:c>
    </x:row>
    <x:row r="1173">
      <x:c r="A1173" s="34" t="n">
        <x:v>1173</x:v>
      </x:c>
      <x:c r="B1173" s="9" t="str">
        <x:v>48</x:v>
      </x:c>
      <x:c r="C1173" s="9" t="str">
        <x:v>interstellar 35k disposable</x:v>
      </x:c>
      <x:c r="D1173" s="9" t="str">
        <x:v>recommended</x:v>
      </x:c>
      <x:c r="E1173" s="36" t="n">
        <x:v>0</x:v>
      </x:c>
      <x:c r="F1173" s="36" t="n">
        <x:v>0</x:v>
      </x:c>
      <x:c r="G1173" s="9" t="str">
        <x:v>48</x:v>
      </x:c>
      <x:c r="H1173" s="9" t="str">
        <x:v>Disposable Vape</x:v>
      </x:c>
      <x:c r="I1173" s="9" t="str">
        <x:v>品类承接词</x:v>
      </x:c>
      <x:c r="J1173" s="9" t="str">
        <x:v>主站</x:v>
      </x:c>
      <x:c r="K1173" s="9" t="str"/>
      <x:c r="L1173" s="9" t="str">
        <x:f>IF(K1173="",J1173,K1173)</x:f>
        <x:v>主站</x:v>
      </x:c>
      <x:c r="M1173" s="9" t="str">
        <x:v>品类页/集合页 + FAQ内容块</x:v>
      </x:c>
      <x:c r="N1173" s="9" t="str">
        <x:v>主站品类页：用产品集合 + 选购说明承接</x:v>
      </x:c>
      <x:c r="O1173" s="9" t="str">
        <x:v>/collections/disposable-vapes</x:v>
      </x:c>
      <x:c r="P1173" s="9" t="str">
        <x:v>不适用</x:v>
      </x:c>
      <x:c r="Q1173" s="9" t="str">
        <x:v>主站页面自身承接</x:v>
      </x:c>
      <x:c r="R1173" s="9" t="str">
        <x:v>核心品类词：主站优先，博客只做长尾解释，不直接抢同一词</x:v>
      </x:c>
      <x:c r="S1173" s="9" t="str">
        <x:v>如果 Google 首页产品页和指南混合，主站页要加 FAQ、选购指南、对比模块。</x:v>
      </x:c>
      <x:c r="T1173" s="38" t="n">
        <x:v>1</x:v>
      </x:c>
      <x:c r="U1173" s="38" t="n">
        <x:v>15</x:v>
      </x:c>
      <x:c r="V1173" s="38" t="n">
        <x:v>16</x:v>
      </x:c>
      <x:c r="W1173" s="38" t="n">
        <x:v>8</x:v>
      </x:c>
      <x:c r="X1173" s="38" t="n">
        <x:v>15</x:v>
      </x:c>
      <x:c r="Y1173" s="38" t="n">
        <x:v>4</x:v>
      </x:c>
      <x:c r="Z1173" s="38" t="n">
        <x:f>MAX(0,MIN(100,ROUND(((T1173+U1173+V1173+W1173+X1173)-Y1173)/85*100,0)))</x:f>
        <x:v>60</x:v>
      </x:c>
      <x:c r="AA1173" s="9" t="str">
        <x:f>IF(L1173="暂不做","P3 暂缓",IF(Z1173&gt;=75,"P0 本周做",IF(Z1173&gt;=60,"P1 近期做",IF(Z1173&gt;=45,"P2 备选","P3 暂缓"))))</x:f>
        <x:v>P1 近期做</x:v>
      </x:c>
      <x:c r="AB1173" s="9" t="str">
        <x:f>IF(Y1173&gt;=15,"先做合规/相关性复核，不建议直接商业导流",IF(L1173="主站","建/优化主站商业页",IF(L1173="博客A-知识教程","写知识教程/FAQ文章",IF(L1173="博客B-场景人群","写场景需求/选购指南文章",IF(L1173="博客C-对比评测","写对比评测/榜单文章","暂不做或人工复核")))))</x:f>
        <x:v>建/优化主站商业页</x:v>
      </x:c>
      <x:c r="AC1173" s="9" t="str">
        <x:v>exdivo interstellar 35k</x:v>
      </x:c>
      <x:c r="AD1173" s="10" t="str">
        <x:v>48</x:v>
      </x:c>
    </x:row>
    <x:row r="1174">
      <x:c r="A1174" s="34" t="n">
        <x:v>1174</x:v>
      </x:c>
      <x:c r="B1174" s="9" t="str">
        <x:v>48</x:v>
      </x:c>
      <x:c r="C1174" s="9" t="str">
        <x:v>how to correctly vape</x:v>
      </x:c>
      <x:c r="D1174" s="9" t="str">
        <x:v>recommended</x:v>
      </x:c>
      <x:c r="E1174" s="36" t="n">
        <x:v>320</x:v>
      </x:c>
      <x:c r="F1174" s="36" t="n">
        <x:v>11</x:v>
      </x:c>
      <x:c r="G1174" s="9" t="str">
        <x:v>informational</x:v>
      </x:c>
      <x:c r="H1174" s="9" t="str">
        <x:v>知识教程</x:v>
      </x:c>
      <x:c r="I1174" s="9" t="str">
        <x:v>知识/教程词</x:v>
      </x:c>
      <x:c r="J1174" s="9" t="str">
        <x:v>博客A-知识教程</x:v>
      </x:c>
      <x:c r="K1174" s="9" t="str"/>
      <x:c r="L1174" s="9" t="str">
        <x:f>IF(K1174="",J1174,K1174)</x:f>
        <x:v>博客A-知识教程</x:v>
      </x:c>
      <x:c r="M1174" s="9" t="str">
        <x:v>百科/How-to/FAQ文章</x:v>
      </x:c>
      <x:c r="N1174" s="9" t="str">
        <x:v>Guide angle: explain how to correctly vape, answer common questions, and avoid sales-first writing</x:v>
      </x:c>
      <x:c r="O1174" s="9" t="str">
        <x:v>/collections/disposable-vapes</x:v>
      </x:c>
      <x:c r="P1174" s="9" t="str">
        <x:v>谨慎</x:v>
      </x:c>
      <x:c r="Q1174" s="9" t="str">
        <x:v>自然句/品牌词</x:v>
      </x:c>
      <x:c r="R1174" s="9" t="str">
        <x:v>低中风险：先满足信息意图，导流要克制</x:v>
      </x:c>
      <x:c r="S1174" s="9" t="str">
        <x:v>如果文章能自然回答下一步购买问题，再放 1 个主站内链；否则只做知识闭环。</x:v>
      </x:c>
      <x:c r="T1174" s="38" t="n">
        <x:v>7</x:v>
      </x:c>
      <x:c r="U1174" s="38" t="n">
        <x:v>15</x:v>
      </x:c>
      <x:c r="V1174" s="38" t="n">
        <x:v>9</x:v>
      </x:c>
      <x:c r="W1174" s="38" t="n">
        <x:v>14</x:v>
      </x:c>
      <x:c r="X1174" s="38" t="n">
        <x:v>12</x:v>
      </x:c>
      <x:c r="Y1174" s="38" t="n">
        <x:v>5</x:v>
      </x:c>
      <x:c r="Z1174" s="38" t="n">
        <x:f>MAX(0,MIN(100,ROUND(((T1174+U1174+V1174+W1174+X1174)-Y1174)/85*100,0)))</x:f>
        <x:v>61</x:v>
      </x:c>
      <x:c r="AA1174" s="9" t="str">
        <x:f>IF(L1174="暂不做","P3 暂缓",IF(Z1174&gt;=75,"P0 本周做",IF(Z1174&gt;=60,"P1 近期做",IF(Z1174&gt;=45,"P2 备选","P3 暂缓"))))</x:f>
        <x:v>P1 近期做</x:v>
      </x:c>
      <x:c r="AB1174" s="9" t="str">
        <x:f>IF(Y1174&gt;=15,"先做合规/相关性复核，不建议直接商业导流",IF(L1174="主站","建/优化主站商业页",IF(L1174="博客A-知识教程","写知识教程/FAQ文章",IF(L1174="博客B-场景人群","写场景需求/选购指南文章",IF(L1174="博客C-对比评测","写对比评测/榜单文章","暂不做或人工复核")))))</x:f>
        <x:v>写知识教程/FAQ文章</x:v>
      </x:c>
      <x:c r="AC1174" s="9" t="str">
        <x:v>how to correctly vape</x:v>
      </x:c>
      <x:c r="AD1174" s="10" t="str">
        <x:v>48</x:v>
      </x:c>
    </x:row>
    <x:row r="1175">
      <x:c r="A1175" s="34" t="n">
        <x:v>1175</x:v>
      </x:c>
      <x:c r="B1175" s="9" t="str">
        <x:v>48</x:v>
      </x:c>
      <x:c r="C1175" s="9" t="str">
        <x:v>how to vape properly</x:v>
      </x:c>
      <x:c r="D1175" s="9" t="str">
        <x:v>recommended</x:v>
      </x:c>
      <x:c r="E1175" s="36" t="n">
        <x:v>2900</x:v>
      </x:c>
      <x:c r="F1175" s="36" t="n">
        <x:v>10</x:v>
      </x:c>
      <x:c r="G1175" s="9" t="str">
        <x:v>informational</x:v>
      </x:c>
      <x:c r="H1175" s="9" t="str">
        <x:v>知识教程</x:v>
      </x:c>
      <x:c r="I1175" s="9" t="str">
        <x:v>知识/教程词</x:v>
      </x:c>
      <x:c r="J1175" s="9" t="str">
        <x:v>博客A-知识教程</x:v>
      </x:c>
      <x:c r="K1175" s="9" t="str"/>
      <x:c r="L1175" s="9" t="str">
        <x:f>IF(K1175="",J1175,K1175)</x:f>
        <x:v>博客A-知识教程</x:v>
      </x:c>
      <x:c r="M1175" s="9" t="str">
        <x:v>百科/How-to/FAQ文章</x:v>
      </x:c>
      <x:c r="N1175" s="9" t="str">
        <x:v>Guide angle: explain how to vape properly, answer common questions, and avoid sales-first writing</x:v>
      </x:c>
      <x:c r="O1175" s="9" t="str">
        <x:v>/collections/disposable-vapes</x:v>
      </x:c>
      <x:c r="P1175" s="9" t="str">
        <x:v>谨慎</x:v>
      </x:c>
      <x:c r="Q1175" s="9" t="str">
        <x:v>自然句/品牌词</x:v>
      </x:c>
      <x:c r="R1175" s="9" t="str">
        <x:v>低中风险：先满足信息意图，导流要克制</x:v>
      </x:c>
      <x:c r="S1175" s="9" t="str">
        <x:v>如果文章能自然回答下一步购买问题，再放 1 个主站内链；否则只做知识闭环。</x:v>
      </x:c>
      <x:c r="T1175" s="38" t="n">
        <x:v>13</x:v>
      </x:c>
      <x:c r="U1175" s="38" t="n">
        <x:v>15</x:v>
      </x:c>
      <x:c r="V1175" s="38" t="n">
        <x:v>9</x:v>
      </x:c>
      <x:c r="W1175" s="38" t="n">
        <x:v>14</x:v>
      </x:c>
      <x:c r="X1175" s="38" t="n">
        <x:v>12</x:v>
      </x:c>
      <x:c r="Y1175" s="38" t="n">
        <x:v>5</x:v>
      </x:c>
      <x:c r="Z1175" s="38" t="n">
        <x:f>MAX(0,MIN(100,ROUND(((T1175+U1175+V1175+W1175+X1175)-Y1175)/85*100,0)))</x:f>
        <x:v>68</x:v>
      </x:c>
      <x:c r="AA1175" s="9" t="str">
        <x:f>IF(L1175="暂不做","P3 暂缓",IF(Z1175&gt;=75,"P0 本周做",IF(Z1175&gt;=60,"P1 近期做",IF(Z1175&gt;=45,"P2 备选","P3 暂缓"))))</x:f>
        <x:v>P1 近期做</x:v>
      </x:c>
      <x:c r="AB1175" s="9" t="str">
        <x:f>IF(Y1175&gt;=15,"先做合规/相关性复核，不建议直接商业导流",IF(L1175="主站","建/优化主站商业页",IF(L1175="博客A-知识教程","写知识教程/FAQ文章",IF(L1175="博客B-场景人群","写场景需求/选购指南文章",IF(L1175="博客C-对比评测","写对比评测/榜单文章","暂不做或人工复核")))))</x:f>
        <x:v>写知识教程/FAQ文章</x:v>
      </x:c>
      <x:c r="AC1175" s="9" t="str">
        <x:v>how to correctly vape</x:v>
      </x:c>
      <x:c r="AD1175" s="10" t="str">
        <x:v>48</x:v>
      </x:c>
    </x:row>
    <x:row r="1176">
      <x:c r="A1176" s="34" t="n">
        <x:v>1176</x:v>
      </x:c>
      <x:c r="B1176" s="9" t="str">
        <x:v>48</x:v>
      </x:c>
      <x:c r="C1176" s="9" t="str">
        <x:v>how to inhale a vape</x:v>
      </x:c>
      <x:c r="D1176" s="9" t="str">
        <x:v>recommended</x:v>
      </x:c>
      <x:c r="E1176" s="36" t="n">
        <x:v>2400</x:v>
      </x:c>
      <x:c r="F1176" s="36" t="n">
        <x:v>19</x:v>
      </x:c>
      <x:c r="G1176" s="9" t="str">
        <x:v>informational</x:v>
      </x:c>
      <x:c r="H1176" s="9" t="str">
        <x:v>知识教程</x:v>
      </x:c>
      <x:c r="I1176" s="9" t="str">
        <x:v>知识/教程词</x:v>
      </x:c>
      <x:c r="J1176" s="9" t="str">
        <x:v>博客A-知识教程</x:v>
      </x:c>
      <x:c r="K1176" s="9" t="str"/>
      <x:c r="L1176" s="9" t="str">
        <x:f>IF(K1176="",J1176,K1176)</x:f>
        <x:v>博客A-知识教程</x:v>
      </x:c>
      <x:c r="M1176" s="9" t="str">
        <x:v>百科/How-to/FAQ文章</x:v>
      </x:c>
      <x:c r="N1176" s="9" t="str">
        <x:v>Guide angle: explain how to inhale a vape, answer common questions, and avoid sales-first writing</x:v>
      </x:c>
      <x:c r="O1176" s="9" t="str">
        <x:v>/collections/disposable-vapes</x:v>
      </x:c>
      <x:c r="P1176" s="9" t="str">
        <x:v>谨慎</x:v>
      </x:c>
      <x:c r="Q1176" s="9" t="str">
        <x:v>自然句/品牌词</x:v>
      </x:c>
      <x:c r="R1176" s="9" t="str">
        <x:v>低中风险：先满足信息意图，导流要克制</x:v>
      </x:c>
      <x:c r="S1176" s="9" t="str">
        <x:v>如果文章能自然回答下一步购买问题，再放 1 个主站内链；否则只做知识闭环。</x:v>
      </x:c>
      <x:c r="T1176" s="38" t="n">
        <x:v>13</x:v>
      </x:c>
      <x:c r="U1176" s="38" t="n">
        <x:v>12</x:v>
      </x:c>
      <x:c r="V1176" s="38" t="n">
        <x:v>9</x:v>
      </x:c>
      <x:c r="W1176" s="38" t="n">
        <x:v>14</x:v>
      </x:c>
      <x:c r="X1176" s="38" t="n">
        <x:v>12</x:v>
      </x:c>
      <x:c r="Y1176" s="38" t="n">
        <x:v>5</x:v>
      </x:c>
      <x:c r="Z1176" s="38" t="n">
        <x:f>MAX(0,MIN(100,ROUND(((T1176+U1176+V1176+W1176+X1176)-Y1176)/85*100,0)))</x:f>
        <x:v>65</x:v>
      </x:c>
      <x:c r="AA1176" s="9" t="str">
        <x:f>IF(L1176="暂不做","P3 暂缓",IF(Z1176&gt;=75,"P0 本周做",IF(Z1176&gt;=60,"P1 近期做",IF(Z1176&gt;=45,"P2 备选","P3 暂缓"))))</x:f>
        <x:v>P1 近期做</x:v>
      </x:c>
      <x:c r="AB1176" s="9" t="str">
        <x:f>IF(Y1176&gt;=15,"先做合规/相关性复核，不建议直接商业导流",IF(L1176="主站","建/优化主站商业页",IF(L1176="博客A-知识教程","写知识教程/FAQ文章",IF(L1176="博客B-场景人群","写场景需求/选购指南文章",IF(L1176="博客C-对比评测","写对比评测/榜单文章","暂不做或人工复核")))))</x:f>
        <x:v>写知识教程/FAQ文章</x:v>
      </x:c>
      <x:c r="AC1176" s="9" t="str">
        <x:v>how to correctly vape</x:v>
      </x:c>
      <x:c r="AD1176" s="10" t="str">
        <x:v>48</x:v>
      </x:c>
    </x:row>
    <x:row r="1177">
      <x:c r="A1177" s="34" t="n">
        <x:v>1177</x:v>
      </x:c>
      <x:c r="B1177" s="9" t="str">
        <x:v>48</x:v>
      </x:c>
      <x:c r="C1177" s="9" t="str">
        <x:v>phone case vape</x:v>
      </x:c>
      <x:c r="D1177" s="9" t="str">
        <x:v>recommended</x:v>
      </x:c>
      <x:c r="E1177" s="36" t="n">
        <x:v>3600</x:v>
      </x:c>
      <x:c r="F1177" s="36" t="n">
        <x:v>5</x:v>
      </x:c>
      <x:c r="G1177" s="9" t="str">
        <x:v>commercial</x:v>
      </x:c>
      <x:c r="H1177" s="9" t="str">
        <x:v>General Vape</x:v>
      </x:c>
      <x:c r="I1177" s="9" t="str">
        <x:v>品类承接词</x:v>
      </x:c>
      <x:c r="J1177" s="9" t="str">
        <x:v>主站</x:v>
      </x:c>
      <x:c r="K1177" s="9" t="str"/>
      <x:c r="L1177" s="9" t="str">
        <x:f>IF(K1177="",J1177,K1177)</x:f>
        <x:v>主站</x:v>
      </x:c>
      <x:c r="M1177" s="9" t="str">
        <x:v>品类页/集合页 + FAQ内容块</x:v>
      </x:c>
      <x:c r="N1177" s="9" t="str">
        <x:v>主站品类页：用产品集合 + 选购说明承接</x:v>
      </x:c>
      <x:c r="O1177" s="9" t="str">
        <x:v>/collections/disposable-vapes</x:v>
      </x:c>
      <x:c r="P1177" s="9" t="str">
        <x:v>不适用</x:v>
      </x:c>
      <x:c r="Q1177" s="9" t="str">
        <x:v>主站页面自身承接</x:v>
      </x:c>
      <x:c r="R1177" s="9" t="str">
        <x:v>核心品类词：主站优先，博客只做长尾解释，不直接抢同一词</x:v>
      </x:c>
      <x:c r="S1177" s="9" t="str">
        <x:v>如果 Google 首页产品页和指南混合，主站页要加 FAQ、选购指南、对比模块。</x:v>
      </x:c>
      <x:c r="T1177" s="38" t="n">
        <x:v>13</x:v>
      </x:c>
      <x:c r="U1177" s="38" t="n">
        <x:v>15</x:v>
      </x:c>
      <x:c r="V1177" s="38" t="n">
        <x:v>18</x:v>
      </x:c>
      <x:c r="W1177" s="38" t="n">
        <x:v>8</x:v>
      </x:c>
      <x:c r="X1177" s="38" t="n">
        <x:v>15</x:v>
      </x:c>
      <x:c r="Y1177" s="38" t="n">
        <x:v>4</x:v>
      </x:c>
      <x:c r="Z1177" s="38" t="n">
        <x:f>MAX(0,MIN(100,ROUND(((T1177+U1177+V1177+W1177+X1177)-Y1177)/85*100,0)))</x:f>
        <x:v>76</x:v>
      </x:c>
      <x:c r="AA1177" s="9" t="str">
        <x:f>IF(L1177="暂不做","P3 暂缓",IF(Z1177&gt;=75,"P0 本周做",IF(Z1177&gt;=60,"P1 近期做",IF(Z1177&gt;=45,"P2 备选","P3 暂缓"))))</x:f>
        <x:v>P0 本周做</x:v>
      </x:c>
      <x:c r="AB1177" s="9" t="str">
        <x:f>IF(Y1177&gt;=15,"先做合规/相关性复核，不建议直接商业导流",IF(L1177="主站","建/优化主站商业页",IF(L1177="博客A-知识教程","写知识教程/FAQ文章",IF(L1177="博客B-场景人群","写场景需求/选购指南文章",IF(L1177="博客C-对比评测","写对比评测/榜单文章","暂不做或人工复核")))))</x:f>
        <x:v>建/优化主站商业页</x:v>
      </x:c>
      <x:c r="AC1177" s="9" t="str">
        <x:v>phone case vape</x:v>
      </x:c>
      <x:c r="AD1177" s="10" t="str">
        <x:v>48</x:v>
      </x:c>
    </x:row>
    <x:row r="1178">
      <x:c r="A1178" s="34" t="n">
        <x:v>1178</x:v>
      </x:c>
      <x:c r="B1178" s="9" t="str">
        <x:v>48</x:v>
      </x:c>
      <x:c r="C1178" s="9" t="str">
        <x:v>phone case with vape</x:v>
      </x:c>
      <x:c r="D1178" s="9" t="str">
        <x:v>recommended</x:v>
      </x:c>
      <x:c r="E1178" s="36" t="n">
        <x:v>2400</x:v>
      </x:c>
      <x:c r="F1178" s="36" t="n">
        <x:v>9</x:v>
      </x:c>
      <x:c r="G1178" s="9" t="str">
        <x:v>informational, commercial</x:v>
      </x:c>
      <x:c r="H1178" s="9" t="str">
        <x:v>General Vape</x:v>
      </x:c>
      <x:c r="I1178" s="9" t="str">
        <x:v>品类承接词</x:v>
      </x:c>
      <x:c r="J1178" s="9" t="str">
        <x:v>主站</x:v>
      </x:c>
      <x:c r="K1178" s="9" t="str"/>
      <x:c r="L1178" s="9" t="str">
        <x:f>IF(K1178="",J1178,K1178)</x:f>
        <x:v>主站</x:v>
      </x:c>
      <x:c r="M1178" s="9" t="str">
        <x:v>品类页/集合页 + FAQ内容块</x:v>
      </x:c>
      <x:c r="N1178" s="9" t="str">
        <x:v>主站品类页：用产品集合 + 选购说明承接</x:v>
      </x:c>
      <x:c r="O1178" s="9" t="str">
        <x:v>/collections/disposable-vapes</x:v>
      </x:c>
      <x:c r="P1178" s="9" t="str">
        <x:v>不适用</x:v>
      </x:c>
      <x:c r="Q1178" s="9" t="str">
        <x:v>主站页面自身承接</x:v>
      </x:c>
      <x:c r="R1178" s="9" t="str">
        <x:v>核心品类词：主站优先，博客只做长尾解释，不直接抢同一词</x:v>
      </x:c>
      <x:c r="S1178" s="9" t="str">
        <x:v>如果 Google 首页产品页和指南混合，主站页要加 FAQ、选购指南、对比模块。</x:v>
      </x:c>
      <x:c r="T1178" s="38" t="n">
        <x:v>13</x:v>
      </x:c>
      <x:c r="U1178" s="38" t="n">
        <x:v>15</x:v>
      </x:c>
      <x:c r="V1178" s="38" t="n">
        <x:v>18</x:v>
      </x:c>
      <x:c r="W1178" s="38" t="n">
        <x:v>8</x:v>
      </x:c>
      <x:c r="X1178" s="38" t="n">
        <x:v>15</x:v>
      </x:c>
      <x:c r="Y1178" s="38" t="n">
        <x:v>4</x:v>
      </x:c>
      <x:c r="Z1178" s="38" t="n">
        <x:f>MAX(0,MIN(100,ROUND(((T1178+U1178+V1178+W1178+X1178)-Y1178)/85*100,0)))</x:f>
        <x:v>76</x:v>
      </x:c>
      <x:c r="AA1178" s="9" t="str">
        <x:f>IF(L1178="暂不做","P3 暂缓",IF(Z1178&gt;=75,"P0 本周做",IF(Z1178&gt;=60,"P1 近期做",IF(Z1178&gt;=45,"P2 备选","P3 暂缓"))))</x:f>
        <x:v>P0 本周做</x:v>
      </x:c>
      <x:c r="AB1178" s="9" t="str">
        <x:f>IF(Y1178&gt;=15,"先做合规/相关性复核，不建议直接商业导流",IF(L1178="主站","建/优化主站商业页",IF(L1178="博客A-知识教程","写知识教程/FAQ文章",IF(L1178="博客B-场景人群","写场景需求/选购指南文章",IF(L1178="博客C-对比评测","写对比评测/榜单文章","暂不做或人工复核")))))</x:f>
        <x:v>建/优化主站商业页</x:v>
      </x:c>
      <x:c r="AC1178" s="9" t="str">
        <x:v>phone case vape</x:v>
      </x:c>
      <x:c r="AD1178" s="10" t="str">
        <x:v>48</x:v>
      </x:c>
    </x:row>
    <x:row r="1179">
      <x:c r="A1179" s="34" t="n">
        <x:v>1179</x:v>
      </x:c>
      <x:c r="B1179" s="9" t="str">
        <x:v>48</x:v>
      </x:c>
      <x:c r="C1179" s="9" t="str">
        <x:v>how to hit a vape</x:v>
      </x:c>
      <x:c r="D1179" s="9" t="str">
        <x:v>recommended</x:v>
      </x:c>
      <x:c r="E1179" s="36" t="n">
        <x:v>1900</x:v>
      </x:c>
      <x:c r="F1179" s="36" t="n">
        <x:v>3</x:v>
      </x:c>
      <x:c r="G1179" s="9" t="str">
        <x:v>informational</x:v>
      </x:c>
      <x:c r="H1179" s="9" t="str">
        <x:v>知识教程</x:v>
      </x:c>
      <x:c r="I1179" s="9" t="str">
        <x:v>知识/教程词</x:v>
      </x:c>
      <x:c r="J1179" s="9" t="str">
        <x:v>博客A-知识教程</x:v>
      </x:c>
      <x:c r="K1179" s="9" t="str"/>
      <x:c r="L1179" s="9" t="str">
        <x:f>IF(K1179="",J1179,K1179)</x:f>
        <x:v>博客A-知识教程</x:v>
      </x:c>
      <x:c r="M1179" s="9" t="str">
        <x:v>百科/How-to/FAQ文章</x:v>
      </x:c>
      <x:c r="N1179" s="9" t="str">
        <x:v>Guide angle: explain how to hit a vape, answer common questions, and avoid sales-first writing</x:v>
      </x:c>
      <x:c r="O1179" s="9" t="str">
        <x:v>/collections/disposable-vapes</x:v>
      </x:c>
      <x:c r="P1179" s="9" t="str">
        <x:v>谨慎</x:v>
      </x:c>
      <x:c r="Q1179" s="9" t="str">
        <x:v>自然句/品牌词</x:v>
      </x:c>
      <x:c r="R1179" s="9" t="str">
        <x:v>低中风险：先满足信息意图，导流要克制</x:v>
      </x:c>
      <x:c r="S1179" s="9" t="str">
        <x:v>如果文章能自然回答下一步购买问题，再放 1 个主站内链；否则只做知识闭环。</x:v>
      </x:c>
      <x:c r="T1179" s="38" t="n">
        <x:v>13</x:v>
      </x:c>
      <x:c r="U1179" s="38" t="n">
        <x:v>15</x:v>
      </x:c>
      <x:c r="V1179" s="38" t="n">
        <x:v>9</x:v>
      </x:c>
      <x:c r="W1179" s="38" t="n">
        <x:v>14</x:v>
      </x:c>
      <x:c r="X1179" s="38" t="n">
        <x:v>12</x:v>
      </x:c>
      <x:c r="Y1179" s="38" t="n">
        <x:v>5</x:v>
      </x:c>
      <x:c r="Z1179" s="38" t="n">
        <x:f>MAX(0,MIN(100,ROUND(((T1179+U1179+V1179+W1179+X1179)-Y1179)/85*100,0)))</x:f>
        <x:v>68</x:v>
      </x:c>
      <x:c r="AA1179" s="9" t="str">
        <x:f>IF(L1179="暂不做","P3 暂缓",IF(Z1179&gt;=75,"P0 本周做",IF(Z1179&gt;=60,"P1 近期做",IF(Z1179&gt;=45,"P2 备选","P3 暂缓"))))</x:f>
        <x:v>P1 近期做</x:v>
      </x:c>
      <x:c r="AB1179" s="9" t="str">
        <x:f>IF(Y1179&gt;=15,"先做合规/相关性复核，不建议直接商业导流",IF(L1179="主站","建/优化主站商业页",IF(L1179="博客A-知识教程","写知识教程/FAQ文章",IF(L1179="博客B-场景人群","写场景需求/选购指南文章",IF(L1179="博客C-对比评测","写对比评测/榜单文章","暂不做或人工复核")))))</x:f>
        <x:v>写知识教程/FAQ文章</x:v>
      </x:c>
      <x:c r="AC1179" s="9" t="str">
        <x:v>vaping types</x:v>
      </x:c>
      <x:c r="AD1179" s="10" t="str">
        <x:v>48</x:v>
      </x:c>
    </x:row>
    <x:row r="1180">
      <x:c r="A1180" s="34" t="n">
        <x:v>1180</x:v>
      </x:c>
      <x:c r="B1180" s="9" t="str">
        <x:v>48</x:v>
      </x:c>
      <x:c r="C1180" s="9" t="str">
        <x:v>what kind of vapes are there</x:v>
      </x:c>
      <x:c r="D1180" s="9" t="str">
        <x:v>recommended</x:v>
      </x:c>
      <x:c r="E1180" s="36" t="n">
        <x:v>110</x:v>
      </x:c>
      <x:c r="F1180" s="36" t="n">
        <x:v>23</x:v>
      </x:c>
      <x:c r="G1180" s="9" t="str">
        <x:v>informational</x:v>
      </x:c>
      <x:c r="H1180" s="9" t="str">
        <x:v>知识教程</x:v>
      </x:c>
      <x:c r="I1180" s="9" t="str">
        <x:v>知识/教程词</x:v>
      </x:c>
      <x:c r="J1180" s="9" t="str">
        <x:v>博客A-知识教程</x:v>
      </x:c>
      <x:c r="K1180" s="9" t="str"/>
      <x:c r="L1180" s="9" t="str">
        <x:f>IF(K1180="",J1180,K1180)</x:f>
        <x:v>博客A-知识教程</x:v>
      </x:c>
      <x:c r="M1180" s="9" t="str">
        <x:v>百科/How-to/FAQ文章</x:v>
      </x:c>
      <x:c r="N1180" s="9" t="str">
        <x:v>Guide angle: explain what kind of vapes are there, answer common questions, and avoid sales-first writing</x:v>
      </x:c>
      <x:c r="O1180" s="9" t="str">
        <x:v>/collections/disposable-vapes</x:v>
      </x:c>
      <x:c r="P1180" s="9" t="str">
        <x:v>谨慎</x:v>
      </x:c>
      <x:c r="Q1180" s="9" t="str">
        <x:v>自然句/品牌词</x:v>
      </x:c>
      <x:c r="R1180" s="9" t="str">
        <x:v>低中风险：先满足信息意图，导流要克制</x:v>
      </x:c>
      <x:c r="S1180" s="9" t="str">
        <x:v>如果文章能自然回答下一步购买问题，再放 1 个主站内链；否则只做知识闭环。</x:v>
      </x:c>
      <x:c r="T1180" s="38" t="n">
        <x:v>7</x:v>
      </x:c>
      <x:c r="U1180" s="38" t="n">
        <x:v>12</x:v>
      </x:c>
      <x:c r="V1180" s="38" t="n">
        <x:v>9</x:v>
      </x:c>
      <x:c r="W1180" s="38" t="n">
        <x:v>14</x:v>
      </x:c>
      <x:c r="X1180" s="38" t="n">
        <x:v>12</x:v>
      </x:c>
      <x:c r="Y1180" s="38" t="n">
        <x:v>5</x:v>
      </x:c>
      <x:c r="Z1180" s="38" t="n">
        <x:f>MAX(0,MIN(100,ROUND(((T1180+U1180+V1180+W1180+X1180)-Y1180)/85*100,0)))</x:f>
        <x:v>58</x:v>
      </x:c>
      <x:c r="AA1180" s="9" t="str">
        <x:f>IF(L1180="暂不做","P3 暂缓",IF(Z1180&gt;=75,"P0 本周做",IF(Z1180&gt;=60,"P1 近期做",IF(Z1180&gt;=45,"P2 备选","P3 暂缓"))))</x:f>
        <x:v>P2 备选</x:v>
      </x:c>
      <x:c r="AB1180" s="9" t="str">
        <x:f>IF(Y1180&gt;=15,"先做合规/相关性复核，不建议直接商业导流",IF(L1180="主站","建/优化主站商业页",IF(L1180="博客A-知识教程","写知识教程/FAQ文章",IF(L1180="博客B-场景人群","写场景需求/选购指南文章",IF(L1180="博客C-对比评测","写对比评测/榜单文章","暂不做或人工复核")))))</x:f>
        <x:v>写知识教程/FAQ文章</x:v>
      </x:c>
      <x:c r="AC1180" s="9" t="str">
        <x:v>vaping types</x:v>
      </x:c>
      <x:c r="AD1180" s="10" t="str">
        <x:v>48</x:v>
      </x:c>
    </x:row>
    <x:row r="1181">
      <x:c r="A1181" s="34" t="n">
        <x:v>1181</x:v>
      </x:c>
      <x:c r="B1181" s="9" t="str">
        <x:v>48</x:v>
      </x:c>
      <x:c r="C1181" s="9" t="str">
        <x:v>what do vapes do</x:v>
      </x:c>
      <x:c r="D1181" s="9" t="str">
        <x:v>recommended</x:v>
      </x:c>
      <x:c r="E1181" s="36" t="n">
        <x:v>210</x:v>
      </x:c>
      <x:c r="F1181" s="36" t="n">
        <x:v>74</x:v>
      </x:c>
      <x:c r="G1181" s="9" t="str">
        <x:v>informational</x:v>
      </x:c>
      <x:c r="H1181" s="9" t="str">
        <x:v>知识教程</x:v>
      </x:c>
      <x:c r="I1181" s="9" t="str">
        <x:v>知识/教程词</x:v>
      </x:c>
      <x:c r="J1181" s="9" t="str">
        <x:v>博客A-知识教程</x:v>
      </x:c>
      <x:c r="K1181" s="9" t="str"/>
      <x:c r="L1181" s="9" t="str">
        <x:f>IF(K1181="",J1181,K1181)</x:f>
        <x:v>博客A-知识教程</x:v>
      </x:c>
      <x:c r="M1181" s="9" t="str">
        <x:v>百科/How-to/FAQ文章</x:v>
      </x:c>
      <x:c r="N1181" s="9" t="str">
        <x:v>Guide angle: explain what do vapes do, answer common questions, and avoid sales-first writing</x:v>
      </x:c>
      <x:c r="O1181" s="9" t="str">
        <x:v>/collections/disposable-vapes</x:v>
      </x:c>
      <x:c r="P1181" s="9" t="str">
        <x:v>谨慎</x:v>
      </x:c>
      <x:c r="Q1181" s="9" t="str">
        <x:v>自然句/品牌词</x:v>
      </x:c>
      <x:c r="R1181" s="9" t="str">
        <x:v>低中风险：先满足信息意图，导流要克制</x:v>
      </x:c>
      <x:c r="S1181" s="9" t="str">
        <x:v>如果文章能自然回答下一步购买问题，再放 1 个主站内链；否则只做知识闭环。</x:v>
      </x:c>
      <x:c r="T1181" s="38" t="n">
        <x:v>7</x:v>
      </x:c>
      <x:c r="U1181" s="38" t="n">
        <x:v>3</x:v>
      </x:c>
      <x:c r="V1181" s="38" t="n">
        <x:v>9</x:v>
      </x:c>
      <x:c r="W1181" s="38" t="n">
        <x:v>14</x:v>
      </x:c>
      <x:c r="X1181" s="38" t="n">
        <x:v>12</x:v>
      </x:c>
      <x:c r="Y1181" s="38" t="n">
        <x:v>5</x:v>
      </x:c>
      <x:c r="Z1181" s="38" t="n">
        <x:f>MAX(0,MIN(100,ROUND(((T1181+U1181+V1181+W1181+X1181)-Y1181)/85*100,0)))</x:f>
        <x:v>47</x:v>
      </x:c>
      <x:c r="AA1181" s="9" t="str">
        <x:f>IF(L1181="暂不做","P3 暂缓",IF(Z1181&gt;=75,"P0 本周做",IF(Z1181&gt;=60,"P1 近期做",IF(Z1181&gt;=45,"P2 备选","P3 暂缓"))))</x:f>
        <x:v>P2 备选</x:v>
      </x:c>
      <x:c r="AB1181" s="9" t="str">
        <x:f>IF(Y1181&gt;=15,"先做合规/相关性复核，不建议直接商业导流",IF(L1181="主站","建/优化主站商业页",IF(L1181="博客A-知识教程","写知识教程/FAQ文章",IF(L1181="博客B-场景人群","写场景需求/选购指南文章",IF(L1181="博客C-对比评测","写对比评测/榜单文章","暂不做或人工复核")))))</x:f>
        <x:v>写知识教程/FAQ文章</x:v>
      </x:c>
      <x:c r="AC1181" s="9" t="str">
        <x:v>vaping types</x:v>
      </x:c>
      <x:c r="AD1181" s="10" t="str">
        <x:v>48</x:v>
      </x:c>
    </x:row>
    <x:row r="1182">
      <x:c r="A1182" s="34" t="n">
        <x:v>1182</x:v>
      </x:c>
      <x:c r="B1182" s="9" t="str">
        <x:v>48</x:v>
      </x:c>
      <x:c r="C1182" s="9" t="str">
        <x:v>what do vapes contain</x:v>
      </x:c>
      <x:c r="D1182" s="9" t="str">
        <x:v>recommended</x:v>
      </x:c>
      <x:c r="E1182" s="36" t="n">
        <x:v>210</x:v>
      </x:c>
      <x:c r="F1182" s="36" t="n">
        <x:v>81</x:v>
      </x:c>
      <x:c r="G1182" s="9" t="str">
        <x:v>informational</x:v>
      </x:c>
      <x:c r="H1182" s="9" t="str">
        <x:v>知识教程</x:v>
      </x:c>
      <x:c r="I1182" s="9" t="str">
        <x:v>知识/教程词</x:v>
      </x:c>
      <x:c r="J1182" s="9" t="str">
        <x:v>博客A-知识教程</x:v>
      </x:c>
      <x:c r="K1182" s="9" t="str"/>
      <x:c r="L1182" s="9" t="str">
        <x:f>IF(K1182="",J1182,K1182)</x:f>
        <x:v>博客A-知识教程</x:v>
      </x:c>
      <x:c r="M1182" s="9" t="str">
        <x:v>百科/How-to/FAQ文章</x:v>
      </x:c>
      <x:c r="N1182" s="9" t="str">
        <x:v>Guide angle: explain what do vapes contain, answer common questions, and avoid sales-first writing</x:v>
      </x:c>
      <x:c r="O1182" s="9" t="str">
        <x:v>/collections/disposable-vapes</x:v>
      </x:c>
      <x:c r="P1182" s="9" t="str">
        <x:v>谨慎</x:v>
      </x:c>
      <x:c r="Q1182" s="9" t="str">
        <x:v>自然句/品牌词</x:v>
      </x:c>
      <x:c r="R1182" s="9" t="str">
        <x:v>低中风险：先满足信息意图，导流要克制</x:v>
      </x:c>
      <x:c r="S1182" s="9" t="str">
        <x:v>如果文章能自然回答下一步购买问题，再放 1 个主站内链；否则只做知识闭环。</x:v>
      </x:c>
      <x:c r="T1182" s="38" t="n">
        <x:v>7</x:v>
      </x:c>
      <x:c r="U1182" s="38" t="n">
        <x:v>1</x:v>
      </x:c>
      <x:c r="V1182" s="38" t="n">
        <x:v>9</x:v>
      </x:c>
      <x:c r="W1182" s="38" t="n">
        <x:v>14</x:v>
      </x:c>
      <x:c r="X1182" s="38" t="n">
        <x:v>12</x:v>
      </x:c>
      <x:c r="Y1182" s="38" t="n">
        <x:v>5</x:v>
      </x:c>
      <x:c r="Z1182" s="38" t="n">
        <x:f>MAX(0,MIN(100,ROUND(((T1182+U1182+V1182+W1182+X1182)-Y1182)/85*100,0)))</x:f>
        <x:v>45</x:v>
      </x:c>
      <x:c r="AA1182" s="9" t="str">
        <x:f>IF(L1182="暂不做","P3 暂缓",IF(Z1182&gt;=75,"P0 本周做",IF(Z1182&gt;=60,"P1 近期做",IF(Z1182&gt;=45,"P2 备选","P3 暂缓"))))</x:f>
        <x:v>P2 备选</x:v>
      </x:c>
      <x:c r="AB1182" s="9" t="str">
        <x:f>IF(Y1182&gt;=15,"先做合规/相关性复核，不建议直接商业导流",IF(L1182="主站","建/优化主站商业页",IF(L1182="博客A-知识教程","写知识教程/FAQ文章",IF(L1182="博客B-场景人群","写场景需求/选购指南文章",IF(L1182="博客C-对比评测","写对比评测/榜单文章","暂不做或人工复核")))))</x:f>
        <x:v>写知识教程/FAQ文章</x:v>
      </x:c>
      <x:c r="AC1182" s="9" t="str">
        <x:v>vaping types</x:v>
      </x:c>
      <x:c r="AD1182" s="10" t="str">
        <x:v>48</x:v>
      </x:c>
    </x:row>
    <x:row r="1183">
      <x:c r="A1183" s="34" t="n">
        <x:v>1183</x:v>
      </x:c>
      <x:c r="B1183" s="9" t="str">
        <x:v>48</x:v>
      </x:c>
      <x:c r="C1183" s="9" t="str">
        <x:v>what happens when you vape for the first time</x:v>
      </x:c>
      <x:c r="D1183" s="9" t="str">
        <x:v>recommended</x:v>
      </x:c>
      <x:c r="E1183" s="36" t="n">
        <x:v>140</x:v>
      </x:c>
      <x:c r="F1183" s="36" t="n">
        <x:v>57</x:v>
      </x:c>
      <x:c r="G1183" s="9" t="str">
        <x:v>informational</x:v>
      </x:c>
      <x:c r="H1183" s="9" t="str">
        <x:v>知识教程</x:v>
      </x:c>
      <x:c r="I1183" s="9" t="str">
        <x:v>场景/需求词</x:v>
      </x:c>
      <x:c r="J1183" s="9" t="str">
        <x:v>博客B-场景人群</x:v>
      </x:c>
      <x:c r="K1183" s="9" t="str"/>
      <x:c r="L1183" s="9" t="str">
        <x:f>IF(K1183="",J1183,K1183)</x:f>
        <x:v>博客B-场景人群</x:v>
      </x:c>
      <x:c r="M1183" s="9" t="str">
        <x:v>场景解决方案/选购指南文章</x:v>
      </x:c>
      <x:c r="N1183" s="9" t="str">
        <x:v>Scenario angle: how to choose what happens when you vape for the first time based on use case, flavor, nicotine, and budget</x:v>
      </x:c>
      <x:c r="O1183" s="9" t="str">
        <x:v>/collections/disposable-vapes</x:v>
      </x:c>
      <x:c r="P1183" s="9" t="str">
        <x:v>是</x:v>
      </x:c>
      <x:c r="Q1183" s="9" t="str">
        <x:v>自然句/品类词</x:v>
      </x:c>
      <x:c r="R1183" s="9" t="str">
        <x:v>低中风险：适合软性导流，但不要夸大效果或触碰健康疗效</x:v>
      </x:c>
      <x:c r="S1183" s="9" t="str">
        <x:v>围绕使用场景、口味、尼古丁需求、便携性等写，不和主站品类页抢词。</x:v>
      </x:c>
      <x:c r="T1183" s="38" t="n">
        <x:v>7</x:v>
      </x:c>
      <x:c r="U1183" s="38" t="n">
        <x:v>6</x:v>
      </x:c>
      <x:c r="V1183" s="38" t="n">
        <x:v>13</x:v>
      </x:c>
      <x:c r="W1183" s="38" t="n">
        <x:v>14</x:v>
      </x:c>
      <x:c r="X1183" s="38" t="n">
        <x:v>13</x:v>
      </x:c>
      <x:c r="Y1183" s="38" t="n">
        <x:v>5</x:v>
      </x:c>
      <x:c r="Z1183" s="38" t="n">
        <x:f>MAX(0,MIN(100,ROUND(((T1183+U1183+V1183+W1183+X1183)-Y1183)/85*100,0)))</x:f>
        <x:v>56</x:v>
      </x:c>
      <x:c r="AA1183" s="9" t="str">
        <x:f>IF(L1183="暂不做","P3 暂缓",IF(Z1183&gt;=75,"P0 本周做",IF(Z1183&gt;=60,"P1 近期做",IF(Z1183&gt;=45,"P2 备选","P3 暂缓"))))</x:f>
        <x:v>P2 备选</x:v>
      </x:c>
      <x:c r="AB1183" s="9" t="str">
        <x:f>IF(Y1183&gt;=15,"先做合规/相关性复核，不建议直接商业导流",IF(L1183="主站","建/优化主站商业页",IF(L1183="博客A-知识教程","写知识教程/FAQ文章",IF(L1183="博客B-场景人群","写场景需求/选购指南文章",IF(L1183="博客C-对比评测","写对比评测/榜单文章","暂不做或人工复核")))))</x:f>
        <x:v>写场景需求/选购指南文章</x:v>
      </x:c>
      <x:c r="AC1183" s="9" t="str">
        <x:v>vaping types</x:v>
      </x:c>
      <x:c r="AD1183" s="10" t="str">
        <x:v>48</x:v>
      </x:c>
    </x:row>
    <x:row r="1184">
      <x:c r="A1184" s="34" t="n">
        <x:v>1184</x:v>
      </x:c>
      <x:c r="B1184" s="9" t="str">
        <x:v>48</x:v>
      </x:c>
      <x:c r="C1184" s="9" t="str">
        <x:v>how does vape work</x:v>
      </x:c>
      <x:c r="D1184" s="9" t="str">
        <x:v>recommended</x:v>
      </x:c>
      <x:c r="E1184" s="36" t="n">
        <x:v>170</x:v>
      </x:c>
      <x:c r="F1184" s="36" t="n">
        <x:v>72</x:v>
      </x:c>
      <x:c r="G1184" s="9" t="str">
        <x:v>informational</x:v>
      </x:c>
      <x:c r="H1184" s="9" t="str">
        <x:v>知识教程</x:v>
      </x:c>
      <x:c r="I1184" s="9" t="str">
        <x:v>知识/教程词</x:v>
      </x:c>
      <x:c r="J1184" s="9" t="str">
        <x:v>博客A-知识教程</x:v>
      </x:c>
      <x:c r="K1184" s="9" t="str"/>
      <x:c r="L1184" s="9" t="str">
        <x:f>IF(K1184="",J1184,K1184)</x:f>
        <x:v>博客A-知识教程</x:v>
      </x:c>
      <x:c r="M1184" s="9" t="str">
        <x:v>百科/How-to/FAQ文章</x:v>
      </x:c>
      <x:c r="N1184" s="9" t="str">
        <x:v>Guide angle: explain how does vape work, answer common questions, and avoid sales-first writing</x:v>
      </x:c>
      <x:c r="O1184" s="9" t="str">
        <x:v>/collections/disposable-vapes</x:v>
      </x:c>
      <x:c r="P1184" s="9" t="str">
        <x:v>谨慎</x:v>
      </x:c>
      <x:c r="Q1184" s="9" t="str">
        <x:v>自然句/品牌词</x:v>
      </x:c>
      <x:c r="R1184" s="9" t="str">
        <x:v>低中风险：先满足信息意图，导流要克制</x:v>
      </x:c>
      <x:c r="S1184" s="9" t="str">
        <x:v>如果文章能自然回答下一步购买问题，再放 1 个主站内链；否则只做知识闭环。</x:v>
      </x:c>
      <x:c r="T1184" s="38" t="n">
        <x:v>7</x:v>
      </x:c>
      <x:c r="U1184" s="38" t="n">
        <x:v>3</x:v>
      </x:c>
      <x:c r="V1184" s="38" t="n">
        <x:v>9</x:v>
      </x:c>
      <x:c r="W1184" s="38" t="n">
        <x:v>14</x:v>
      </x:c>
      <x:c r="X1184" s="38" t="n">
        <x:v>12</x:v>
      </x:c>
      <x:c r="Y1184" s="38" t="n">
        <x:v>5</x:v>
      </x:c>
      <x:c r="Z1184" s="38" t="n">
        <x:f>MAX(0,MIN(100,ROUND(((T1184+U1184+V1184+W1184+X1184)-Y1184)/85*100,0)))</x:f>
        <x:v>47</x:v>
      </x:c>
      <x:c r="AA1184" s="9" t="str">
        <x:f>IF(L1184="暂不做","P3 暂缓",IF(Z1184&gt;=75,"P0 本周做",IF(Z1184&gt;=60,"P1 近期做",IF(Z1184&gt;=45,"P2 备选","P3 暂缓"))))</x:f>
        <x:v>P2 备选</x:v>
      </x:c>
      <x:c r="AB1184" s="9" t="str">
        <x:f>IF(Y1184&gt;=15,"先做合规/相关性复核，不建议直接商业导流",IF(L1184="主站","建/优化主站商业页",IF(L1184="博客A-知识教程","写知识教程/FAQ文章",IF(L1184="博客B-场景人群","写场景需求/选购指南文章",IF(L1184="博客C-对比评测","写对比评测/榜单文章","暂不做或人工复核")))))</x:f>
        <x:v>写知识教程/FAQ文章</x:v>
      </x:c>
      <x:c r="AC1184" s="9" t="str">
        <x:v>vaping types</x:v>
      </x:c>
      <x:c r="AD1184" s="10" t="str">
        <x:v>48</x:v>
      </x:c>
    </x:row>
    <x:row r="1185">
      <x:c r="A1185" s="34" t="n">
        <x:v>1185</x:v>
      </x:c>
      <x:c r="B1185" s="9" t="str">
        <x:v>48</x:v>
      </x:c>
      <x:c r="C1185" s="9" t="str">
        <x:v>what is an e cig</x:v>
      </x:c>
      <x:c r="D1185" s="9" t="str">
        <x:v>recommended</x:v>
      </x:c>
      <x:c r="E1185" s="36" t="n">
        <x:v>30</x:v>
      </x:c>
      <x:c r="F1185" s="36" t="n">
        <x:v>86</x:v>
      </x:c>
      <x:c r="G1185" s="9" t="str">
        <x:v>informational</x:v>
      </x:c>
      <x:c r="H1185" s="9" t="str">
        <x:v>E-Cigarette</x:v>
      </x:c>
      <x:c r="I1185" s="9" t="str">
        <x:v>知识/教程词</x:v>
      </x:c>
      <x:c r="J1185" s="9" t="str">
        <x:v>博客A-知识教程</x:v>
      </x:c>
      <x:c r="K1185" s="9" t="str"/>
      <x:c r="L1185" s="9" t="str">
        <x:f>IF(K1185="",J1185,K1185)</x:f>
        <x:v>博客A-知识教程</x:v>
      </x:c>
      <x:c r="M1185" s="9" t="str">
        <x:v>百科/How-to/FAQ文章</x:v>
      </x:c>
      <x:c r="N1185" s="9" t="str">
        <x:v>Guide angle: explain what is an e cig, answer common questions, and avoid sales-first writing</x:v>
      </x:c>
      <x:c r="O1185" s="9" t="str">
        <x:v>/collections/e-cigarettes</x:v>
      </x:c>
      <x:c r="P1185" s="9" t="str">
        <x:v>谨慎</x:v>
      </x:c>
      <x:c r="Q1185" s="9" t="str">
        <x:v>自然句/品牌词</x:v>
      </x:c>
      <x:c r="R1185" s="9" t="str">
        <x:v>低中风险：先满足信息意图，导流要克制</x:v>
      </x:c>
      <x:c r="S1185" s="9" t="str">
        <x:v>如果文章能自然回答下一步购买问题，再放 1 个主站内链；否则只做知识闭环。</x:v>
      </x:c>
      <x:c r="T1185" s="38" t="n">
        <x:v>4</x:v>
      </x:c>
      <x:c r="U1185" s="38" t="n">
        <x:v>1</x:v>
      </x:c>
      <x:c r="V1185" s="38" t="n">
        <x:v>9</x:v>
      </x:c>
      <x:c r="W1185" s="38" t="n">
        <x:v>14</x:v>
      </x:c>
      <x:c r="X1185" s="38" t="n">
        <x:v>12</x:v>
      </x:c>
      <x:c r="Y1185" s="38" t="n">
        <x:v>5</x:v>
      </x:c>
      <x:c r="Z1185" s="38" t="n">
        <x:f>MAX(0,MIN(100,ROUND(((T1185+U1185+V1185+W1185+X1185)-Y1185)/85*100,0)))</x:f>
        <x:v>41</x:v>
      </x:c>
      <x:c r="AA1185" s="9" t="str">
        <x:f>IF(L1185="暂不做","P3 暂缓",IF(Z1185&gt;=75,"P0 本周做",IF(Z1185&gt;=60,"P1 近期做",IF(Z1185&gt;=45,"P2 备选","P3 暂缓"))))</x:f>
        <x:v>P3 暂缓</x:v>
      </x:c>
      <x:c r="AB1185" s="9" t="str">
        <x:f>IF(Y1185&gt;=15,"先做合规/相关性复核，不建议直接商业导流",IF(L1185="主站","建/优化主站商业页",IF(L1185="博客A-知识教程","写知识教程/FAQ文章",IF(L1185="博客B-场景人群","写场景需求/选购指南文章",IF(L1185="博客C-对比评测","写对比评测/榜单文章","暂不做或人工复核")))))</x:f>
        <x:v>写知识教程/FAQ文章</x:v>
      </x:c>
      <x:c r="AC1185" s="9" t="str">
        <x:v>vaping types</x:v>
      </x:c>
      <x:c r="AD1185" s="10" t="str">
        <x:v>48</x:v>
      </x:c>
    </x:row>
    <x:row r="1186">
      <x:c r="A1186" s="34" t="n">
        <x:v>1186</x:v>
      </x:c>
      <x:c r="B1186" s="9" t="str">
        <x:v>48</x:v>
      </x:c>
      <x:c r="C1186" s="9" t="str">
        <x:v>what is vaping and how does it work</x:v>
      </x:c>
      <x:c r="D1186" s="9" t="str">
        <x:v>recommended</x:v>
      </x:c>
      <x:c r="E1186" s="36" t="n">
        <x:v>880</x:v>
      </x:c>
      <x:c r="F1186" s="36" t="n">
        <x:v>77</x:v>
      </x:c>
      <x:c r="G1186" s="9" t="str">
        <x:v>informational</x:v>
      </x:c>
      <x:c r="H1186" s="9" t="str">
        <x:v>知识教程</x:v>
      </x:c>
      <x:c r="I1186" s="9" t="str">
        <x:v>知识/教程词</x:v>
      </x:c>
      <x:c r="J1186" s="9" t="str">
        <x:v>博客A-知识教程</x:v>
      </x:c>
      <x:c r="K1186" s="9" t="str"/>
      <x:c r="L1186" s="9" t="str">
        <x:f>IF(K1186="",J1186,K1186)</x:f>
        <x:v>博客A-知识教程</x:v>
      </x:c>
      <x:c r="M1186" s="9" t="str">
        <x:v>百科/How-to/FAQ文章</x:v>
      </x:c>
      <x:c r="N1186" s="9" t="str">
        <x:v>Guide angle: explain what is vaping and how does it work, answer common questions, and avoid sales-first writing</x:v>
      </x:c>
      <x:c r="O1186" s="9" t="str">
        <x:v>/collections/disposable-vapes</x:v>
      </x:c>
      <x:c r="P1186" s="9" t="str">
        <x:v>谨慎</x:v>
      </x:c>
      <x:c r="Q1186" s="9" t="str">
        <x:v>自然句/品牌词</x:v>
      </x:c>
      <x:c r="R1186" s="9" t="str">
        <x:v>低中风险：先满足信息意图，导流要克制</x:v>
      </x:c>
      <x:c r="S1186" s="9" t="str">
        <x:v>如果文章能自然回答下一步购买问题，再放 1 个主站内链；否则只做知识闭环。</x:v>
      </x:c>
      <x:c r="T1186" s="38" t="n">
        <x:v>10</x:v>
      </x:c>
      <x:c r="U1186" s="38" t="n">
        <x:v>1</x:v>
      </x:c>
      <x:c r="V1186" s="38" t="n">
        <x:v>9</x:v>
      </x:c>
      <x:c r="W1186" s="38" t="n">
        <x:v>14</x:v>
      </x:c>
      <x:c r="X1186" s="38" t="n">
        <x:v>12</x:v>
      </x:c>
      <x:c r="Y1186" s="38" t="n">
        <x:v>5</x:v>
      </x:c>
      <x:c r="Z1186" s="38" t="n">
        <x:f>MAX(0,MIN(100,ROUND(((T1186+U1186+V1186+W1186+X1186)-Y1186)/85*100,0)))</x:f>
        <x:v>48</x:v>
      </x:c>
      <x:c r="AA1186" s="9" t="str">
        <x:f>IF(L1186="暂不做","P3 暂缓",IF(Z1186&gt;=75,"P0 本周做",IF(Z1186&gt;=60,"P1 近期做",IF(Z1186&gt;=45,"P2 备选","P3 暂缓"))))</x:f>
        <x:v>P2 备选</x:v>
      </x:c>
      <x:c r="AB1186" s="9" t="str">
        <x:f>IF(Y1186&gt;=15,"先做合规/相关性复核，不建议直接商业导流",IF(L1186="主站","建/优化主站商业页",IF(L1186="博客A-知识教程","写知识教程/FAQ文章",IF(L1186="博客B-场景人群","写场景需求/选购指南文章",IF(L1186="博客C-对比评测","写对比评测/榜单文章","暂不做或人工复核")))))</x:f>
        <x:v>写知识教程/FAQ文章</x:v>
      </x:c>
      <x:c r="AC1186" s="9" t="str">
        <x:v>vaping types</x:v>
      </x:c>
      <x:c r="AD1186" s="10" t="str">
        <x:v>48</x:v>
      </x:c>
    </x:row>
    <x:row r="1187">
      <x:c r="A1187" s="34" t="n">
        <x:v>1187</x:v>
      </x:c>
      <x:c r="B1187" s="9" t="str">
        <x:v>48</x:v>
      </x:c>
      <x:c r="C1187" s="9" t="str">
        <x:v>vaping types</x:v>
      </x:c>
      <x:c r="D1187" s="9" t="str">
        <x:v>recommended</x:v>
      </x:c>
      <x:c r="E1187" s="36" t="n">
        <x:v>880</x:v>
      </x:c>
      <x:c r="F1187" s="36" t="n">
        <x:v>22</x:v>
      </x:c>
      <x:c r="G1187" s="9" t="str">
        <x:v>informational</x:v>
      </x:c>
      <x:c r="H1187" s="9" t="str">
        <x:v>知识教程</x:v>
      </x:c>
      <x:c r="I1187" s="9" t="str">
        <x:v>品类承接词</x:v>
      </x:c>
      <x:c r="J1187" s="9" t="str">
        <x:v>主站</x:v>
      </x:c>
      <x:c r="K1187" s="9" t="str"/>
      <x:c r="L1187" s="9" t="str">
        <x:f>IF(K1187="",J1187,K1187)</x:f>
        <x:v>主站</x:v>
      </x:c>
      <x:c r="M1187" s="9" t="str">
        <x:v>品类页/集合页 + FAQ内容块</x:v>
      </x:c>
      <x:c r="N1187" s="9" t="str">
        <x:v>主站品类页：用产品集合 + 选购说明承接</x:v>
      </x:c>
      <x:c r="O1187" s="9" t="str">
        <x:v>/collections/disposable-vapes</x:v>
      </x:c>
      <x:c r="P1187" s="9" t="str">
        <x:v>不适用</x:v>
      </x:c>
      <x:c r="Q1187" s="9" t="str">
        <x:v>主站页面自身承接</x:v>
      </x:c>
      <x:c r="R1187" s="9" t="str">
        <x:v>核心品类词：主站优先，博客只做长尾解释，不直接抢同一词</x:v>
      </x:c>
      <x:c r="S1187" s="9" t="str">
        <x:v>如果 Google 首页产品页和指南混合，主站页要加 FAQ、选购指南、对比模块。</x:v>
      </x:c>
      <x:c r="T1187" s="38" t="n">
        <x:v>10</x:v>
      </x:c>
      <x:c r="U1187" s="38" t="n">
        <x:v>12</x:v>
      </x:c>
      <x:c r="V1187" s="38" t="n">
        <x:v>16</x:v>
      </x:c>
      <x:c r="W1187" s="38" t="n">
        <x:v>8</x:v>
      </x:c>
      <x:c r="X1187" s="38" t="n">
        <x:v>15</x:v>
      </x:c>
      <x:c r="Y1187" s="38" t="n">
        <x:v>4</x:v>
      </x:c>
      <x:c r="Z1187" s="38" t="n">
        <x:f>MAX(0,MIN(100,ROUND(((T1187+U1187+V1187+W1187+X1187)-Y1187)/85*100,0)))</x:f>
        <x:v>67</x:v>
      </x:c>
      <x:c r="AA1187" s="9" t="str">
        <x:f>IF(L1187="暂不做","P3 暂缓",IF(Z1187&gt;=75,"P0 本周做",IF(Z1187&gt;=60,"P1 近期做",IF(Z1187&gt;=45,"P2 备选","P3 暂缓"))))</x:f>
        <x:v>P1 近期做</x:v>
      </x:c>
      <x:c r="AB1187" s="9" t="str">
        <x:f>IF(Y1187&gt;=15,"先做合规/相关性复核，不建议直接商业导流",IF(L1187="主站","建/优化主站商业页",IF(L1187="博客A-知识教程","写知识教程/FAQ文章",IF(L1187="博客B-场景人群","写场景需求/选购指南文章",IF(L1187="博客C-对比评测","写对比评测/榜单文章","暂不做或人工复核")))))</x:f>
        <x:v>建/优化主站商业页</x:v>
      </x:c>
      <x:c r="AC1187" s="9" t="str">
        <x:v>vaping types</x:v>
      </x:c>
      <x:c r="AD1187" s="10" t="str">
        <x:v>48</x:v>
      </x:c>
    </x:row>
    <x:row r="1188">
      <x:c r="A1188" s="34" t="n">
        <x:v>1188</x:v>
      </x:c>
      <x:c r="B1188" s="9" t="str">
        <x:v>48</x:v>
      </x:c>
      <x:c r="C1188" s="9" t="str">
        <x:v>ecig review</x:v>
      </x:c>
      <x:c r="D1188" s="9" t="str">
        <x:v>recommended</x:v>
      </x:c>
      <x:c r="E1188" s="36" t="n">
        <x:v>2900</x:v>
      </x:c>
      <x:c r="F1188" s="36" t="n">
        <x:v>26</x:v>
      </x:c>
      <x:c r="G1188" s="9" t="str">
        <x:v>informational, commercial</x:v>
      </x:c>
      <x:c r="H1188" s="9" t="str">
        <x:v>对比评测</x:v>
      </x:c>
      <x:c r="I1188" s="9" t="str">
        <x:v>商业调查词</x:v>
      </x:c>
      <x:c r="J1188" s="9" t="str">
        <x:v>博客C-对比评测</x:v>
      </x:c>
      <x:c r="K1188" s="9" t="str"/>
      <x:c r="L1188" s="9" t="str">
        <x:f>IF(K1188="",J1188,K1188)</x:f>
        <x:v>博客C-对比评测</x:v>
      </x:c>
      <x:c r="M1188" s="9" t="str">
        <x:v>Best/Top/Review/VS/替代方案文章</x:v>
      </x:c>
      <x:c r="N1188" s="9" t="str">
        <x:v>Best angle: ecig review - comparison, pros/cons, and which option fits different buyers</x:v>
      </x:c>
      <x:c r="O1188" s="9" t="str">
        <x:v>/collections/disposable-vapes</x:v>
      </x:c>
      <x:c r="P1188" s="9" t="str">
        <x:v>是</x:v>
      </x:c>
      <x:c r="Q1188" s="9" t="str">
        <x:v>自然句/品类词/品牌词</x:v>
      </x:c>
      <x:c r="R1188" s="9" t="str">
        <x:v>中风险：榜单和评测必须真实、中立，避免夸大</x:v>
      </x:c>
      <x:c r="S1188" s="9" t="str">
        <x:v>这类词不直接给主站，先用博客C教育和比较，再导流到最相关集合页。</x:v>
      </x:c>
      <x:c r="T1188" s="38" t="n">
        <x:v>13</x:v>
      </x:c>
      <x:c r="U1188" s="38" t="n">
        <x:v>12</x:v>
      </x:c>
      <x:c r="V1188" s="38" t="n">
        <x:v>16</x:v>
      </x:c>
      <x:c r="W1188" s="38" t="n">
        <x:v>15</x:v>
      </x:c>
      <x:c r="X1188" s="38" t="n">
        <x:v>13</x:v>
      </x:c>
      <x:c r="Y1188" s="38" t="n">
        <x:v>6</x:v>
      </x:c>
      <x:c r="Z1188" s="38" t="n">
        <x:f>MAX(0,MIN(100,ROUND(((T1188+U1188+V1188+W1188+X1188)-Y1188)/85*100,0)))</x:f>
        <x:v>74</x:v>
      </x:c>
      <x:c r="AA1188" s="9" t="str">
        <x:f>IF(L1188="暂不做","P3 暂缓",IF(Z1188&gt;=75,"P0 本周做",IF(Z1188&gt;=60,"P1 近期做",IF(Z1188&gt;=45,"P2 备选","P3 暂缓"))))</x:f>
        <x:v>P1 近期做</x:v>
      </x:c>
      <x:c r="AB1188" s="9" t="str">
        <x:f>IF(Y1188&gt;=15,"先做合规/相关性复核，不建议直接商业导流",IF(L1188="主站","建/优化主站商业页",IF(L1188="博客A-知识教程","写知识教程/FAQ文章",IF(L1188="博客B-场景人群","写场景需求/选购指南文章",IF(L1188="博客C-对比评测","写对比评测/榜单文章","暂不做或人工复核")))))</x:f>
        <x:v>写对比评测/榜单文章</x:v>
      </x:c>
      <x:c r="AC1188" s="9" t="str">
        <x:v>vaping types</x:v>
      </x:c>
      <x:c r="AD1188" s="10" t="str">
        <x:v>48</x:v>
      </x:c>
    </x:row>
    <x:row r="1189">
      <x:c r="A1189" s="34" t="n">
        <x:v>1189</x:v>
      </x:c>
      <x:c r="B1189" s="9" t="str">
        <x:v>48</x:v>
      </x:c>
      <x:c r="C1189" s="9" t="str">
        <x:v>types of vaping</x:v>
      </x:c>
      <x:c r="D1189" s="9" t="str">
        <x:v>recommended</x:v>
      </x:c>
      <x:c r="E1189" s="36" t="n">
        <x:v>480</x:v>
      </x:c>
      <x:c r="F1189" s="36" t="n">
        <x:v>26</x:v>
      </x:c>
      <x:c r="G1189" s="9" t="str">
        <x:v>informational</x:v>
      </x:c>
      <x:c r="H1189" s="9" t="str">
        <x:v>知识教程</x:v>
      </x:c>
      <x:c r="I1189" s="9" t="str">
        <x:v>品类承接词</x:v>
      </x:c>
      <x:c r="J1189" s="9" t="str">
        <x:v>主站</x:v>
      </x:c>
      <x:c r="K1189" s="9" t="str"/>
      <x:c r="L1189" s="9" t="str">
        <x:f>IF(K1189="",J1189,K1189)</x:f>
        <x:v>主站</x:v>
      </x:c>
      <x:c r="M1189" s="9" t="str">
        <x:v>品类页/集合页 + FAQ内容块</x:v>
      </x:c>
      <x:c r="N1189" s="9" t="str">
        <x:v>主站品类页：用产品集合 + 选购说明承接</x:v>
      </x:c>
      <x:c r="O1189" s="9" t="str">
        <x:v>/collections/disposable-vapes</x:v>
      </x:c>
      <x:c r="P1189" s="9" t="str">
        <x:v>不适用</x:v>
      </x:c>
      <x:c r="Q1189" s="9" t="str">
        <x:v>主站页面自身承接</x:v>
      </x:c>
      <x:c r="R1189" s="9" t="str">
        <x:v>核心品类词：主站优先，博客只做长尾解释，不直接抢同一词</x:v>
      </x:c>
      <x:c r="S1189" s="9" t="str">
        <x:v>如果 Google 首页产品页和指南混合，主站页要加 FAQ、选购指南、对比模块。</x:v>
      </x:c>
      <x:c r="T1189" s="38" t="n">
        <x:v>7</x:v>
      </x:c>
      <x:c r="U1189" s="38" t="n">
        <x:v>12</x:v>
      </x:c>
      <x:c r="V1189" s="38" t="n">
        <x:v>16</x:v>
      </x:c>
      <x:c r="W1189" s="38" t="n">
        <x:v>8</x:v>
      </x:c>
      <x:c r="X1189" s="38" t="n">
        <x:v>15</x:v>
      </x:c>
      <x:c r="Y1189" s="38" t="n">
        <x:v>4</x:v>
      </x:c>
      <x:c r="Z1189" s="38" t="n">
        <x:f>MAX(0,MIN(100,ROUND(((T1189+U1189+V1189+W1189+X1189)-Y1189)/85*100,0)))</x:f>
        <x:v>64</x:v>
      </x:c>
      <x:c r="AA1189" s="9" t="str">
        <x:f>IF(L1189="暂不做","P3 暂缓",IF(Z1189&gt;=75,"P0 本周做",IF(Z1189&gt;=60,"P1 近期做",IF(Z1189&gt;=45,"P2 备选","P3 暂缓"))))</x:f>
        <x:v>P1 近期做</x:v>
      </x:c>
      <x:c r="AB1189" s="9" t="str">
        <x:f>IF(Y1189&gt;=15,"先做合规/相关性复核，不建议直接商业导流",IF(L1189="主站","建/优化主站商业页",IF(L1189="博客A-知识教程","写知识教程/FAQ文章",IF(L1189="博客B-场景人群","写场景需求/选购指南文章",IF(L1189="博客C-对比评测","写对比评测/榜单文章","暂不做或人工复核")))))</x:f>
        <x:v>建/优化主站商业页</x:v>
      </x:c>
      <x:c r="AC1189" s="9" t="str">
        <x:v>vaping types</x:v>
      </x:c>
      <x:c r="AD1189" s="10" t="str">
        <x:v>48</x:v>
      </x:c>
    </x:row>
    <x:row r="1190">
      <x:c r="A1190" s="34" t="n">
        <x:v>1190</x:v>
      </x:c>
      <x:c r="B1190" s="9" t="str">
        <x:v>48</x:v>
      </x:c>
      <x:c r="C1190" s="9" t="str">
        <x:v>vapes that look like cigarettes</x:v>
      </x:c>
      <x:c r="D1190" s="9" t="str">
        <x:v>recommended</x:v>
      </x:c>
      <x:c r="E1190" s="36" t="n">
        <x:v>260</x:v>
      </x:c>
      <x:c r="F1190" s="36" t="n">
        <x:v>14</x:v>
      </x:c>
      <x:c r="G1190" s="9" t="str">
        <x:v>informational</x:v>
      </x:c>
      <x:c r="H1190" s="9" t="str">
        <x:v>E-Cigarette</x:v>
      </x:c>
      <x:c r="I1190" s="9" t="str">
        <x:v>知识/教程词</x:v>
      </x:c>
      <x:c r="J1190" s="9" t="str">
        <x:v>博客A-知识教程</x:v>
      </x:c>
      <x:c r="K1190" s="9" t="str"/>
      <x:c r="L1190" s="9" t="str">
        <x:f>IF(K1190="",J1190,K1190)</x:f>
        <x:v>博客A-知识教程</x:v>
      </x:c>
      <x:c r="M1190" s="9" t="str">
        <x:v>百科/How-to/FAQ文章</x:v>
      </x:c>
      <x:c r="N1190" s="9" t="str">
        <x:v>Guide angle: explain vapes that look like cigarettes, answer common questions, and avoid sales-first writing</x:v>
      </x:c>
      <x:c r="O1190" s="9" t="str">
        <x:v>/collections/e-cigarettes</x:v>
      </x:c>
      <x:c r="P1190" s="9" t="str">
        <x:v>谨慎</x:v>
      </x:c>
      <x:c r="Q1190" s="9" t="str">
        <x:v>自然句/品牌词</x:v>
      </x:c>
      <x:c r="R1190" s="9" t="str">
        <x:v>低中风险：先满足信息意图，导流要克制</x:v>
      </x:c>
      <x:c r="S1190" s="9" t="str">
        <x:v>如果文章能自然回答下一步购买问题，再放 1 个主站内链；否则只做知识闭环。</x:v>
      </x:c>
      <x:c r="T1190" s="38" t="n">
        <x:v>7</x:v>
      </x:c>
      <x:c r="U1190" s="38" t="n">
        <x:v>15</x:v>
      </x:c>
      <x:c r="V1190" s="38" t="n">
        <x:v>9</x:v>
      </x:c>
      <x:c r="W1190" s="38" t="n">
        <x:v>14</x:v>
      </x:c>
      <x:c r="X1190" s="38" t="n">
        <x:v>12</x:v>
      </x:c>
      <x:c r="Y1190" s="38" t="n">
        <x:v>5</x:v>
      </x:c>
      <x:c r="Z1190" s="38" t="n">
        <x:f>MAX(0,MIN(100,ROUND(((T1190+U1190+V1190+W1190+X1190)-Y1190)/85*100,0)))</x:f>
        <x:v>61</x:v>
      </x:c>
      <x:c r="AA1190" s="9" t="str">
        <x:f>IF(L1190="暂不做","P3 暂缓",IF(Z1190&gt;=75,"P0 本周做",IF(Z1190&gt;=60,"P1 近期做",IF(Z1190&gt;=45,"P2 备选","P3 暂缓"))))</x:f>
        <x:v>P1 近期做</x:v>
      </x:c>
      <x:c r="AB1190" s="9" t="str">
        <x:f>IF(Y1190&gt;=15,"先做合规/相关性复核，不建议直接商业导流",IF(L1190="主站","建/优化主站商业页",IF(L1190="博客A-知识教程","写知识教程/FAQ文章",IF(L1190="博客B-场景人群","写场景需求/选购指南文章",IF(L1190="博客C-对比评测","写对比评测/榜单文章","暂不做或人工复核")))))</x:f>
        <x:v>写知识教程/FAQ文章</x:v>
      </x:c>
      <x:c r="AC1190" s="9" t="str">
        <x:v>vaping types</x:v>
      </x:c>
      <x:c r="AD1190" s="10" t="str">
        <x:v>48</x:v>
      </x:c>
    </x:row>
    <x:row r="1191">
      <x:c r="A1191" s="34" t="n">
        <x:v>1191</x:v>
      </x:c>
      <x:c r="B1191" s="9" t="str">
        <x:v>48</x:v>
      </x:c>
      <x:c r="C1191" s="9" t="str">
        <x:v>lowest nicotine disposable vape</x:v>
      </x:c>
      <x:c r="D1191" s="9" t="str">
        <x:v>recommended</x:v>
      </x:c>
      <x:c r="E1191" s="36" t="n">
        <x:v>70</x:v>
      </x:c>
      <x:c r="F1191" s="36" t="n">
        <x:v>3</x:v>
      </x:c>
      <x:c r="G1191" s="9" t="str">
        <x:v>informational, transactional</x:v>
      </x:c>
      <x:c r="H1191" s="9" t="str">
        <x:v>Disposable Vape</x:v>
      </x:c>
      <x:c r="I1191" s="9" t="str">
        <x:v>交易词</x:v>
      </x:c>
      <x:c r="J1191" s="9" t="str">
        <x:v>主站</x:v>
      </x:c>
      <x:c r="K1191" s="9" t="str"/>
      <x:c r="L1191" s="9" t="str">
        <x:f>IF(K1191="",J1191,K1191)</x:f>
        <x:v>主站</x:v>
      </x:c>
      <x:c r="M1191" s="9" t="str">
        <x:v>产品集合页/分类页/购买页</x:v>
      </x:c>
      <x:c r="N1191" s="9" t="str">
        <x:v>主站商业页：标题围绕购买意图 + 品类 + 关键卖点</x:v>
      </x:c>
      <x:c r="O1191" s="9" t="str">
        <x:v>/collections/disposable-vapes</x:v>
      </x:c>
      <x:c r="P1191" s="9" t="str">
        <x:v>不适用</x:v>
      </x:c>
      <x:c r="Q1191" s="9" t="str">
        <x:v>主站页面自身承接</x:v>
      </x:c>
      <x:c r="R1191" s="9" t="str">
        <x:v>商业词：优先给主站，避免博客抢主站排名</x:v>
      </x:c>
      <x:c r="S1191" s="9" t="str">
        <x:v>SERP 如为商品列表/品牌站/电商集合页，就建主站页面；若 SERP 全是教程，再拆支持文章。</x:v>
      </x:c>
      <x:c r="T1191" s="38" t="n">
        <x:v>4</x:v>
      </x:c>
      <x:c r="U1191" s="38" t="n">
        <x:v>15</x:v>
      </x:c>
      <x:c r="V1191" s="38" t="n">
        <x:v>20</x:v>
      </x:c>
      <x:c r="W1191" s="38" t="n">
        <x:v>7</x:v>
      </x:c>
      <x:c r="X1191" s="38" t="n">
        <x:v>15</x:v>
      </x:c>
      <x:c r="Y1191" s="38" t="n">
        <x:v>4</x:v>
      </x:c>
      <x:c r="Z1191" s="38" t="n">
        <x:f>MAX(0,MIN(100,ROUND(((T1191+U1191+V1191+W1191+X1191)-Y1191)/85*100,0)))</x:f>
        <x:v>67</x:v>
      </x:c>
      <x:c r="AA1191" s="9" t="str">
        <x:f>IF(L1191="暂不做","P3 暂缓",IF(Z1191&gt;=75,"P0 本周做",IF(Z1191&gt;=60,"P1 近期做",IF(Z1191&gt;=45,"P2 备选","P3 暂缓"))))</x:f>
        <x:v>P1 近期做</x:v>
      </x:c>
      <x:c r="AB1191" s="9" t="str">
        <x:f>IF(Y1191&gt;=15,"先做合规/相关性复核，不建议直接商业导流",IF(L1191="主站","建/优化主站商业页",IF(L1191="博客A-知识教程","写知识教程/FAQ文章",IF(L1191="博客B-场景人群","写场景需求/选购指南文章",IF(L1191="博客C-对比评测","写对比评测/榜单文章","暂不做或人工复核")))))</x:f>
        <x:v>建/优化主站商业页</x:v>
      </x:c>
      <x:c r="AC1191" s="9" t="str">
        <x:v>vaping types</x:v>
      </x:c>
      <x:c r="AD1191" s="10" t="str">
        <x:v>48</x:v>
      </x:c>
    </x:row>
    <x:row r="1192">
      <x:c r="A1192" s="34" t="n">
        <x:v>1192</x:v>
      </x:c>
      <x:c r="B1192" s="9" t="str">
        <x:v>48</x:v>
      </x:c>
      <x:c r="C1192" s="9" t="str">
        <x:v>person vaping</x:v>
      </x:c>
      <x:c r="D1192" s="9" t="str">
        <x:v>recommended</x:v>
      </x:c>
      <x:c r="E1192" s="36" t="n">
        <x:v>390</x:v>
      </x:c>
      <x:c r="F1192" s="36" t="n">
        <x:v>34</x:v>
      </x:c>
      <x:c r="G1192" s="9" t="str">
        <x:v>informational</x:v>
      </x:c>
      <x:c r="H1192" s="9" t="str">
        <x:v>General Vape</x:v>
      </x:c>
      <x:c r="I1192" s="9" t="str">
        <x:v>品类承接词</x:v>
      </x:c>
      <x:c r="J1192" s="9" t="str">
        <x:v>主站</x:v>
      </x:c>
      <x:c r="K1192" s="9" t="str"/>
      <x:c r="L1192" s="9" t="str">
        <x:f>IF(K1192="",J1192,K1192)</x:f>
        <x:v>主站</x:v>
      </x:c>
      <x:c r="M1192" s="9" t="str">
        <x:v>品类页/集合页 + FAQ内容块</x:v>
      </x:c>
      <x:c r="N1192" s="9" t="str">
        <x:v>主站品类页：用产品集合 + 选购说明承接</x:v>
      </x:c>
      <x:c r="O1192" s="9" t="str">
        <x:v>/collections/disposable-vapes</x:v>
      </x:c>
      <x:c r="P1192" s="9" t="str">
        <x:v>不适用</x:v>
      </x:c>
      <x:c r="Q1192" s="9" t="str">
        <x:v>主站页面自身承接</x:v>
      </x:c>
      <x:c r="R1192" s="9" t="str">
        <x:v>核心品类词：主站优先，博客只做长尾解释，不直接抢同一词</x:v>
      </x:c>
      <x:c r="S1192" s="9" t="str">
        <x:v>如果 Google 首页产品页和指南混合，主站页要加 FAQ、选购指南、对比模块。</x:v>
      </x:c>
      <x:c r="T1192" s="38" t="n">
        <x:v>7</x:v>
      </x:c>
      <x:c r="U1192" s="38" t="n">
        <x:v>9</x:v>
      </x:c>
      <x:c r="V1192" s="38" t="n">
        <x:v>16</x:v>
      </x:c>
      <x:c r="W1192" s="38" t="n">
        <x:v>8</x:v>
      </x:c>
      <x:c r="X1192" s="38" t="n">
        <x:v>15</x:v>
      </x:c>
      <x:c r="Y1192" s="38" t="n">
        <x:v>4</x:v>
      </x:c>
      <x:c r="Z1192" s="38" t="n">
        <x:f>MAX(0,MIN(100,ROUND(((T1192+U1192+V1192+W1192+X1192)-Y1192)/85*100,0)))</x:f>
        <x:v>60</x:v>
      </x:c>
      <x:c r="AA1192" s="9" t="str">
        <x:f>IF(L1192="暂不做","P3 暂缓",IF(Z1192&gt;=75,"P0 本周做",IF(Z1192&gt;=60,"P1 近期做",IF(Z1192&gt;=45,"P2 备选","P3 暂缓"))))</x:f>
        <x:v>P1 近期做</x:v>
      </x:c>
      <x:c r="AB1192" s="9" t="str">
        <x:f>IF(Y1192&gt;=15,"先做合规/相关性复核，不建议直接商业导流",IF(L1192="主站","建/优化主站商业页",IF(L1192="博客A-知识教程","写知识教程/FAQ文章",IF(L1192="博客B-场景人群","写场景需求/选购指南文章",IF(L1192="博客C-对比评测","写对比评测/榜单文章","暂不做或人工复核")))))</x:f>
        <x:v>建/优化主站商业页</x:v>
      </x:c>
      <x:c r="AC1192" s="9" t="str">
        <x:v>vaping types</x:v>
      </x:c>
      <x:c r="AD1192" s="10" t="str">
        <x:v>48</x:v>
      </x:c>
    </x:row>
    <x:row r="1193">
      <x:c r="A1193" s="34" t="n">
        <x:v>1193</x:v>
      </x:c>
      <x:c r="B1193" s="9" t="str">
        <x:v>48</x:v>
      </x:c>
      <x:c r="C1193" s="9" t="str">
        <x:v>vape is what</x:v>
      </x:c>
      <x:c r="D1193" s="9" t="str">
        <x:v>recommended</x:v>
      </x:c>
      <x:c r="E1193" s="36" t="n">
        <x:v>2900</x:v>
      </x:c>
      <x:c r="F1193" s="36" t="n">
        <x:v>88</x:v>
      </x:c>
      <x:c r="G1193" s="9" t="str">
        <x:v>informational</x:v>
      </x:c>
      <x:c r="H1193" s="9" t="str">
        <x:v>知识教程</x:v>
      </x:c>
      <x:c r="I1193" s="9" t="str">
        <x:v>知识/教程词</x:v>
      </x:c>
      <x:c r="J1193" s="9" t="str">
        <x:v>博客A-知识教程</x:v>
      </x:c>
      <x:c r="K1193" s="9" t="str"/>
      <x:c r="L1193" s="9" t="str">
        <x:f>IF(K1193="",J1193,K1193)</x:f>
        <x:v>博客A-知识教程</x:v>
      </x:c>
      <x:c r="M1193" s="9" t="str">
        <x:v>百科/How-to/FAQ文章</x:v>
      </x:c>
      <x:c r="N1193" s="9" t="str">
        <x:v>Guide angle: explain vape is what, answer common questions, and avoid sales-first writing</x:v>
      </x:c>
      <x:c r="O1193" s="9" t="str">
        <x:v>/collections/disposable-vapes</x:v>
      </x:c>
      <x:c r="P1193" s="9" t="str">
        <x:v>谨慎</x:v>
      </x:c>
      <x:c r="Q1193" s="9" t="str">
        <x:v>自然句/品牌词</x:v>
      </x:c>
      <x:c r="R1193" s="9" t="str">
        <x:v>低中风险：先满足信息意图，导流要克制</x:v>
      </x:c>
      <x:c r="S1193" s="9" t="str">
        <x:v>如果文章能自然回答下一步购买问题，再放 1 个主站内链；否则只做知识闭环。</x:v>
      </x:c>
      <x:c r="T1193" s="38" t="n">
        <x:v>13</x:v>
      </x:c>
      <x:c r="U1193" s="38" t="n">
        <x:v>1</x:v>
      </x:c>
      <x:c r="V1193" s="38" t="n">
        <x:v>9</x:v>
      </x:c>
      <x:c r="W1193" s="38" t="n">
        <x:v>14</x:v>
      </x:c>
      <x:c r="X1193" s="38" t="n">
        <x:v>12</x:v>
      </x:c>
      <x:c r="Y1193" s="38" t="n">
        <x:v>5</x:v>
      </x:c>
      <x:c r="Z1193" s="38" t="n">
        <x:f>MAX(0,MIN(100,ROUND(((T1193+U1193+V1193+W1193+X1193)-Y1193)/85*100,0)))</x:f>
        <x:v>52</x:v>
      </x:c>
      <x:c r="AA1193" s="9" t="str">
        <x:f>IF(L1193="暂不做","P3 暂缓",IF(Z1193&gt;=75,"P0 本周做",IF(Z1193&gt;=60,"P1 近期做",IF(Z1193&gt;=45,"P2 备选","P3 暂缓"))))</x:f>
        <x:v>P2 备选</x:v>
      </x:c>
      <x:c r="AB1193" s="9" t="str">
        <x:f>IF(Y1193&gt;=15,"先做合规/相关性复核，不建议直接商业导流",IF(L1193="主站","建/优化主站商业页",IF(L1193="博客A-知识教程","写知识教程/FAQ文章",IF(L1193="博客B-场景人群","写场景需求/选购指南文章",IF(L1193="博客C-对比评测","写对比评测/榜单文章","暂不做或人工复核")))))</x:f>
        <x:v>写知识教程/FAQ文章</x:v>
      </x:c>
      <x:c r="AC1193" s="9" t="str">
        <x:v>vaping types</x:v>
      </x:c>
      <x:c r="AD1193" s="10" t="str">
        <x:v>48</x:v>
      </x:c>
    </x:row>
    <x:row r="1194">
      <x:c r="A1194" s="34" t="n">
        <x:v>1194</x:v>
      </x:c>
      <x:c r="B1194" s="9" t="str">
        <x:v>48</x:v>
      </x:c>
      <x:c r="C1194" s="9" t="str">
        <x:v>10 facts about vaping</x:v>
      </x:c>
      <x:c r="D1194" s="9" t="str">
        <x:v>recommended</x:v>
      </x:c>
      <x:c r="E1194" s="36" t="n">
        <x:v>1000</x:v>
      </x:c>
      <x:c r="F1194" s="36" t="n">
        <x:v>75</x:v>
      </x:c>
      <x:c r="G1194" s="9" t="str">
        <x:v>informational</x:v>
      </x:c>
      <x:c r="H1194" s="9" t="str">
        <x:v>General Vape</x:v>
      </x:c>
      <x:c r="I1194" s="9" t="str">
        <x:v>知识/教程词</x:v>
      </x:c>
      <x:c r="J1194" s="9" t="str">
        <x:v>博客A-知识教程</x:v>
      </x:c>
      <x:c r="K1194" s="9" t="str"/>
      <x:c r="L1194" s="9" t="str">
        <x:f>IF(K1194="",J1194,K1194)</x:f>
        <x:v>博客A-知识教程</x:v>
      </x:c>
      <x:c r="M1194" s="9" t="str">
        <x:v>百科/How-to/FAQ文章</x:v>
      </x:c>
      <x:c r="N1194" s="9" t="str">
        <x:v>Guide angle: explain 10 facts about vaping, answer common questions, and avoid sales-first writing</x:v>
      </x:c>
      <x:c r="O1194" s="9" t="str">
        <x:v>/collections/disposable-vapes</x:v>
      </x:c>
      <x:c r="P1194" s="9" t="str">
        <x:v>谨慎</x:v>
      </x:c>
      <x:c r="Q1194" s="9" t="str">
        <x:v>自然句/品牌词</x:v>
      </x:c>
      <x:c r="R1194" s="9" t="str">
        <x:v>低中风险：先满足信息意图，导流要克制</x:v>
      </x:c>
      <x:c r="S1194" s="9" t="str">
        <x:v>如果文章能自然回答下一步购买问题，再放 1 个主站内链；否则只做知识闭环。</x:v>
      </x:c>
      <x:c r="T1194" s="38" t="n">
        <x:v>13</x:v>
      </x:c>
      <x:c r="U1194" s="38" t="n">
        <x:v>3</x:v>
      </x:c>
      <x:c r="V1194" s="38" t="n">
        <x:v>9</x:v>
      </x:c>
      <x:c r="W1194" s="38" t="n">
        <x:v>14</x:v>
      </x:c>
      <x:c r="X1194" s="38" t="n">
        <x:v>12</x:v>
      </x:c>
      <x:c r="Y1194" s="38" t="n">
        <x:v>5</x:v>
      </x:c>
      <x:c r="Z1194" s="38" t="n">
        <x:f>MAX(0,MIN(100,ROUND(((T1194+U1194+V1194+W1194+X1194)-Y1194)/85*100,0)))</x:f>
        <x:v>54</x:v>
      </x:c>
      <x:c r="AA1194" s="9" t="str">
        <x:f>IF(L1194="暂不做","P3 暂缓",IF(Z1194&gt;=75,"P0 本周做",IF(Z1194&gt;=60,"P1 近期做",IF(Z1194&gt;=45,"P2 备选","P3 暂缓"))))</x:f>
        <x:v>P2 备选</x:v>
      </x:c>
      <x:c r="AB1194" s="9" t="str">
        <x:f>IF(Y1194&gt;=15,"先做合规/相关性复核，不建议直接商业导流",IF(L1194="主站","建/优化主站商业页",IF(L1194="博客A-知识教程","写知识教程/FAQ文章",IF(L1194="博客B-场景人群","写场景需求/选购指南文章",IF(L1194="博客C-对比评测","写对比评测/榜单文章","暂不做或人工复核")))))</x:f>
        <x:v>写知识教程/FAQ文章</x:v>
      </x:c>
      <x:c r="AC1194" s="9" t="str">
        <x:v>vaping types</x:v>
      </x:c>
      <x:c r="AD1194" s="10" t="str">
        <x:v>48</x:v>
      </x:c>
    </x:row>
    <x:row r="1195">
      <x:c r="A1195" s="34" t="n">
        <x:v>1195</x:v>
      </x:c>
      <x:c r="B1195" s="9" t="str">
        <x:v>48</x:v>
      </x:c>
      <x:c r="C1195" s="9" t="str">
        <x:v>vape definition</x:v>
      </x:c>
      <x:c r="D1195" s="9" t="str">
        <x:v>recommended</x:v>
      </x:c>
      <x:c r="E1195" s="36" t="n">
        <x:v>1000</x:v>
      </x:c>
      <x:c r="F1195" s="36" t="n">
        <x:v>81</x:v>
      </x:c>
      <x:c r="G1195" s="9" t="str">
        <x:v>informational</x:v>
      </x:c>
      <x:c r="H1195" s="9" t="str">
        <x:v>General Vape</x:v>
      </x:c>
      <x:c r="I1195" s="9" t="str">
        <x:v>品类承接词</x:v>
      </x:c>
      <x:c r="J1195" s="9" t="str">
        <x:v>主站</x:v>
      </x:c>
      <x:c r="K1195" s="9" t="str"/>
      <x:c r="L1195" s="9" t="str">
        <x:f>IF(K1195="",J1195,K1195)</x:f>
        <x:v>主站</x:v>
      </x:c>
      <x:c r="M1195" s="9" t="str">
        <x:v>品类页/集合页 + FAQ内容块</x:v>
      </x:c>
      <x:c r="N1195" s="9" t="str">
        <x:v>主站品类页：用产品集合 + 选购说明承接</x:v>
      </x:c>
      <x:c r="O1195" s="9" t="str">
        <x:v>/collections/disposable-vapes</x:v>
      </x:c>
      <x:c r="P1195" s="9" t="str">
        <x:v>不适用</x:v>
      </x:c>
      <x:c r="Q1195" s="9" t="str">
        <x:v>主站页面自身承接</x:v>
      </x:c>
      <x:c r="R1195" s="9" t="str">
        <x:v>核心品类词：主站优先，博客只做长尾解释，不直接抢同一词</x:v>
      </x:c>
      <x:c r="S1195" s="9" t="str">
        <x:v>如果 Google 首页产品页和指南混合，主站页要加 FAQ、选购指南、对比模块。</x:v>
      </x:c>
      <x:c r="T1195" s="38" t="n">
        <x:v>13</x:v>
      </x:c>
      <x:c r="U1195" s="38" t="n">
        <x:v>1</x:v>
      </x:c>
      <x:c r="V1195" s="38" t="n">
        <x:v>16</x:v>
      </x:c>
      <x:c r="W1195" s="38" t="n">
        <x:v>8</x:v>
      </x:c>
      <x:c r="X1195" s="38" t="n">
        <x:v>15</x:v>
      </x:c>
      <x:c r="Y1195" s="38" t="n">
        <x:v>4</x:v>
      </x:c>
      <x:c r="Z1195" s="38" t="n">
        <x:f>MAX(0,MIN(100,ROUND(((T1195+U1195+V1195+W1195+X1195)-Y1195)/85*100,0)))</x:f>
        <x:v>58</x:v>
      </x:c>
      <x:c r="AA1195" s="9" t="str">
        <x:f>IF(L1195="暂不做","P3 暂缓",IF(Z1195&gt;=75,"P0 本周做",IF(Z1195&gt;=60,"P1 近期做",IF(Z1195&gt;=45,"P2 备选","P3 暂缓"))))</x:f>
        <x:v>P2 备选</x:v>
      </x:c>
      <x:c r="AB1195" s="9" t="str">
        <x:f>IF(Y1195&gt;=15,"先做合规/相关性复核，不建议直接商业导流",IF(L1195="主站","建/优化主站商业页",IF(L1195="博客A-知识教程","写知识教程/FAQ文章",IF(L1195="博客B-场景人群","写场景需求/选购指南文章",IF(L1195="博客C-对比评测","写对比评测/榜单文章","暂不做或人工复核")))))</x:f>
        <x:v>建/优化主站商业页</x:v>
      </x:c>
      <x:c r="AC1195" s="9" t="str">
        <x:v>vaping types</x:v>
      </x:c>
      <x:c r="AD1195" s="10" t="str">
        <x:v>48</x:v>
      </x:c>
    </x:row>
    <x:row r="1196">
      <x:c r="A1196" s="34" t="n">
        <x:v>1196</x:v>
      </x:c>
      <x:c r="B1196" s="9" t="str">
        <x:v>48</x:v>
      </x:c>
      <x:c r="C1196" s="9" t="str">
        <x:v>vapor cigarette</x:v>
      </x:c>
      <x:c r="D1196" s="9" t="str">
        <x:v>recommended</x:v>
      </x:c>
      <x:c r="E1196" s="36" t="n">
        <x:v>210</x:v>
      </x:c>
      <x:c r="F1196" s="36" t="n">
        <x:v>85</x:v>
      </x:c>
      <x:c r="G1196" s="9" t="str">
        <x:v>informational</x:v>
      </x:c>
      <x:c r="H1196" s="9" t="str">
        <x:v>E-Cigarette</x:v>
      </x:c>
      <x:c r="I1196" s="9" t="str">
        <x:v>品类承接词</x:v>
      </x:c>
      <x:c r="J1196" s="9" t="str">
        <x:v>主站</x:v>
      </x:c>
      <x:c r="K1196" s="9" t="str"/>
      <x:c r="L1196" s="9" t="str">
        <x:f>IF(K1196="",J1196,K1196)</x:f>
        <x:v>主站</x:v>
      </x:c>
      <x:c r="M1196" s="9" t="str">
        <x:v>品类页/集合页 + FAQ内容块</x:v>
      </x:c>
      <x:c r="N1196" s="9" t="str">
        <x:v>主站品类页：用产品集合 + 选购说明承接</x:v>
      </x:c>
      <x:c r="O1196" s="9" t="str">
        <x:v>/collections/e-cigarettes</x:v>
      </x:c>
      <x:c r="P1196" s="9" t="str">
        <x:v>不适用</x:v>
      </x:c>
      <x:c r="Q1196" s="9" t="str">
        <x:v>主站页面自身承接</x:v>
      </x:c>
      <x:c r="R1196" s="9" t="str">
        <x:v>核心品类词：主站优先，博客只做长尾解释，不直接抢同一词</x:v>
      </x:c>
      <x:c r="S1196" s="9" t="str">
        <x:v>如果 Google 首页产品页和指南混合，主站页要加 FAQ、选购指南、对比模块。</x:v>
      </x:c>
      <x:c r="T1196" s="38" t="n">
        <x:v>7</x:v>
      </x:c>
      <x:c r="U1196" s="38" t="n">
        <x:v>1</x:v>
      </x:c>
      <x:c r="V1196" s="38" t="n">
        <x:v>16</x:v>
      </x:c>
      <x:c r="W1196" s="38" t="n">
        <x:v>8</x:v>
      </x:c>
      <x:c r="X1196" s="38" t="n">
        <x:v>15</x:v>
      </x:c>
      <x:c r="Y1196" s="38" t="n">
        <x:v>4</x:v>
      </x:c>
      <x:c r="Z1196" s="38" t="n">
        <x:f>MAX(0,MIN(100,ROUND(((T1196+U1196+V1196+W1196+X1196)-Y1196)/85*100,0)))</x:f>
        <x:v>51</x:v>
      </x:c>
      <x:c r="AA1196" s="9" t="str">
        <x:f>IF(L1196="暂不做","P3 暂缓",IF(Z1196&gt;=75,"P0 本周做",IF(Z1196&gt;=60,"P1 近期做",IF(Z1196&gt;=45,"P2 备选","P3 暂缓"))))</x:f>
        <x:v>P2 备选</x:v>
      </x:c>
      <x:c r="AB1196" s="9" t="str">
        <x:f>IF(Y1196&gt;=15,"先做合规/相关性复核，不建议直接商业导流",IF(L1196="主站","建/优化主站商业页",IF(L1196="博客A-知识教程","写知识教程/FAQ文章",IF(L1196="博客B-场景人群","写场景需求/选购指南文章",IF(L1196="博客C-对比评测","写对比评测/榜单文章","暂不做或人工复核")))))</x:f>
        <x:v>建/优化主站商业页</x:v>
      </x:c>
      <x:c r="AC1196" s="9" t="str">
        <x:v>vaping types</x:v>
      </x:c>
      <x:c r="AD1196" s="10" t="str">
        <x:v>48</x:v>
      </x:c>
    </x:row>
    <x:row r="1197">
      <x:c r="A1197" s="34" t="n">
        <x:v>1197</x:v>
      </x:c>
      <x:c r="B1197" s="9" t="str">
        <x:v>48</x:v>
      </x:c>
      <x:c r="C1197" s="9" t="str">
        <x:v>vaping meaning</x:v>
      </x:c>
      <x:c r="D1197" s="9" t="str">
        <x:v>recommended</x:v>
      </x:c>
      <x:c r="E1197" s="36" t="n">
        <x:v>1900</x:v>
      </x:c>
      <x:c r="F1197" s="36" t="n">
        <x:v>82</x:v>
      </x:c>
      <x:c r="G1197" s="9" t="str">
        <x:v>informational</x:v>
      </x:c>
      <x:c r="H1197" s="9" t="str">
        <x:v>知识教程</x:v>
      </x:c>
      <x:c r="I1197" s="9" t="str">
        <x:v>品类承接词</x:v>
      </x:c>
      <x:c r="J1197" s="9" t="str">
        <x:v>主站</x:v>
      </x:c>
      <x:c r="K1197" s="9" t="str"/>
      <x:c r="L1197" s="9" t="str">
        <x:f>IF(K1197="",J1197,K1197)</x:f>
        <x:v>主站</x:v>
      </x:c>
      <x:c r="M1197" s="9" t="str">
        <x:v>品类页/集合页 + FAQ内容块</x:v>
      </x:c>
      <x:c r="N1197" s="9" t="str">
        <x:v>主站品类页：用产品集合 + 选购说明承接</x:v>
      </x:c>
      <x:c r="O1197" s="9" t="str">
        <x:v>/collections/disposable-vapes</x:v>
      </x:c>
      <x:c r="P1197" s="9" t="str">
        <x:v>不适用</x:v>
      </x:c>
      <x:c r="Q1197" s="9" t="str">
        <x:v>主站页面自身承接</x:v>
      </x:c>
      <x:c r="R1197" s="9" t="str">
        <x:v>核心品类词：主站优先，博客只做长尾解释，不直接抢同一词</x:v>
      </x:c>
      <x:c r="S1197" s="9" t="str">
        <x:v>如果 Google 首页产品页和指南混合，主站页要加 FAQ、选购指南、对比模块。</x:v>
      </x:c>
      <x:c r="T1197" s="38" t="n">
        <x:v>13</x:v>
      </x:c>
      <x:c r="U1197" s="38" t="n">
        <x:v>1</x:v>
      </x:c>
      <x:c r="V1197" s="38" t="n">
        <x:v>16</x:v>
      </x:c>
      <x:c r="W1197" s="38" t="n">
        <x:v>8</x:v>
      </x:c>
      <x:c r="X1197" s="38" t="n">
        <x:v>15</x:v>
      </x:c>
      <x:c r="Y1197" s="38" t="n">
        <x:v>4</x:v>
      </x:c>
      <x:c r="Z1197" s="38" t="n">
        <x:f>MAX(0,MIN(100,ROUND(((T1197+U1197+V1197+W1197+X1197)-Y1197)/85*100,0)))</x:f>
        <x:v>58</x:v>
      </x:c>
      <x:c r="AA1197" s="9" t="str">
        <x:f>IF(L1197="暂不做","P3 暂缓",IF(Z1197&gt;=75,"P0 本周做",IF(Z1197&gt;=60,"P1 近期做",IF(Z1197&gt;=45,"P2 备选","P3 暂缓"))))</x:f>
        <x:v>P2 备选</x:v>
      </x:c>
      <x:c r="AB1197" s="9" t="str">
        <x:f>IF(Y1197&gt;=15,"先做合规/相关性复核，不建议直接商业导流",IF(L1197="主站","建/优化主站商业页",IF(L1197="博客A-知识教程","写知识教程/FAQ文章",IF(L1197="博客B-场景人群","写场景需求/选购指南文章",IF(L1197="博客C-对比评测","写对比评测/榜单文章","暂不做或人工复核")))))</x:f>
        <x:v>建/优化主站商业页</x:v>
      </x:c>
      <x:c r="AC1197" s="9" t="str">
        <x:v>vaping types</x:v>
      </x:c>
      <x:c r="AD1197" s="10" t="str">
        <x:v>48</x:v>
      </x:c>
    </x:row>
    <x:row r="1198">
      <x:c r="A1198" s="34" t="n">
        <x:v>1198</x:v>
      </x:c>
      <x:c r="B1198" s="9" t="str">
        <x:v>48</x:v>
      </x:c>
      <x:c r="C1198" s="9" t="str">
        <x:v>vape risks</x:v>
      </x:c>
      <x:c r="D1198" s="9" t="str">
        <x:v>recommended</x:v>
      </x:c>
      <x:c r="E1198" s="36" t="n">
        <x:v>480</x:v>
      </x:c>
      <x:c r="F1198" s="36" t="n">
        <x:v>83</x:v>
      </x:c>
      <x:c r="G1198" s="9" t="str">
        <x:v>informational</x:v>
      </x:c>
      <x:c r="H1198" s="9" t="str">
        <x:v>General Vape</x:v>
      </x:c>
      <x:c r="I1198" s="9" t="str">
        <x:v>品类承接词</x:v>
      </x:c>
      <x:c r="J1198" s="9" t="str">
        <x:v>主站</x:v>
      </x:c>
      <x:c r="K1198" s="9" t="str"/>
      <x:c r="L1198" s="9" t="str">
        <x:f>IF(K1198="",J1198,K1198)</x:f>
        <x:v>主站</x:v>
      </x:c>
      <x:c r="M1198" s="9" t="str">
        <x:v>品类页/集合页 + FAQ内容块</x:v>
      </x:c>
      <x:c r="N1198" s="9" t="str">
        <x:v>主站品类页：用产品集合 + 选购说明承接</x:v>
      </x:c>
      <x:c r="O1198" s="9" t="str">
        <x:v>/collections/disposable-vapes</x:v>
      </x:c>
      <x:c r="P1198" s="9" t="str">
        <x:v>不适用</x:v>
      </x:c>
      <x:c r="Q1198" s="9" t="str">
        <x:v>主站页面自身承接</x:v>
      </x:c>
      <x:c r="R1198" s="9" t="str">
        <x:v>核心品类词：主站优先，博客只做长尾解释，不直接抢同一词</x:v>
      </x:c>
      <x:c r="S1198" s="9" t="str">
        <x:v>如果 Google 首页产品页和指南混合，主站页要加 FAQ、选购指南、对比模块。</x:v>
      </x:c>
      <x:c r="T1198" s="38" t="n">
        <x:v>7</x:v>
      </x:c>
      <x:c r="U1198" s="38" t="n">
        <x:v>1</x:v>
      </x:c>
      <x:c r="V1198" s="38" t="n">
        <x:v>16</x:v>
      </x:c>
      <x:c r="W1198" s="38" t="n">
        <x:v>8</x:v>
      </x:c>
      <x:c r="X1198" s="38" t="n">
        <x:v>15</x:v>
      </x:c>
      <x:c r="Y1198" s="38" t="n">
        <x:v>4</x:v>
      </x:c>
      <x:c r="Z1198" s="38" t="n">
        <x:f>MAX(0,MIN(100,ROUND(((T1198+U1198+V1198+W1198+X1198)-Y1198)/85*100,0)))</x:f>
        <x:v>51</x:v>
      </x:c>
      <x:c r="AA1198" s="9" t="str">
        <x:f>IF(L1198="暂不做","P3 暂缓",IF(Z1198&gt;=75,"P0 本周做",IF(Z1198&gt;=60,"P1 近期做",IF(Z1198&gt;=45,"P2 备选","P3 暂缓"))))</x:f>
        <x:v>P2 备选</x:v>
      </x:c>
      <x:c r="AB1198" s="9" t="str">
        <x:f>IF(Y1198&gt;=15,"先做合规/相关性复核，不建议直接商业导流",IF(L1198="主站","建/优化主站商业页",IF(L1198="博客A-知识教程","写知识教程/FAQ文章",IF(L1198="博客B-场景人群","写场景需求/选购指南文章",IF(L1198="博客C-对比评测","写对比评测/榜单文章","暂不做或人工复核")))))</x:f>
        <x:v>建/优化主站商业页</x:v>
      </x:c>
      <x:c r="AC1198" s="9" t="str">
        <x:v>vaping types</x:v>
      </x:c>
      <x:c r="AD1198" s="10" t="str">
        <x:v>48</x:v>
      </x:c>
    </x:row>
    <x:row r="1199">
      <x:c r="A1199" s="34" t="n">
        <x:v>1199</x:v>
      </x:c>
      <x:c r="B1199" s="9" t="str">
        <x:v>48</x:v>
      </x:c>
      <x:c r="C1199" s="9" t="str">
        <x:v>vaping in the use</x:v>
      </x:c>
      <x:c r="D1199" s="9" t="str">
        <x:v>recommended</x:v>
      </x:c>
      <x:c r="E1199" s="36" t="n">
        <x:v>140</x:v>
      </x:c>
      <x:c r="F1199" s="36" t="n">
        <x:v>66</x:v>
      </x:c>
      <x:c r="G1199" s="9" t="str">
        <x:v>informational</x:v>
      </x:c>
      <x:c r="H1199" s="9" t="str">
        <x:v>知识教程</x:v>
      </x:c>
      <x:c r="I1199" s="9" t="str">
        <x:v>知识/教程词</x:v>
      </x:c>
      <x:c r="J1199" s="9" t="str">
        <x:v>博客A-知识教程</x:v>
      </x:c>
      <x:c r="K1199" s="9" t="str"/>
      <x:c r="L1199" s="9" t="str">
        <x:f>IF(K1199="",J1199,K1199)</x:f>
        <x:v>博客A-知识教程</x:v>
      </x:c>
      <x:c r="M1199" s="9" t="str">
        <x:v>百科/How-to/FAQ文章</x:v>
      </x:c>
      <x:c r="N1199" s="9" t="str">
        <x:v>Guide angle: explain vaping in the use, answer common questions, and avoid sales-first writing</x:v>
      </x:c>
      <x:c r="O1199" s="9" t="str">
        <x:v>/collections/disposable-vapes</x:v>
      </x:c>
      <x:c r="P1199" s="9" t="str">
        <x:v>谨慎</x:v>
      </x:c>
      <x:c r="Q1199" s="9" t="str">
        <x:v>自然句/品牌词</x:v>
      </x:c>
      <x:c r="R1199" s="9" t="str">
        <x:v>低中风险：先满足信息意图，导流要克制</x:v>
      </x:c>
      <x:c r="S1199" s="9" t="str">
        <x:v>如果文章能自然回答下一步购买问题，再放 1 个主站内链；否则只做知识闭环。</x:v>
      </x:c>
      <x:c r="T1199" s="38" t="n">
        <x:v>7</x:v>
      </x:c>
      <x:c r="U1199" s="38" t="n">
        <x:v>3</x:v>
      </x:c>
      <x:c r="V1199" s="38" t="n">
        <x:v>9</x:v>
      </x:c>
      <x:c r="W1199" s="38" t="n">
        <x:v>14</x:v>
      </x:c>
      <x:c r="X1199" s="38" t="n">
        <x:v>12</x:v>
      </x:c>
      <x:c r="Y1199" s="38" t="n">
        <x:v>5</x:v>
      </x:c>
      <x:c r="Z1199" s="38" t="n">
        <x:f>MAX(0,MIN(100,ROUND(((T1199+U1199+V1199+W1199+X1199)-Y1199)/85*100,0)))</x:f>
        <x:v>47</x:v>
      </x:c>
      <x:c r="AA1199" s="9" t="str">
        <x:f>IF(L1199="暂不做","P3 暂缓",IF(Z1199&gt;=75,"P0 本周做",IF(Z1199&gt;=60,"P1 近期做",IF(Z1199&gt;=45,"P2 备选","P3 暂缓"))))</x:f>
        <x:v>P2 备选</x:v>
      </x:c>
      <x:c r="AB1199" s="9" t="str">
        <x:f>IF(Y1199&gt;=15,"先做合规/相关性复核，不建议直接商业导流",IF(L1199="主站","建/优化主站商业页",IF(L1199="博客A-知识教程","写知识教程/FAQ文章",IF(L1199="博客B-场景人群","写场景需求/选购指南文章",IF(L1199="博客C-对比评测","写对比评测/榜单文章","暂不做或人工复核")))))</x:f>
        <x:v>写知识教程/FAQ文章</x:v>
      </x:c>
      <x:c r="AC1199" s="9" t="str">
        <x:v>vaping types</x:v>
      </x:c>
      <x:c r="AD1199" s="10" t="str">
        <x:v>48</x:v>
      </x:c>
    </x:row>
    <x:row r="1200">
      <x:c r="A1200" s="34" t="n">
        <x:v>1200</x:v>
      </x:c>
      <x:c r="B1200" s="9" t="str">
        <x:v>48</x:v>
      </x:c>
      <x:c r="C1200" s="9" t="str">
        <x:v>vaping for the first time</x:v>
      </x:c>
      <x:c r="D1200" s="9" t="str">
        <x:v>recommended</x:v>
      </x:c>
      <x:c r="E1200" s="36" t="n">
        <x:v>90</x:v>
      </x:c>
      <x:c r="F1200" s="36" t="n">
        <x:v>10</x:v>
      </x:c>
      <x:c r="G1200" s="9" t="str">
        <x:v>informational</x:v>
      </x:c>
      <x:c r="H1200" s="9" t="str">
        <x:v>General Vape</x:v>
      </x:c>
      <x:c r="I1200" s="9" t="str">
        <x:v>场景/需求词</x:v>
      </x:c>
      <x:c r="J1200" s="9" t="str">
        <x:v>博客B-场景人群</x:v>
      </x:c>
      <x:c r="K1200" s="9" t="str"/>
      <x:c r="L1200" s="9" t="str">
        <x:f>IF(K1200="",J1200,K1200)</x:f>
        <x:v>博客B-场景人群</x:v>
      </x:c>
      <x:c r="M1200" s="9" t="str">
        <x:v>场景解决方案/选购指南文章</x:v>
      </x:c>
      <x:c r="N1200" s="9" t="str">
        <x:v>Scenario angle: how to choose vaping for the first time based on use case, flavor, nicotine, and budget</x:v>
      </x:c>
      <x:c r="O1200" s="9" t="str">
        <x:v>/collections/disposable-vapes</x:v>
      </x:c>
      <x:c r="P1200" s="9" t="str">
        <x:v>是</x:v>
      </x:c>
      <x:c r="Q1200" s="9" t="str">
        <x:v>自然句/品类词</x:v>
      </x:c>
      <x:c r="R1200" s="9" t="str">
        <x:v>低中风险：适合软性导流，但不要夸大效果或触碰健康疗效</x:v>
      </x:c>
      <x:c r="S1200" s="9" t="str">
        <x:v>围绕使用场景、口味、尼古丁需求、便携性等写，不和主站品类页抢词。</x:v>
      </x:c>
      <x:c r="T1200" s="38" t="n">
        <x:v>4</x:v>
      </x:c>
      <x:c r="U1200" s="38" t="n">
        <x:v>15</x:v>
      </x:c>
      <x:c r="V1200" s="38" t="n">
        <x:v>13</x:v>
      </x:c>
      <x:c r="W1200" s="38" t="n">
        <x:v>14</x:v>
      </x:c>
      <x:c r="X1200" s="38" t="n">
        <x:v>13</x:v>
      </x:c>
      <x:c r="Y1200" s="38" t="n">
        <x:v>5</x:v>
      </x:c>
      <x:c r="Z1200" s="38" t="n">
        <x:f>MAX(0,MIN(100,ROUND(((T1200+U1200+V1200+W1200+X1200)-Y1200)/85*100,0)))</x:f>
        <x:v>64</x:v>
      </x:c>
      <x:c r="AA1200" s="9" t="str">
        <x:f>IF(L1200="暂不做","P3 暂缓",IF(Z1200&gt;=75,"P0 本周做",IF(Z1200&gt;=60,"P1 近期做",IF(Z1200&gt;=45,"P2 备选","P3 暂缓"))))</x:f>
        <x:v>P1 近期做</x:v>
      </x:c>
      <x:c r="AB1200" s="9" t="str">
        <x:f>IF(Y1200&gt;=15,"先做合规/相关性复核，不建议直接商业导流",IF(L1200="主站","建/优化主站商业页",IF(L1200="博客A-知识教程","写知识教程/FAQ文章",IF(L1200="博客B-场景人群","写场景需求/选购指南文章",IF(L1200="博客C-对比评测","写对比评测/榜单文章","暂不做或人工复核")))))</x:f>
        <x:v>写场景需求/选购指南文章</x:v>
      </x:c>
      <x:c r="AC1200" s="9" t="str">
        <x:v>vaping types</x:v>
      </x:c>
      <x:c r="AD1200" s="10" t="str">
        <x:v>48</x:v>
      </x:c>
    </x:row>
    <x:row r="1201">
      <x:c r="A1201" s="34" t="n">
        <x:v>1201</x:v>
      </x:c>
      <x:c r="B1201" s="9" t="str">
        <x:v>48</x:v>
      </x:c>
      <x:c r="C1201" s="9" t="str">
        <x:v>define vape</x:v>
      </x:c>
      <x:c r="D1201" s="9" t="str">
        <x:v>recommended</x:v>
      </x:c>
      <x:c r="E1201" s="36" t="n">
        <x:v>90</x:v>
      </x:c>
      <x:c r="F1201" s="36" t="n">
        <x:v>79</x:v>
      </x:c>
      <x:c r="G1201" s="9" t="str">
        <x:v>informational</x:v>
      </x:c>
      <x:c r="H1201" s="9" t="str">
        <x:v>General Vape</x:v>
      </x:c>
      <x:c r="I1201" s="9" t="str">
        <x:v>品类承接词</x:v>
      </x:c>
      <x:c r="J1201" s="9" t="str">
        <x:v>主站</x:v>
      </x:c>
      <x:c r="K1201" s="9" t="str"/>
      <x:c r="L1201" s="9" t="str">
        <x:f>IF(K1201="",J1201,K1201)</x:f>
        <x:v>主站</x:v>
      </x:c>
      <x:c r="M1201" s="9" t="str">
        <x:v>品类页/集合页 + FAQ内容块</x:v>
      </x:c>
      <x:c r="N1201" s="9" t="str">
        <x:v>主站品类页：用产品集合 + 选购说明承接</x:v>
      </x:c>
      <x:c r="O1201" s="9" t="str">
        <x:v>/collections/disposable-vapes</x:v>
      </x:c>
      <x:c r="P1201" s="9" t="str">
        <x:v>不适用</x:v>
      </x:c>
      <x:c r="Q1201" s="9" t="str">
        <x:v>主站页面自身承接</x:v>
      </x:c>
      <x:c r="R1201" s="9" t="str">
        <x:v>核心品类词：主站优先，博客只做长尾解释，不直接抢同一词</x:v>
      </x:c>
      <x:c r="S1201" s="9" t="str">
        <x:v>如果 Google 首页产品页和指南混合，主站页要加 FAQ、选购指南、对比模块。</x:v>
      </x:c>
      <x:c r="T1201" s="38" t="n">
        <x:v>4</x:v>
      </x:c>
      <x:c r="U1201" s="38" t="n">
        <x:v>1</x:v>
      </x:c>
      <x:c r="V1201" s="38" t="n">
        <x:v>16</x:v>
      </x:c>
      <x:c r="W1201" s="38" t="n">
        <x:v>8</x:v>
      </x:c>
      <x:c r="X1201" s="38" t="n">
        <x:v>15</x:v>
      </x:c>
      <x:c r="Y1201" s="38" t="n">
        <x:v>4</x:v>
      </x:c>
      <x:c r="Z1201" s="38" t="n">
        <x:f>MAX(0,MIN(100,ROUND(((T1201+U1201+V1201+W1201+X1201)-Y1201)/85*100,0)))</x:f>
        <x:v>47</x:v>
      </x:c>
      <x:c r="AA1201" s="9" t="str">
        <x:f>IF(L1201="暂不做","P3 暂缓",IF(Z1201&gt;=75,"P0 本周做",IF(Z1201&gt;=60,"P1 近期做",IF(Z1201&gt;=45,"P2 备选","P3 暂缓"))))</x:f>
        <x:v>P2 备选</x:v>
      </x:c>
      <x:c r="AB1201" s="9" t="str">
        <x:f>IF(Y1201&gt;=15,"先做合规/相关性复核，不建议直接商业导流",IF(L1201="主站","建/优化主站商业页",IF(L1201="博客A-知识教程","写知识教程/FAQ文章",IF(L1201="博客B-场景人群","写场景需求/选购指南文章",IF(L1201="博客C-对比评测","写对比评测/榜单文章","暂不做或人工复核")))))</x:f>
        <x:v>建/优化主站商业页</x:v>
      </x:c>
      <x:c r="AC1201" s="9" t="str">
        <x:v>vaping types</x:v>
      </x:c>
      <x:c r="AD1201" s="10" t="str">
        <x:v>48</x:v>
      </x:c>
    </x:row>
    <x:row r="1202">
      <x:c r="A1202" s="34" t="n">
        <x:v>1202</x:v>
      </x:c>
      <x:c r="B1202" s="9" t="str">
        <x:v>48</x:v>
      </x:c>
      <x:c r="C1202" s="9" t="str">
        <x:v>breeze vape</x:v>
      </x:c>
      <x:c r="D1202" s="9" t="str">
        <x:v>recommended</x:v>
      </x:c>
      <x:c r="E1202" s="36" t="n">
        <x:v>22200</x:v>
      </x:c>
      <x:c r="F1202" s="36" t="n">
        <x:v>27</x:v>
      </x:c>
      <x:c r="G1202" s="9" t="str">
        <x:v>informational</x:v>
      </x:c>
      <x:c r="H1202" s="9" t="str">
        <x:v>竞品/品牌词</x:v>
      </x:c>
      <x:c r="I1202" s="9" t="str">
        <x:v>竞品品牌词</x:v>
      </x:c>
      <x:c r="J1202" s="9" t="str">
        <x:v>暂不做</x:v>
      </x:c>
      <x:c r="K1202" s="9" t="str"/>
      <x:c r="L1202" s="9" t="str">
        <x:f>IF(K1202="",J1202,K1202)</x:f>
        <x:v>暂不做</x:v>
      </x:c>
      <x:c r="M1202" s="9" t="str">
        <x:v>人工确认后再决定</x:v>
      </x:c>
      <x:c r="N1202" s="9" t="str">
        <x:v>人工确认是否可做客观对比</x:v>
      </x:c>
      <x:c r="O1202" s="9" t="str">
        <x:v>无</x:v>
      </x:c>
      <x:c r="P1202" s="9" t="str">
        <x:v>否</x:v>
      </x:c>
      <x:c r="Q1202" s="9" t="str">
        <x:v>不导流</x:v>
      </x:c>
      <x:c r="R1202" s="9" t="str">
        <x:v>中高风险：纯竞品品牌词容易产生商标/相关性问题</x:v>
      </x:c>
      <x:c r="S1202" s="9" t="str">
        <x:v>只有带 alternative / vs / review / best 这类明确比较意图时，才考虑博客C。</x:v>
      </x:c>
      <x:c r="T1202" s="38" t="n">
        <x:v>20</x:v>
      </x:c>
      <x:c r="U1202" s="38" t="n">
        <x:v>12</x:v>
      </x:c>
      <x:c r="V1202" s="38" t="n">
        <x:v>5</x:v>
      </x:c>
      <x:c r="W1202" s="38" t="n">
        <x:v>7</x:v>
      </x:c>
      <x:c r="X1202" s="38" t="n">
        <x:v>4</x:v>
      </x:c>
      <x:c r="Y1202" s="38" t="n">
        <x:v>14</x:v>
      </x:c>
      <x:c r="Z1202" s="38" t="n">
        <x:f>MAX(0,MIN(100,ROUND(((T1202+U1202+V1202+W1202+X1202)-Y1202)/85*100,0)))</x:f>
        <x:v>40</x:v>
      </x:c>
      <x:c r="AA1202" s="9" t="str">
        <x:f>IF(L1202="暂不做","P3 暂缓",IF(Z1202&gt;=75,"P0 本周做",IF(Z1202&gt;=60,"P1 近期做",IF(Z1202&gt;=45,"P2 备选","P3 暂缓"))))</x:f>
        <x:v>P3 暂缓</x:v>
      </x:c>
      <x:c r="AB1202" s="9" t="str">
        <x:f>IF(Y1202&gt;=15,"先做合规/相关性复核，不建议直接商业导流",IF(L1202="主站","建/优化主站商业页",IF(L1202="博客A-知识教程","写知识教程/FAQ文章",IF(L1202="博客B-场景人群","写场景需求/选购指南文章",IF(L1202="博客C-对比评测","写对比评测/榜单文章","暂不做或人工复核")))))</x:f>
        <x:v>暂不做或人工复核</x:v>
      </x:c>
      <x:c r="AC1202" s="9" t="str">
        <x:v>vaping types</x:v>
      </x:c>
      <x:c r="AD1202" s="10" t="str">
        <x:v>48</x:v>
      </x:c>
    </x:row>
    <x:row r="1203">
      <x:c r="A1203" s="34" t="n">
        <x:v>1203</x:v>
      </x:c>
      <x:c r="B1203" s="9" t="str">
        <x:v>48</x:v>
      </x:c>
      <x:c r="C1203" s="9" t="str">
        <x:v>how to vape</x:v>
      </x:c>
      <x:c r="D1203" s="9" t="str">
        <x:v>recommended</x:v>
      </x:c>
      <x:c r="E1203" s="36" t="n">
        <x:v>4400</x:v>
      </x:c>
      <x:c r="F1203" s="36" t="n">
        <x:v>22</x:v>
      </x:c>
      <x:c r="G1203" s="9" t="str">
        <x:v>informational</x:v>
      </x:c>
      <x:c r="H1203" s="9" t="str">
        <x:v>知识教程</x:v>
      </x:c>
      <x:c r="I1203" s="9" t="str">
        <x:v>知识/教程词</x:v>
      </x:c>
      <x:c r="J1203" s="9" t="str">
        <x:v>博客A-知识教程</x:v>
      </x:c>
      <x:c r="K1203" s="9" t="str"/>
      <x:c r="L1203" s="9" t="str">
        <x:f>IF(K1203="",J1203,K1203)</x:f>
        <x:v>博客A-知识教程</x:v>
      </x:c>
      <x:c r="M1203" s="9" t="str">
        <x:v>百科/How-to/FAQ文章</x:v>
      </x:c>
      <x:c r="N1203" s="9" t="str">
        <x:v>Guide angle: explain how to vape, answer common questions, and avoid sales-first writing</x:v>
      </x:c>
      <x:c r="O1203" s="9" t="str">
        <x:v>/collections/disposable-vapes</x:v>
      </x:c>
      <x:c r="P1203" s="9" t="str">
        <x:v>谨慎</x:v>
      </x:c>
      <x:c r="Q1203" s="9" t="str">
        <x:v>自然句/品牌词</x:v>
      </x:c>
      <x:c r="R1203" s="9" t="str">
        <x:v>低中风险：先满足信息意图，导流要克制</x:v>
      </x:c>
      <x:c r="S1203" s="9" t="str">
        <x:v>如果文章能自然回答下一步购买问题，再放 1 个主站内链；否则只做知识闭环。</x:v>
      </x:c>
      <x:c r="T1203" s="38" t="n">
        <x:v>13</x:v>
      </x:c>
      <x:c r="U1203" s="38" t="n">
        <x:v>12</x:v>
      </x:c>
      <x:c r="V1203" s="38" t="n">
        <x:v>9</x:v>
      </x:c>
      <x:c r="W1203" s="38" t="n">
        <x:v>14</x:v>
      </x:c>
      <x:c r="X1203" s="38" t="n">
        <x:v>12</x:v>
      </x:c>
      <x:c r="Y1203" s="38" t="n">
        <x:v>5</x:v>
      </x:c>
      <x:c r="Z1203" s="38" t="n">
        <x:f>MAX(0,MIN(100,ROUND(((T1203+U1203+V1203+W1203+X1203)-Y1203)/85*100,0)))</x:f>
        <x:v>65</x:v>
      </x:c>
      <x:c r="AA1203" s="9" t="str">
        <x:f>IF(L1203="暂不做","P3 暂缓",IF(Z1203&gt;=75,"P0 本周做",IF(Z1203&gt;=60,"P1 近期做",IF(Z1203&gt;=45,"P2 备选","P3 暂缓"))))</x:f>
        <x:v>P1 近期做</x:v>
      </x:c>
      <x:c r="AB1203" s="9" t="str">
        <x:f>IF(Y1203&gt;=15,"先做合规/相关性复核，不建议直接商业导流",IF(L1203="主站","建/优化主站商业页",IF(L1203="博客A-知识教程","写知识教程/FAQ文章",IF(L1203="博客B-场景人群","写场景需求/选购指南文章",IF(L1203="博客C-对比评测","写对比评测/榜单文章","暂不做或人工复核")))))</x:f>
        <x:v>写知识教程/FAQ文章</x:v>
      </x:c>
      <x:c r="AC1203" s="9" t="str">
        <x:v>vaping types</x:v>
      </x:c>
      <x:c r="AD1203" s="10" t="str">
        <x:v>48</x:v>
      </x:c>
    </x:row>
    <x:row r="1204">
      <x:c r="A1204" s="34" t="n">
        <x:v>1204</x:v>
      </x:c>
      <x:c r="B1204" s="9" t="str">
        <x:v>48</x:v>
      </x:c>
      <x:c r="C1204" s="9" t="str">
        <x:v>vape alternative</x:v>
      </x:c>
      <x:c r="D1204" s="9" t="str">
        <x:v>recommended</x:v>
      </x:c>
      <x:c r="E1204" s="36" t="n">
        <x:v>2400</x:v>
      </x:c>
      <x:c r="F1204" s="36" t="n">
        <x:v>18</x:v>
      </x:c>
      <x:c r="G1204" s="9" t="str">
        <x:v>informational</x:v>
      </x:c>
      <x:c r="H1204" s="9" t="str">
        <x:v>对比评测</x:v>
      </x:c>
      <x:c r="I1204" s="9" t="str">
        <x:v>商业调查词</x:v>
      </x:c>
      <x:c r="J1204" s="9" t="str">
        <x:v>博客C-对比评测</x:v>
      </x:c>
      <x:c r="K1204" s="9" t="str"/>
      <x:c r="L1204" s="9" t="str">
        <x:f>IF(K1204="",J1204,K1204)</x:f>
        <x:v>博客C-对比评测</x:v>
      </x:c>
      <x:c r="M1204" s="9" t="str">
        <x:v>Best/Top/Review/VS/替代方案文章</x:v>
      </x:c>
      <x:c r="N1204" s="9" t="str">
        <x:v>Best angle: vape alternative - comparison, pros/cons, and which option fits different buyers</x:v>
      </x:c>
      <x:c r="O1204" s="9" t="str">
        <x:v>/collections/disposable-vapes</x:v>
      </x:c>
      <x:c r="P1204" s="9" t="str">
        <x:v>是</x:v>
      </x:c>
      <x:c r="Q1204" s="9" t="str">
        <x:v>自然句/品类词/品牌词</x:v>
      </x:c>
      <x:c r="R1204" s="9" t="str">
        <x:v>中风险：榜单和评测必须真实、中立，避免夸大</x:v>
      </x:c>
      <x:c r="S1204" s="9" t="str">
        <x:v>这类词不直接给主站，先用博客C教育和比较，再导流到最相关集合页。</x:v>
      </x:c>
      <x:c r="T1204" s="38" t="n">
        <x:v>13</x:v>
      </x:c>
      <x:c r="U1204" s="38" t="n">
        <x:v>12</x:v>
      </x:c>
      <x:c r="V1204" s="38" t="n">
        <x:v>16</x:v>
      </x:c>
      <x:c r="W1204" s="38" t="n">
        <x:v>15</x:v>
      </x:c>
      <x:c r="X1204" s="38" t="n">
        <x:v>13</x:v>
      </x:c>
      <x:c r="Y1204" s="38" t="n">
        <x:v>6</x:v>
      </x:c>
      <x:c r="Z1204" s="38" t="n">
        <x:f>MAX(0,MIN(100,ROUND(((T1204+U1204+V1204+W1204+X1204)-Y1204)/85*100,0)))</x:f>
        <x:v>74</x:v>
      </x:c>
      <x:c r="AA1204" s="9" t="str">
        <x:f>IF(L1204="暂不做","P3 暂缓",IF(Z1204&gt;=75,"P0 本周做",IF(Z1204&gt;=60,"P1 近期做",IF(Z1204&gt;=45,"P2 备选","P3 暂缓"))))</x:f>
        <x:v>P1 近期做</x:v>
      </x:c>
      <x:c r="AB1204" s="9" t="str">
        <x:f>IF(Y1204&gt;=15,"先做合规/相关性复核，不建议直接商业导流",IF(L1204="主站","建/优化主站商业页",IF(L1204="博客A-知识教程","写知识教程/FAQ文章",IF(L1204="博客B-场景人群","写场景需求/选购指南文章",IF(L1204="博客C-对比评测","写对比评测/榜单文章","暂不做或人工复核")))))</x:f>
        <x:v>写对比评测/榜单文章</x:v>
      </x:c>
      <x:c r="AC1204" s="9" t="str">
        <x:v>vaping types</x:v>
      </x:c>
      <x:c r="AD1204" s="10" t="str">
        <x:v>48</x:v>
      </x:c>
    </x:row>
    <x:row r="1205">
      <x:c r="A1205" s="34" t="n">
        <x:v>1205</x:v>
      </x:c>
      <x:c r="B1205" s="9" t="str">
        <x:v>48</x:v>
      </x:c>
      <x:c r="C1205" s="9" t="str">
        <x:v>vuse vapes</x:v>
      </x:c>
      <x:c r="D1205" s="9" t="str">
        <x:v>recommended</x:v>
      </x:c>
      <x:c r="E1205" s="36" t="n">
        <x:v>2400</x:v>
      </x:c>
      <x:c r="F1205" s="36" t="n">
        <x:v>29</x:v>
      </x:c>
      <x:c r="G1205" s="9" t="str">
        <x:v>informational, transactional</x:v>
      </x:c>
      <x:c r="H1205" s="9" t="str">
        <x:v>竞品/品牌词</x:v>
      </x:c>
      <x:c r="I1205" s="9" t="str">
        <x:v>竞品品牌词</x:v>
      </x:c>
      <x:c r="J1205" s="9" t="str">
        <x:v>暂不做</x:v>
      </x:c>
      <x:c r="K1205" s="9" t="str"/>
      <x:c r="L1205" s="9" t="str">
        <x:f>IF(K1205="",J1205,K1205)</x:f>
        <x:v>暂不做</x:v>
      </x:c>
      <x:c r="M1205" s="9" t="str">
        <x:v>人工确认后再决定</x:v>
      </x:c>
      <x:c r="N1205" s="9" t="str">
        <x:v>人工确认是否可做客观对比</x:v>
      </x:c>
      <x:c r="O1205" s="9" t="str">
        <x:v>无</x:v>
      </x:c>
      <x:c r="P1205" s="9" t="str">
        <x:v>否</x:v>
      </x:c>
      <x:c r="Q1205" s="9" t="str">
        <x:v>不导流</x:v>
      </x:c>
      <x:c r="R1205" s="9" t="str">
        <x:v>中高风险：纯竞品品牌词容易产生商标/相关性问题</x:v>
      </x:c>
      <x:c r="S1205" s="9" t="str">
        <x:v>只有带 alternative / vs / review / best 这类明确比较意图时，才考虑博客C。</x:v>
      </x:c>
      <x:c r="T1205" s="38" t="n">
        <x:v>13</x:v>
      </x:c>
      <x:c r="U1205" s="38" t="n">
        <x:v>12</x:v>
      </x:c>
      <x:c r="V1205" s="38" t="n">
        <x:v>5</x:v>
      </x:c>
      <x:c r="W1205" s="38" t="n">
        <x:v>7</x:v>
      </x:c>
      <x:c r="X1205" s="38" t="n">
        <x:v>4</x:v>
      </x:c>
      <x:c r="Y1205" s="38" t="n">
        <x:v>14</x:v>
      </x:c>
      <x:c r="Z1205" s="38" t="n">
        <x:f>MAX(0,MIN(100,ROUND(((T1205+U1205+V1205+W1205+X1205)-Y1205)/85*100,0)))</x:f>
        <x:v>32</x:v>
      </x:c>
      <x:c r="AA1205" s="9" t="str">
        <x:f>IF(L1205="暂不做","P3 暂缓",IF(Z1205&gt;=75,"P0 本周做",IF(Z1205&gt;=60,"P1 近期做",IF(Z1205&gt;=45,"P2 备选","P3 暂缓"))))</x:f>
        <x:v>P3 暂缓</x:v>
      </x:c>
      <x:c r="AB1205" s="9" t="str">
        <x:f>IF(Y1205&gt;=15,"先做合规/相关性复核，不建议直接商业导流",IF(L1205="主站","建/优化主站商业页",IF(L1205="博客A-知识教程","写知识教程/FAQ文章",IF(L1205="博客B-场景人群","写场景需求/选购指南文章",IF(L1205="博客C-对比评测","写对比评测/榜单文章","暂不做或人工复核")))))</x:f>
        <x:v>暂不做或人工复核</x:v>
      </x:c>
      <x:c r="AC1205" s="9" t="str">
        <x:v>vaping types</x:v>
      </x:c>
      <x:c r="AD1205" s="10" t="str">
        <x:v>48</x:v>
      </x:c>
    </x:row>
    <x:row r="1206">
      <x:c r="A1206" s="34" t="n">
        <x:v>1206</x:v>
      </x:c>
      <x:c r="B1206" s="9" t="str">
        <x:v>48</x:v>
      </x:c>
      <x:c r="C1206" s="9" t="str">
        <x:v>electronic cigarette</x:v>
      </x:c>
      <x:c r="D1206" s="9" t="str">
        <x:v>recommended</x:v>
      </x:c>
      <x:c r="E1206" s="36" t="n">
        <x:v>14800</x:v>
      </x:c>
      <x:c r="F1206" s="36" t="n">
        <x:v>51</x:v>
      </x:c>
      <x:c r="G1206" s="9" t="str">
        <x:v>informational</x:v>
      </x:c>
      <x:c r="H1206" s="9" t="str">
        <x:v>E-Cigarette</x:v>
      </x:c>
      <x:c r="I1206" s="9" t="str">
        <x:v>品类承接词</x:v>
      </x:c>
      <x:c r="J1206" s="9" t="str">
        <x:v>主站</x:v>
      </x:c>
      <x:c r="K1206" s="9" t="str"/>
      <x:c r="L1206" s="9" t="str">
        <x:f>IF(K1206="",J1206,K1206)</x:f>
        <x:v>主站</x:v>
      </x:c>
      <x:c r="M1206" s="9" t="str">
        <x:v>品类页/集合页 + FAQ内容块</x:v>
      </x:c>
      <x:c r="N1206" s="9" t="str">
        <x:v>主站品类页：用产品集合 + 选购说明承接</x:v>
      </x:c>
      <x:c r="O1206" s="9" t="str">
        <x:v>/collections/e-cigarettes</x:v>
      </x:c>
      <x:c r="P1206" s="9" t="str">
        <x:v>不适用</x:v>
      </x:c>
      <x:c r="Q1206" s="9" t="str">
        <x:v>主站页面自身承接</x:v>
      </x:c>
      <x:c r="R1206" s="9" t="str">
        <x:v>核心品类词：主站优先，博客只做长尾解释，不直接抢同一词</x:v>
      </x:c>
      <x:c r="S1206" s="9" t="str">
        <x:v>如果 Google 首页产品页和指南混合，主站页要加 FAQ、选购指南、对比模块。</x:v>
      </x:c>
      <x:c r="T1206" s="38" t="n">
        <x:v>18</x:v>
      </x:c>
      <x:c r="U1206" s="38" t="n">
        <x:v>6</x:v>
      </x:c>
      <x:c r="V1206" s="38" t="n">
        <x:v>16</x:v>
      </x:c>
      <x:c r="W1206" s="38" t="n">
        <x:v>8</x:v>
      </x:c>
      <x:c r="X1206" s="38" t="n">
        <x:v>15</x:v>
      </x:c>
      <x:c r="Y1206" s="38" t="n">
        <x:v>4</x:v>
      </x:c>
      <x:c r="Z1206" s="38" t="n">
        <x:f>MAX(0,MIN(100,ROUND(((T1206+U1206+V1206+W1206+X1206)-Y1206)/85*100,0)))</x:f>
        <x:v>69</x:v>
      </x:c>
      <x:c r="AA1206" s="9" t="str">
        <x:f>IF(L1206="暂不做","P3 暂缓",IF(Z1206&gt;=75,"P0 本周做",IF(Z1206&gt;=60,"P1 近期做",IF(Z1206&gt;=45,"P2 备选","P3 暂缓"))))</x:f>
        <x:v>P1 近期做</x:v>
      </x:c>
      <x:c r="AB1206" s="9" t="str">
        <x:f>IF(Y1206&gt;=15,"先做合规/相关性复核，不建议直接商业导流",IF(L1206="主站","建/优化主站商业页",IF(L1206="博客A-知识教程","写知识教程/FAQ文章",IF(L1206="博客B-场景人群","写场景需求/选购指南文章",IF(L1206="博客C-对比评测","写对比评测/榜单文章","暂不做或人工复核")))))</x:f>
        <x:v>建/优化主站商业页</x:v>
      </x:c>
      <x:c r="AC1206" s="9" t="str">
        <x:v>vaping types</x:v>
      </x:c>
      <x:c r="AD1206" s="10" t="str">
        <x:v>48</x:v>
      </x:c>
    </x:row>
    <x:row r="1207">
      <x:c r="A1207" s="34" t="n">
        <x:v>1207</x:v>
      </x:c>
      <x:c r="B1207" s="9" t="str">
        <x:v>48</x:v>
      </x:c>
      <x:c r="C1207" s="9" t="str">
        <x:v>benefits of vaping</x:v>
      </x:c>
      <x:c r="D1207" s="9" t="str">
        <x:v>recommended</x:v>
      </x:c>
      <x:c r="E1207" s="36" t="n">
        <x:v>1600</x:v>
      </x:c>
      <x:c r="F1207" s="36" t="n">
        <x:v>49</x:v>
      </x:c>
      <x:c r="G1207" s="9" t="str">
        <x:v>informational</x:v>
      </x:c>
      <x:c r="H1207" s="9" t="str">
        <x:v>General Vape</x:v>
      </x:c>
      <x:c r="I1207" s="9" t="str">
        <x:v>品类承接词</x:v>
      </x:c>
      <x:c r="J1207" s="9" t="str">
        <x:v>主站</x:v>
      </x:c>
      <x:c r="K1207" s="9" t="str"/>
      <x:c r="L1207" s="9" t="str">
        <x:f>IF(K1207="",J1207,K1207)</x:f>
        <x:v>主站</x:v>
      </x:c>
      <x:c r="M1207" s="9" t="str">
        <x:v>品类页/集合页 + FAQ内容块</x:v>
      </x:c>
      <x:c r="N1207" s="9" t="str">
        <x:v>主站品类页：用产品集合 + 选购说明承接</x:v>
      </x:c>
      <x:c r="O1207" s="9" t="str">
        <x:v>/collections/disposable-vapes</x:v>
      </x:c>
      <x:c r="P1207" s="9" t="str">
        <x:v>不适用</x:v>
      </x:c>
      <x:c r="Q1207" s="9" t="str">
        <x:v>主站页面自身承接</x:v>
      </x:c>
      <x:c r="R1207" s="9" t="str">
        <x:v>核心品类词：主站优先，博客只做长尾解释，不直接抢同一词</x:v>
      </x:c>
      <x:c r="S1207" s="9" t="str">
        <x:v>如果 Google 首页产品页和指南混合，主站页要加 FAQ、选购指南、对比模块。</x:v>
      </x:c>
      <x:c r="T1207" s="38" t="n">
        <x:v>13</x:v>
      </x:c>
      <x:c r="U1207" s="38" t="n">
        <x:v>6</x:v>
      </x:c>
      <x:c r="V1207" s="38" t="n">
        <x:v>16</x:v>
      </x:c>
      <x:c r="W1207" s="38" t="n">
        <x:v>8</x:v>
      </x:c>
      <x:c r="X1207" s="38" t="n">
        <x:v>15</x:v>
      </x:c>
      <x:c r="Y1207" s="38" t="n">
        <x:v>4</x:v>
      </x:c>
      <x:c r="Z1207" s="38" t="n">
        <x:f>MAX(0,MIN(100,ROUND(((T1207+U1207+V1207+W1207+X1207)-Y1207)/85*100,0)))</x:f>
        <x:v>64</x:v>
      </x:c>
      <x:c r="AA1207" s="9" t="str">
        <x:f>IF(L1207="暂不做","P3 暂缓",IF(Z1207&gt;=75,"P0 本周做",IF(Z1207&gt;=60,"P1 近期做",IF(Z1207&gt;=45,"P2 备选","P3 暂缓"))))</x:f>
        <x:v>P1 近期做</x:v>
      </x:c>
      <x:c r="AB1207" s="9" t="str">
        <x:f>IF(Y1207&gt;=15,"先做合规/相关性复核，不建议直接商业导流",IF(L1207="主站","建/优化主站商业页",IF(L1207="博客A-知识教程","写知识教程/FAQ文章",IF(L1207="博客B-场景人群","写场景需求/选购指南文章",IF(L1207="博客C-对比评测","写对比评测/榜单文章","暂不做或人工复核")))))</x:f>
        <x:v>建/优化主站商业页</x:v>
      </x:c>
      <x:c r="AC1207" s="9" t="str">
        <x:v>vaping types</x:v>
      </x:c>
      <x:c r="AD1207" s="10" t="str">
        <x:v>48</x:v>
      </x:c>
    </x:row>
    <x:row r="1208">
      <x:c r="A1208" s="34" t="n">
        <x:v>1208</x:v>
      </x:c>
      <x:c r="B1208" s="9" t="str">
        <x:v>48</x:v>
      </x:c>
      <x:c r="C1208" s="9" t="str">
        <x:v>vapes and tobacco</x:v>
      </x:c>
      <x:c r="D1208" s="9" t="str">
        <x:v>recommended</x:v>
      </x:c>
      <x:c r="E1208" s="36" t="n">
        <x:v>320</x:v>
      </x:c>
      <x:c r="F1208" s="36" t="n">
        <x:v>77</x:v>
      </x:c>
      <x:c r="G1208" s="9" t="str">
        <x:v>commercial</x:v>
      </x:c>
      <x:c r="H1208" s="9" t="str">
        <x:v>General Vape</x:v>
      </x:c>
      <x:c r="I1208" s="9" t="str">
        <x:v>品类承接词</x:v>
      </x:c>
      <x:c r="J1208" s="9" t="str">
        <x:v>主站</x:v>
      </x:c>
      <x:c r="K1208" s="9" t="str"/>
      <x:c r="L1208" s="9" t="str">
        <x:f>IF(K1208="",J1208,K1208)</x:f>
        <x:v>主站</x:v>
      </x:c>
      <x:c r="M1208" s="9" t="str">
        <x:v>品类页/集合页 + FAQ内容块</x:v>
      </x:c>
      <x:c r="N1208" s="9" t="str">
        <x:v>主站品类页：用产品集合 + 选购说明承接</x:v>
      </x:c>
      <x:c r="O1208" s="9" t="str">
        <x:v>/collections/disposable-vapes</x:v>
      </x:c>
      <x:c r="P1208" s="9" t="str">
        <x:v>不适用</x:v>
      </x:c>
      <x:c r="Q1208" s="9" t="str">
        <x:v>主站页面自身承接</x:v>
      </x:c>
      <x:c r="R1208" s="9" t="str">
        <x:v>核心品类词：主站优先，博客只做长尾解释，不直接抢同一词</x:v>
      </x:c>
      <x:c r="S1208" s="9" t="str">
        <x:v>如果 Google 首页产品页和指南混合，主站页要加 FAQ、选购指南、对比模块。</x:v>
      </x:c>
      <x:c r="T1208" s="38" t="n">
        <x:v>7</x:v>
      </x:c>
      <x:c r="U1208" s="38" t="n">
        <x:v>1</x:v>
      </x:c>
      <x:c r="V1208" s="38" t="n">
        <x:v>18</x:v>
      </x:c>
      <x:c r="W1208" s="38" t="n">
        <x:v>8</x:v>
      </x:c>
      <x:c r="X1208" s="38" t="n">
        <x:v>15</x:v>
      </x:c>
      <x:c r="Y1208" s="38" t="n">
        <x:v>4</x:v>
      </x:c>
      <x:c r="Z1208" s="38" t="n">
        <x:f>MAX(0,MIN(100,ROUND(((T1208+U1208+V1208+W1208+X1208)-Y1208)/85*100,0)))</x:f>
        <x:v>53</x:v>
      </x:c>
      <x:c r="AA1208" s="9" t="str">
        <x:f>IF(L1208="暂不做","P3 暂缓",IF(Z1208&gt;=75,"P0 本周做",IF(Z1208&gt;=60,"P1 近期做",IF(Z1208&gt;=45,"P2 备选","P3 暂缓"))))</x:f>
        <x:v>P2 备选</x:v>
      </x:c>
      <x:c r="AB1208" s="9" t="str">
        <x:f>IF(Y1208&gt;=15,"先做合规/相关性复核，不建议直接商业导流",IF(L1208="主站","建/优化主站商业页",IF(L1208="博客A-知识教程","写知识教程/FAQ文章",IF(L1208="博客B-场景人群","写场景需求/选购指南文章",IF(L1208="博客C-对比评测","写对比评测/榜单文章","暂不做或人工复核")))))</x:f>
        <x:v>建/优化主站商业页</x:v>
      </x:c>
      <x:c r="AC1208" s="9" t="str">
        <x:v>vaping types</x:v>
      </x:c>
      <x:c r="AD1208" s="10" t="str">
        <x:v>48</x:v>
      </x:c>
    </x:row>
    <x:row r="1209">
      <x:c r="A1209" s="34" t="n">
        <x:v>1209</x:v>
      </x:c>
      <x:c r="B1209" s="9" t="str">
        <x:v>48</x:v>
      </x:c>
      <x:c r="C1209" s="9" t="str">
        <x:v>vape liquid</x:v>
      </x:c>
      <x:c r="D1209" s="9" t="str">
        <x:v>recommended</x:v>
      </x:c>
      <x:c r="E1209" s="36" t="n">
        <x:v>2900</x:v>
      </x:c>
      <x:c r="F1209" s="36" t="n">
        <x:v>58</x:v>
      </x:c>
      <x:c r="G1209" s="9" t="str">
        <x:v>commercial</x:v>
      </x:c>
      <x:c r="H1209" s="9" t="str">
        <x:v>General Vape</x:v>
      </x:c>
      <x:c r="I1209" s="9" t="str">
        <x:v>品类承接词</x:v>
      </x:c>
      <x:c r="J1209" s="9" t="str">
        <x:v>主站</x:v>
      </x:c>
      <x:c r="K1209" s="9" t="str"/>
      <x:c r="L1209" s="9" t="str">
        <x:f>IF(K1209="",J1209,K1209)</x:f>
        <x:v>主站</x:v>
      </x:c>
      <x:c r="M1209" s="9" t="str">
        <x:v>品类页/集合页 + FAQ内容块</x:v>
      </x:c>
      <x:c r="N1209" s="9" t="str">
        <x:v>主站品类页：用产品集合 + 选购说明承接</x:v>
      </x:c>
      <x:c r="O1209" s="9" t="str">
        <x:v>/collections/disposable-vapes</x:v>
      </x:c>
      <x:c r="P1209" s="9" t="str">
        <x:v>不适用</x:v>
      </x:c>
      <x:c r="Q1209" s="9" t="str">
        <x:v>主站页面自身承接</x:v>
      </x:c>
      <x:c r="R1209" s="9" t="str">
        <x:v>核心品类词：主站优先，博客只做长尾解释，不直接抢同一词</x:v>
      </x:c>
      <x:c r="S1209" s="9" t="str">
        <x:v>如果 Google 首页产品页和指南混合，主站页要加 FAQ、选购指南、对比模块。</x:v>
      </x:c>
      <x:c r="T1209" s="38" t="n">
        <x:v>13</x:v>
      </x:c>
      <x:c r="U1209" s="38" t="n">
        <x:v>6</x:v>
      </x:c>
      <x:c r="V1209" s="38" t="n">
        <x:v>18</x:v>
      </x:c>
      <x:c r="W1209" s="38" t="n">
        <x:v>8</x:v>
      </x:c>
      <x:c r="X1209" s="38" t="n">
        <x:v>15</x:v>
      </x:c>
      <x:c r="Y1209" s="38" t="n">
        <x:v>4</x:v>
      </x:c>
      <x:c r="Z1209" s="38" t="n">
        <x:f>MAX(0,MIN(100,ROUND(((T1209+U1209+V1209+W1209+X1209)-Y1209)/85*100,0)))</x:f>
        <x:v>66</x:v>
      </x:c>
      <x:c r="AA1209" s="9" t="str">
        <x:f>IF(L1209="暂不做","P3 暂缓",IF(Z1209&gt;=75,"P0 本周做",IF(Z1209&gt;=60,"P1 近期做",IF(Z1209&gt;=45,"P2 备选","P3 暂缓"))))</x:f>
        <x:v>P1 近期做</x:v>
      </x:c>
      <x:c r="AB1209" s="9" t="str">
        <x:f>IF(Y1209&gt;=15,"先做合规/相关性复核，不建议直接商业导流",IF(L1209="主站","建/优化主站商业页",IF(L1209="博客A-知识教程","写知识教程/FAQ文章",IF(L1209="博客B-场景人群","写场景需求/选购指南文章",IF(L1209="博客C-对比评测","写对比评测/榜单文章","暂不做或人工复核")))))</x:f>
        <x:v>建/优化主站商业页</x:v>
      </x:c>
      <x:c r="AC1209" s="9" t="str">
        <x:v>vape liquid</x:v>
      </x:c>
      <x:c r="AD1209" s="10" t="str">
        <x:v>48</x:v>
      </x:c>
    </x:row>
    <x:row r="1210">
      <x:c r="A1210" s="34" t="n">
        <x:v>1210</x:v>
      </x:c>
      <x:c r="B1210" s="9" t="str">
        <x:v>48</x:v>
      </x:c>
      <x:c r="C1210" s="9" t="str">
        <x:v>vape cartridges</x:v>
      </x:c>
      <x:c r="D1210" s="9" t="str">
        <x:v>recommended</x:v>
      </x:c>
      <x:c r="E1210" s="36" t="n">
        <x:v>2400</x:v>
      </x:c>
      <x:c r="F1210" s="36" t="n">
        <x:v>52</x:v>
      </x:c>
      <x:c r="G1210" s="9" t="str">
        <x:v>informational</x:v>
      </x:c>
      <x:c r="H1210" s="9" t="str">
        <x:v>General Vape</x:v>
      </x:c>
      <x:c r="I1210" s="9" t="str">
        <x:v>品类承接词</x:v>
      </x:c>
      <x:c r="J1210" s="9" t="str">
        <x:v>主站</x:v>
      </x:c>
      <x:c r="K1210" s="9" t="str"/>
      <x:c r="L1210" s="9" t="str">
        <x:f>IF(K1210="",J1210,K1210)</x:f>
        <x:v>主站</x:v>
      </x:c>
      <x:c r="M1210" s="9" t="str">
        <x:v>品类页/集合页 + FAQ内容块</x:v>
      </x:c>
      <x:c r="N1210" s="9" t="str">
        <x:v>主站品类页：用产品集合 + 选购说明承接</x:v>
      </x:c>
      <x:c r="O1210" s="9" t="str">
        <x:v>/collections/disposable-vapes</x:v>
      </x:c>
      <x:c r="P1210" s="9" t="str">
        <x:v>不适用</x:v>
      </x:c>
      <x:c r="Q1210" s="9" t="str">
        <x:v>主站页面自身承接</x:v>
      </x:c>
      <x:c r="R1210" s="9" t="str">
        <x:v>核心品类词：主站优先，博客只做长尾解释，不直接抢同一词</x:v>
      </x:c>
      <x:c r="S1210" s="9" t="str">
        <x:v>如果 Google 首页产品页和指南混合，主站页要加 FAQ、选购指南、对比模块。</x:v>
      </x:c>
      <x:c r="T1210" s="38" t="n">
        <x:v>13</x:v>
      </x:c>
      <x:c r="U1210" s="38" t="n">
        <x:v>6</x:v>
      </x:c>
      <x:c r="V1210" s="38" t="n">
        <x:v>16</x:v>
      </x:c>
      <x:c r="W1210" s="38" t="n">
        <x:v>8</x:v>
      </x:c>
      <x:c r="X1210" s="38" t="n">
        <x:v>15</x:v>
      </x:c>
      <x:c r="Y1210" s="38" t="n">
        <x:v>4</x:v>
      </x:c>
      <x:c r="Z1210" s="38" t="n">
        <x:f>MAX(0,MIN(100,ROUND(((T1210+U1210+V1210+W1210+X1210)-Y1210)/85*100,0)))</x:f>
        <x:v>64</x:v>
      </x:c>
      <x:c r="AA1210" s="9" t="str">
        <x:f>IF(L1210="暂不做","P3 暂缓",IF(Z1210&gt;=75,"P0 本周做",IF(Z1210&gt;=60,"P1 近期做",IF(Z1210&gt;=45,"P2 备选","P3 暂缓"))))</x:f>
        <x:v>P1 近期做</x:v>
      </x:c>
      <x:c r="AB1210" s="9" t="str">
        <x:f>IF(Y1210&gt;=15,"先做合规/相关性复核，不建议直接商业导流",IF(L1210="主站","建/优化主站商业页",IF(L1210="博客A-知识教程","写知识教程/FAQ文章",IF(L1210="博客B-场景人群","写场景需求/选购指南文章",IF(L1210="博客C-对比评测","写对比评测/榜单文章","暂不做或人工复核")))))</x:f>
        <x:v>建/优化主站商业页</x:v>
      </x:c>
      <x:c r="AC1210" s="9" t="str">
        <x:v>vape liquid</x:v>
      </x:c>
      <x:c r="AD1210" s="10" t="str">
        <x:v>48</x:v>
      </x:c>
    </x:row>
    <x:row r="1211">
      <x:c r="A1211" s="34" t="n">
        <x:v>1211</x:v>
      </x:c>
      <x:c r="B1211" s="9" t="str">
        <x:v>48</x:v>
      </x:c>
      <x:c r="C1211" s="9" t="str">
        <x:v>vape juice for sale</x:v>
      </x:c>
      <x:c r="D1211" s="9" t="str">
        <x:v>recommended</x:v>
      </x:c>
      <x:c r="E1211" s="36" t="n">
        <x:v>590</x:v>
      </x:c>
      <x:c r="F1211" s="36" t="n">
        <x:v>58</x:v>
      </x:c>
      <x:c r="G1211" s="9" t="str">
        <x:v>commercial</x:v>
      </x:c>
      <x:c r="H1211" s="9" t="str">
        <x:v>购买交易</x:v>
      </x:c>
      <x:c r="I1211" s="9" t="str">
        <x:v>交易词</x:v>
      </x:c>
      <x:c r="J1211" s="9" t="str">
        <x:v>主站</x:v>
      </x:c>
      <x:c r="K1211" s="9" t="str"/>
      <x:c r="L1211" s="9" t="str">
        <x:f>IF(K1211="",J1211,K1211)</x:f>
        <x:v>主站</x:v>
      </x:c>
      <x:c r="M1211" s="9" t="str">
        <x:v>产品集合页/分类页/购买页</x:v>
      </x:c>
      <x:c r="N1211" s="9" t="str">
        <x:v>主站商业页：标题围绕购买意图 + 品类 + 关键卖点</x:v>
      </x:c>
      <x:c r="O1211" s="9" t="str">
        <x:v>/collections/disposable-vapes</x:v>
      </x:c>
      <x:c r="P1211" s="9" t="str">
        <x:v>不适用</x:v>
      </x:c>
      <x:c r="Q1211" s="9" t="str">
        <x:v>主站页面自身承接</x:v>
      </x:c>
      <x:c r="R1211" s="9" t="str">
        <x:v>商业词：优先给主站，避免博客抢主站排名</x:v>
      </x:c>
      <x:c r="S1211" s="9" t="str">
        <x:v>SERP 如为商品列表/品牌站/电商集合页，就建主站页面；若 SERP 全是教程，再拆支持文章。</x:v>
      </x:c>
      <x:c r="T1211" s="38" t="n">
        <x:v>10</x:v>
      </x:c>
      <x:c r="U1211" s="38" t="n">
        <x:v>6</x:v>
      </x:c>
      <x:c r="V1211" s="38" t="n">
        <x:v>20</x:v>
      </x:c>
      <x:c r="W1211" s="38" t="n">
        <x:v>7</x:v>
      </x:c>
      <x:c r="X1211" s="38" t="n">
        <x:v>15</x:v>
      </x:c>
      <x:c r="Y1211" s="38" t="n">
        <x:v>4</x:v>
      </x:c>
      <x:c r="Z1211" s="38" t="n">
        <x:f>MAX(0,MIN(100,ROUND(((T1211+U1211+V1211+W1211+X1211)-Y1211)/85*100,0)))</x:f>
        <x:v>64</x:v>
      </x:c>
      <x:c r="AA1211" s="9" t="str">
        <x:f>IF(L1211="暂不做","P3 暂缓",IF(Z1211&gt;=75,"P0 本周做",IF(Z1211&gt;=60,"P1 近期做",IF(Z1211&gt;=45,"P2 备选","P3 暂缓"))))</x:f>
        <x:v>P1 近期做</x:v>
      </x:c>
      <x:c r="AB1211" s="9" t="str">
        <x:f>IF(Y1211&gt;=15,"先做合规/相关性复核，不建议直接商业导流",IF(L1211="主站","建/优化主站商业页",IF(L1211="博客A-知识教程","写知识教程/FAQ文章",IF(L1211="博客B-场景人群","写场景需求/选购指南文章",IF(L1211="博客C-对比评测","写对比评测/榜单文章","暂不做或人工复核")))))</x:f>
        <x:v>建/优化主站商业页</x:v>
      </x:c>
      <x:c r="AC1211" s="9" t="str">
        <x:v>vape liquid</x:v>
      </x:c>
      <x:c r="AD1211" s="10" t="str">
        <x:v>48</x:v>
      </x:c>
    </x:row>
    <x:row r="1212">
      <x:c r="A1212" s="34" t="n">
        <x:v>1212</x:v>
      </x:c>
      <x:c r="B1212" s="9" t="str">
        <x:v>48</x:v>
      </x:c>
      <x:c r="C1212" s="9" t="str">
        <x:v>good vape juices</x:v>
      </x:c>
      <x:c r="D1212" s="9" t="str">
        <x:v>recommended</x:v>
      </x:c>
      <x:c r="E1212" s="36" t="n">
        <x:v>170</x:v>
      </x:c>
      <x:c r="F1212" s="36" t="n">
        <x:v>25</x:v>
      </x:c>
      <x:c r="G1212" s="9" t="str">
        <x:v>commercial</x:v>
      </x:c>
      <x:c r="H1212" s="9" t="str">
        <x:v>General Vape</x:v>
      </x:c>
      <x:c r="I1212" s="9" t="str">
        <x:v>品类承接词</x:v>
      </x:c>
      <x:c r="J1212" s="9" t="str">
        <x:v>主站</x:v>
      </x:c>
      <x:c r="K1212" s="9" t="str"/>
      <x:c r="L1212" s="9" t="str">
        <x:f>IF(K1212="",J1212,K1212)</x:f>
        <x:v>主站</x:v>
      </x:c>
      <x:c r="M1212" s="9" t="str">
        <x:v>品类页/集合页 + FAQ内容块</x:v>
      </x:c>
      <x:c r="N1212" s="9" t="str">
        <x:v>主站品类页：用产品集合 + 选购说明承接</x:v>
      </x:c>
      <x:c r="O1212" s="9" t="str">
        <x:v>/collections/disposable-vapes</x:v>
      </x:c>
      <x:c r="P1212" s="9" t="str">
        <x:v>不适用</x:v>
      </x:c>
      <x:c r="Q1212" s="9" t="str">
        <x:v>主站页面自身承接</x:v>
      </x:c>
      <x:c r="R1212" s="9" t="str">
        <x:v>核心品类词：主站优先，博客只做长尾解释，不直接抢同一词</x:v>
      </x:c>
      <x:c r="S1212" s="9" t="str">
        <x:v>如果 Google 首页产品页和指南混合，主站页要加 FAQ、选购指南、对比模块。</x:v>
      </x:c>
      <x:c r="T1212" s="38" t="n">
        <x:v>7</x:v>
      </x:c>
      <x:c r="U1212" s="38" t="n">
        <x:v>12</x:v>
      </x:c>
      <x:c r="V1212" s="38" t="n">
        <x:v>18</x:v>
      </x:c>
      <x:c r="W1212" s="38" t="n">
        <x:v>8</x:v>
      </x:c>
      <x:c r="X1212" s="38" t="n">
        <x:v>15</x:v>
      </x:c>
      <x:c r="Y1212" s="38" t="n">
        <x:v>4</x:v>
      </x:c>
      <x:c r="Z1212" s="38" t="n">
        <x:f>MAX(0,MIN(100,ROUND(((T1212+U1212+V1212+W1212+X1212)-Y1212)/85*100,0)))</x:f>
        <x:v>66</x:v>
      </x:c>
      <x:c r="AA1212" s="9" t="str">
        <x:f>IF(L1212="暂不做","P3 暂缓",IF(Z1212&gt;=75,"P0 本周做",IF(Z1212&gt;=60,"P1 近期做",IF(Z1212&gt;=45,"P2 备选","P3 暂缓"))))</x:f>
        <x:v>P1 近期做</x:v>
      </x:c>
      <x:c r="AB1212" s="9" t="str">
        <x:f>IF(Y1212&gt;=15,"先做合规/相关性复核，不建议直接商业导流",IF(L1212="主站","建/优化主站商业页",IF(L1212="博客A-知识教程","写知识教程/FAQ文章",IF(L1212="博客B-场景人群","写场景需求/选购指南文章",IF(L1212="博客C-对比评测","写对比评测/榜单文章","暂不做或人工复核")))))</x:f>
        <x:v>建/优化主站商业页</x:v>
      </x:c>
      <x:c r="AC1212" s="9" t="str">
        <x:v>vape liquid</x:v>
      </x:c>
      <x:c r="AD1212" s="10" t="str">
        <x:v>48</x:v>
      </x:c>
    </x:row>
    <x:row r="1213">
      <x:c r="A1213" s="34" t="n">
        <x:v>1213</x:v>
      </x:c>
      <x:c r="B1213" s="9" t="str">
        <x:v>48</x:v>
      </x:c>
      <x:c r="C1213" s="9" t="str">
        <x:v>vaping liquid</x:v>
      </x:c>
      <x:c r="D1213" s="9" t="str">
        <x:v>recommended</x:v>
      </x:c>
      <x:c r="E1213" s="36" t="n">
        <x:v>170</x:v>
      </x:c>
      <x:c r="F1213" s="36" t="n">
        <x:v>59</x:v>
      </x:c>
      <x:c r="G1213" s="9" t="str">
        <x:v>commercial</x:v>
      </x:c>
      <x:c r="H1213" s="9" t="str">
        <x:v>General Vape</x:v>
      </x:c>
      <x:c r="I1213" s="9" t="str">
        <x:v>品类承接词</x:v>
      </x:c>
      <x:c r="J1213" s="9" t="str">
        <x:v>主站</x:v>
      </x:c>
      <x:c r="K1213" s="9" t="str"/>
      <x:c r="L1213" s="9" t="str">
        <x:f>IF(K1213="",J1213,K1213)</x:f>
        <x:v>主站</x:v>
      </x:c>
      <x:c r="M1213" s="9" t="str">
        <x:v>品类页/集合页 + FAQ内容块</x:v>
      </x:c>
      <x:c r="N1213" s="9" t="str">
        <x:v>主站品类页：用产品集合 + 选购说明承接</x:v>
      </x:c>
      <x:c r="O1213" s="9" t="str">
        <x:v>/collections/disposable-vapes</x:v>
      </x:c>
      <x:c r="P1213" s="9" t="str">
        <x:v>不适用</x:v>
      </x:c>
      <x:c r="Q1213" s="9" t="str">
        <x:v>主站页面自身承接</x:v>
      </x:c>
      <x:c r="R1213" s="9" t="str">
        <x:v>核心品类词：主站优先，博客只做长尾解释，不直接抢同一词</x:v>
      </x:c>
      <x:c r="S1213" s="9" t="str">
        <x:v>如果 Google 首页产品页和指南混合，主站页要加 FAQ、选购指南、对比模块。</x:v>
      </x:c>
      <x:c r="T1213" s="38" t="n">
        <x:v>7</x:v>
      </x:c>
      <x:c r="U1213" s="38" t="n">
        <x:v>6</x:v>
      </x:c>
      <x:c r="V1213" s="38" t="n">
        <x:v>18</x:v>
      </x:c>
      <x:c r="W1213" s="38" t="n">
        <x:v>8</x:v>
      </x:c>
      <x:c r="X1213" s="38" t="n">
        <x:v>15</x:v>
      </x:c>
      <x:c r="Y1213" s="38" t="n">
        <x:v>4</x:v>
      </x:c>
      <x:c r="Z1213" s="38" t="n">
        <x:f>MAX(0,MIN(100,ROUND(((T1213+U1213+V1213+W1213+X1213)-Y1213)/85*100,0)))</x:f>
        <x:v>59</x:v>
      </x:c>
      <x:c r="AA1213" s="9" t="str">
        <x:f>IF(L1213="暂不做","P3 暂缓",IF(Z1213&gt;=75,"P0 本周做",IF(Z1213&gt;=60,"P1 近期做",IF(Z1213&gt;=45,"P2 备选","P3 暂缓"))))</x:f>
        <x:v>P2 备选</x:v>
      </x:c>
      <x:c r="AB1213" s="9" t="str">
        <x:f>IF(Y1213&gt;=15,"先做合规/相关性复核，不建议直接商业导流",IF(L1213="主站","建/优化主站商业页",IF(L1213="博客A-知识教程","写知识教程/FAQ文章",IF(L1213="博客B-场景人群","写场景需求/选购指南文章",IF(L1213="博客C-对比评测","写对比评测/榜单文章","暂不做或人工复核")))))</x:f>
        <x:v>建/优化主站商业页</x:v>
      </x:c>
      <x:c r="AC1213" s="9" t="str">
        <x:v>vape liquid</x:v>
      </x:c>
      <x:c r="AD1213" s="10" t="str">
        <x:v>48</x:v>
      </x:c>
    </x:row>
    <x:row r="1214">
      <x:c r="A1214" s="34" t="n">
        <x:v>1214</x:v>
      </x:c>
      <x:c r="B1214" s="9" t="str">
        <x:v>48</x:v>
      </x:c>
      <x:c r="C1214" s="9" t="str">
        <x:v>vape juice flavors list</x:v>
      </x:c>
      <x:c r="D1214" s="9" t="str">
        <x:v>recommended</x:v>
      </x:c>
      <x:c r="E1214" s="36" t="n">
        <x:v>50</x:v>
      </x:c>
      <x:c r="F1214" s="36" t="n">
        <x:v>18</x:v>
      </x:c>
      <x:c r="G1214" s="9" t="str">
        <x:v>informational</x:v>
      </x:c>
      <x:c r="H1214" s="9" t="str">
        <x:v>Flavor / 口味</x:v>
      </x:c>
      <x:c r="I1214" s="9" t="str">
        <x:v>场景/需求词</x:v>
      </x:c>
      <x:c r="J1214" s="9" t="str">
        <x:v>博客B-场景人群</x:v>
      </x:c>
      <x:c r="K1214" s="9" t="str"/>
      <x:c r="L1214" s="9" t="str">
        <x:f>IF(K1214="",J1214,K1214)</x:f>
        <x:v>博客B-场景人群</x:v>
      </x:c>
      <x:c r="M1214" s="9" t="str">
        <x:v>场景解决方案/选购指南文章</x:v>
      </x:c>
      <x:c r="N1214" s="9" t="str">
        <x:v>Scenario angle: how to choose vape juice flavors list based on use case, flavor, nicotine, and budget</x:v>
      </x:c>
      <x:c r="O1214" s="9" t="str">
        <x:v>/collections/flavored-disposable-vapes</x:v>
      </x:c>
      <x:c r="P1214" s="9" t="str">
        <x:v>是</x:v>
      </x:c>
      <x:c r="Q1214" s="9" t="str">
        <x:v>自然句/品类词</x:v>
      </x:c>
      <x:c r="R1214" s="9" t="str">
        <x:v>低中风险：适合软性导流，但不要夸大效果或触碰健康疗效</x:v>
      </x:c>
      <x:c r="S1214" s="9" t="str">
        <x:v>围绕使用场景、口味、尼古丁需求、便携性等写，不和主站品类页抢词。</x:v>
      </x:c>
      <x:c r="T1214" s="38" t="n">
        <x:v>4</x:v>
      </x:c>
      <x:c r="U1214" s="38" t="n">
        <x:v>12</x:v>
      </x:c>
      <x:c r="V1214" s="38" t="n">
        <x:v>13</x:v>
      </x:c>
      <x:c r="W1214" s="38" t="n">
        <x:v>14</x:v>
      </x:c>
      <x:c r="X1214" s="38" t="n">
        <x:v>13</x:v>
      </x:c>
      <x:c r="Y1214" s="38" t="n">
        <x:v>5</x:v>
      </x:c>
      <x:c r="Z1214" s="38" t="n">
        <x:f>MAX(0,MIN(100,ROUND(((T1214+U1214+V1214+W1214+X1214)-Y1214)/85*100,0)))</x:f>
        <x:v>60</x:v>
      </x:c>
      <x:c r="AA1214" s="9" t="str">
        <x:f>IF(L1214="暂不做","P3 暂缓",IF(Z1214&gt;=75,"P0 本周做",IF(Z1214&gt;=60,"P1 近期做",IF(Z1214&gt;=45,"P2 备选","P3 暂缓"))))</x:f>
        <x:v>P1 近期做</x:v>
      </x:c>
      <x:c r="AB1214" s="9" t="str">
        <x:f>IF(Y1214&gt;=15,"先做合规/相关性复核，不建议直接商业导流",IF(L1214="主站","建/优化主站商业页",IF(L1214="博客A-知识教程","写知识教程/FAQ文章",IF(L1214="博客B-场景人群","写场景需求/选购指南文章",IF(L1214="博客C-对比评测","写对比评测/榜单文章","暂不做或人工复核")))))</x:f>
        <x:v>写场景需求/选购指南文章</x:v>
      </x:c>
      <x:c r="AC1214" s="9" t="str">
        <x:v>vape liquid</x:v>
      </x:c>
      <x:c r="AD1214" s="10" t="str">
        <x:v>48</x:v>
      </x:c>
    </x:row>
    <x:row r="1215">
      <x:c r="A1215" s="34" t="n">
        <x:v>1215</x:v>
      </x:c>
      <x:c r="B1215" s="9" t="str">
        <x:v>48</x:v>
      </x:c>
      <x:c r="C1215" s="9" t="str">
        <x:v>e cigarette cartridges</x:v>
      </x:c>
      <x:c r="D1215" s="9" t="str">
        <x:v>recommended</x:v>
      </x:c>
      <x:c r="E1215" s="36" t="n">
        <x:v>50</x:v>
      </x:c>
      <x:c r="F1215" s="36" t="n">
        <x:v>29</x:v>
      </x:c>
      <x:c r="G1215" s="9" t="str">
        <x:v>informational</x:v>
      </x:c>
      <x:c r="H1215" s="9" t="str">
        <x:v>E-Cigarette</x:v>
      </x:c>
      <x:c r="I1215" s="9" t="str">
        <x:v>品类承接词</x:v>
      </x:c>
      <x:c r="J1215" s="9" t="str">
        <x:v>主站</x:v>
      </x:c>
      <x:c r="K1215" s="9" t="str"/>
      <x:c r="L1215" s="9" t="str">
        <x:f>IF(K1215="",J1215,K1215)</x:f>
        <x:v>主站</x:v>
      </x:c>
      <x:c r="M1215" s="9" t="str">
        <x:v>品类页/集合页 + FAQ内容块</x:v>
      </x:c>
      <x:c r="N1215" s="9" t="str">
        <x:v>主站品类页：用产品集合 + 选购说明承接</x:v>
      </x:c>
      <x:c r="O1215" s="9" t="str">
        <x:v>/collections/e-cigarettes</x:v>
      </x:c>
      <x:c r="P1215" s="9" t="str">
        <x:v>不适用</x:v>
      </x:c>
      <x:c r="Q1215" s="9" t="str">
        <x:v>主站页面自身承接</x:v>
      </x:c>
      <x:c r="R1215" s="9" t="str">
        <x:v>核心品类词：主站优先，博客只做长尾解释，不直接抢同一词</x:v>
      </x:c>
      <x:c r="S1215" s="9" t="str">
        <x:v>如果 Google 首页产品页和指南混合，主站页要加 FAQ、选购指南、对比模块。</x:v>
      </x:c>
      <x:c r="T1215" s="38" t="n">
        <x:v>4</x:v>
      </x:c>
      <x:c r="U1215" s="38" t="n">
        <x:v>12</x:v>
      </x:c>
      <x:c r="V1215" s="38" t="n">
        <x:v>16</x:v>
      </x:c>
      <x:c r="W1215" s="38" t="n">
        <x:v>8</x:v>
      </x:c>
      <x:c r="X1215" s="38" t="n">
        <x:v>15</x:v>
      </x:c>
      <x:c r="Y1215" s="38" t="n">
        <x:v>4</x:v>
      </x:c>
      <x:c r="Z1215" s="38" t="n">
        <x:f>MAX(0,MIN(100,ROUND(((T1215+U1215+V1215+W1215+X1215)-Y1215)/85*100,0)))</x:f>
        <x:v>60</x:v>
      </x:c>
      <x:c r="AA1215" s="9" t="str">
        <x:f>IF(L1215="暂不做","P3 暂缓",IF(Z1215&gt;=75,"P0 本周做",IF(Z1215&gt;=60,"P1 近期做",IF(Z1215&gt;=45,"P2 备选","P3 暂缓"))))</x:f>
        <x:v>P1 近期做</x:v>
      </x:c>
      <x:c r="AB1215" s="9" t="str">
        <x:f>IF(Y1215&gt;=15,"先做合规/相关性复核，不建议直接商业导流",IF(L1215="主站","建/优化主站商业页",IF(L1215="博客A-知识教程","写知识教程/FAQ文章",IF(L1215="博客B-场景人群","写场景需求/选购指南文章",IF(L1215="博客C-对比评测","写对比评测/榜单文章","暂不做或人工复核")))))</x:f>
        <x:v>建/优化主站商业页</x:v>
      </x:c>
      <x:c r="AC1215" s="9" t="str">
        <x:v>vape liquid</x:v>
      </x:c>
      <x:c r="AD1215" s="10" t="str">
        <x:v>48</x:v>
      </x:c>
    </x:row>
    <x:row r="1216">
      <x:c r="A1216" s="34" t="n">
        <x:v>1216</x:v>
      </x:c>
      <x:c r="B1216" s="9" t="str">
        <x:v>48</x:v>
      </x:c>
      <x:c r="C1216" s="9" t="str">
        <x:v>refillable vape juice</x:v>
      </x:c>
      <x:c r="D1216" s="9" t="str">
        <x:v>recommended</x:v>
      </x:c>
      <x:c r="E1216" s="36" t="n">
        <x:v>40</x:v>
      </x:c>
      <x:c r="F1216" s="36" t="n">
        <x:v>53</x:v>
      </x:c>
      <x:c r="G1216" s="9" t="str">
        <x:v>commercial</x:v>
      </x:c>
      <x:c r="H1216" s="9" t="str">
        <x:v>Reusable / Rechargeable</x:v>
      </x:c>
      <x:c r="I1216" s="9" t="str">
        <x:v>品类承接词</x:v>
      </x:c>
      <x:c r="J1216" s="9" t="str">
        <x:v>主站</x:v>
      </x:c>
      <x:c r="K1216" s="9" t="str"/>
      <x:c r="L1216" s="9" t="str">
        <x:f>IF(K1216="",J1216,K1216)</x:f>
        <x:v>主站</x:v>
      </x:c>
      <x:c r="M1216" s="9" t="str">
        <x:v>品类页/集合页 + FAQ内容块</x:v>
      </x:c>
      <x:c r="N1216" s="9" t="str">
        <x:v>主站品类页：用产品集合 + 选购说明承接</x:v>
      </x:c>
      <x:c r="O1216" s="9" t="str">
        <x:v>/collections/rechargeable-vapes</x:v>
      </x:c>
      <x:c r="P1216" s="9" t="str">
        <x:v>不适用</x:v>
      </x:c>
      <x:c r="Q1216" s="9" t="str">
        <x:v>主站页面自身承接</x:v>
      </x:c>
      <x:c r="R1216" s="9" t="str">
        <x:v>核心品类词：主站优先，博客只做长尾解释，不直接抢同一词</x:v>
      </x:c>
      <x:c r="S1216" s="9" t="str">
        <x:v>如果 Google 首页产品页和指南混合，主站页要加 FAQ、选购指南、对比模块。</x:v>
      </x:c>
      <x:c r="T1216" s="38" t="n">
        <x:v>4</x:v>
      </x:c>
      <x:c r="U1216" s="38" t="n">
        <x:v>6</x:v>
      </x:c>
      <x:c r="V1216" s="38" t="n">
        <x:v>18</x:v>
      </x:c>
      <x:c r="W1216" s="38" t="n">
        <x:v>8</x:v>
      </x:c>
      <x:c r="X1216" s="38" t="n">
        <x:v>15</x:v>
      </x:c>
      <x:c r="Y1216" s="38" t="n">
        <x:v>4</x:v>
      </x:c>
      <x:c r="Z1216" s="38" t="n">
        <x:f>MAX(0,MIN(100,ROUND(((T1216+U1216+V1216+W1216+X1216)-Y1216)/85*100,0)))</x:f>
        <x:v>55</x:v>
      </x:c>
      <x:c r="AA1216" s="9" t="str">
        <x:f>IF(L1216="暂不做","P3 暂缓",IF(Z1216&gt;=75,"P0 本周做",IF(Z1216&gt;=60,"P1 近期做",IF(Z1216&gt;=45,"P2 备选","P3 暂缓"))))</x:f>
        <x:v>P2 备选</x:v>
      </x:c>
      <x:c r="AB1216" s="9" t="str">
        <x:f>IF(Y1216&gt;=15,"先做合规/相关性复核，不建议直接商业导流",IF(L1216="主站","建/优化主站商业页",IF(L1216="博客A-知识教程","写知识教程/FAQ文章",IF(L1216="博客B-场景人群","写场景需求/选购指南文章",IF(L1216="博客C-对比评测","写对比评测/榜单文章","暂不做或人工复核")))))</x:f>
        <x:v>建/优化主站商业页</x:v>
      </x:c>
      <x:c r="AC1216" s="9" t="str">
        <x:v>vape liquid</x:v>
      </x:c>
      <x:c r="AD1216" s="10" t="str">
        <x:v>48</x:v>
      </x:c>
    </x:row>
    <x:row r="1217">
      <x:c r="A1217" s="34" t="n">
        <x:v>1217</x:v>
      </x:c>
      <x:c r="B1217" s="9" t="str">
        <x:v>48</x:v>
      </x:c>
      <x:c r="C1217" s="9" t="str">
        <x:v>vape oils</x:v>
      </x:c>
      <x:c r="D1217" s="9" t="str">
        <x:v>recommended</x:v>
      </x:c>
      <x:c r="E1217" s="36" t="n">
        <x:v>50</x:v>
      </x:c>
      <x:c r="F1217" s="36" t="n">
        <x:v>51</x:v>
      </x:c>
      <x:c r="G1217" s="9" t="str">
        <x:v>commercial</x:v>
      </x:c>
      <x:c r="H1217" s="9" t="str">
        <x:v>General Vape</x:v>
      </x:c>
      <x:c r="I1217" s="9" t="str">
        <x:v>品类承接词</x:v>
      </x:c>
      <x:c r="J1217" s="9" t="str">
        <x:v>主站</x:v>
      </x:c>
      <x:c r="K1217" s="9" t="str"/>
      <x:c r="L1217" s="9" t="str">
        <x:f>IF(K1217="",J1217,K1217)</x:f>
        <x:v>主站</x:v>
      </x:c>
      <x:c r="M1217" s="9" t="str">
        <x:v>品类页/集合页 + FAQ内容块</x:v>
      </x:c>
      <x:c r="N1217" s="9" t="str">
        <x:v>主站品类页：用产品集合 + 选购说明承接</x:v>
      </x:c>
      <x:c r="O1217" s="9" t="str">
        <x:v>/collections/disposable-vapes</x:v>
      </x:c>
      <x:c r="P1217" s="9" t="str">
        <x:v>不适用</x:v>
      </x:c>
      <x:c r="Q1217" s="9" t="str">
        <x:v>主站页面自身承接</x:v>
      </x:c>
      <x:c r="R1217" s="9" t="str">
        <x:v>核心品类词：主站优先，博客只做长尾解释，不直接抢同一词</x:v>
      </x:c>
      <x:c r="S1217" s="9" t="str">
        <x:v>如果 Google 首页产品页和指南混合，主站页要加 FAQ、选购指南、对比模块。</x:v>
      </x:c>
      <x:c r="T1217" s="38" t="n">
        <x:v>4</x:v>
      </x:c>
      <x:c r="U1217" s="38" t="n">
        <x:v>6</x:v>
      </x:c>
      <x:c r="V1217" s="38" t="n">
        <x:v>18</x:v>
      </x:c>
      <x:c r="W1217" s="38" t="n">
        <x:v>8</x:v>
      </x:c>
      <x:c r="X1217" s="38" t="n">
        <x:v>15</x:v>
      </x:c>
      <x:c r="Y1217" s="38" t="n">
        <x:v>4</x:v>
      </x:c>
      <x:c r="Z1217" s="38" t="n">
        <x:f>MAX(0,MIN(100,ROUND(((T1217+U1217+V1217+W1217+X1217)-Y1217)/85*100,0)))</x:f>
        <x:v>55</x:v>
      </x:c>
      <x:c r="AA1217" s="9" t="str">
        <x:f>IF(L1217="暂不做","P3 暂缓",IF(Z1217&gt;=75,"P0 本周做",IF(Z1217&gt;=60,"P1 近期做",IF(Z1217&gt;=45,"P2 备选","P3 暂缓"))))</x:f>
        <x:v>P2 备选</x:v>
      </x:c>
      <x:c r="AB1217" s="9" t="str">
        <x:f>IF(Y1217&gt;=15,"先做合规/相关性复核，不建议直接商业导流",IF(L1217="主站","建/优化主站商业页",IF(L1217="博客A-知识教程","写知识教程/FAQ文章",IF(L1217="博客B-场景人群","写场景需求/选购指南文章",IF(L1217="博客C-对比评测","写对比评测/榜单文章","暂不做或人工复核")))))</x:f>
        <x:v>建/优化主站商业页</x:v>
      </x:c>
      <x:c r="AC1217" s="9" t="str">
        <x:v>vape liquid</x:v>
      </x:c>
      <x:c r="AD1217" s="10" t="str">
        <x:v>48</x:v>
      </x:c>
    </x:row>
    <x:row r="1218">
      <x:c r="A1218" s="34" t="n">
        <x:v>1218</x:v>
      </x:c>
      <x:c r="B1218" s="9" t="str">
        <x:v>48</x:v>
      </x:c>
      <x:c r="C1218" s="9" t="str">
        <x:v>vapes with less nicotine</x:v>
      </x:c>
      <x:c r="D1218" s="9" t="str">
        <x:v>recommended</x:v>
      </x:c>
      <x:c r="E1218" s="36" t="n">
        <x:v>90</x:v>
      </x:c>
      <x:c r="F1218" s="36" t="n">
        <x:v>0</x:v>
      </x:c>
      <x:c r="G1218" s="9" t="str">
        <x:v>informational</x:v>
      </x:c>
      <x:c r="H1218" s="9" t="str">
        <x:v>Nicotine / 尼古丁</x:v>
      </x:c>
      <x:c r="I1218" s="9" t="str">
        <x:v>场景/需求词</x:v>
      </x:c>
      <x:c r="J1218" s="9" t="str">
        <x:v>博客B-场景人群</x:v>
      </x:c>
      <x:c r="K1218" s="9" t="str"/>
      <x:c r="L1218" s="9" t="str">
        <x:f>IF(K1218="",J1218,K1218)</x:f>
        <x:v>博客B-场景人群</x:v>
      </x:c>
      <x:c r="M1218" s="9" t="str">
        <x:v>场景解决方案/选购指南文章</x:v>
      </x:c>
      <x:c r="N1218" s="9" t="str">
        <x:v>Scenario angle: how to choose vapes with less nicotine based on use case, flavor, nicotine, and budget</x:v>
      </x:c>
      <x:c r="O1218" s="9" t="str">
        <x:v>/collections/disposable-vapes</x:v>
      </x:c>
      <x:c r="P1218" s="9" t="str">
        <x:v>是</x:v>
      </x:c>
      <x:c r="Q1218" s="9" t="str">
        <x:v>自然句/品类词</x:v>
      </x:c>
      <x:c r="R1218" s="9" t="str">
        <x:v>低中风险：适合软性导流，但不要夸大效果或触碰健康疗效</x:v>
      </x:c>
      <x:c r="S1218" s="9" t="str">
        <x:v>围绕使用场景、口味、尼古丁需求、便携性等写，不和主站品类页抢词。</x:v>
      </x:c>
      <x:c r="T1218" s="38" t="n">
        <x:v>4</x:v>
      </x:c>
      <x:c r="U1218" s="38" t="n">
        <x:v>15</x:v>
      </x:c>
      <x:c r="V1218" s="38" t="n">
        <x:v>13</x:v>
      </x:c>
      <x:c r="W1218" s="38" t="n">
        <x:v>14</x:v>
      </x:c>
      <x:c r="X1218" s="38" t="n">
        <x:v>13</x:v>
      </x:c>
      <x:c r="Y1218" s="38" t="n">
        <x:v>5</x:v>
      </x:c>
      <x:c r="Z1218" s="38" t="n">
        <x:f>MAX(0,MIN(100,ROUND(((T1218+U1218+V1218+W1218+X1218)-Y1218)/85*100,0)))</x:f>
        <x:v>64</x:v>
      </x:c>
      <x:c r="AA1218" s="9" t="str">
        <x:f>IF(L1218="暂不做","P3 暂缓",IF(Z1218&gt;=75,"P0 本周做",IF(Z1218&gt;=60,"P1 近期做",IF(Z1218&gt;=45,"P2 备选","P3 暂缓"))))</x:f>
        <x:v>P1 近期做</x:v>
      </x:c>
      <x:c r="AB1218" s="9" t="str">
        <x:f>IF(Y1218&gt;=15,"先做合规/相关性复核，不建议直接商业导流",IF(L1218="主站","建/优化主站商业页",IF(L1218="博客A-知识教程","写知识教程/FAQ文章",IF(L1218="博客B-场景人群","写场景需求/选购指南文章",IF(L1218="博客C-对比评测","写对比评测/榜单文章","暂不做或人工复核")))))</x:f>
        <x:v>写场景需求/选购指南文章</x:v>
      </x:c>
      <x:c r="AC1218" s="9" t="str">
        <x:v>vapes with less nicotine</x:v>
      </x:c>
      <x:c r="AD1218" s="10" t="str">
        <x:v>48</x:v>
      </x:c>
    </x:row>
    <x:row r="1219">
      <x:c r="A1219" s="34" t="n">
        <x:v>1219</x:v>
      </x:c>
      <x:c r="B1219" s="9" t="str">
        <x:v>48</x:v>
      </x:c>
      <x:c r="C1219" s="9" t="str">
        <x:v>low mg disposable vape</x:v>
      </x:c>
      <x:c r="D1219" s="9" t="str">
        <x:v>recommended</x:v>
      </x:c>
      <x:c r="E1219" s="36" t="n">
        <x:v>40</x:v>
      </x:c>
      <x:c r="F1219" s="36" t="n">
        <x:v>3</x:v>
      </x:c>
      <x:c r="G1219" s="9" t="str">
        <x:v>commercial</x:v>
      </x:c>
      <x:c r="H1219" s="9" t="str">
        <x:v>Disposable Vape</x:v>
      </x:c>
      <x:c r="I1219" s="9" t="str">
        <x:v>品类承接词</x:v>
      </x:c>
      <x:c r="J1219" s="9" t="str">
        <x:v>主站</x:v>
      </x:c>
      <x:c r="K1219" s="9" t="str"/>
      <x:c r="L1219" s="9" t="str">
        <x:f>IF(K1219="",J1219,K1219)</x:f>
        <x:v>主站</x:v>
      </x:c>
      <x:c r="M1219" s="9" t="str">
        <x:v>品类页/集合页 + FAQ内容块</x:v>
      </x:c>
      <x:c r="N1219" s="9" t="str">
        <x:v>主站品类页：用产品集合 + 选购说明承接</x:v>
      </x:c>
      <x:c r="O1219" s="9" t="str">
        <x:v>/collections/disposable-vapes</x:v>
      </x:c>
      <x:c r="P1219" s="9" t="str">
        <x:v>不适用</x:v>
      </x:c>
      <x:c r="Q1219" s="9" t="str">
        <x:v>主站页面自身承接</x:v>
      </x:c>
      <x:c r="R1219" s="9" t="str">
        <x:v>核心品类词：主站优先，博客只做长尾解释，不直接抢同一词</x:v>
      </x:c>
      <x:c r="S1219" s="9" t="str">
        <x:v>如果 Google 首页产品页和指南混合，主站页要加 FAQ、选购指南、对比模块。</x:v>
      </x:c>
      <x:c r="T1219" s="38" t="n">
        <x:v>4</x:v>
      </x:c>
      <x:c r="U1219" s="38" t="n">
        <x:v>15</x:v>
      </x:c>
      <x:c r="V1219" s="38" t="n">
        <x:v>18</x:v>
      </x:c>
      <x:c r="W1219" s="38" t="n">
        <x:v>8</x:v>
      </x:c>
      <x:c r="X1219" s="38" t="n">
        <x:v>15</x:v>
      </x:c>
      <x:c r="Y1219" s="38" t="n">
        <x:v>4</x:v>
      </x:c>
      <x:c r="Z1219" s="38" t="n">
        <x:f>MAX(0,MIN(100,ROUND(((T1219+U1219+V1219+W1219+X1219)-Y1219)/85*100,0)))</x:f>
        <x:v>66</x:v>
      </x:c>
      <x:c r="AA1219" s="9" t="str">
        <x:f>IF(L1219="暂不做","P3 暂缓",IF(Z1219&gt;=75,"P0 本周做",IF(Z1219&gt;=60,"P1 近期做",IF(Z1219&gt;=45,"P2 备选","P3 暂缓"))))</x:f>
        <x:v>P1 近期做</x:v>
      </x:c>
      <x:c r="AB1219" s="9" t="str">
        <x:f>IF(Y1219&gt;=15,"先做合规/相关性复核，不建议直接商业导流",IF(L1219="主站","建/优化主站商业页",IF(L1219="博客A-知识教程","写知识教程/FAQ文章",IF(L1219="博客B-场景人群","写场景需求/选购指南文章",IF(L1219="博客C-对比评测","写对比评测/榜单文章","暂不做或人工复核")))))</x:f>
        <x:v>建/优化主站商业页</x:v>
      </x:c>
      <x:c r="AC1219" s="9" t="str">
        <x:v>vapes with less nicotine</x:v>
      </x:c>
      <x:c r="AD1219" s="10" t="str">
        <x:v>48</x:v>
      </x:c>
    </x:row>
    <x:row r="1220">
      <x:c r="A1220" s="34" t="n">
        <x:v>1220</x:v>
      </x:c>
      <x:c r="B1220" s="9" t="str">
        <x:v>48</x:v>
      </x:c>
      <x:c r="C1220" s="9" t="str">
        <x:v>low nicotine vape</x:v>
      </x:c>
      <x:c r="D1220" s="9" t="str">
        <x:v>recommended</x:v>
      </x:c>
      <x:c r="E1220" s="36" t="n">
        <x:v>1900</x:v>
      </x:c>
      <x:c r="F1220" s="36" t="n">
        <x:v>6</x:v>
      </x:c>
      <x:c r="G1220" s="9" t="str">
        <x:v>informational</x:v>
      </x:c>
      <x:c r="H1220" s="9" t="str">
        <x:v>Nicotine / 尼古丁</x:v>
      </x:c>
      <x:c r="I1220" s="9" t="str">
        <x:v>场景/需求词</x:v>
      </x:c>
      <x:c r="J1220" s="9" t="str">
        <x:v>博客B-场景人群</x:v>
      </x:c>
      <x:c r="K1220" s="9" t="str"/>
      <x:c r="L1220" s="9" t="str">
        <x:f>IF(K1220="",J1220,K1220)</x:f>
        <x:v>博客B-场景人群</x:v>
      </x:c>
      <x:c r="M1220" s="9" t="str">
        <x:v>场景解决方案/选购指南文章</x:v>
      </x:c>
      <x:c r="N1220" s="9" t="str">
        <x:v>Scenario angle: how to choose low nicotine vape based on use case, flavor, nicotine, and budget</x:v>
      </x:c>
      <x:c r="O1220" s="9" t="str">
        <x:v>/collections/disposable-vapes</x:v>
      </x:c>
      <x:c r="P1220" s="9" t="str">
        <x:v>是</x:v>
      </x:c>
      <x:c r="Q1220" s="9" t="str">
        <x:v>自然句/品类词</x:v>
      </x:c>
      <x:c r="R1220" s="9" t="str">
        <x:v>低中风险：适合软性导流，但不要夸大效果或触碰健康疗效</x:v>
      </x:c>
      <x:c r="S1220" s="9" t="str">
        <x:v>围绕使用场景、口味、尼古丁需求、便携性等写，不和主站品类页抢词。</x:v>
      </x:c>
      <x:c r="T1220" s="38" t="n">
        <x:v>13</x:v>
      </x:c>
      <x:c r="U1220" s="38" t="n">
        <x:v>15</x:v>
      </x:c>
      <x:c r="V1220" s="38" t="n">
        <x:v>13</x:v>
      </x:c>
      <x:c r="W1220" s="38" t="n">
        <x:v>14</x:v>
      </x:c>
      <x:c r="X1220" s="38" t="n">
        <x:v>13</x:v>
      </x:c>
      <x:c r="Y1220" s="38" t="n">
        <x:v>5</x:v>
      </x:c>
      <x:c r="Z1220" s="38" t="n">
        <x:f>MAX(0,MIN(100,ROUND(((T1220+U1220+V1220+W1220+X1220)-Y1220)/85*100,0)))</x:f>
        <x:v>74</x:v>
      </x:c>
      <x:c r="AA1220" s="9" t="str">
        <x:f>IF(L1220="暂不做","P3 暂缓",IF(Z1220&gt;=75,"P0 本周做",IF(Z1220&gt;=60,"P1 近期做",IF(Z1220&gt;=45,"P2 备选","P3 暂缓"))))</x:f>
        <x:v>P1 近期做</x:v>
      </x:c>
      <x:c r="AB1220" s="9" t="str">
        <x:f>IF(Y1220&gt;=15,"先做合规/相关性复核，不建议直接商业导流",IF(L1220="主站","建/优化主站商业页",IF(L1220="博客A-知识教程","写知识教程/FAQ文章",IF(L1220="博客B-场景人群","写场景需求/选购指南文章",IF(L1220="博客C-对比评测","写对比评测/榜单文章","暂不做或人工复核")))))</x:f>
        <x:v>写场景需求/选购指南文章</x:v>
      </x:c>
      <x:c r="AC1220" s="9" t="str">
        <x:v>vapes with less nicotine</x:v>
      </x:c>
      <x:c r="AD1220" s="10" t="str">
        <x:v>48</x:v>
      </x:c>
    </x:row>
    <x:row r="1221">
      <x:c r="A1221" s="34" t="n">
        <x:v>1221</x:v>
      </x:c>
      <x:c r="B1221" s="9" t="str">
        <x:v>48</x:v>
      </x:c>
      <x:c r="C1221" s="9" t="str">
        <x:v>purchase cigarettes age</x:v>
      </x:c>
      <x:c r="D1221" s="9" t="str">
        <x:v>recommended</x:v>
      </x:c>
      <x:c r="E1221" s="36" t="n">
        <x:v>390</x:v>
      </x:c>
      <x:c r="F1221" s="36" t="n">
        <x:v>49</x:v>
      </x:c>
      <x:c r="G1221" s="9" t="str">
        <x:v>transactional</x:v>
      </x:c>
      <x:c r="H1221" s="9" t="str">
        <x:v>合规科普</x:v>
      </x:c>
      <x:c r="I1221" s="9" t="str">
        <x:v>合规/YMYL科普词</x:v>
      </x:c>
      <x:c r="J1221" s="9" t="str">
        <x:v>博客A-知识教程</x:v>
      </x:c>
      <x:c r="K1221" s="9" t="str"/>
      <x:c r="L1221" s="9" t="str">
        <x:f>IF(K1221="",J1221,K1221)</x:f>
        <x:v>博客A-知识教程</x:v>
      </x:c>
      <x:c r="M1221" s="9" t="str">
        <x:v>合规/健康风险科普文章</x:v>
      </x:c>
      <x:c r="N1221" s="9" t="str">
        <x:v>Guide angle: explain purchase cigarettes age, answer common questions, and avoid sales-first writing</x:v>
      </x:c>
      <x:c r="O1221" s="9" t="str">
        <x:v>无商业内链</x:v>
      </x:c>
      <x:c r="P1221" s="9" t="str">
        <x:v>否</x:v>
      </x:c>
      <x:c r="Q1221" s="9" t="str">
        <x:v>不导流</x:v>
      </x:c>
      <x:c r="R1221" s="9" t="str">
        <x:v>高风险：健康、戒烟、法律等 YMYL 主题，不写疗效承诺，不直接卖货</x:v>
      </x:c>
      <x:c r="S1221" s="9" t="str">
        <x:v>需要引用权威资料，语气中立；如果不能做到合规审核，暂缓。</x:v>
      </x:c>
      <x:c r="T1221" s="38" t="n">
        <x:v>7</x:v>
      </x:c>
      <x:c r="U1221" s="38" t="n">
        <x:v>6</x:v>
      </x:c>
      <x:c r="V1221" s="38" t="n">
        <x:v>4</x:v>
      </x:c>
      <x:c r="W1221" s="38" t="n">
        <x:v>10</x:v>
      </x:c>
      <x:c r="X1221" s="38" t="n">
        <x:v>8</x:v>
      </x:c>
      <x:c r="Y1221" s="38" t="n">
        <x:v>15</x:v>
      </x:c>
      <x:c r="Z1221" s="38" t="n">
        <x:f>MAX(0,MIN(100,ROUND(((T1221+U1221+V1221+W1221+X1221)-Y1221)/85*100,0)))</x:f>
        <x:v>24</x:v>
      </x:c>
      <x:c r="AA1221" s="9" t="str">
        <x:f>IF(L1221="暂不做","P3 暂缓",IF(Z1221&gt;=75,"P0 本周做",IF(Z1221&gt;=60,"P1 近期做",IF(Z1221&gt;=45,"P2 备选","P3 暂缓"))))</x:f>
        <x:v>P3 暂缓</x:v>
      </x:c>
      <x:c r="AB1221" s="9" t="str">
        <x:f>IF(Y1221&gt;=15,"先做合规/相关性复核，不建议直接商业导流",IF(L1221="主站","建/优化主站商业页",IF(L1221="博客A-知识教程","写知识教程/FAQ文章",IF(L1221="博客B-场景人群","写场景需求/选购指南文章",IF(L1221="博客C-对比评测","写对比评测/榜单文章","暂不做或人工复核")))))</x:f>
        <x:v>先做合规/相关性复核，不建议直接商业导流</x:v>
      </x:c>
      <x:c r="AC1221" s="9" t="str">
        <x:v>purchase cigarettes age</x:v>
      </x:c>
      <x:c r="AD1221" s="10" t="str">
        <x:v>48</x:v>
      </x:c>
    </x:row>
    <x:row r="1222">
      <x:c r="A1222" s="34" t="n">
        <x:v>1222</x:v>
      </x:c>
      <x:c r="B1222" s="9" t="str">
        <x:v>48</x:v>
      </x:c>
      <x:c r="C1222" s="9" t="str">
        <x:v>how old to buy a vape in nc</x:v>
      </x:c>
      <x:c r="D1222" s="9" t="str">
        <x:v>recommended</x:v>
      </x:c>
      <x:c r="E1222" s="36" t="n">
        <x:v>50</x:v>
      </x:c>
      <x:c r="F1222" s="36" t="n">
        <x:v>14</x:v>
      </x:c>
      <x:c r="G1222" s="9" t="str">
        <x:v>informational</x:v>
      </x:c>
      <x:c r="H1222" s="9" t="str">
        <x:v>知识教程</x:v>
      </x:c>
      <x:c r="I1222" s="9" t="str">
        <x:v>交易词</x:v>
      </x:c>
      <x:c r="J1222" s="9" t="str">
        <x:v>主站</x:v>
      </x:c>
      <x:c r="K1222" s="9" t="str"/>
      <x:c r="L1222" s="9" t="str">
        <x:f>IF(K1222="",J1222,K1222)</x:f>
        <x:v>主站</x:v>
      </x:c>
      <x:c r="M1222" s="9" t="str">
        <x:v>产品集合页/分类页/购买页</x:v>
      </x:c>
      <x:c r="N1222" s="9" t="str">
        <x:v>主站商业页：标题围绕购买意图 + 品类 + 关键卖点</x:v>
      </x:c>
      <x:c r="O1222" s="9" t="str">
        <x:v>/collections/disposable-vapes</x:v>
      </x:c>
      <x:c r="P1222" s="9" t="str">
        <x:v>不适用</x:v>
      </x:c>
      <x:c r="Q1222" s="9" t="str">
        <x:v>主站页面自身承接</x:v>
      </x:c>
      <x:c r="R1222" s="9" t="str">
        <x:v>商业词：优先给主站，避免博客抢主站排名</x:v>
      </x:c>
      <x:c r="S1222" s="9" t="str">
        <x:v>SERP 如为商品列表/品牌站/电商集合页，就建主站页面；若 SERP 全是教程，再拆支持文章。</x:v>
      </x:c>
      <x:c r="T1222" s="38" t="n">
        <x:v>4</x:v>
      </x:c>
      <x:c r="U1222" s="38" t="n">
        <x:v>15</x:v>
      </x:c>
      <x:c r="V1222" s="38" t="n">
        <x:v>20</x:v>
      </x:c>
      <x:c r="W1222" s="38" t="n">
        <x:v>7</x:v>
      </x:c>
      <x:c r="X1222" s="38" t="n">
        <x:v>15</x:v>
      </x:c>
      <x:c r="Y1222" s="38" t="n">
        <x:v>4</x:v>
      </x:c>
      <x:c r="Z1222" s="38" t="n">
        <x:f>MAX(0,MIN(100,ROUND(((T1222+U1222+V1222+W1222+X1222)-Y1222)/85*100,0)))</x:f>
        <x:v>67</x:v>
      </x:c>
      <x:c r="AA1222" s="9" t="str">
        <x:f>IF(L1222="暂不做","P3 暂缓",IF(Z1222&gt;=75,"P0 本周做",IF(Z1222&gt;=60,"P1 近期做",IF(Z1222&gt;=45,"P2 备选","P3 暂缓"))))</x:f>
        <x:v>P1 近期做</x:v>
      </x:c>
      <x:c r="AB1222" s="9" t="str">
        <x:f>IF(Y1222&gt;=15,"先做合规/相关性复核，不建议直接商业导流",IF(L1222="主站","建/优化主站商业页",IF(L1222="博客A-知识教程","写知识教程/FAQ文章",IF(L1222="博客B-场景人群","写场景需求/选购指南文章",IF(L1222="博客C-对比评测","写对比评测/榜单文章","暂不做或人工复核")))))</x:f>
        <x:v>建/优化主站商业页</x:v>
      </x:c>
      <x:c r="AC1222" s="9" t="str">
        <x:v>purchase cigarettes age</x:v>
      </x:c>
      <x:c r="AD1222" s="10" t="str">
        <x:v>48</x:v>
      </x:c>
    </x:row>
    <x:row r="1223">
      <x:c r="A1223" s="34" t="n">
        <x:v>1223</x:v>
      </x:c>
      <x:c r="B1223" s="9" t="str">
        <x:v>48</x:v>
      </x:c>
      <x:c r="C1223" s="9" t="str">
        <x:v>legal age to buy cigs</x:v>
      </x:c>
      <x:c r="D1223" s="9" t="str">
        <x:v>recommended</x:v>
      </x:c>
      <x:c r="E1223" s="36" t="n">
        <x:v>170</x:v>
      </x:c>
      <x:c r="F1223" s="36" t="n">
        <x:v>48</x:v>
      </x:c>
      <x:c r="G1223" s="9" t="str">
        <x:v>transactional</x:v>
      </x:c>
      <x:c r="H1223" s="9" t="str">
        <x:v>合规科普</x:v>
      </x:c>
      <x:c r="I1223" s="9" t="str">
        <x:v>合规/YMYL科普词</x:v>
      </x:c>
      <x:c r="J1223" s="9" t="str">
        <x:v>博客A-知识教程</x:v>
      </x:c>
      <x:c r="K1223" s="9" t="str"/>
      <x:c r="L1223" s="9" t="str">
        <x:f>IF(K1223="",J1223,K1223)</x:f>
        <x:v>博客A-知识教程</x:v>
      </x:c>
      <x:c r="M1223" s="9" t="str">
        <x:v>合规/健康风险科普文章</x:v>
      </x:c>
      <x:c r="N1223" s="9" t="str">
        <x:v>Guide angle: explain legal age to buy cigs, answer common questions, and avoid sales-first writing</x:v>
      </x:c>
      <x:c r="O1223" s="9" t="str">
        <x:v>无商业内链</x:v>
      </x:c>
      <x:c r="P1223" s="9" t="str">
        <x:v>否</x:v>
      </x:c>
      <x:c r="Q1223" s="9" t="str">
        <x:v>不导流</x:v>
      </x:c>
      <x:c r="R1223" s="9" t="str">
        <x:v>高风险：健康、戒烟、法律等 YMYL 主题，不写疗效承诺，不直接卖货</x:v>
      </x:c>
      <x:c r="S1223" s="9" t="str">
        <x:v>需要引用权威资料，语气中立；如果不能做到合规审核，暂缓。</x:v>
      </x:c>
      <x:c r="T1223" s="38" t="n">
        <x:v>7</x:v>
      </x:c>
      <x:c r="U1223" s="38" t="n">
        <x:v>6</x:v>
      </x:c>
      <x:c r="V1223" s="38" t="n">
        <x:v>4</x:v>
      </x:c>
      <x:c r="W1223" s="38" t="n">
        <x:v>10</x:v>
      </x:c>
      <x:c r="X1223" s="38" t="n">
        <x:v>8</x:v>
      </x:c>
      <x:c r="Y1223" s="38" t="n">
        <x:v>15</x:v>
      </x:c>
      <x:c r="Z1223" s="38" t="n">
        <x:f>MAX(0,MIN(100,ROUND(((T1223+U1223+V1223+W1223+X1223)-Y1223)/85*100,0)))</x:f>
        <x:v>24</x:v>
      </x:c>
      <x:c r="AA1223" s="9" t="str">
        <x:f>IF(L1223="暂不做","P3 暂缓",IF(Z1223&gt;=75,"P0 本周做",IF(Z1223&gt;=60,"P1 近期做",IF(Z1223&gt;=45,"P2 备选","P3 暂缓"))))</x:f>
        <x:v>P3 暂缓</x:v>
      </x:c>
      <x:c r="AB1223" s="9" t="str">
        <x:f>IF(Y1223&gt;=15,"先做合规/相关性复核，不建议直接商业导流",IF(L1223="主站","建/优化主站商业页",IF(L1223="博客A-知识教程","写知识教程/FAQ文章",IF(L1223="博客B-场景人群","写场景需求/选购指南文章",IF(L1223="博客C-对比评测","写对比评测/榜单文章","暂不做或人工复核")))))</x:f>
        <x:v>先做合规/相关性复核，不建议直接商业导流</x:v>
      </x:c>
      <x:c r="AC1223" s="9" t="str">
        <x:v>purchase cigarettes age</x:v>
      </x:c>
      <x:c r="AD1223" s="10" t="str">
        <x:v>48</x:v>
      </x:c>
    </x:row>
    <x:row r="1224">
      <x:c r="A1224" s="34" t="n">
        <x:v>1224</x:v>
      </x:c>
      <x:c r="B1224" s="9" t="str">
        <x:v>48</x:v>
      </x:c>
      <x:c r="C1224" s="9" t="str">
        <x:v>buy cigarettes age</x:v>
      </x:c>
      <x:c r="D1224" s="9" t="str">
        <x:v>recommended</x:v>
      </x:c>
      <x:c r="E1224" s="36" t="n">
        <x:v>90</x:v>
      </x:c>
      <x:c r="F1224" s="36" t="n">
        <x:v>39</x:v>
      </x:c>
      <x:c r="G1224" s="9" t="str">
        <x:v>commercial</x:v>
      </x:c>
      <x:c r="H1224" s="9" t="str">
        <x:v>合规科普</x:v>
      </x:c>
      <x:c r="I1224" s="9" t="str">
        <x:v>合规/YMYL科普词</x:v>
      </x:c>
      <x:c r="J1224" s="9" t="str">
        <x:v>博客A-知识教程</x:v>
      </x:c>
      <x:c r="K1224" s="9" t="str"/>
      <x:c r="L1224" s="9" t="str">
        <x:f>IF(K1224="",J1224,K1224)</x:f>
        <x:v>博客A-知识教程</x:v>
      </x:c>
      <x:c r="M1224" s="9" t="str">
        <x:v>合规/健康风险科普文章</x:v>
      </x:c>
      <x:c r="N1224" s="9" t="str">
        <x:v>Guide angle: explain buy cigarettes age, answer common questions, and avoid sales-first writing</x:v>
      </x:c>
      <x:c r="O1224" s="9" t="str">
        <x:v>无商业内链</x:v>
      </x:c>
      <x:c r="P1224" s="9" t="str">
        <x:v>否</x:v>
      </x:c>
      <x:c r="Q1224" s="9" t="str">
        <x:v>不导流</x:v>
      </x:c>
      <x:c r="R1224" s="9" t="str">
        <x:v>高风险：健康、戒烟、法律等 YMYL 主题，不写疗效承诺，不直接卖货</x:v>
      </x:c>
      <x:c r="S1224" s="9" t="str">
        <x:v>需要引用权威资料，语气中立；如果不能做到合规审核，暂缓。</x:v>
      </x:c>
      <x:c r="T1224" s="38" t="n">
        <x:v>4</x:v>
      </x:c>
      <x:c r="U1224" s="38" t="n">
        <x:v>9</x:v>
      </x:c>
      <x:c r="V1224" s="38" t="n">
        <x:v>4</x:v>
      </x:c>
      <x:c r="W1224" s="38" t="n">
        <x:v>10</x:v>
      </x:c>
      <x:c r="X1224" s="38" t="n">
        <x:v>8</x:v>
      </x:c>
      <x:c r="Y1224" s="38" t="n">
        <x:v>15</x:v>
      </x:c>
      <x:c r="Z1224" s="38" t="n">
        <x:f>MAX(0,MIN(100,ROUND(((T1224+U1224+V1224+W1224+X1224)-Y1224)/85*100,0)))</x:f>
        <x:v>24</x:v>
      </x:c>
      <x:c r="AA1224" s="9" t="str">
        <x:f>IF(L1224="暂不做","P3 暂缓",IF(Z1224&gt;=75,"P0 本周做",IF(Z1224&gt;=60,"P1 近期做",IF(Z1224&gt;=45,"P2 备选","P3 暂缓"))))</x:f>
        <x:v>P3 暂缓</x:v>
      </x:c>
      <x:c r="AB1224" s="9" t="str">
        <x:f>IF(Y1224&gt;=15,"先做合规/相关性复核，不建议直接商业导流",IF(L1224="主站","建/优化主站商业页",IF(L1224="博客A-知识教程","写知识教程/FAQ文章",IF(L1224="博客B-场景人群","写场景需求/选购指南文章",IF(L1224="博客C-对比评测","写对比评测/榜单文章","暂不做或人工复核")))))</x:f>
        <x:v>先做合规/相关性复核，不建议直接商业导流</x:v>
      </x:c>
      <x:c r="AC1224" s="9" t="str">
        <x:v>purchase cigarettes age</x:v>
      </x:c>
      <x:c r="AD1224" s="10" t="str">
        <x:v>48</x:v>
      </x:c>
    </x:row>
    <x:row r="1225">
      <x:c r="A1225" s="34" t="n">
        <x:v>1225</x:v>
      </x:c>
      <x:c r="B1225" s="9" t="str">
        <x:v>48</x:v>
      </x:c>
      <x:c r="C1225" s="9" t="str">
        <x:v>cigarettes age to buy</x:v>
      </x:c>
      <x:c r="D1225" s="9" t="str">
        <x:v>recommended</x:v>
      </x:c>
      <x:c r="E1225" s="36" t="n">
        <x:v>70</x:v>
      </x:c>
      <x:c r="F1225" s="36" t="n">
        <x:v>42</x:v>
      </x:c>
      <x:c r="G1225" s="9" t="str">
        <x:v>informational, transactional</x:v>
      </x:c>
      <x:c r="H1225" s="9" t="str">
        <x:v>合规科普</x:v>
      </x:c>
      <x:c r="I1225" s="9" t="str">
        <x:v>合规/YMYL科普词</x:v>
      </x:c>
      <x:c r="J1225" s="9" t="str">
        <x:v>博客A-知识教程</x:v>
      </x:c>
      <x:c r="K1225" s="9" t="str"/>
      <x:c r="L1225" s="9" t="str">
        <x:f>IF(K1225="",J1225,K1225)</x:f>
        <x:v>博客A-知识教程</x:v>
      </x:c>
      <x:c r="M1225" s="9" t="str">
        <x:v>合规/健康风险科普文章</x:v>
      </x:c>
      <x:c r="N1225" s="9" t="str">
        <x:v>Guide angle: explain cigarettes age to buy, answer common questions, and avoid sales-first writing</x:v>
      </x:c>
      <x:c r="O1225" s="9" t="str">
        <x:v>无商业内链</x:v>
      </x:c>
      <x:c r="P1225" s="9" t="str">
        <x:v>否</x:v>
      </x:c>
      <x:c r="Q1225" s="9" t="str">
        <x:v>不导流</x:v>
      </x:c>
      <x:c r="R1225" s="9" t="str">
        <x:v>高风险：健康、戒烟、法律等 YMYL 主题，不写疗效承诺，不直接卖货</x:v>
      </x:c>
      <x:c r="S1225" s="9" t="str">
        <x:v>需要引用权威资料，语气中立；如果不能做到合规审核，暂缓。</x:v>
      </x:c>
      <x:c r="T1225" s="38" t="n">
        <x:v>4</x:v>
      </x:c>
      <x:c r="U1225" s="38" t="n">
        <x:v>9</x:v>
      </x:c>
      <x:c r="V1225" s="38" t="n">
        <x:v>4</x:v>
      </x:c>
      <x:c r="W1225" s="38" t="n">
        <x:v>10</x:v>
      </x:c>
      <x:c r="X1225" s="38" t="n">
        <x:v>8</x:v>
      </x:c>
      <x:c r="Y1225" s="38" t="n">
        <x:v>15</x:v>
      </x:c>
      <x:c r="Z1225" s="38" t="n">
        <x:f>MAX(0,MIN(100,ROUND(((T1225+U1225+V1225+W1225+X1225)-Y1225)/85*100,0)))</x:f>
        <x:v>24</x:v>
      </x:c>
      <x:c r="AA1225" s="9" t="str">
        <x:f>IF(L1225="暂不做","P3 暂缓",IF(Z1225&gt;=75,"P0 本周做",IF(Z1225&gt;=60,"P1 近期做",IF(Z1225&gt;=45,"P2 备选","P3 暂缓"))))</x:f>
        <x:v>P3 暂缓</x:v>
      </x:c>
      <x:c r="AB1225" s="9" t="str">
        <x:f>IF(Y1225&gt;=15,"先做合规/相关性复核，不建议直接商业导流",IF(L1225="主站","建/优化主站商业页",IF(L1225="博客A-知识教程","写知识教程/FAQ文章",IF(L1225="博客B-场景人群","写场景需求/选购指南文章",IF(L1225="博客C-对比评测","写对比评测/榜单文章","暂不做或人工复核")))))</x:f>
        <x:v>先做合规/相关性复核，不建议直接商业导流</x:v>
      </x:c>
      <x:c r="AC1225" s="9" t="str">
        <x:v>purchase cigarettes age</x:v>
      </x:c>
      <x:c r="AD1225" s="10" t="str">
        <x:v>48</x:v>
      </x:c>
    </x:row>
    <x:row r="1226">
      <x:c r="A1226" s="34" t="n">
        <x:v>1226</x:v>
      </x:c>
      <x:c r="B1226" s="9" t="str">
        <x:v>48</x:v>
      </x:c>
      <x:c r="C1226" s="9" t="str">
        <x:v>is it illegal to vape under the age of 18</x:v>
      </x:c>
      <x:c r="D1226" s="9" t="str">
        <x:v>recommended</x:v>
      </x:c>
      <x:c r="E1226" s="36" t="n">
        <x:v>140</x:v>
      </x:c>
      <x:c r="F1226" s="36" t="n">
        <x:v>23</x:v>
      </x:c>
      <x:c r="G1226" s="9" t="str">
        <x:v>informational</x:v>
      </x:c>
      <x:c r="H1226" s="9" t="str">
        <x:v>合规科普</x:v>
      </x:c>
      <x:c r="I1226" s="9" t="str">
        <x:v>合规/YMYL科普词</x:v>
      </x:c>
      <x:c r="J1226" s="9" t="str">
        <x:v>博客A-知识教程</x:v>
      </x:c>
      <x:c r="K1226" s="9" t="str"/>
      <x:c r="L1226" s="9" t="str">
        <x:f>IF(K1226="",J1226,K1226)</x:f>
        <x:v>博客A-知识教程</x:v>
      </x:c>
      <x:c r="M1226" s="9" t="str">
        <x:v>合规/健康风险科普文章</x:v>
      </x:c>
      <x:c r="N1226" s="9" t="str">
        <x:v>Guide angle: explain is it illegal to vape under the age of 18, answer common questions, and avoid sales-first writing</x:v>
      </x:c>
      <x:c r="O1226" s="9" t="str">
        <x:v>无商业内链</x:v>
      </x:c>
      <x:c r="P1226" s="9" t="str">
        <x:v>否</x:v>
      </x:c>
      <x:c r="Q1226" s="9" t="str">
        <x:v>不导流</x:v>
      </x:c>
      <x:c r="R1226" s="9" t="str">
        <x:v>高风险：健康、戒烟、法律等 YMYL 主题，不写疗效承诺，不直接卖货</x:v>
      </x:c>
      <x:c r="S1226" s="9" t="str">
        <x:v>需要引用权威资料，语气中立；如果不能做到合规审核，暂缓。</x:v>
      </x:c>
      <x:c r="T1226" s="38" t="n">
        <x:v>7</x:v>
      </x:c>
      <x:c r="U1226" s="38" t="n">
        <x:v>12</x:v>
      </x:c>
      <x:c r="V1226" s="38" t="n">
        <x:v>4</x:v>
      </x:c>
      <x:c r="W1226" s="38" t="n">
        <x:v>10</x:v>
      </x:c>
      <x:c r="X1226" s="38" t="n">
        <x:v>8</x:v>
      </x:c>
      <x:c r="Y1226" s="38" t="n">
        <x:v>15</x:v>
      </x:c>
      <x:c r="Z1226" s="38" t="n">
        <x:f>MAX(0,MIN(100,ROUND(((T1226+U1226+V1226+W1226+X1226)-Y1226)/85*100,0)))</x:f>
        <x:v>31</x:v>
      </x:c>
      <x:c r="AA1226" s="9" t="str">
        <x:f>IF(L1226="暂不做","P3 暂缓",IF(Z1226&gt;=75,"P0 本周做",IF(Z1226&gt;=60,"P1 近期做",IF(Z1226&gt;=45,"P2 备选","P3 暂缓"))))</x:f>
        <x:v>P3 暂缓</x:v>
      </x:c>
      <x:c r="AB1226" s="9" t="str">
        <x:f>IF(Y1226&gt;=15,"先做合规/相关性复核，不建议直接商业导流",IF(L1226="主站","建/优化主站商业页",IF(L1226="博客A-知识教程","写知识教程/FAQ文章",IF(L1226="博客B-场景人群","写场景需求/选购指南文章",IF(L1226="博客C-对比评测","写对比评测/榜单文章","暂不做或人工复核")))))</x:f>
        <x:v>先做合规/相关性复核，不建议直接商业导流</x:v>
      </x:c>
      <x:c r="AC1226" s="9" t="str">
        <x:v>purchase cigarettes age</x:v>
      </x:c>
      <x:c r="AD1226" s="10" t="str">
        <x:v>48</x:v>
      </x:c>
    </x:row>
    <x:row r="1227">
      <x:c r="A1227" s="34" t="n">
        <x:v>1227</x:v>
      </x:c>
      <x:c r="B1227" s="9" t="str">
        <x:v>48</x:v>
      </x:c>
      <x:c r="C1227" s="9" t="str">
        <x:v>whats the legal age to vape</x:v>
      </x:c>
      <x:c r="D1227" s="9" t="str">
        <x:v>recommended</x:v>
      </x:c>
      <x:c r="E1227" s="36" t="n">
        <x:v>90</x:v>
      </x:c>
      <x:c r="F1227" s="36" t="n">
        <x:v>31</x:v>
      </x:c>
      <x:c r="G1227" s="9" t="str">
        <x:v>informational</x:v>
      </x:c>
      <x:c r="H1227" s="9" t="str">
        <x:v>合规科普</x:v>
      </x:c>
      <x:c r="I1227" s="9" t="str">
        <x:v>合规/YMYL科普词</x:v>
      </x:c>
      <x:c r="J1227" s="9" t="str">
        <x:v>博客A-知识教程</x:v>
      </x:c>
      <x:c r="K1227" s="9" t="str"/>
      <x:c r="L1227" s="9" t="str">
        <x:f>IF(K1227="",J1227,K1227)</x:f>
        <x:v>博客A-知识教程</x:v>
      </x:c>
      <x:c r="M1227" s="9" t="str">
        <x:v>合规/健康风险科普文章</x:v>
      </x:c>
      <x:c r="N1227" s="9" t="str">
        <x:v>Guide angle: explain whats the legal age to vape, answer common questions, and avoid sales-first writing</x:v>
      </x:c>
      <x:c r="O1227" s="9" t="str">
        <x:v>无商业内链</x:v>
      </x:c>
      <x:c r="P1227" s="9" t="str">
        <x:v>否</x:v>
      </x:c>
      <x:c r="Q1227" s="9" t="str">
        <x:v>不导流</x:v>
      </x:c>
      <x:c r="R1227" s="9" t="str">
        <x:v>高风险：健康、戒烟、法律等 YMYL 主题，不写疗效承诺，不直接卖货</x:v>
      </x:c>
      <x:c r="S1227" s="9" t="str">
        <x:v>需要引用权威资料，语气中立；如果不能做到合规审核，暂缓。</x:v>
      </x:c>
      <x:c r="T1227" s="38" t="n">
        <x:v>4</x:v>
      </x:c>
      <x:c r="U1227" s="38" t="n">
        <x:v>9</x:v>
      </x:c>
      <x:c r="V1227" s="38" t="n">
        <x:v>4</x:v>
      </x:c>
      <x:c r="W1227" s="38" t="n">
        <x:v>10</x:v>
      </x:c>
      <x:c r="X1227" s="38" t="n">
        <x:v>8</x:v>
      </x:c>
      <x:c r="Y1227" s="38" t="n">
        <x:v>15</x:v>
      </x:c>
      <x:c r="Z1227" s="38" t="n">
        <x:f>MAX(0,MIN(100,ROUND(((T1227+U1227+V1227+W1227+X1227)-Y1227)/85*100,0)))</x:f>
        <x:v>24</x:v>
      </x:c>
      <x:c r="AA1227" s="9" t="str">
        <x:f>IF(L1227="暂不做","P3 暂缓",IF(Z1227&gt;=75,"P0 本周做",IF(Z1227&gt;=60,"P1 近期做",IF(Z1227&gt;=45,"P2 备选","P3 暂缓"))))</x:f>
        <x:v>P3 暂缓</x:v>
      </x:c>
      <x:c r="AB1227" s="9" t="str">
        <x:f>IF(Y1227&gt;=15,"先做合规/相关性复核，不建议直接商业导流",IF(L1227="主站","建/优化主站商业页",IF(L1227="博客A-知识教程","写知识教程/FAQ文章",IF(L1227="博客B-场景人群","写场景需求/选购指南文章",IF(L1227="博客C-对比评测","写对比评测/榜单文章","暂不做或人工复核")))))</x:f>
        <x:v>先做合规/相关性复核，不建议直接商业导流</x:v>
      </x:c>
      <x:c r="AC1227" s="9" t="str">
        <x:v>purchase cigarettes age</x:v>
      </x:c>
      <x:c r="AD1227" s="10" t="str">
        <x:v>48</x:v>
      </x:c>
    </x:row>
    <x:row r="1228">
      <x:c r="A1228" s="34" t="n">
        <x:v>1228</x:v>
      </x:c>
      <x:c r="B1228" s="9" t="str">
        <x:v>48</x:v>
      </x:c>
      <x:c r="C1228" s="9" t="str">
        <x:v>how old can you buy cigarettes</x:v>
      </x:c>
      <x:c r="D1228" s="9" t="str">
        <x:v>recommended</x:v>
      </x:c>
      <x:c r="E1228" s="36" t="n">
        <x:v>90</x:v>
      </x:c>
      <x:c r="F1228" s="36" t="n">
        <x:v>32</x:v>
      </x:c>
      <x:c r="G1228" s="9" t="str">
        <x:v>informational</x:v>
      </x:c>
      <x:c r="H1228" s="9" t="str">
        <x:v>E-Cigarette</x:v>
      </x:c>
      <x:c r="I1228" s="9" t="str">
        <x:v>交易词</x:v>
      </x:c>
      <x:c r="J1228" s="9" t="str">
        <x:v>主站</x:v>
      </x:c>
      <x:c r="K1228" s="9" t="str"/>
      <x:c r="L1228" s="9" t="str">
        <x:f>IF(K1228="",J1228,K1228)</x:f>
        <x:v>主站</x:v>
      </x:c>
      <x:c r="M1228" s="9" t="str">
        <x:v>产品集合页/分类页/购买页</x:v>
      </x:c>
      <x:c r="N1228" s="9" t="str">
        <x:v>主站商业页：标题围绕购买意图 + 品类 + 关键卖点</x:v>
      </x:c>
      <x:c r="O1228" s="9" t="str">
        <x:v>/collections/e-cigarettes</x:v>
      </x:c>
      <x:c r="P1228" s="9" t="str">
        <x:v>不适用</x:v>
      </x:c>
      <x:c r="Q1228" s="9" t="str">
        <x:v>主站页面自身承接</x:v>
      </x:c>
      <x:c r="R1228" s="9" t="str">
        <x:v>商业词：优先给主站，避免博客抢主站排名</x:v>
      </x:c>
      <x:c r="S1228" s="9" t="str">
        <x:v>SERP 如为商品列表/品牌站/电商集合页，就建主站页面；若 SERP 全是教程，再拆支持文章。</x:v>
      </x:c>
      <x:c r="T1228" s="38" t="n">
        <x:v>4</x:v>
      </x:c>
      <x:c r="U1228" s="38" t="n">
        <x:v>9</x:v>
      </x:c>
      <x:c r="V1228" s="38" t="n">
        <x:v>20</x:v>
      </x:c>
      <x:c r="W1228" s="38" t="n">
        <x:v>7</x:v>
      </x:c>
      <x:c r="X1228" s="38" t="n">
        <x:v>15</x:v>
      </x:c>
      <x:c r="Y1228" s="38" t="n">
        <x:v>4</x:v>
      </x:c>
      <x:c r="Z1228" s="38" t="n">
        <x:f>MAX(0,MIN(100,ROUND(((T1228+U1228+V1228+W1228+X1228)-Y1228)/85*100,0)))</x:f>
        <x:v>60</x:v>
      </x:c>
      <x:c r="AA1228" s="9" t="str">
        <x:f>IF(L1228="暂不做","P3 暂缓",IF(Z1228&gt;=75,"P0 本周做",IF(Z1228&gt;=60,"P1 近期做",IF(Z1228&gt;=45,"P2 备选","P3 暂缓"))))</x:f>
        <x:v>P1 近期做</x:v>
      </x:c>
      <x:c r="AB1228" s="9" t="str">
        <x:f>IF(Y1228&gt;=15,"先做合规/相关性复核，不建议直接商业导流",IF(L1228="主站","建/优化主站商业页",IF(L1228="博客A-知识教程","写知识教程/FAQ文章",IF(L1228="博客B-场景人群","写场景需求/选购指南文章",IF(L1228="博客C-对比评测","写对比评测/榜单文章","暂不做或人工复核")))))</x:f>
        <x:v>建/优化主站商业页</x:v>
      </x:c>
      <x:c r="AC1228" s="9" t="str">
        <x:v>purchase cigarettes age</x:v>
      </x:c>
      <x:c r="AD1228" s="10" t="str">
        <x:v>48</x:v>
      </x:c>
    </x:row>
    <x:row r="1229">
      <x:c r="A1229" s="34" t="n">
        <x:v>1229</x:v>
      </x:c>
      <x:c r="B1229" s="9" t="str">
        <x:v>48</x:v>
      </x:c>
      <x:c r="C1229" s="9" t="str">
        <x:v>legal age for vaping</x:v>
      </x:c>
      <x:c r="D1229" s="9" t="str">
        <x:v>recommended</x:v>
      </x:c>
      <x:c r="E1229" s="36" t="n">
        <x:v>320</x:v>
      </x:c>
      <x:c r="F1229" s="36" t="n">
        <x:v>37</x:v>
      </x:c>
      <x:c r="G1229" s="9" t="str">
        <x:v>informational, commercial</x:v>
      </x:c>
      <x:c r="H1229" s="9" t="str">
        <x:v>合规科普</x:v>
      </x:c>
      <x:c r="I1229" s="9" t="str">
        <x:v>合规/YMYL科普词</x:v>
      </x:c>
      <x:c r="J1229" s="9" t="str">
        <x:v>博客A-知识教程</x:v>
      </x:c>
      <x:c r="K1229" s="9" t="str"/>
      <x:c r="L1229" s="9" t="str">
        <x:f>IF(K1229="",J1229,K1229)</x:f>
        <x:v>博客A-知识教程</x:v>
      </x:c>
      <x:c r="M1229" s="9" t="str">
        <x:v>合规/健康风险科普文章</x:v>
      </x:c>
      <x:c r="N1229" s="9" t="str">
        <x:v>Guide angle: explain legal age for vaping, answer common questions, and avoid sales-first writing</x:v>
      </x:c>
      <x:c r="O1229" s="9" t="str">
        <x:v>无商业内链</x:v>
      </x:c>
      <x:c r="P1229" s="9" t="str">
        <x:v>否</x:v>
      </x:c>
      <x:c r="Q1229" s="9" t="str">
        <x:v>不导流</x:v>
      </x:c>
      <x:c r="R1229" s="9" t="str">
        <x:v>高风险：健康、戒烟、法律等 YMYL 主题，不写疗效承诺，不直接卖货</x:v>
      </x:c>
      <x:c r="S1229" s="9" t="str">
        <x:v>需要引用权威资料，语气中立；如果不能做到合规审核，暂缓。</x:v>
      </x:c>
      <x:c r="T1229" s="38" t="n">
        <x:v>7</x:v>
      </x:c>
      <x:c r="U1229" s="38" t="n">
        <x:v>9</x:v>
      </x:c>
      <x:c r="V1229" s="38" t="n">
        <x:v>4</x:v>
      </x:c>
      <x:c r="W1229" s="38" t="n">
        <x:v>10</x:v>
      </x:c>
      <x:c r="X1229" s="38" t="n">
        <x:v>8</x:v>
      </x:c>
      <x:c r="Y1229" s="38" t="n">
        <x:v>15</x:v>
      </x:c>
      <x:c r="Z1229" s="38" t="n">
        <x:f>MAX(0,MIN(100,ROUND(((T1229+U1229+V1229+W1229+X1229)-Y1229)/85*100,0)))</x:f>
        <x:v>27</x:v>
      </x:c>
      <x:c r="AA1229" s="9" t="str">
        <x:f>IF(L1229="暂不做","P3 暂缓",IF(Z1229&gt;=75,"P0 本周做",IF(Z1229&gt;=60,"P1 近期做",IF(Z1229&gt;=45,"P2 备选","P3 暂缓"))))</x:f>
        <x:v>P3 暂缓</x:v>
      </x:c>
      <x:c r="AB1229" s="9" t="str">
        <x:f>IF(Y1229&gt;=15,"先做合规/相关性复核，不建议直接商业导流",IF(L1229="主站","建/优化主站商业页",IF(L1229="博客A-知识教程","写知识教程/FAQ文章",IF(L1229="博客B-场景人群","写场景需求/选购指南文章",IF(L1229="博客C-对比评测","写对比评测/榜单文章","暂不做或人工复核")))))</x:f>
        <x:v>先做合规/相关性复核，不建议直接商业导流</x:v>
      </x:c>
      <x:c r="AC1229" s="9" t="str">
        <x:v>purchase cigarettes age</x:v>
      </x:c>
      <x:c r="AD1229" s="10" t="str">
        <x:v>48</x:v>
      </x:c>
    </x:row>
    <x:row r="1230">
      <x:c r="A1230" s="34" t="n">
        <x:v>1230</x:v>
      </x:c>
      <x:c r="B1230" s="9" t="str">
        <x:v>48</x:v>
      </x:c>
      <x:c r="C1230" s="9" t="str">
        <x:v>how old do you have to be to buy cigs</x:v>
      </x:c>
      <x:c r="D1230" s="9" t="str">
        <x:v>recommended</x:v>
      </x:c>
      <x:c r="E1230" s="36" t="n">
        <x:v>590</x:v>
      </x:c>
      <x:c r="F1230" s="36" t="n">
        <x:v>38</x:v>
      </x:c>
      <x:c r="G1230" s="9" t="str">
        <x:v>informational</x:v>
      </x:c>
      <x:c r="H1230" s="9" t="str">
        <x:v>知识教程</x:v>
      </x:c>
      <x:c r="I1230" s="9" t="str">
        <x:v>交易词</x:v>
      </x:c>
      <x:c r="J1230" s="9" t="str">
        <x:v>主站</x:v>
      </x:c>
      <x:c r="K1230" s="9" t="str"/>
      <x:c r="L1230" s="9" t="str">
        <x:f>IF(K1230="",J1230,K1230)</x:f>
        <x:v>主站</x:v>
      </x:c>
      <x:c r="M1230" s="9" t="str">
        <x:v>产品集合页/分类页/购买页</x:v>
      </x:c>
      <x:c r="N1230" s="9" t="str">
        <x:v>主站商业页：标题围绕购买意图 + 品类 + 关键卖点</x:v>
      </x:c>
      <x:c r="O1230" s="9" t="str">
        <x:v>/collections/disposable-vapes</x:v>
      </x:c>
      <x:c r="P1230" s="9" t="str">
        <x:v>不适用</x:v>
      </x:c>
      <x:c r="Q1230" s="9" t="str">
        <x:v>主站页面自身承接</x:v>
      </x:c>
      <x:c r="R1230" s="9" t="str">
        <x:v>商业词：优先给主站，避免博客抢主站排名</x:v>
      </x:c>
      <x:c r="S1230" s="9" t="str">
        <x:v>SERP 如为商品列表/品牌站/电商集合页，就建主站页面；若 SERP 全是教程，再拆支持文章。</x:v>
      </x:c>
      <x:c r="T1230" s="38" t="n">
        <x:v>10</x:v>
      </x:c>
      <x:c r="U1230" s="38" t="n">
        <x:v>9</x:v>
      </x:c>
      <x:c r="V1230" s="38" t="n">
        <x:v>20</x:v>
      </x:c>
      <x:c r="W1230" s="38" t="n">
        <x:v>7</x:v>
      </x:c>
      <x:c r="X1230" s="38" t="n">
        <x:v>15</x:v>
      </x:c>
      <x:c r="Y1230" s="38" t="n">
        <x:v>4</x:v>
      </x:c>
      <x:c r="Z1230" s="38" t="n">
        <x:f>MAX(0,MIN(100,ROUND(((T1230+U1230+V1230+W1230+X1230)-Y1230)/85*100,0)))</x:f>
        <x:v>67</x:v>
      </x:c>
      <x:c r="AA1230" s="9" t="str">
        <x:f>IF(L1230="暂不做","P3 暂缓",IF(Z1230&gt;=75,"P0 本周做",IF(Z1230&gt;=60,"P1 近期做",IF(Z1230&gt;=45,"P2 备选","P3 暂缓"))))</x:f>
        <x:v>P1 近期做</x:v>
      </x:c>
      <x:c r="AB1230" s="9" t="str">
        <x:f>IF(Y1230&gt;=15,"先做合规/相关性复核，不建议直接商业导流",IF(L1230="主站","建/优化主站商业页",IF(L1230="博客A-知识教程","写知识教程/FAQ文章",IF(L1230="博客B-场景人群","写场景需求/选购指南文章",IF(L1230="博客C-对比评测","写对比评测/榜单文章","暂不做或人工复核")))))</x:f>
        <x:v>建/优化主站商业页</x:v>
      </x:c>
      <x:c r="AC1230" s="9" t="str">
        <x:v>purchase cigarettes age</x:v>
      </x:c>
      <x:c r="AD1230" s="10" t="str">
        <x:v>48</x:v>
      </x:c>
    </x:row>
    <x:row r="1231">
      <x:c r="A1231" s="34" t="n">
        <x:v>1231</x:v>
      </x:c>
      <x:c r="B1231" s="9" t="str">
        <x:v>48</x:v>
      </x:c>
      <x:c r="C1231" s="9" t="str">
        <x:v>age to buy nicotine</x:v>
      </x:c>
      <x:c r="D1231" s="9" t="str">
        <x:v>recommended</x:v>
      </x:c>
      <x:c r="E1231" s="36" t="n">
        <x:v>40</x:v>
      </x:c>
      <x:c r="F1231" s="36" t="n">
        <x:v>39</x:v>
      </x:c>
      <x:c r="G1231" s="9" t="str">
        <x:v>transactional</x:v>
      </x:c>
      <x:c r="H1231" s="9" t="str">
        <x:v>合规科普</x:v>
      </x:c>
      <x:c r="I1231" s="9" t="str">
        <x:v>合规/YMYL科普词</x:v>
      </x:c>
      <x:c r="J1231" s="9" t="str">
        <x:v>博客A-知识教程</x:v>
      </x:c>
      <x:c r="K1231" s="9" t="str"/>
      <x:c r="L1231" s="9" t="str">
        <x:f>IF(K1231="",J1231,K1231)</x:f>
        <x:v>博客A-知识教程</x:v>
      </x:c>
      <x:c r="M1231" s="9" t="str">
        <x:v>合规/健康风险科普文章</x:v>
      </x:c>
      <x:c r="N1231" s="9" t="str">
        <x:v>Guide angle: explain age to buy nicotine, answer common questions, and avoid sales-first writing</x:v>
      </x:c>
      <x:c r="O1231" s="9" t="str">
        <x:v>无商业内链</x:v>
      </x:c>
      <x:c r="P1231" s="9" t="str">
        <x:v>否</x:v>
      </x:c>
      <x:c r="Q1231" s="9" t="str">
        <x:v>不导流</x:v>
      </x:c>
      <x:c r="R1231" s="9" t="str">
        <x:v>高风险：健康、戒烟、法律等 YMYL 主题，不写疗效承诺，不直接卖货</x:v>
      </x:c>
      <x:c r="S1231" s="9" t="str">
        <x:v>需要引用权威资料，语气中立；如果不能做到合规审核，暂缓。</x:v>
      </x:c>
      <x:c r="T1231" s="38" t="n">
        <x:v>4</x:v>
      </x:c>
      <x:c r="U1231" s="38" t="n">
        <x:v>9</x:v>
      </x:c>
      <x:c r="V1231" s="38" t="n">
        <x:v>4</x:v>
      </x:c>
      <x:c r="W1231" s="38" t="n">
        <x:v>10</x:v>
      </x:c>
      <x:c r="X1231" s="38" t="n">
        <x:v>8</x:v>
      </x:c>
      <x:c r="Y1231" s="38" t="n">
        <x:v>15</x:v>
      </x:c>
      <x:c r="Z1231" s="38" t="n">
        <x:f>MAX(0,MIN(100,ROUND(((T1231+U1231+V1231+W1231+X1231)-Y1231)/85*100,0)))</x:f>
        <x:v>24</x:v>
      </x:c>
      <x:c r="AA1231" s="9" t="str">
        <x:f>IF(L1231="暂不做","P3 暂缓",IF(Z1231&gt;=75,"P0 本周做",IF(Z1231&gt;=60,"P1 近期做",IF(Z1231&gt;=45,"P2 备选","P3 暂缓"))))</x:f>
        <x:v>P3 暂缓</x:v>
      </x:c>
      <x:c r="AB1231" s="9" t="str">
        <x:f>IF(Y1231&gt;=15,"先做合规/相关性复核，不建议直接商业导流",IF(L1231="主站","建/优化主站商业页",IF(L1231="博客A-知识教程","写知识教程/FAQ文章",IF(L1231="博客B-场景人群","写场景需求/选购指南文章",IF(L1231="博客C-对比评测","写对比评测/榜单文章","暂不做或人工复核")))))</x:f>
        <x:v>先做合规/相关性复核，不建议直接商业导流</x:v>
      </x:c>
      <x:c r="AC1231" s="9" t="str">
        <x:v>purchase cigarettes age</x:v>
      </x:c>
      <x:c r="AD1231" s="10" t="str">
        <x:v>48</x:v>
      </x:c>
    </x:row>
    <x:row r="1232">
      <x:c r="A1232" s="34" t="n">
        <x:v>1232</x:v>
      </x:c>
      <x:c r="B1232" s="9" t="str">
        <x:v>48</x:v>
      </x:c>
      <x:c r="C1232" s="9" t="str">
        <x:v>buying cigarettes age</x:v>
      </x:c>
      <x:c r="D1232" s="9" t="str">
        <x:v>recommended</x:v>
      </x:c>
      <x:c r="E1232" s="36" t="n">
        <x:v>90</x:v>
      </x:c>
      <x:c r="F1232" s="36" t="n">
        <x:v>42</x:v>
      </x:c>
      <x:c r="G1232" s="9" t="str">
        <x:v>transactional</x:v>
      </x:c>
      <x:c r="H1232" s="9" t="str">
        <x:v>合规科普</x:v>
      </x:c>
      <x:c r="I1232" s="9" t="str">
        <x:v>合规/YMYL科普词</x:v>
      </x:c>
      <x:c r="J1232" s="9" t="str">
        <x:v>博客A-知识教程</x:v>
      </x:c>
      <x:c r="K1232" s="9" t="str"/>
      <x:c r="L1232" s="9" t="str">
        <x:f>IF(K1232="",J1232,K1232)</x:f>
        <x:v>博客A-知识教程</x:v>
      </x:c>
      <x:c r="M1232" s="9" t="str">
        <x:v>合规/健康风险科普文章</x:v>
      </x:c>
      <x:c r="N1232" s="9" t="str">
        <x:v>Guide angle: explain buying cigarettes age, answer common questions, and avoid sales-first writing</x:v>
      </x:c>
      <x:c r="O1232" s="9" t="str">
        <x:v>无商业内链</x:v>
      </x:c>
      <x:c r="P1232" s="9" t="str">
        <x:v>否</x:v>
      </x:c>
      <x:c r="Q1232" s="9" t="str">
        <x:v>不导流</x:v>
      </x:c>
      <x:c r="R1232" s="9" t="str">
        <x:v>高风险：健康、戒烟、法律等 YMYL 主题，不写疗效承诺，不直接卖货</x:v>
      </x:c>
      <x:c r="S1232" s="9" t="str">
        <x:v>需要引用权威资料，语气中立；如果不能做到合规审核，暂缓。</x:v>
      </x:c>
      <x:c r="T1232" s="38" t="n">
        <x:v>4</x:v>
      </x:c>
      <x:c r="U1232" s="38" t="n">
        <x:v>9</x:v>
      </x:c>
      <x:c r="V1232" s="38" t="n">
        <x:v>4</x:v>
      </x:c>
      <x:c r="W1232" s="38" t="n">
        <x:v>10</x:v>
      </x:c>
      <x:c r="X1232" s="38" t="n">
        <x:v>8</x:v>
      </x:c>
      <x:c r="Y1232" s="38" t="n">
        <x:v>15</x:v>
      </x:c>
      <x:c r="Z1232" s="38" t="n">
        <x:f>MAX(0,MIN(100,ROUND(((T1232+U1232+V1232+W1232+X1232)-Y1232)/85*100,0)))</x:f>
        <x:v>24</x:v>
      </x:c>
      <x:c r="AA1232" s="9" t="str">
        <x:f>IF(L1232="暂不做","P3 暂缓",IF(Z1232&gt;=75,"P0 本周做",IF(Z1232&gt;=60,"P1 近期做",IF(Z1232&gt;=45,"P2 备选","P3 暂缓"))))</x:f>
        <x:v>P3 暂缓</x:v>
      </x:c>
      <x:c r="AB1232" s="9" t="str">
        <x:f>IF(Y1232&gt;=15,"先做合规/相关性复核，不建议直接商业导流",IF(L1232="主站","建/优化主站商业页",IF(L1232="博客A-知识教程","写知识教程/FAQ文章",IF(L1232="博客B-场景人群","写场景需求/选购指南文章",IF(L1232="博客C-对比评测","写对比评测/榜单文章","暂不做或人工复核")))))</x:f>
        <x:v>先做合规/相关性复核，不建议直接商业导流</x:v>
      </x:c>
      <x:c r="AC1232" s="9" t="str">
        <x:v>purchase cigarettes age</x:v>
      </x:c>
      <x:c r="AD1232" s="10" t="str">
        <x:v>48</x:v>
      </x:c>
    </x:row>
    <x:row r="1233">
      <x:c r="A1233" s="34" t="n">
        <x:v>1233</x:v>
      </x:c>
      <x:c r="B1233" s="9" t="str">
        <x:v>48</x:v>
      </x:c>
      <x:c r="C1233" s="9" t="str">
        <x:v>how old buy cigarettes</x:v>
      </x:c>
      <x:c r="D1233" s="9" t="str">
        <x:v>recommended</x:v>
      </x:c>
      <x:c r="E1233" s="36" t="n">
        <x:v>1000</x:v>
      </x:c>
      <x:c r="F1233" s="36" t="n">
        <x:v>42</x:v>
      </x:c>
      <x:c r="G1233" s="9" t="str">
        <x:v>informational</x:v>
      </x:c>
      <x:c r="H1233" s="9" t="str">
        <x:v>E-Cigarette</x:v>
      </x:c>
      <x:c r="I1233" s="9" t="str">
        <x:v>交易词</x:v>
      </x:c>
      <x:c r="J1233" s="9" t="str">
        <x:v>主站</x:v>
      </x:c>
      <x:c r="K1233" s="9" t="str"/>
      <x:c r="L1233" s="9" t="str">
        <x:f>IF(K1233="",J1233,K1233)</x:f>
        <x:v>主站</x:v>
      </x:c>
      <x:c r="M1233" s="9" t="str">
        <x:v>产品集合页/分类页/购买页</x:v>
      </x:c>
      <x:c r="N1233" s="9" t="str">
        <x:v>主站商业页：标题围绕购买意图 + 品类 + 关键卖点</x:v>
      </x:c>
      <x:c r="O1233" s="9" t="str">
        <x:v>/collections/e-cigarettes</x:v>
      </x:c>
      <x:c r="P1233" s="9" t="str">
        <x:v>不适用</x:v>
      </x:c>
      <x:c r="Q1233" s="9" t="str">
        <x:v>主站页面自身承接</x:v>
      </x:c>
      <x:c r="R1233" s="9" t="str">
        <x:v>商业词：优先给主站，避免博客抢主站排名</x:v>
      </x:c>
      <x:c r="S1233" s="9" t="str">
        <x:v>SERP 如为商品列表/品牌站/电商集合页，就建主站页面；若 SERP 全是教程，再拆支持文章。</x:v>
      </x:c>
      <x:c r="T1233" s="38" t="n">
        <x:v>13</x:v>
      </x:c>
      <x:c r="U1233" s="38" t="n">
        <x:v>9</x:v>
      </x:c>
      <x:c r="V1233" s="38" t="n">
        <x:v>20</x:v>
      </x:c>
      <x:c r="W1233" s="38" t="n">
        <x:v>7</x:v>
      </x:c>
      <x:c r="X1233" s="38" t="n">
        <x:v>15</x:v>
      </x:c>
      <x:c r="Y1233" s="38" t="n">
        <x:v>4</x:v>
      </x:c>
      <x:c r="Z1233" s="38" t="n">
        <x:f>MAX(0,MIN(100,ROUND(((T1233+U1233+V1233+W1233+X1233)-Y1233)/85*100,0)))</x:f>
        <x:v>71</x:v>
      </x:c>
      <x:c r="AA1233" s="9" t="str">
        <x:f>IF(L1233="暂不做","P3 暂缓",IF(Z1233&gt;=75,"P0 本周做",IF(Z1233&gt;=60,"P1 近期做",IF(Z1233&gt;=45,"P2 备选","P3 暂缓"))))</x:f>
        <x:v>P1 近期做</x:v>
      </x:c>
      <x:c r="AB1233" s="9" t="str">
        <x:f>IF(Y1233&gt;=15,"先做合规/相关性复核，不建议直接商业导流",IF(L1233="主站","建/优化主站商业页",IF(L1233="博客A-知识教程","写知识教程/FAQ文章",IF(L1233="博客B-场景人群","写场景需求/选购指南文章",IF(L1233="博客C-对比评测","写对比评测/榜单文章","暂不做或人工复核")))))</x:f>
        <x:v>建/优化主站商业页</x:v>
      </x:c>
      <x:c r="AC1233" s="9" t="str">
        <x:v>purchase cigarettes age</x:v>
      </x:c>
      <x:c r="AD1233" s="10" t="str">
        <x:v>48</x:v>
      </x:c>
    </x:row>
    <x:row r="1234">
      <x:c r="A1234" s="34" t="n">
        <x:v>1234</x:v>
      </x:c>
      <x:c r="B1234" s="9" t="str">
        <x:v>48</x:v>
      </x:c>
      <x:c r="C1234" s="9" t="str">
        <x:v>age limit to buy cigarettes</x:v>
      </x:c>
      <x:c r="D1234" s="9" t="str">
        <x:v>recommended</x:v>
      </x:c>
      <x:c r="E1234" s="36" t="n">
        <x:v>70</x:v>
      </x:c>
      <x:c r="F1234" s="36" t="n">
        <x:v>44</x:v>
      </x:c>
      <x:c r="G1234" s="9" t="str">
        <x:v>transactional</x:v>
      </x:c>
      <x:c r="H1234" s="9" t="str">
        <x:v>合规科普</x:v>
      </x:c>
      <x:c r="I1234" s="9" t="str">
        <x:v>合规/YMYL科普词</x:v>
      </x:c>
      <x:c r="J1234" s="9" t="str">
        <x:v>博客A-知识教程</x:v>
      </x:c>
      <x:c r="K1234" s="9" t="str"/>
      <x:c r="L1234" s="9" t="str">
        <x:f>IF(K1234="",J1234,K1234)</x:f>
        <x:v>博客A-知识教程</x:v>
      </x:c>
      <x:c r="M1234" s="9" t="str">
        <x:v>合规/健康风险科普文章</x:v>
      </x:c>
      <x:c r="N1234" s="9" t="str">
        <x:v>Guide angle: explain age limit to buy cigarettes, answer common questions, and avoid sales-first writing</x:v>
      </x:c>
      <x:c r="O1234" s="9" t="str">
        <x:v>无商业内链</x:v>
      </x:c>
      <x:c r="P1234" s="9" t="str">
        <x:v>否</x:v>
      </x:c>
      <x:c r="Q1234" s="9" t="str">
        <x:v>不导流</x:v>
      </x:c>
      <x:c r="R1234" s="9" t="str">
        <x:v>高风险：健康、戒烟、法律等 YMYL 主题，不写疗效承诺，不直接卖货</x:v>
      </x:c>
      <x:c r="S1234" s="9" t="str">
        <x:v>需要引用权威资料，语气中立；如果不能做到合规审核，暂缓。</x:v>
      </x:c>
      <x:c r="T1234" s="38" t="n">
        <x:v>4</x:v>
      </x:c>
      <x:c r="U1234" s="38" t="n">
        <x:v>9</x:v>
      </x:c>
      <x:c r="V1234" s="38" t="n">
        <x:v>4</x:v>
      </x:c>
      <x:c r="W1234" s="38" t="n">
        <x:v>10</x:v>
      </x:c>
      <x:c r="X1234" s="38" t="n">
        <x:v>8</x:v>
      </x:c>
      <x:c r="Y1234" s="38" t="n">
        <x:v>15</x:v>
      </x:c>
      <x:c r="Z1234" s="38" t="n">
        <x:f>MAX(0,MIN(100,ROUND(((T1234+U1234+V1234+W1234+X1234)-Y1234)/85*100,0)))</x:f>
        <x:v>24</x:v>
      </x:c>
      <x:c r="AA1234" s="9" t="str">
        <x:f>IF(L1234="暂不做","P3 暂缓",IF(Z1234&gt;=75,"P0 本周做",IF(Z1234&gt;=60,"P1 近期做",IF(Z1234&gt;=45,"P2 备选","P3 暂缓"))))</x:f>
        <x:v>P3 暂缓</x:v>
      </x:c>
      <x:c r="AB1234" s="9" t="str">
        <x:f>IF(Y1234&gt;=15,"先做合规/相关性复核，不建议直接商业导流",IF(L1234="主站","建/优化主站商业页",IF(L1234="博客A-知识教程","写知识教程/FAQ文章",IF(L1234="博客B-场景人群","写场景需求/选购指南文章",IF(L1234="博客C-对比评测","写对比评测/榜单文章","暂不做或人工复核")))))</x:f>
        <x:v>先做合规/相关性复核，不建议直接商业导流</x:v>
      </x:c>
      <x:c r="AC1234" s="9" t="str">
        <x:v>purchase cigarettes age</x:v>
      </x:c>
      <x:c r="AD1234" s="10" t="str">
        <x:v>48</x:v>
      </x:c>
    </x:row>
    <x:row r="1235">
      <x:c r="A1235" s="34" t="n">
        <x:v>1235</x:v>
      </x:c>
      <x:c r="B1235" s="9" t="str">
        <x:v>48</x:v>
      </x:c>
      <x:c r="C1235" s="9" t="str">
        <x:v>what age can you buy cigs</x:v>
      </x:c>
      <x:c r="D1235" s="9" t="str">
        <x:v>recommended</x:v>
      </x:c>
      <x:c r="E1235" s="36" t="n">
        <x:v>70</x:v>
      </x:c>
      <x:c r="F1235" s="36" t="n">
        <x:v>44</x:v>
      </x:c>
      <x:c r="G1235" s="9" t="str">
        <x:v>informational</x:v>
      </x:c>
      <x:c r="H1235" s="9" t="str">
        <x:v>合规科普</x:v>
      </x:c>
      <x:c r="I1235" s="9" t="str">
        <x:v>合规/YMYL科普词</x:v>
      </x:c>
      <x:c r="J1235" s="9" t="str">
        <x:v>博客A-知识教程</x:v>
      </x:c>
      <x:c r="K1235" s="9" t="str"/>
      <x:c r="L1235" s="9" t="str">
        <x:f>IF(K1235="",J1235,K1235)</x:f>
        <x:v>博客A-知识教程</x:v>
      </x:c>
      <x:c r="M1235" s="9" t="str">
        <x:v>合规/健康风险科普文章</x:v>
      </x:c>
      <x:c r="N1235" s="9" t="str">
        <x:v>Guide angle: explain what age can you buy cigs, answer common questions, and avoid sales-first writing</x:v>
      </x:c>
      <x:c r="O1235" s="9" t="str">
        <x:v>无商业内链</x:v>
      </x:c>
      <x:c r="P1235" s="9" t="str">
        <x:v>否</x:v>
      </x:c>
      <x:c r="Q1235" s="9" t="str">
        <x:v>不导流</x:v>
      </x:c>
      <x:c r="R1235" s="9" t="str">
        <x:v>高风险：健康、戒烟、法律等 YMYL 主题，不写疗效承诺，不直接卖货</x:v>
      </x:c>
      <x:c r="S1235" s="9" t="str">
        <x:v>需要引用权威资料，语气中立；如果不能做到合规审核，暂缓。</x:v>
      </x:c>
      <x:c r="T1235" s="38" t="n">
        <x:v>4</x:v>
      </x:c>
      <x:c r="U1235" s="38" t="n">
        <x:v>9</x:v>
      </x:c>
      <x:c r="V1235" s="38" t="n">
        <x:v>4</x:v>
      </x:c>
      <x:c r="W1235" s="38" t="n">
        <x:v>10</x:v>
      </x:c>
      <x:c r="X1235" s="38" t="n">
        <x:v>8</x:v>
      </x:c>
      <x:c r="Y1235" s="38" t="n">
        <x:v>15</x:v>
      </x:c>
      <x:c r="Z1235" s="38" t="n">
        <x:f>MAX(0,MIN(100,ROUND(((T1235+U1235+V1235+W1235+X1235)-Y1235)/85*100,0)))</x:f>
        <x:v>24</x:v>
      </x:c>
      <x:c r="AA1235" s="9" t="str">
        <x:f>IF(L1235="暂不做","P3 暂缓",IF(Z1235&gt;=75,"P0 本周做",IF(Z1235&gt;=60,"P1 近期做",IF(Z1235&gt;=45,"P2 备选","P3 暂缓"))))</x:f>
        <x:v>P3 暂缓</x:v>
      </x:c>
      <x:c r="AB1235" s="9" t="str">
        <x:f>IF(Y1235&gt;=15,"先做合规/相关性复核，不建议直接商业导流",IF(L1235="主站","建/优化主站商业页",IF(L1235="博客A-知识教程","写知识教程/FAQ文章",IF(L1235="博客B-场景人群","写场景需求/选购指南文章",IF(L1235="博客C-对比评测","写对比评测/榜单文章","暂不做或人工复核")))))</x:f>
        <x:v>先做合规/相关性复核，不建议直接商业导流</x:v>
      </x:c>
      <x:c r="AC1235" s="9" t="str">
        <x:v>purchase cigarettes age</x:v>
      </x:c>
      <x:c r="AD1235" s="10" t="str">
        <x:v>48</x:v>
      </x:c>
    </x:row>
    <x:row r="1236">
      <x:c r="A1236" s="34" t="n">
        <x:v>1236</x:v>
      </x:c>
      <x:c r="B1236" s="9" t="str">
        <x:v>48</x:v>
      </x:c>
      <x:c r="C1236" s="9" t="str">
        <x:v>how old do have to be to buy cigarettes</x:v>
      </x:c>
      <x:c r="D1236" s="9" t="str">
        <x:v>recommended</x:v>
      </x:c>
      <x:c r="E1236" s="36" t="n">
        <x:v>210</x:v>
      </x:c>
      <x:c r="F1236" s="36" t="n">
        <x:v>44</x:v>
      </x:c>
      <x:c r="G1236" s="9" t="str">
        <x:v>informational</x:v>
      </x:c>
      <x:c r="H1236" s="9" t="str">
        <x:v>E-Cigarette</x:v>
      </x:c>
      <x:c r="I1236" s="9" t="str">
        <x:v>交易词</x:v>
      </x:c>
      <x:c r="J1236" s="9" t="str">
        <x:v>主站</x:v>
      </x:c>
      <x:c r="K1236" s="9" t="str"/>
      <x:c r="L1236" s="9" t="str">
        <x:f>IF(K1236="",J1236,K1236)</x:f>
        <x:v>主站</x:v>
      </x:c>
      <x:c r="M1236" s="9" t="str">
        <x:v>产品集合页/分类页/购买页</x:v>
      </x:c>
      <x:c r="N1236" s="9" t="str">
        <x:v>主站商业页：标题围绕购买意图 + 品类 + 关键卖点</x:v>
      </x:c>
      <x:c r="O1236" s="9" t="str">
        <x:v>/collections/e-cigarettes</x:v>
      </x:c>
      <x:c r="P1236" s="9" t="str">
        <x:v>不适用</x:v>
      </x:c>
      <x:c r="Q1236" s="9" t="str">
        <x:v>主站页面自身承接</x:v>
      </x:c>
      <x:c r="R1236" s="9" t="str">
        <x:v>商业词：优先给主站，避免博客抢主站排名</x:v>
      </x:c>
      <x:c r="S1236" s="9" t="str">
        <x:v>SERP 如为商品列表/品牌站/电商集合页，就建主站页面；若 SERP 全是教程，再拆支持文章。</x:v>
      </x:c>
      <x:c r="T1236" s="38" t="n">
        <x:v>7</x:v>
      </x:c>
      <x:c r="U1236" s="38" t="n">
        <x:v>9</x:v>
      </x:c>
      <x:c r="V1236" s="38" t="n">
        <x:v>20</x:v>
      </x:c>
      <x:c r="W1236" s="38" t="n">
        <x:v>7</x:v>
      </x:c>
      <x:c r="X1236" s="38" t="n">
        <x:v>15</x:v>
      </x:c>
      <x:c r="Y1236" s="38" t="n">
        <x:v>4</x:v>
      </x:c>
      <x:c r="Z1236" s="38" t="n">
        <x:f>MAX(0,MIN(100,ROUND(((T1236+U1236+V1236+W1236+X1236)-Y1236)/85*100,0)))</x:f>
        <x:v>64</x:v>
      </x:c>
      <x:c r="AA1236" s="9" t="str">
        <x:f>IF(L1236="暂不做","P3 暂缓",IF(Z1236&gt;=75,"P0 本周做",IF(Z1236&gt;=60,"P1 近期做",IF(Z1236&gt;=45,"P2 备选","P3 暂缓"))))</x:f>
        <x:v>P1 近期做</x:v>
      </x:c>
      <x:c r="AB1236" s="9" t="str">
        <x:f>IF(Y1236&gt;=15,"先做合规/相关性复核，不建议直接商业导流",IF(L1236="主站","建/优化主站商业页",IF(L1236="博客A-知识教程","写知识教程/FAQ文章",IF(L1236="博客B-场景人群","写场景需求/选购指南文章",IF(L1236="博客C-对比评测","写对比评测/榜单文章","暂不做或人工复核")))))</x:f>
        <x:v>建/优化主站商业页</x:v>
      </x:c>
      <x:c r="AC1236" s="9" t="str">
        <x:v>purchase cigarettes age</x:v>
      </x:c>
      <x:c r="AD1236" s="10" t="str">
        <x:v>48</x:v>
      </x:c>
    </x:row>
    <x:row r="1237">
      <x:c r="A1237" s="34" t="n">
        <x:v>1237</x:v>
      </x:c>
      <x:c r="B1237" s="9" t="str">
        <x:v>48</x:v>
      </x:c>
      <x:c r="C1237" s="9" t="str">
        <x:v>age for buying cigarettes</x:v>
      </x:c>
      <x:c r="D1237" s="9" t="str">
        <x:v>recommended</x:v>
      </x:c>
      <x:c r="E1237" s="36" t="n">
        <x:v>210</x:v>
      </x:c>
      <x:c r="F1237" s="36" t="n">
        <x:v>45</x:v>
      </x:c>
      <x:c r="G1237" s="9" t="str">
        <x:v>transactional</x:v>
      </x:c>
      <x:c r="H1237" s="9" t="str">
        <x:v>合规科普</x:v>
      </x:c>
      <x:c r="I1237" s="9" t="str">
        <x:v>合规/YMYL科普词</x:v>
      </x:c>
      <x:c r="J1237" s="9" t="str">
        <x:v>博客A-知识教程</x:v>
      </x:c>
      <x:c r="K1237" s="9" t="str"/>
      <x:c r="L1237" s="9" t="str">
        <x:f>IF(K1237="",J1237,K1237)</x:f>
        <x:v>博客A-知识教程</x:v>
      </x:c>
      <x:c r="M1237" s="9" t="str">
        <x:v>合规/健康风险科普文章</x:v>
      </x:c>
      <x:c r="N1237" s="9" t="str">
        <x:v>Guide angle: explain age for buying cigarettes, answer common questions, and avoid sales-first writing</x:v>
      </x:c>
      <x:c r="O1237" s="9" t="str">
        <x:v>无商业内链</x:v>
      </x:c>
      <x:c r="P1237" s="9" t="str">
        <x:v>否</x:v>
      </x:c>
      <x:c r="Q1237" s="9" t="str">
        <x:v>不导流</x:v>
      </x:c>
      <x:c r="R1237" s="9" t="str">
        <x:v>高风险：健康、戒烟、法律等 YMYL 主题，不写疗效承诺，不直接卖货</x:v>
      </x:c>
      <x:c r="S1237" s="9" t="str">
        <x:v>需要引用权威资料，语气中立；如果不能做到合规审核，暂缓。</x:v>
      </x:c>
      <x:c r="T1237" s="38" t="n">
        <x:v>7</x:v>
      </x:c>
      <x:c r="U1237" s="38" t="n">
        <x:v>9</x:v>
      </x:c>
      <x:c r="V1237" s="38" t="n">
        <x:v>4</x:v>
      </x:c>
      <x:c r="W1237" s="38" t="n">
        <x:v>10</x:v>
      </x:c>
      <x:c r="X1237" s="38" t="n">
        <x:v>8</x:v>
      </x:c>
      <x:c r="Y1237" s="38" t="n">
        <x:v>15</x:v>
      </x:c>
      <x:c r="Z1237" s="38" t="n">
        <x:f>MAX(0,MIN(100,ROUND(((T1237+U1237+V1237+W1237+X1237)-Y1237)/85*100,0)))</x:f>
        <x:v>27</x:v>
      </x:c>
      <x:c r="AA1237" s="9" t="str">
        <x:f>IF(L1237="暂不做","P3 暂缓",IF(Z1237&gt;=75,"P0 本周做",IF(Z1237&gt;=60,"P1 近期做",IF(Z1237&gt;=45,"P2 备选","P3 暂缓"))))</x:f>
        <x:v>P3 暂缓</x:v>
      </x:c>
      <x:c r="AB1237" s="9" t="str">
        <x:f>IF(Y1237&gt;=15,"先做合规/相关性复核，不建议直接商业导流",IF(L1237="主站","建/优化主站商业页",IF(L1237="博客A-知识教程","写知识教程/FAQ文章",IF(L1237="博客B-场景人群","写场景需求/选购指南文章",IF(L1237="博客C-对比评测","写对比评测/榜单文章","暂不做或人工复核")))))</x:f>
        <x:v>先做合规/相关性复核，不建议直接商业导流</x:v>
      </x:c>
      <x:c r="AC1237" s="9" t="str">
        <x:v>purchase cigarettes age</x:v>
      </x:c>
      <x:c r="AD1237" s="10" t="str">
        <x:v>48</x:v>
      </x:c>
    </x:row>
    <x:row r="1238">
      <x:c r="A1238" s="34" t="n">
        <x:v>1238</x:v>
      </x:c>
      <x:c r="B1238" s="9" t="str">
        <x:v>48</x:v>
      </x:c>
      <x:c r="C1238" s="9" t="str">
        <x:v>how old to buy cigs</x:v>
      </x:c>
      <x:c r="D1238" s="9" t="str">
        <x:v>recommended</x:v>
      </x:c>
      <x:c r="E1238" s="36" t="n">
        <x:v>480</x:v>
      </x:c>
      <x:c r="F1238" s="36" t="n">
        <x:v>46</x:v>
      </x:c>
      <x:c r="G1238" s="9" t="str">
        <x:v>informational</x:v>
      </x:c>
      <x:c r="H1238" s="9" t="str">
        <x:v>知识教程</x:v>
      </x:c>
      <x:c r="I1238" s="9" t="str">
        <x:v>交易词</x:v>
      </x:c>
      <x:c r="J1238" s="9" t="str">
        <x:v>主站</x:v>
      </x:c>
      <x:c r="K1238" s="9" t="str"/>
      <x:c r="L1238" s="9" t="str">
        <x:f>IF(K1238="",J1238,K1238)</x:f>
        <x:v>主站</x:v>
      </x:c>
      <x:c r="M1238" s="9" t="str">
        <x:v>产品集合页/分类页/购买页</x:v>
      </x:c>
      <x:c r="N1238" s="9" t="str">
        <x:v>主站商业页：标题围绕购买意图 + 品类 + 关键卖点</x:v>
      </x:c>
      <x:c r="O1238" s="9" t="str">
        <x:v>/collections/disposable-vapes</x:v>
      </x:c>
      <x:c r="P1238" s="9" t="str">
        <x:v>不适用</x:v>
      </x:c>
      <x:c r="Q1238" s="9" t="str">
        <x:v>主站页面自身承接</x:v>
      </x:c>
      <x:c r="R1238" s="9" t="str">
        <x:v>商业词：优先给主站，避免博客抢主站排名</x:v>
      </x:c>
      <x:c r="S1238" s="9" t="str">
        <x:v>SERP 如为商品列表/品牌站/电商集合页，就建主站页面；若 SERP 全是教程，再拆支持文章。</x:v>
      </x:c>
      <x:c r="T1238" s="38" t="n">
        <x:v>7</x:v>
      </x:c>
      <x:c r="U1238" s="38" t="n">
        <x:v>6</x:v>
      </x:c>
      <x:c r="V1238" s="38" t="n">
        <x:v>20</x:v>
      </x:c>
      <x:c r="W1238" s="38" t="n">
        <x:v>7</x:v>
      </x:c>
      <x:c r="X1238" s="38" t="n">
        <x:v>15</x:v>
      </x:c>
      <x:c r="Y1238" s="38" t="n">
        <x:v>4</x:v>
      </x:c>
      <x:c r="Z1238" s="38" t="n">
        <x:f>MAX(0,MIN(100,ROUND(((T1238+U1238+V1238+W1238+X1238)-Y1238)/85*100,0)))</x:f>
        <x:v>60</x:v>
      </x:c>
      <x:c r="AA1238" s="9" t="str">
        <x:f>IF(L1238="暂不做","P3 暂缓",IF(Z1238&gt;=75,"P0 本周做",IF(Z1238&gt;=60,"P1 近期做",IF(Z1238&gt;=45,"P2 备选","P3 暂缓"))))</x:f>
        <x:v>P1 近期做</x:v>
      </x:c>
      <x:c r="AB1238" s="9" t="str">
        <x:f>IF(Y1238&gt;=15,"先做合规/相关性复核，不建议直接商业导流",IF(L1238="主站","建/优化主站商业页",IF(L1238="博客A-知识教程","写知识教程/FAQ文章",IF(L1238="博客B-场景人群","写场景需求/选购指南文章",IF(L1238="博客C-对比评测","写对比评测/榜单文章","暂不做或人工复核")))))</x:f>
        <x:v>建/优化主站商业页</x:v>
      </x:c>
      <x:c r="AC1238" s="9" t="str">
        <x:v>purchase cigarettes age</x:v>
      </x:c>
      <x:c r="AD1238" s="10" t="str">
        <x:v>48</x:v>
      </x:c>
    </x:row>
    <x:row r="1239">
      <x:c r="A1239" s="34" t="n">
        <x:v>1239</x:v>
      </x:c>
      <x:c r="B1239" s="9" t="str">
        <x:v>48</x:v>
      </x:c>
      <x:c r="C1239" s="9" t="str">
        <x:v>what is the age for buying cigarettes</x:v>
      </x:c>
      <x:c r="D1239" s="9" t="str">
        <x:v>recommended</x:v>
      </x:c>
      <x:c r="E1239" s="36" t="n">
        <x:v>170</x:v>
      </x:c>
      <x:c r="F1239" s="36" t="n">
        <x:v>46</x:v>
      </x:c>
      <x:c r="G1239" s="9" t="str">
        <x:v>informational, transactional</x:v>
      </x:c>
      <x:c r="H1239" s="9" t="str">
        <x:v>合规科普</x:v>
      </x:c>
      <x:c r="I1239" s="9" t="str">
        <x:v>合规/YMYL科普词</x:v>
      </x:c>
      <x:c r="J1239" s="9" t="str">
        <x:v>博客A-知识教程</x:v>
      </x:c>
      <x:c r="K1239" s="9" t="str"/>
      <x:c r="L1239" s="9" t="str">
        <x:f>IF(K1239="",J1239,K1239)</x:f>
        <x:v>博客A-知识教程</x:v>
      </x:c>
      <x:c r="M1239" s="9" t="str">
        <x:v>合规/健康风险科普文章</x:v>
      </x:c>
      <x:c r="N1239" s="9" t="str">
        <x:v>Guide angle: explain what is the age for buying cigarettes, answer common questions, and avoid sales-first writing</x:v>
      </x:c>
      <x:c r="O1239" s="9" t="str">
        <x:v>无商业内链</x:v>
      </x:c>
      <x:c r="P1239" s="9" t="str">
        <x:v>否</x:v>
      </x:c>
      <x:c r="Q1239" s="9" t="str">
        <x:v>不导流</x:v>
      </x:c>
      <x:c r="R1239" s="9" t="str">
        <x:v>高风险：健康、戒烟、法律等 YMYL 主题，不写疗效承诺，不直接卖货</x:v>
      </x:c>
      <x:c r="S1239" s="9" t="str">
        <x:v>需要引用权威资料，语气中立；如果不能做到合规审核，暂缓。</x:v>
      </x:c>
      <x:c r="T1239" s="38" t="n">
        <x:v>7</x:v>
      </x:c>
      <x:c r="U1239" s="38" t="n">
        <x:v>6</x:v>
      </x:c>
      <x:c r="V1239" s="38" t="n">
        <x:v>4</x:v>
      </x:c>
      <x:c r="W1239" s="38" t="n">
        <x:v>10</x:v>
      </x:c>
      <x:c r="X1239" s="38" t="n">
        <x:v>8</x:v>
      </x:c>
      <x:c r="Y1239" s="38" t="n">
        <x:v>15</x:v>
      </x:c>
      <x:c r="Z1239" s="38" t="n">
        <x:f>MAX(0,MIN(100,ROUND(((T1239+U1239+V1239+W1239+X1239)-Y1239)/85*100,0)))</x:f>
        <x:v>24</x:v>
      </x:c>
      <x:c r="AA1239" s="9" t="str">
        <x:f>IF(L1239="暂不做","P3 暂缓",IF(Z1239&gt;=75,"P0 本周做",IF(Z1239&gt;=60,"P1 近期做",IF(Z1239&gt;=45,"P2 备选","P3 暂缓"))))</x:f>
        <x:v>P3 暂缓</x:v>
      </x:c>
      <x:c r="AB1239" s="9" t="str">
        <x:f>IF(Y1239&gt;=15,"先做合规/相关性复核，不建议直接商业导流",IF(L1239="主站","建/优化主站商业页",IF(L1239="博客A-知识教程","写知识教程/FAQ文章",IF(L1239="博客B-场景人群","写场景需求/选购指南文章",IF(L1239="博客C-对比评测","写对比评测/榜单文章","暂不做或人工复核")))))</x:f>
        <x:v>先做合规/相关性复核，不建议直接商业导流</x:v>
      </x:c>
      <x:c r="AC1239" s="9" t="str">
        <x:v>purchase cigarettes age</x:v>
      </x:c>
      <x:c r="AD1239" s="10" t="str">
        <x:v>48</x:v>
      </x:c>
    </x:row>
    <x:row r="1240">
      <x:c r="A1240" s="34" t="n">
        <x:v>1240</x:v>
      </x:c>
      <x:c r="B1240" s="9" t="str">
        <x:v>48</x:v>
      </x:c>
      <x:c r="C1240" s="9" t="str">
        <x:v>age of buying cigarettes</x:v>
      </x:c>
      <x:c r="D1240" s="9" t="str">
        <x:v>recommended</x:v>
      </x:c>
      <x:c r="E1240" s="36" t="n">
        <x:v>320</x:v>
      </x:c>
      <x:c r="F1240" s="36" t="n">
        <x:v>46</x:v>
      </x:c>
      <x:c r="G1240" s="9" t="str">
        <x:v>informational</x:v>
      </x:c>
      <x:c r="H1240" s="9" t="str">
        <x:v>合规科普</x:v>
      </x:c>
      <x:c r="I1240" s="9" t="str">
        <x:v>合规/YMYL科普词</x:v>
      </x:c>
      <x:c r="J1240" s="9" t="str">
        <x:v>博客A-知识教程</x:v>
      </x:c>
      <x:c r="K1240" s="9" t="str"/>
      <x:c r="L1240" s="9" t="str">
        <x:f>IF(K1240="",J1240,K1240)</x:f>
        <x:v>博客A-知识教程</x:v>
      </x:c>
      <x:c r="M1240" s="9" t="str">
        <x:v>合规/健康风险科普文章</x:v>
      </x:c>
      <x:c r="N1240" s="9" t="str">
        <x:v>Guide angle: explain age of buying cigarettes, answer common questions, and avoid sales-first writing</x:v>
      </x:c>
      <x:c r="O1240" s="9" t="str">
        <x:v>无商业内链</x:v>
      </x:c>
      <x:c r="P1240" s="9" t="str">
        <x:v>否</x:v>
      </x:c>
      <x:c r="Q1240" s="9" t="str">
        <x:v>不导流</x:v>
      </x:c>
      <x:c r="R1240" s="9" t="str">
        <x:v>高风险：健康、戒烟、法律等 YMYL 主题，不写疗效承诺，不直接卖货</x:v>
      </x:c>
      <x:c r="S1240" s="9" t="str">
        <x:v>需要引用权威资料，语气中立；如果不能做到合规审核，暂缓。</x:v>
      </x:c>
      <x:c r="T1240" s="38" t="n">
        <x:v>7</x:v>
      </x:c>
      <x:c r="U1240" s="38" t="n">
        <x:v>6</x:v>
      </x:c>
      <x:c r="V1240" s="38" t="n">
        <x:v>4</x:v>
      </x:c>
      <x:c r="W1240" s="38" t="n">
        <x:v>10</x:v>
      </x:c>
      <x:c r="X1240" s="38" t="n">
        <x:v>8</x:v>
      </x:c>
      <x:c r="Y1240" s="38" t="n">
        <x:v>15</x:v>
      </x:c>
      <x:c r="Z1240" s="38" t="n">
        <x:f>MAX(0,MIN(100,ROUND(((T1240+U1240+V1240+W1240+X1240)-Y1240)/85*100,0)))</x:f>
        <x:v>24</x:v>
      </x:c>
      <x:c r="AA1240" s="9" t="str">
        <x:f>IF(L1240="暂不做","P3 暂缓",IF(Z1240&gt;=75,"P0 本周做",IF(Z1240&gt;=60,"P1 近期做",IF(Z1240&gt;=45,"P2 备选","P3 暂缓"))))</x:f>
        <x:v>P3 暂缓</x:v>
      </x:c>
      <x:c r="AB1240" s="9" t="str">
        <x:f>IF(Y1240&gt;=15,"先做合规/相关性复核，不建议直接商业导流",IF(L1240="主站","建/优化主站商业页",IF(L1240="博客A-知识教程","写知识教程/FAQ文章",IF(L1240="博客B-场景人群","写场景需求/选购指南文章",IF(L1240="博客C-对比评测","写对比评测/榜单文章","暂不做或人工复核")))))</x:f>
        <x:v>先做合规/相关性复核，不建议直接商业导流</x:v>
      </x:c>
      <x:c r="AC1240" s="9" t="str">
        <x:v>purchase cigarettes age</x:v>
      </x:c>
      <x:c r="AD1240" s="10" t="str">
        <x:v>48</x:v>
      </x:c>
    </x:row>
    <x:row r="1241">
      <x:c r="A1241" s="34" t="n">
        <x:v>1241</x:v>
      </x:c>
      <x:c r="B1241" s="9" t="str">
        <x:v>48</x:v>
      </x:c>
      <x:c r="C1241" s="9" t="str">
        <x:v>how old are you to buy cigarettes</x:v>
      </x:c>
      <x:c r="D1241" s="9" t="str">
        <x:v>recommended</x:v>
      </x:c>
      <x:c r="E1241" s="36" t="n">
        <x:v>40</x:v>
      </x:c>
      <x:c r="F1241" s="36" t="n">
        <x:v>48</x:v>
      </x:c>
      <x:c r="G1241" s="9" t="str">
        <x:v>informational</x:v>
      </x:c>
      <x:c r="H1241" s="9" t="str">
        <x:v>E-Cigarette</x:v>
      </x:c>
      <x:c r="I1241" s="9" t="str">
        <x:v>交易词</x:v>
      </x:c>
      <x:c r="J1241" s="9" t="str">
        <x:v>主站</x:v>
      </x:c>
      <x:c r="K1241" s="9" t="str"/>
      <x:c r="L1241" s="9" t="str">
        <x:f>IF(K1241="",J1241,K1241)</x:f>
        <x:v>主站</x:v>
      </x:c>
      <x:c r="M1241" s="9" t="str">
        <x:v>产品集合页/分类页/购买页</x:v>
      </x:c>
      <x:c r="N1241" s="9" t="str">
        <x:v>主站商业页：标题围绕购买意图 + 品类 + 关键卖点</x:v>
      </x:c>
      <x:c r="O1241" s="9" t="str">
        <x:v>/collections/e-cigarettes</x:v>
      </x:c>
      <x:c r="P1241" s="9" t="str">
        <x:v>不适用</x:v>
      </x:c>
      <x:c r="Q1241" s="9" t="str">
        <x:v>主站页面自身承接</x:v>
      </x:c>
      <x:c r="R1241" s="9" t="str">
        <x:v>商业词：优先给主站，避免博客抢主站排名</x:v>
      </x:c>
      <x:c r="S1241" s="9" t="str">
        <x:v>SERP 如为商品列表/品牌站/电商集合页，就建主站页面；若 SERP 全是教程，再拆支持文章。</x:v>
      </x:c>
      <x:c r="T1241" s="38" t="n">
        <x:v>4</x:v>
      </x:c>
      <x:c r="U1241" s="38" t="n">
        <x:v>6</x:v>
      </x:c>
      <x:c r="V1241" s="38" t="n">
        <x:v>20</x:v>
      </x:c>
      <x:c r="W1241" s="38" t="n">
        <x:v>7</x:v>
      </x:c>
      <x:c r="X1241" s="38" t="n">
        <x:v>15</x:v>
      </x:c>
      <x:c r="Y1241" s="38" t="n">
        <x:v>4</x:v>
      </x:c>
      <x:c r="Z1241" s="38" t="n">
        <x:f>MAX(0,MIN(100,ROUND(((T1241+U1241+V1241+W1241+X1241)-Y1241)/85*100,0)))</x:f>
        <x:v>56</x:v>
      </x:c>
      <x:c r="AA1241" s="9" t="str">
        <x:f>IF(L1241="暂不做","P3 暂缓",IF(Z1241&gt;=75,"P0 本周做",IF(Z1241&gt;=60,"P1 近期做",IF(Z1241&gt;=45,"P2 备选","P3 暂缓"))))</x:f>
        <x:v>P2 备选</x:v>
      </x:c>
      <x:c r="AB1241" s="9" t="str">
        <x:f>IF(Y1241&gt;=15,"先做合规/相关性复核，不建议直接商业导流",IF(L1241="主站","建/优化主站商业页",IF(L1241="博客A-知识教程","写知识教程/FAQ文章",IF(L1241="博客B-场景人群","写场景需求/选购指南文章",IF(L1241="博客C-对比评测","写对比评测/榜单文章","暂不做或人工复核")))))</x:f>
        <x:v>建/优化主站商业页</x:v>
      </x:c>
      <x:c r="AC1241" s="9" t="str">
        <x:v>purchase cigarettes age</x:v>
      </x:c>
      <x:c r="AD1241" s="10" t="str">
        <x:v>48</x:v>
      </x:c>
    </x:row>
    <x:row r="1242">
      <x:c r="A1242" s="34" t="n">
        <x:v>1242</x:v>
      </x:c>
      <x:c r="B1242" s="9" t="str">
        <x:v>48</x:v>
      </x:c>
      <x:c r="C1242" s="9" t="str">
        <x:v>how old do u have to be to buy nicotine</x:v>
      </x:c>
      <x:c r="D1242" s="9" t="str">
        <x:v>recommended</x:v>
      </x:c>
      <x:c r="E1242" s="36" t="n">
        <x:v>40</x:v>
      </x:c>
      <x:c r="F1242" s="36" t="n">
        <x:v>48</x:v>
      </x:c>
      <x:c r="G1242" s="9" t="str">
        <x:v>informational</x:v>
      </x:c>
      <x:c r="H1242" s="9" t="str">
        <x:v>Nicotine / 尼古丁</x:v>
      </x:c>
      <x:c r="I1242" s="9" t="str">
        <x:v>交易词</x:v>
      </x:c>
      <x:c r="J1242" s="9" t="str">
        <x:v>主站</x:v>
      </x:c>
      <x:c r="K1242" s="9" t="str"/>
      <x:c r="L1242" s="9" t="str">
        <x:f>IF(K1242="",J1242,K1242)</x:f>
        <x:v>主站</x:v>
      </x:c>
      <x:c r="M1242" s="9" t="str">
        <x:v>产品集合页/分类页/购买页</x:v>
      </x:c>
      <x:c r="N1242" s="9" t="str">
        <x:v>主站商业页：标题围绕购买意图 + 品类 + 关键卖点</x:v>
      </x:c>
      <x:c r="O1242" s="9" t="str">
        <x:v>/collections/disposable-vapes</x:v>
      </x:c>
      <x:c r="P1242" s="9" t="str">
        <x:v>不适用</x:v>
      </x:c>
      <x:c r="Q1242" s="9" t="str">
        <x:v>主站页面自身承接</x:v>
      </x:c>
      <x:c r="R1242" s="9" t="str">
        <x:v>商业词：优先给主站，避免博客抢主站排名</x:v>
      </x:c>
      <x:c r="S1242" s="9" t="str">
        <x:v>SERP 如为商品列表/品牌站/电商集合页，就建主站页面；若 SERP 全是教程，再拆支持文章。</x:v>
      </x:c>
      <x:c r="T1242" s="38" t="n">
        <x:v>4</x:v>
      </x:c>
      <x:c r="U1242" s="38" t="n">
        <x:v>6</x:v>
      </x:c>
      <x:c r="V1242" s="38" t="n">
        <x:v>20</x:v>
      </x:c>
      <x:c r="W1242" s="38" t="n">
        <x:v>7</x:v>
      </x:c>
      <x:c r="X1242" s="38" t="n">
        <x:v>15</x:v>
      </x:c>
      <x:c r="Y1242" s="38" t="n">
        <x:v>4</x:v>
      </x:c>
      <x:c r="Z1242" s="38" t="n">
        <x:f>MAX(0,MIN(100,ROUND(((T1242+U1242+V1242+W1242+X1242)-Y1242)/85*100,0)))</x:f>
        <x:v>56</x:v>
      </x:c>
      <x:c r="AA1242" s="9" t="str">
        <x:f>IF(L1242="暂不做","P3 暂缓",IF(Z1242&gt;=75,"P0 本周做",IF(Z1242&gt;=60,"P1 近期做",IF(Z1242&gt;=45,"P2 备选","P3 暂缓"))))</x:f>
        <x:v>P2 备选</x:v>
      </x:c>
      <x:c r="AB1242" s="9" t="str">
        <x:f>IF(Y1242&gt;=15,"先做合规/相关性复核，不建议直接商业导流",IF(L1242="主站","建/优化主站商业页",IF(L1242="博客A-知识教程","写知识教程/FAQ文章",IF(L1242="博客B-场景人群","写场景需求/选购指南文章",IF(L1242="博客C-对比评测","写对比评测/榜单文章","暂不做或人工复核")))))</x:f>
        <x:v>建/优化主站商业页</x:v>
      </x:c>
      <x:c r="AC1242" s="9" t="str">
        <x:v>purchase cigarettes age</x:v>
      </x:c>
      <x:c r="AD1242" s="10" t="str">
        <x:v>48</x:v>
      </x:c>
    </x:row>
    <x:row r="1243">
      <x:c r="A1243" s="34" t="n">
        <x:v>1243</x:v>
      </x:c>
      <x:c r="B1243" s="9" t="str">
        <x:v>48</x:v>
      </x:c>
      <x:c r="C1243" s="9" t="str">
        <x:v>cigarettes age limit</x:v>
      </x:c>
      <x:c r="D1243" s="9" t="str">
        <x:v>recommended</x:v>
      </x:c>
      <x:c r="E1243" s="36" t="n">
        <x:v>110</x:v>
      </x:c>
      <x:c r="F1243" s="36" t="n">
        <x:v>48</x:v>
      </x:c>
      <x:c r="G1243" s="9" t="str">
        <x:v>informational</x:v>
      </x:c>
      <x:c r="H1243" s="9" t="str">
        <x:v>合规科普</x:v>
      </x:c>
      <x:c r="I1243" s="9" t="str">
        <x:v>合规/YMYL科普词</x:v>
      </x:c>
      <x:c r="J1243" s="9" t="str">
        <x:v>博客A-知识教程</x:v>
      </x:c>
      <x:c r="K1243" s="9" t="str"/>
      <x:c r="L1243" s="9" t="str">
        <x:f>IF(K1243="",J1243,K1243)</x:f>
        <x:v>博客A-知识教程</x:v>
      </x:c>
      <x:c r="M1243" s="9" t="str">
        <x:v>合规/健康风险科普文章</x:v>
      </x:c>
      <x:c r="N1243" s="9" t="str">
        <x:v>Guide angle: explain cigarettes age limit, answer common questions, and avoid sales-first writing</x:v>
      </x:c>
      <x:c r="O1243" s="9" t="str">
        <x:v>无商业内链</x:v>
      </x:c>
      <x:c r="P1243" s="9" t="str">
        <x:v>否</x:v>
      </x:c>
      <x:c r="Q1243" s="9" t="str">
        <x:v>不导流</x:v>
      </x:c>
      <x:c r="R1243" s="9" t="str">
        <x:v>高风险：健康、戒烟、法律等 YMYL 主题，不写疗效承诺，不直接卖货</x:v>
      </x:c>
      <x:c r="S1243" s="9" t="str">
        <x:v>需要引用权威资料，语气中立；如果不能做到合规审核，暂缓。</x:v>
      </x:c>
      <x:c r="T1243" s="38" t="n">
        <x:v>7</x:v>
      </x:c>
      <x:c r="U1243" s="38" t="n">
        <x:v>6</x:v>
      </x:c>
      <x:c r="V1243" s="38" t="n">
        <x:v>4</x:v>
      </x:c>
      <x:c r="W1243" s="38" t="n">
        <x:v>10</x:v>
      </x:c>
      <x:c r="X1243" s="38" t="n">
        <x:v>8</x:v>
      </x:c>
      <x:c r="Y1243" s="38" t="n">
        <x:v>15</x:v>
      </x:c>
      <x:c r="Z1243" s="38" t="n">
        <x:f>MAX(0,MIN(100,ROUND(((T1243+U1243+V1243+W1243+X1243)-Y1243)/85*100,0)))</x:f>
        <x:v>24</x:v>
      </x:c>
      <x:c r="AA1243" s="9" t="str">
        <x:f>IF(L1243="暂不做","P3 暂缓",IF(Z1243&gt;=75,"P0 本周做",IF(Z1243&gt;=60,"P1 近期做",IF(Z1243&gt;=45,"P2 备选","P3 暂缓"))))</x:f>
        <x:v>P3 暂缓</x:v>
      </x:c>
      <x:c r="AB1243" s="9" t="str">
        <x:f>IF(Y1243&gt;=15,"先做合规/相关性复核，不建议直接商业导流",IF(L1243="主站","建/优化主站商业页",IF(L1243="博客A-知识教程","写知识教程/FAQ文章",IF(L1243="博客B-场景人群","写场景需求/选购指南文章",IF(L1243="博客C-对比评测","写对比评测/榜单文章","暂不做或人工复核")))))</x:f>
        <x:v>先做合规/相关性复核，不建议直接商业导流</x:v>
      </x:c>
      <x:c r="AC1243" s="9" t="str">
        <x:v>purchase cigarettes age</x:v>
      </x:c>
      <x:c r="AD1243" s="10" t="str">
        <x:v>48</x:v>
      </x:c>
    </x:row>
    <x:row r="1244">
      <x:c r="A1244" s="34" t="n">
        <x:v>1244</x:v>
      </x:c>
      <x:c r="B1244" s="9" t="str">
        <x:v>48</x:v>
      </x:c>
      <x:c r="C1244" s="9" t="str">
        <x:v>how old do you have to be to buy smokes</x:v>
      </x:c>
      <x:c r="D1244" s="9" t="str">
        <x:v>recommended</x:v>
      </x:c>
      <x:c r="E1244" s="36" t="n">
        <x:v>1300</x:v>
      </x:c>
      <x:c r="F1244" s="36" t="n">
        <x:v>48</x:v>
      </x:c>
      <x:c r="G1244" s="9" t="str">
        <x:v>informational</x:v>
      </x:c>
      <x:c r="H1244" s="9" t="str">
        <x:v>竞品/品牌词</x:v>
      </x:c>
      <x:c r="I1244" s="9" t="str">
        <x:v>竞品品牌词</x:v>
      </x:c>
      <x:c r="J1244" s="9" t="str">
        <x:v>暂不做</x:v>
      </x:c>
      <x:c r="K1244" s="9" t="str"/>
      <x:c r="L1244" s="9" t="str">
        <x:f>IF(K1244="",J1244,K1244)</x:f>
        <x:v>暂不做</x:v>
      </x:c>
      <x:c r="M1244" s="9" t="str">
        <x:v>人工确认后再决定</x:v>
      </x:c>
      <x:c r="N1244" s="9" t="str">
        <x:v>人工确认是否可做客观对比</x:v>
      </x:c>
      <x:c r="O1244" s="9" t="str">
        <x:v>无</x:v>
      </x:c>
      <x:c r="P1244" s="9" t="str">
        <x:v>否</x:v>
      </x:c>
      <x:c r="Q1244" s="9" t="str">
        <x:v>不导流</x:v>
      </x:c>
      <x:c r="R1244" s="9" t="str">
        <x:v>中高风险：纯竞品品牌词容易产生商标/相关性问题</x:v>
      </x:c>
      <x:c r="S1244" s="9" t="str">
        <x:v>只有带 alternative / vs / review / best 这类明确比较意图时，才考虑博客C。</x:v>
      </x:c>
      <x:c r="T1244" s="38" t="n">
        <x:v>13</x:v>
      </x:c>
      <x:c r="U1244" s="38" t="n">
        <x:v>6</x:v>
      </x:c>
      <x:c r="V1244" s="38" t="n">
        <x:v>5</x:v>
      </x:c>
      <x:c r="W1244" s="38" t="n">
        <x:v>7</x:v>
      </x:c>
      <x:c r="X1244" s="38" t="n">
        <x:v>4</x:v>
      </x:c>
      <x:c r="Y1244" s="38" t="n">
        <x:v>14</x:v>
      </x:c>
      <x:c r="Z1244" s="38" t="n">
        <x:f>MAX(0,MIN(100,ROUND(((T1244+U1244+V1244+W1244+X1244)-Y1244)/85*100,0)))</x:f>
        <x:v>25</x:v>
      </x:c>
      <x:c r="AA1244" s="9" t="str">
        <x:f>IF(L1244="暂不做","P3 暂缓",IF(Z1244&gt;=75,"P0 本周做",IF(Z1244&gt;=60,"P1 近期做",IF(Z1244&gt;=45,"P2 备选","P3 暂缓"))))</x:f>
        <x:v>P3 暂缓</x:v>
      </x:c>
      <x:c r="AB1244" s="9" t="str">
        <x:f>IF(Y1244&gt;=15,"先做合规/相关性复核，不建议直接商业导流",IF(L1244="主站","建/优化主站商业页",IF(L1244="博客A-知识教程","写知识教程/FAQ文章",IF(L1244="博客B-场景人群","写场景需求/选购指南文章",IF(L1244="博客C-对比评测","写对比评测/榜单文章","暂不做或人工复核")))))</x:f>
        <x:v>暂不做或人工复核</x:v>
      </x:c>
      <x:c r="AC1244" s="9" t="str">
        <x:v>purchase cigarettes age</x:v>
      </x:c>
      <x:c r="AD1244" s="10" t="str">
        <x:v>48</x:v>
      </x:c>
    </x:row>
    <x:row r="1245">
      <x:c r="A1245" s="34" t="n">
        <x:v>1245</x:v>
      </x:c>
      <x:c r="B1245" s="9" t="str">
        <x:v>48</x:v>
      </x:c>
      <x:c r="C1245" s="9" t="str">
        <x:v>cigarette age limit</x:v>
      </x:c>
      <x:c r="D1245" s="9" t="str">
        <x:v>recommended</x:v>
      </x:c>
      <x:c r="E1245" s="36" t="n">
        <x:v>170</x:v>
      </x:c>
      <x:c r="F1245" s="36" t="n">
        <x:v>50</x:v>
      </x:c>
      <x:c r="G1245" s="9" t="str">
        <x:v>informational, commercial</x:v>
      </x:c>
      <x:c r="H1245" s="9" t="str">
        <x:v>合规科普</x:v>
      </x:c>
      <x:c r="I1245" s="9" t="str">
        <x:v>合规/YMYL科普词</x:v>
      </x:c>
      <x:c r="J1245" s="9" t="str">
        <x:v>博客A-知识教程</x:v>
      </x:c>
      <x:c r="K1245" s="9" t="str"/>
      <x:c r="L1245" s="9" t="str">
        <x:f>IF(K1245="",J1245,K1245)</x:f>
        <x:v>博客A-知识教程</x:v>
      </x:c>
      <x:c r="M1245" s="9" t="str">
        <x:v>合规/健康风险科普文章</x:v>
      </x:c>
      <x:c r="N1245" s="9" t="str">
        <x:v>Guide angle: explain cigarette age limit, answer common questions, and avoid sales-first writing</x:v>
      </x:c>
      <x:c r="O1245" s="9" t="str">
        <x:v>无商业内链</x:v>
      </x:c>
      <x:c r="P1245" s="9" t="str">
        <x:v>否</x:v>
      </x:c>
      <x:c r="Q1245" s="9" t="str">
        <x:v>不导流</x:v>
      </x:c>
      <x:c r="R1245" s="9" t="str">
        <x:v>高风险：健康、戒烟、法律等 YMYL 主题，不写疗效承诺，不直接卖货</x:v>
      </x:c>
      <x:c r="S1245" s="9" t="str">
        <x:v>需要引用权威资料，语气中立；如果不能做到合规审核，暂缓。</x:v>
      </x:c>
      <x:c r="T1245" s="38" t="n">
        <x:v>7</x:v>
      </x:c>
      <x:c r="U1245" s="38" t="n">
        <x:v>6</x:v>
      </x:c>
      <x:c r="V1245" s="38" t="n">
        <x:v>4</x:v>
      </x:c>
      <x:c r="W1245" s="38" t="n">
        <x:v>10</x:v>
      </x:c>
      <x:c r="X1245" s="38" t="n">
        <x:v>8</x:v>
      </x:c>
      <x:c r="Y1245" s="38" t="n">
        <x:v>15</x:v>
      </x:c>
      <x:c r="Z1245" s="38" t="n">
        <x:f>MAX(0,MIN(100,ROUND(((T1245+U1245+V1245+W1245+X1245)-Y1245)/85*100,0)))</x:f>
        <x:v>24</x:v>
      </x:c>
      <x:c r="AA1245" s="9" t="str">
        <x:f>IF(L1245="暂不做","P3 暂缓",IF(Z1245&gt;=75,"P0 本周做",IF(Z1245&gt;=60,"P1 近期做",IF(Z1245&gt;=45,"P2 备选","P3 暂缓"))))</x:f>
        <x:v>P3 暂缓</x:v>
      </x:c>
      <x:c r="AB1245" s="9" t="str">
        <x:f>IF(Y1245&gt;=15,"先做合规/相关性复核，不建议直接商业导流",IF(L1245="主站","建/优化主站商业页",IF(L1245="博客A-知识教程","写知识教程/FAQ文章",IF(L1245="博客B-场景人群","写场景需求/选购指南文章",IF(L1245="博客C-对比评测","写对比评测/榜单文章","暂不做或人工复核")))))</x:f>
        <x:v>先做合规/相关性复核，不建议直接商业导流</x:v>
      </x:c>
      <x:c r="AC1245" s="9" t="str">
        <x:v>purchase cigarettes age</x:v>
      </x:c>
      <x:c r="AD1245" s="10" t="str">
        <x:v>48</x:v>
      </x:c>
    </x:row>
    <x:row r="1246">
      <x:c r="A1246" s="34" t="n">
        <x:v>1246</x:v>
      </x:c>
      <x:c r="B1246" s="9" t="str">
        <x:v>48</x:v>
      </x:c>
      <x:c r="C1246" s="9" t="str">
        <x:v>tobacco purchase age</x:v>
      </x:c>
      <x:c r="D1246" s="9" t="str">
        <x:v>recommended</x:v>
      </x:c>
      <x:c r="E1246" s="36" t="n">
        <x:v>210</x:v>
      </x:c>
      <x:c r="F1246" s="36" t="n">
        <x:v>50</x:v>
      </x:c>
      <x:c r="G1246" s="9" t="str">
        <x:v>informational, transactional</x:v>
      </x:c>
      <x:c r="H1246" s="9" t="str">
        <x:v>合规科普</x:v>
      </x:c>
      <x:c r="I1246" s="9" t="str">
        <x:v>合规/YMYL科普词</x:v>
      </x:c>
      <x:c r="J1246" s="9" t="str">
        <x:v>博客A-知识教程</x:v>
      </x:c>
      <x:c r="K1246" s="9" t="str"/>
      <x:c r="L1246" s="9" t="str">
        <x:f>IF(K1246="",J1246,K1246)</x:f>
        <x:v>博客A-知识教程</x:v>
      </x:c>
      <x:c r="M1246" s="9" t="str">
        <x:v>合规/健康风险科普文章</x:v>
      </x:c>
      <x:c r="N1246" s="9" t="str">
        <x:v>Guide angle: explain tobacco purchase age, answer common questions, and avoid sales-first writing</x:v>
      </x:c>
      <x:c r="O1246" s="9" t="str">
        <x:v>无商业内链</x:v>
      </x:c>
      <x:c r="P1246" s="9" t="str">
        <x:v>否</x:v>
      </x:c>
      <x:c r="Q1246" s="9" t="str">
        <x:v>不导流</x:v>
      </x:c>
      <x:c r="R1246" s="9" t="str">
        <x:v>高风险：健康、戒烟、法律等 YMYL 主题，不写疗效承诺，不直接卖货</x:v>
      </x:c>
      <x:c r="S1246" s="9" t="str">
        <x:v>需要引用权威资料，语气中立；如果不能做到合规审核，暂缓。</x:v>
      </x:c>
      <x:c r="T1246" s="38" t="n">
        <x:v>7</x:v>
      </x:c>
      <x:c r="U1246" s="38" t="n">
        <x:v>6</x:v>
      </x:c>
      <x:c r="V1246" s="38" t="n">
        <x:v>4</x:v>
      </x:c>
      <x:c r="W1246" s="38" t="n">
        <x:v>10</x:v>
      </x:c>
      <x:c r="X1246" s="38" t="n">
        <x:v>8</x:v>
      </x:c>
      <x:c r="Y1246" s="38" t="n">
        <x:v>15</x:v>
      </x:c>
      <x:c r="Z1246" s="38" t="n">
        <x:f>MAX(0,MIN(100,ROUND(((T1246+U1246+V1246+W1246+X1246)-Y1246)/85*100,0)))</x:f>
        <x:v>24</x:v>
      </x:c>
      <x:c r="AA1246" s="9" t="str">
        <x:f>IF(L1246="暂不做","P3 暂缓",IF(Z1246&gt;=75,"P0 本周做",IF(Z1246&gt;=60,"P1 近期做",IF(Z1246&gt;=45,"P2 备选","P3 暂缓"))))</x:f>
        <x:v>P3 暂缓</x:v>
      </x:c>
      <x:c r="AB1246" s="9" t="str">
        <x:f>IF(Y1246&gt;=15,"先做合规/相关性复核，不建议直接商业导流",IF(L1246="主站","建/优化主站商业页",IF(L1246="博客A-知识教程","写知识教程/FAQ文章",IF(L1246="博客B-场景人群","写场景需求/选购指南文章",IF(L1246="博客C-对比评测","写对比评测/榜单文章","暂不做或人工复核")))))</x:f>
        <x:v>先做合规/相关性复核，不建议直接商业导流</x:v>
      </x:c>
      <x:c r="AC1246" s="9" t="str">
        <x:v>purchase cigarettes age</x:v>
      </x:c>
      <x:c r="AD1246" s="10" t="str">
        <x:v>48</x:v>
      </x:c>
    </x:row>
    <x:row r="1247">
      <x:c r="A1247" s="34" t="n">
        <x:v>1247</x:v>
      </x:c>
      <x:c r="B1247" s="9" t="str">
        <x:v>48</x:v>
      </x:c>
      <x:c r="C1247" s="9" t="str">
        <x:v>e cigarette legal age</x:v>
      </x:c>
      <x:c r="D1247" s="9" t="str">
        <x:v>recommended</x:v>
      </x:c>
      <x:c r="E1247" s="36" t="n">
        <x:v>590</x:v>
      </x:c>
      <x:c r="F1247" s="36" t="n">
        <x:v>53</x:v>
      </x:c>
      <x:c r="G1247" s="9" t="str">
        <x:v>informational, commercial</x:v>
      </x:c>
      <x:c r="H1247" s="9" t="str">
        <x:v>合规科普</x:v>
      </x:c>
      <x:c r="I1247" s="9" t="str">
        <x:v>合规/YMYL科普词</x:v>
      </x:c>
      <x:c r="J1247" s="9" t="str">
        <x:v>博客A-知识教程</x:v>
      </x:c>
      <x:c r="K1247" s="9" t="str"/>
      <x:c r="L1247" s="9" t="str">
        <x:f>IF(K1247="",J1247,K1247)</x:f>
        <x:v>博客A-知识教程</x:v>
      </x:c>
      <x:c r="M1247" s="9" t="str">
        <x:v>合规/健康风险科普文章</x:v>
      </x:c>
      <x:c r="N1247" s="9" t="str">
        <x:v>Guide angle: explain e cigarette legal age, answer common questions, and avoid sales-first writing</x:v>
      </x:c>
      <x:c r="O1247" s="9" t="str">
        <x:v>无商业内链</x:v>
      </x:c>
      <x:c r="P1247" s="9" t="str">
        <x:v>否</x:v>
      </x:c>
      <x:c r="Q1247" s="9" t="str">
        <x:v>不导流</x:v>
      </x:c>
      <x:c r="R1247" s="9" t="str">
        <x:v>高风险：健康、戒烟、法律等 YMYL 主题，不写疗效承诺，不直接卖货</x:v>
      </x:c>
      <x:c r="S1247" s="9" t="str">
        <x:v>需要引用权威资料，语气中立；如果不能做到合规审核，暂缓。</x:v>
      </x:c>
      <x:c r="T1247" s="38" t="n">
        <x:v>10</x:v>
      </x:c>
      <x:c r="U1247" s="38" t="n">
        <x:v>6</x:v>
      </x:c>
      <x:c r="V1247" s="38" t="n">
        <x:v>4</x:v>
      </x:c>
      <x:c r="W1247" s="38" t="n">
        <x:v>10</x:v>
      </x:c>
      <x:c r="X1247" s="38" t="n">
        <x:v>8</x:v>
      </x:c>
      <x:c r="Y1247" s="38" t="n">
        <x:v>15</x:v>
      </x:c>
      <x:c r="Z1247" s="38" t="n">
        <x:f>MAX(0,MIN(100,ROUND(((T1247+U1247+V1247+W1247+X1247)-Y1247)/85*100,0)))</x:f>
        <x:v>27</x:v>
      </x:c>
      <x:c r="AA1247" s="9" t="str">
        <x:f>IF(L1247="暂不做","P3 暂缓",IF(Z1247&gt;=75,"P0 本周做",IF(Z1247&gt;=60,"P1 近期做",IF(Z1247&gt;=45,"P2 备选","P3 暂缓"))))</x:f>
        <x:v>P3 暂缓</x:v>
      </x:c>
      <x:c r="AB1247" s="9" t="str">
        <x:f>IF(Y1247&gt;=15,"先做合规/相关性复核，不建议直接商业导流",IF(L1247="主站","建/优化主站商业页",IF(L1247="博客A-知识教程","写知识教程/FAQ文章",IF(L1247="博客B-场景人群","写场景需求/选购指南文章",IF(L1247="博客C-对比评测","写对比评测/榜单文章","暂不做或人工复核")))))</x:f>
        <x:v>先做合规/相关性复核，不建议直接商业导流</x:v>
      </x:c>
      <x:c r="AC1247" s="9" t="str">
        <x:v>purchase cigarettes age</x:v>
      </x:c>
      <x:c r="AD1247" s="10" t="str">
        <x:v>48</x:v>
      </x:c>
    </x:row>
    <x:row r="1248">
      <x:c r="A1248" s="34" t="n">
        <x:v>1248</x:v>
      </x:c>
      <x:c r="B1248" s="9" t="str">
        <x:v>48</x:v>
      </x:c>
      <x:c r="C1248" s="9" t="str">
        <x:v>how old to buy cigarettes</x:v>
      </x:c>
      <x:c r="D1248" s="9" t="str">
        <x:v>recommended</x:v>
      </x:c>
      <x:c r="E1248" s="36" t="n">
        <x:v>2400</x:v>
      </x:c>
      <x:c r="F1248" s="36" t="n">
        <x:v>54</x:v>
      </x:c>
      <x:c r="G1248" s="9" t="str">
        <x:v>informational</x:v>
      </x:c>
      <x:c r="H1248" s="9" t="str">
        <x:v>E-Cigarette</x:v>
      </x:c>
      <x:c r="I1248" s="9" t="str">
        <x:v>交易词</x:v>
      </x:c>
      <x:c r="J1248" s="9" t="str">
        <x:v>主站</x:v>
      </x:c>
      <x:c r="K1248" s="9" t="str"/>
      <x:c r="L1248" s="9" t="str">
        <x:f>IF(K1248="",J1248,K1248)</x:f>
        <x:v>主站</x:v>
      </x:c>
      <x:c r="M1248" s="9" t="str">
        <x:v>产品集合页/分类页/购买页</x:v>
      </x:c>
      <x:c r="N1248" s="9" t="str">
        <x:v>主站商业页：标题围绕购买意图 + 品类 + 关键卖点</x:v>
      </x:c>
      <x:c r="O1248" s="9" t="str">
        <x:v>/collections/e-cigarettes</x:v>
      </x:c>
      <x:c r="P1248" s="9" t="str">
        <x:v>不适用</x:v>
      </x:c>
      <x:c r="Q1248" s="9" t="str">
        <x:v>主站页面自身承接</x:v>
      </x:c>
      <x:c r="R1248" s="9" t="str">
        <x:v>商业词：优先给主站，避免博客抢主站排名</x:v>
      </x:c>
      <x:c r="S1248" s="9" t="str">
        <x:v>SERP 如为商品列表/品牌站/电商集合页，就建主站页面；若 SERP 全是教程，再拆支持文章。</x:v>
      </x:c>
      <x:c r="T1248" s="38" t="n">
        <x:v>13</x:v>
      </x:c>
      <x:c r="U1248" s="38" t="n">
        <x:v>6</x:v>
      </x:c>
      <x:c r="V1248" s="38" t="n">
        <x:v>20</x:v>
      </x:c>
      <x:c r="W1248" s="38" t="n">
        <x:v>7</x:v>
      </x:c>
      <x:c r="X1248" s="38" t="n">
        <x:v>15</x:v>
      </x:c>
      <x:c r="Y1248" s="38" t="n">
        <x:v>4</x:v>
      </x:c>
      <x:c r="Z1248" s="38" t="n">
        <x:f>MAX(0,MIN(100,ROUND(((T1248+U1248+V1248+W1248+X1248)-Y1248)/85*100,0)))</x:f>
        <x:v>67</x:v>
      </x:c>
      <x:c r="AA1248" s="9" t="str">
        <x:f>IF(L1248="暂不做","P3 暂缓",IF(Z1248&gt;=75,"P0 本周做",IF(Z1248&gt;=60,"P1 近期做",IF(Z1248&gt;=45,"P2 备选","P3 暂缓"))))</x:f>
        <x:v>P1 近期做</x:v>
      </x:c>
      <x:c r="AB1248" s="9" t="str">
        <x:f>IF(Y1248&gt;=15,"先做合规/相关性复核，不建议直接商业导流",IF(L1248="主站","建/优化主站商业页",IF(L1248="博客A-知识教程","写知识教程/FAQ文章",IF(L1248="博客B-场景人群","写场景需求/选购指南文章",IF(L1248="博客C-对比评测","写对比评测/榜单文章","暂不做或人工复核")))))</x:f>
        <x:v>建/优化主站商业页</x:v>
      </x:c>
      <x:c r="AC1248" s="9" t="str">
        <x:v>purchase cigarettes age</x:v>
      </x:c>
      <x:c r="AD1248" s="10" t="str">
        <x:v>48</x:v>
      </x:c>
    </x:row>
    <x:row r="1249">
      <x:c r="A1249" s="34" t="n">
        <x:v>1249</x:v>
      </x:c>
      <x:c r="B1249" s="9" t="str">
        <x:v>48</x:v>
      </x:c>
      <x:c r="C1249" s="9" t="str">
        <x:v>best portable vape</x:v>
      </x:c>
      <x:c r="D1249" s="9" t="str">
        <x:v>recommended</x:v>
      </x:c>
      <x:c r="E1249" s="36" t="n">
        <x:v>90</x:v>
      </x:c>
      <x:c r="F1249" s="36" t="n">
        <x:v>21</x:v>
      </x:c>
      <x:c r="G1249" s="9" t="str">
        <x:v>commercial</x:v>
      </x:c>
      <x:c r="H1249" s="9" t="str">
        <x:v>对比评测</x:v>
      </x:c>
      <x:c r="I1249" s="9" t="str">
        <x:v>商业调查词</x:v>
      </x:c>
      <x:c r="J1249" s="9" t="str">
        <x:v>博客C-对比评测</x:v>
      </x:c>
      <x:c r="K1249" s="9" t="str"/>
      <x:c r="L1249" s="9" t="str">
        <x:f>IF(K1249="",J1249,K1249)</x:f>
        <x:v>博客C-对比评测</x:v>
      </x:c>
      <x:c r="M1249" s="9" t="str">
        <x:v>Best/Top/Review/VS/替代方案文章</x:v>
      </x:c>
      <x:c r="N1249" s="9" t="str">
        <x:v>Best angle: best portable vape - comparison, pros/cons, and which option fits different buyers</x:v>
      </x:c>
      <x:c r="O1249" s="9" t="str">
        <x:v>/collections/disposable-vapes</x:v>
      </x:c>
      <x:c r="P1249" s="9" t="str">
        <x:v>是</x:v>
      </x:c>
      <x:c r="Q1249" s="9" t="str">
        <x:v>自然句/品类词/品牌词</x:v>
      </x:c>
      <x:c r="R1249" s="9" t="str">
        <x:v>中风险：榜单和评测必须真实、中立，避免夸大</x:v>
      </x:c>
      <x:c r="S1249" s="9" t="str">
        <x:v>这类词不直接给主站，先用博客C教育和比较，再导流到最相关集合页。</x:v>
      </x:c>
      <x:c r="T1249" s="38" t="n">
        <x:v>4</x:v>
      </x:c>
      <x:c r="U1249" s="38" t="n">
        <x:v>12</x:v>
      </x:c>
      <x:c r="V1249" s="38" t="n">
        <x:v>16</x:v>
      </x:c>
      <x:c r="W1249" s="38" t="n">
        <x:v>15</x:v>
      </x:c>
      <x:c r="X1249" s="38" t="n">
        <x:v>13</x:v>
      </x:c>
      <x:c r="Y1249" s="38" t="n">
        <x:v>6</x:v>
      </x:c>
      <x:c r="Z1249" s="38" t="n">
        <x:f>MAX(0,MIN(100,ROUND(((T1249+U1249+V1249+W1249+X1249)-Y1249)/85*100,0)))</x:f>
        <x:v>64</x:v>
      </x:c>
      <x:c r="AA1249" s="9" t="str">
        <x:f>IF(L1249="暂不做","P3 暂缓",IF(Z1249&gt;=75,"P0 本周做",IF(Z1249&gt;=60,"P1 近期做",IF(Z1249&gt;=45,"P2 备选","P3 暂缓"))))</x:f>
        <x:v>P1 近期做</x:v>
      </x:c>
      <x:c r="AB1249" s="9" t="str">
        <x:f>IF(Y1249&gt;=15,"先做合规/相关性复核，不建议直接商业导流",IF(L1249="主站","建/优化主站商业页",IF(L1249="博客A-知识教程","写知识教程/FAQ文章",IF(L1249="博客B-场景人群","写场景需求/选购指南文章",IF(L1249="博客C-对比评测","写对比评测/榜单文章","暂不做或人工复核")))))</x:f>
        <x:v>写对比评测/榜单文章</x:v>
      </x:c>
      <x:c r="AC1249" s="9" t="str">
        <x:v>best portable vape</x:v>
      </x:c>
      <x:c r="AD1249" s="10" t="str">
        <x:v>48</x:v>
      </x:c>
    </x:row>
    <x:row r="1250">
      <x:c r="A1250" s="34" t="n">
        <x:v>1250</x:v>
      </x:c>
      <x:c r="B1250" s="9" t="str">
        <x:v>48</x:v>
      </x:c>
      <x:c r="C1250" s="9" t="str">
        <x:v>best vaping pen</x:v>
      </x:c>
      <x:c r="D1250" s="9" t="str">
        <x:v>recommended</x:v>
      </x:c>
      <x:c r="E1250" s="36" t="n">
        <x:v>40</x:v>
      </x:c>
      <x:c r="F1250" s="36" t="n">
        <x:v>22</x:v>
      </x:c>
      <x:c r="G1250" s="9" t="str">
        <x:v>commercial</x:v>
      </x:c>
      <x:c r="H1250" s="9" t="str">
        <x:v>对比评测</x:v>
      </x:c>
      <x:c r="I1250" s="9" t="str">
        <x:v>商业调查词</x:v>
      </x:c>
      <x:c r="J1250" s="9" t="str">
        <x:v>博客C-对比评测</x:v>
      </x:c>
      <x:c r="K1250" s="9" t="str"/>
      <x:c r="L1250" s="9" t="str">
        <x:f>IF(K1250="",J1250,K1250)</x:f>
        <x:v>博客C-对比评测</x:v>
      </x:c>
      <x:c r="M1250" s="9" t="str">
        <x:v>Best/Top/Review/VS/替代方案文章</x:v>
      </x:c>
      <x:c r="N1250" s="9" t="str">
        <x:v>Best angle: best vaping pen - comparison, pros/cons, and which option fits different buyers</x:v>
      </x:c>
      <x:c r="O1250" s="9" t="str">
        <x:v>/collections/disposable-vapes</x:v>
      </x:c>
      <x:c r="P1250" s="9" t="str">
        <x:v>是</x:v>
      </x:c>
      <x:c r="Q1250" s="9" t="str">
        <x:v>自然句/品类词/品牌词</x:v>
      </x:c>
      <x:c r="R1250" s="9" t="str">
        <x:v>中风险：榜单和评测必须真实、中立，避免夸大</x:v>
      </x:c>
      <x:c r="S1250" s="9" t="str">
        <x:v>这类词不直接给主站，先用博客C教育和比较，再导流到最相关集合页。</x:v>
      </x:c>
      <x:c r="T1250" s="38" t="n">
        <x:v>4</x:v>
      </x:c>
      <x:c r="U1250" s="38" t="n">
        <x:v>12</x:v>
      </x:c>
      <x:c r="V1250" s="38" t="n">
        <x:v>16</x:v>
      </x:c>
      <x:c r="W1250" s="38" t="n">
        <x:v>15</x:v>
      </x:c>
      <x:c r="X1250" s="38" t="n">
        <x:v>13</x:v>
      </x:c>
      <x:c r="Y1250" s="38" t="n">
        <x:v>6</x:v>
      </x:c>
      <x:c r="Z1250" s="38" t="n">
        <x:f>MAX(0,MIN(100,ROUND(((T1250+U1250+V1250+W1250+X1250)-Y1250)/85*100,0)))</x:f>
        <x:v>64</x:v>
      </x:c>
      <x:c r="AA1250" s="9" t="str">
        <x:f>IF(L1250="暂不做","P3 暂缓",IF(Z1250&gt;=75,"P0 本周做",IF(Z1250&gt;=60,"P1 近期做",IF(Z1250&gt;=45,"P2 备选","P3 暂缓"))))</x:f>
        <x:v>P1 近期做</x:v>
      </x:c>
      <x:c r="AB1250" s="9" t="str">
        <x:f>IF(Y1250&gt;=15,"先做合规/相关性复核，不建议直接商业导流",IF(L1250="主站","建/优化主站商业页",IF(L1250="博客A-知识教程","写知识教程/FAQ文章",IF(L1250="博客B-场景人群","写场景需求/选购指南文章",IF(L1250="博客C-对比评测","写对比评测/榜单文章","暂不做或人工复核")))))</x:f>
        <x:v>写对比评测/榜单文章</x:v>
      </x:c>
      <x:c r="AC1250" s="9" t="str">
        <x:v>best portable vape</x:v>
      </x:c>
      <x:c r="AD1250" s="10" t="str">
        <x:v>48</x:v>
      </x:c>
    </x:row>
    <x:row r="1251">
      <x:c r="A1251" s="34" t="n">
        <x:v>1251</x:v>
      </x:c>
      <x:c r="B1251" s="9" t="str">
        <x:v>48</x:v>
      </x:c>
      <x:c r="C1251" s="9" t="str">
        <x:v>ecigarette reviews</x:v>
      </x:c>
      <x:c r="D1251" s="9" t="str">
        <x:v>recommended</x:v>
      </x:c>
      <x:c r="E1251" s="36" t="n">
        <x:v>2900</x:v>
      </x:c>
      <x:c r="F1251" s="36" t="n">
        <x:v>25</x:v>
      </x:c>
      <x:c r="G1251" s="9" t="str">
        <x:v>commercial</x:v>
      </x:c>
      <x:c r="H1251" s="9" t="str">
        <x:v>E-Cigarette</x:v>
      </x:c>
      <x:c r="I1251" s="9" t="str">
        <x:v>商业调查词</x:v>
      </x:c>
      <x:c r="J1251" s="9" t="str">
        <x:v>博客C-对比评测</x:v>
      </x:c>
      <x:c r="K1251" s="9" t="str"/>
      <x:c r="L1251" s="9" t="str">
        <x:f>IF(K1251="",J1251,K1251)</x:f>
        <x:v>博客C-对比评测</x:v>
      </x:c>
      <x:c r="M1251" s="9" t="str">
        <x:v>Best/Top/Review/VS/替代方案文章</x:v>
      </x:c>
      <x:c r="N1251" s="9" t="str">
        <x:v>Best angle: ecigarette reviews - comparison, pros/cons, and which option fits different buyers</x:v>
      </x:c>
      <x:c r="O1251" s="9" t="str">
        <x:v>/collections/e-cigarettes</x:v>
      </x:c>
      <x:c r="P1251" s="9" t="str">
        <x:v>是</x:v>
      </x:c>
      <x:c r="Q1251" s="9" t="str">
        <x:v>自然句/品类词/品牌词</x:v>
      </x:c>
      <x:c r="R1251" s="9" t="str">
        <x:v>中风险：榜单和评测必须真实、中立，避免夸大</x:v>
      </x:c>
      <x:c r="S1251" s="9" t="str">
        <x:v>这类词不直接给主站，先用博客C教育和比较，再导流到最相关集合页。</x:v>
      </x:c>
      <x:c r="T1251" s="38" t="n">
        <x:v>13</x:v>
      </x:c>
      <x:c r="U1251" s="38" t="n">
        <x:v>12</x:v>
      </x:c>
      <x:c r="V1251" s="38" t="n">
        <x:v>16</x:v>
      </x:c>
      <x:c r="W1251" s="38" t="n">
        <x:v>15</x:v>
      </x:c>
      <x:c r="X1251" s="38" t="n">
        <x:v>13</x:v>
      </x:c>
      <x:c r="Y1251" s="38" t="n">
        <x:v>6</x:v>
      </x:c>
      <x:c r="Z1251" s="38" t="n">
        <x:f>MAX(0,MIN(100,ROUND(((T1251+U1251+V1251+W1251+X1251)-Y1251)/85*100,0)))</x:f>
        <x:v>74</x:v>
      </x:c>
      <x:c r="AA1251" s="9" t="str">
        <x:f>IF(L1251="暂不做","P3 暂缓",IF(Z1251&gt;=75,"P0 本周做",IF(Z1251&gt;=60,"P1 近期做",IF(Z1251&gt;=45,"P2 备选","P3 暂缓"))))</x:f>
        <x:v>P1 近期做</x:v>
      </x:c>
      <x:c r="AB1251" s="9" t="str">
        <x:f>IF(Y1251&gt;=15,"先做合规/相关性复核，不建议直接商业导流",IF(L1251="主站","建/优化主站商业页",IF(L1251="博客A-知识教程","写知识教程/FAQ文章",IF(L1251="博客B-场景人群","写场景需求/选购指南文章",IF(L1251="博客C-对比评测","写对比评测/榜单文章","暂不做或人工复核")))))</x:f>
        <x:v>写对比评测/榜单文章</x:v>
      </x:c>
      <x:c r="AC1251" s="9" t="str">
        <x:v>best portable vape</x:v>
      </x:c>
      <x:c r="AD1251" s="10" t="str">
        <x:v>48</x:v>
      </x:c>
    </x:row>
    <x:row r="1252">
      <x:c r="A1252" s="34" t="n">
        <x:v>1252</x:v>
      </x:c>
      <x:c r="B1252" s="9" t="str">
        <x:v>48</x:v>
      </x:c>
      <x:c r="C1252" s="9" t="str">
        <x:v>portable flower vape</x:v>
      </x:c>
      <x:c r="D1252" s="9" t="str">
        <x:v>recommended</x:v>
      </x:c>
      <x:c r="E1252" s="36" t="n">
        <x:v>50</x:v>
      </x:c>
      <x:c r="F1252" s="36" t="n">
        <x:v>52</x:v>
      </x:c>
      <x:c r="G1252" s="9" t="str">
        <x:v>commercial</x:v>
      </x:c>
      <x:c r="H1252" s="9" t="str">
        <x:v>General Vape</x:v>
      </x:c>
      <x:c r="I1252" s="9" t="str">
        <x:v>品类承接词</x:v>
      </x:c>
      <x:c r="J1252" s="9" t="str">
        <x:v>主站</x:v>
      </x:c>
      <x:c r="K1252" s="9" t="str"/>
      <x:c r="L1252" s="9" t="str">
        <x:f>IF(K1252="",J1252,K1252)</x:f>
        <x:v>主站</x:v>
      </x:c>
      <x:c r="M1252" s="9" t="str">
        <x:v>品类页/集合页 + FAQ内容块</x:v>
      </x:c>
      <x:c r="N1252" s="9" t="str">
        <x:v>主站品类页：用产品集合 + 选购说明承接</x:v>
      </x:c>
      <x:c r="O1252" s="9" t="str">
        <x:v>/collections/disposable-vapes</x:v>
      </x:c>
      <x:c r="P1252" s="9" t="str">
        <x:v>不适用</x:v>
      </x:c>
      <x:c r="Q1252" s="9" t="str">
        <x:v>主站页面自身承接</x:v>
      </x:c>
      <x:c r="R1252" s="9" t="str">
        <x:v>核心品类词：主站优先，博客只做长尾解释，不直接抢同一词</x:v>
      </x:c>
      <x:c r="S1252" s="9" t="str">
        <x:v>如果 Google 首页产品页和指南混合，主站页要加 FAQ、选购指南、对比模块。</x:v>
      </x:c>
      <x:c r="T1252" s="38" t="n">
        <x:v>4</x:v>
      </x:c>
      <x:c r="U1252" s="38" t="n">
        <x:v>6</x:v>
      </x:c>
      <x:c r="V1252" s="38" t="n">
        <x:v>18</x:v>
      </x:c>
      <x:c r="W1252" s="38" t="n">
        <x:v>8</x:v>
      </x:c>
      <x:c r="X1252" s="38" t="n">
        <x:v>15</x:v>
      </x:c>
      <x:c r="Y1252" s="38" t="n">
        <x:v>4</x:v>
      </x:c>
      <x:c r="Z1252" s="38" t="n">
        <x:f>MAX(0,MIN(100,ROUND(((T1252+U1252+V1252+W1252+X1252)-Y1252)/85*100,0)))</x:f>
        <x:v>55</x:v>
      </x:c>
      <x:c r="AA1252" s="9" t="str">
        <x:f>IF(L1252="暂不做","P3 暂缓",IF(Z1252&gt;=75,"P0 本周做",IF(Z1252&gt;=60,"P1 近期做",IF(Z1252&gt;=45,"P2 备选","P3 暂缓"))))</x:f>
        <x:v>P2 备选</x:v>
      </x:c>
      <x:c r="AB1252" s="9" t="str">
        <x:f>IF(Y1252&gt;=15,"先做合规/相关性复核，不建议直接商业导流",IF(L1252="主站","建/优化主站商业页",IF(L1252="博客A-知识教程","写知识教程/FAQ文章",IF(L1252="博客B-场景人群","写场景需求/选购指南文章",IF(L1252="博客C-对比评测","写对比评测/榜单文章","暂不做或人工复核")))))</x:f>
        <x:v>建/优化主站商业页</x:v>
      </x:c>
      <x:c r="AC1252" s="9" t="str">
        <x:v>best portable vape</x:v>
      </x:c>
      <x:c r="AD1252" s="10" t="str">
        <x:v>48</x:v>
      </x:c>
    </x:row>
    <x:row r="1253">
      <x:c r="A1253" s="34" t="n">
        <x:v>1253</x:v>
      </x:c>
      <x:c r="B1253" s="9" t="str">
        <x:v>48</x:v>
      </x:c>
      <x:c r="C1253" s="9" t="str">
        <x:v>vaping herbs</x:v>
      </x:c>
      <x:c r="D1253" s="9" t="str">
        <x:v>recommended</x:v>
      </x:c>
      <x:c r="E1253" s="36" t="n">
        <x:v>1900</x:v>
      </x:c>
      <x:c r="F1253" s="36" t="n">
        <x:v>30</x:v>
      </x:c>
      <x:c r="G1253" s="9" t="str">
        <x:v>informational</x:v>
      </x:c>
      <x:c r="H1253" s="9" t="str">
        <x:v>General Vape</x:v>
      </x:c>
      <x:c r="I1253" s="9" t="str">
        <x:v>品类承接词</x:v>
      </x:c>
      <x:c r="J1253" s="9" t="str">
        <x:v>主站</x:v>
      </x:c>
      <x:c r="K1253" s="9" t="str"/>
      <x:c r="L1253" s="9" t="str">
        <x:f>IF(K1253="",J1253,K1253)</x:f>
        <x:v>主站</x:v>
      </x:c>
      <x:c r="M1253" s="9" t="str">
        <x:v>品类页/集合页 + FAQ内容块</x:v>
      </x:c>
      <x:c r="N1253" s="9" t="str">
        <x:v>主站品类页：用产品集合 + 选购说明承接</x:v>
      </x:c>
      <x:c r="O1253" s="9" t="str">
        <x:v>/collections/disposable-vapes</x:v>
      </x:c>
      <x:c r="P1253" s="9" t="str">
        <x:v>不适用</x:v>
      </x:c>
      <x:c r="Q1253" s="9" t="str">
        <x:v>主站页面自身承接</x:v>
      </x:c>
      <x:c r="R1253" s="9" t="str">
        <x:v>核心品类词：主站优先，博客只做长尾解释，不直接抢同一词</x:v>
      </x:c>
      <x:c r="S1253" s="9" t="str">
        <x:v>如果 Google 首页产品页和指南混合，主站页要加 FAQ、选购指南、对比模块。</x:v>
      </x:c>
      <x:c r="T1253" s="38" t="n">
        <x:v>13</x:v>
      </x:c>
      <x:c r="U1253" s="38" t="n">
        <x:v>12</x:v>
      </x:c>
      <x:c r="V1253" s="38" t="n">
        <x:v>16</x:v>
      </x:c>
      <x:c r="W1253" s="38" t="n">
        <x:v>8</x:v>
      </x:c>
      <x:c r="X1253" s="38" t="n">
        <x:v>15</x:v>
      </x:c>
      <x:c r="Y1253" s="38" t="n">
        <x:v>4</x:v>
      </x:c>
      <x:c r="Z1253" s="38" t="n">
        <x:f>MAX(0,MIN(100,ROUND(((T1253+U1253+V1253+W1253+X1253)-Y1253)/85*100,0)))</x:f>
        <x:v>71</x:v>
      </x:c>
      <x:c r="AA1253" s="9" t="str">
        <x:f>IF(L1253="暂不做","P3 暂缓",IF(Z1253&gt;=75,"P0 本周做",IF(Z1253&gt;=60,"P1 近期做",IF(Z1253&gt;=45,"P2 备选","P3 暂缓"))))</x:f>
        <x:v>P1 近期做</x:v>
      </x:c>
      <x:c r="AB1253" s="9" t="str">
        <x:f>IF(Y1253&gt;=15,"先做合规/相关性复核，不建议直接商业导流",IF(L1253="主站","建/优化主站商业页",IF(L1253="博客A-知识教程","写知识教程/FAQ文章",IF(L1253="博客B-场景人群","写场景需求/选购指南文章",IF(L1253="博客C-对比评测","写对比评测/榜单文章","暂不做或人工复核")))))</x:f>
        <x:v>建/优化主站商业页</x:v>
      </x:c>
      <x:c r="AC1253" s="9" t="str">
        <x:v>best portable vape</x:v>
      </x:c>
      <x:c r="AD1253" s="10" t="str">
        <x:v>48</x:v>
      </x:c>
    </x:row>
    <x:row r="1254">
      <x:c r="A1254" s="34" t="n">
        <x:v>1254</x:v>
      </x:c>
      <x:c r="B1254" s="9" t="str">
        <x:v>48</x:v>
      </x:c>
      <x:c r="C1254" s="9" t="str">
        <x:v>best vaporizer</x:v>
      </x:c>
      <x:c r="D1254" s="9" t="str">
        <x:v>recommended</x:v>
      </x:c>
      <x:c r="E1254" s="36" t="n">
        <x:v>1900</x:v>
      </x:c>
      <x:c r="F1254" s="36" t="n">
        <x:v>34</x:v>
      </x:c>
      <x:c r="G1254" s="9" t="str">
        <x:v>commercial</x:v>
      </x:c>
      <x:c r="H1254" s="9" t="str">
        <x:v>对比评测</x:v>
      </x:c>
      <x:c r="I1254" s="9" t="str">
        <x:v>商业调查词</x:v>
      </x:c>
      <x:c r="J1254" s="9" t="str">
        <x:v>博客C-对比评测</x:v>
      </x:c>
      <x:c r="K1254" s="9" t="str"/>
      <x:c r="L1254" s="9" t="str">
        <x:f>IF(K1254="",J1254,K1254)</x:f>
        <x:v>博客C-对比评测</x:v>
      </x:c>
      <x:c r="M1254" s="9" t="str">
        <x:v>Best/Top/Review/VS/替代方案文章</x:v>
      </x:c>
      <x:c r="N1254" s="9" t="str">
        <x:v>Best angle: best vaporizer - comparison, pros/cons, and which option fits different buyers</x:v>
      </x:c>
      <x:c r="O1254" s="9" t="str">
        <x:v>/collections/disposable-vapes</x:v>
      </x:c>
      <x:c r="P1254" s="9" t="str">
        <x:v>是</x:v>
      </x:c>
      <x:c r="Q1254" s="9" t="str">
        <x:v>自然句/品类词/品牌词</x:v>
      </x:c>
      <x:c r="R1254" s="9" t="str">
        <x:v>中风险：榜单和评测必须真实、中立，避免夸大</x:v>
      </x:c>
      <x:c r="S1254" s="9" t="str">
        <x:v>这类词不直接给主站，先用博客C教育和比较，再导流到最相关集合页。</x:v>
      </x:c>
      <x:c r="T1254" s="38" t="n">
        <x:v>13</x:v>
      </x:c>
      <x:c r="U1254" s="38" t="n">
        <x:v>9</x:v>
      </x:c>
      <x:c r="V1254" s="38" t="n">
        <x:v>16</x:v>
      </x:c>
      <x:c r="W1254" s="38" t="n">
        <x:v>15</x:v>
      </x:c>
      <x:c r="X1254" s="38" t="n">
        <x:v>13</x:v>
      </x:c>
      <x:c r="Y1254" s="38" t="n">
        <x:v>6</x:v>
      </x:c>
      <x:c r="Z1254" s="38" t="n">
        <x:f>MAX(0,MIN(100,ROUND(((T1254+U1254+V1254+W1254+X1254)-Y1254)/85*100,0)))</x:f>
        <x:v>71</x:v>
      </x:c>
      <x:c r="AA1254" s="9" t="str">
        <x:f>IF(L1254="暂不做","P3 暂缓",IF(Z1254&gt;=75,"P0 本周做",IF(Z1254&gt;=60,"P1 近期做",IF(Z1254&gt;=45,"P2 备选","P3 暂缓"))))</x:f>
        <x:v>P1 近期做</x:v>
      </x:c>
      <x:c r="AB1254" s="9" t="str">
        <x:f>IF(Y1254&gt;=15,"先做合规/相关性复核，不建议直接商业导流",IF(L1254="主站","建/优化主站商业页",IF(L1254="博客A-知识教程","写知识教程/FAQ文章",IF(L1254="博客B-场景人群","写场景需求/选购指南文章",IF(L1254="博客C-对比评测","写对比评测/榜单文章","暂不做或人工复核")))))</x:f>
        <x:v>写对比评测/榜单文章</x:v>
      </x:c>
      <x:c r="AC1254" s="9" t="str">
        <x:v>best portable vape</x:v>
      </x:c>
      <x:c r="AD1254" s="10" t="str">
        <x:v>48</x:v>
      </x:c>
    </x:row>
    <x:row r="1255">
      <x:c r="A1255" s="34" t="n">
        <x:v>1255</x:v>
      </x:c>
      <x:c r="B1255" s="9" t="str">
        <x:v>48</x:v>
      </x:c>
      <x:c r="C1255" s="9" t="str">
        <x:v>vapes for pot</x:v>
      </x:c>
      <x:c r="D1255" s="9" t="str">
        <x:v>recommended</x:v>
      </x:c>
      <x:c r="E1255" s="36" t="n">
        <x:v>2900</x:v>
      </x:c>
      <x:c r="F1255" s="36" t="n">
        <x:v>53</x:v>
      </x:c>
      <x:c r="G1255" s="9" t="str">
        <x:v>commercial</x:v>
      </x:c>
      <x:c r="H1255" s="9" t="str">
        <x:v>General Vape</x:v>
      </x:c>
      <x:c r="I1255" s="9" t="str">
        <x:v>品类承接词</x:v>
      </x:c>
      <x:c r="J1255" s="9" t="str">
        <x:v>主站</x:v>
      </x:c>
      <x:c r="K1255" s="9" t="str"/>
      <x:c r="L1255" s="9" t="str">
        <x:f>IF(K1255="",J1255,K1255)</x:f>
        <x:v>主站</x:v>
      </x:c>
      <x:c r="M1255" s="9" t="str">
        <x:v>品类页/集合页 + FAQ内容块</x:v>
      </x:c>
      <x:c r="N1255" s="9" t="str">
        <x:v>主站品类页：用产品集合 + 选购说明承接</x:v>
      </x:c>
      <x:c r="O1255" s="9" t="str">
        <x:v>/collections/disposable-vapes</x:v>
      </x:c>
      <x:c r="P1255" s="9" t="str">
        <x:v>不适用</x:v>
      </x:c>
      <x:c r="Q1255" s="9" t="str">
        <x:v>主站页面自身承接</x:v>
      </x:c>
      <x:c r="R1255" s="9" t="str">
        <x:v>核心品类词：主站优先，博客只做长尾解释，不直接抢同一词</x:v>
      </x:c>
      <x:c r="S1255" s="9" t="str">
        <x:v>如果 Google 首页产品页和指南混合，主站页要加 FAQ、选购指南、对比模块。</x:v>
      </x:c>
      <x:c r="T1255" s="38" t="n">
        <x:v>13</x:v>
      </x:c>
      <x:c r="U1255" s="38" t="n">
        <x:v>6</x:v>
      </x:c>
      <x:c r="V1255" s="38" t="n">
        <x:v>18</x:v>
      </x:c>
      <x:c r="W1255" s="38" t="n">
        <x:v>8</x:v>
      </x:c>
      <x:c r="X1255" s="38" t="n">
        <x:v>15</x:v>
      </x:c>
      <x:c r="Y1255" s="38" t="n">
        <x:v>4</x:v>
      </x:c>
      <x:c r="Z1255" s="38" t="n">
        <x:f>MAX(0,MIN(100,ROUND(((T1255+U1255+V1255+W1255+X1255)-Y1255)/85*100,0)))</x:f>
        <x:v>66</x:v>
      </x:c>
      <x:c r="AA1255" s="9" t="str">
        <x:f>IF(L1255="暂不做","P3 暂缓",IF(Z1255&gt;=75,"P0 本周做",IF(Z1255&gt;=60,"P1 近期做",IF(Z1255&gt;=45,"P2 备选","P3 暂缓"))))</x:f>
        <x:v>P1 近期做</x:v>
      </x:c>
      <x:c r="AB1255" s="9" t="str">
        <x:f>IF(Y1255&gt;=15,"先做合规/相关性复核，不建议直接商业导流",IF(L1255="主站","建/优化主站商业页",IF(L1255="博客A-知识教程","写知识教程/FAQ文章",IF(L1255="博客B-场景人群","写场景需求/选购指南文章",IF(L1255="博客C-对比评测","写对比评测/榜单文章","暂不做或人工复核")))))</x:f>
        <x:v>建/优化主站商业页</x:v>
      </x:c>
      <x:c r="AC1255" s="9" t="str">
        <x:v>best portable vape</x:v>
      </x:c>
      <x:c r="AD1255" s="10" t="str">
        <x:v>48</x:v>
      </x:c>
    </x:row>
    <x:row r="1256">
      <x:c r="A1256" s="34" t="n">
        <x:v>1256</x:v>
      </x:c>
      <x:c r="B1256" s="9" t="str">
        <x:v>48</x:v>
      </x:c>
      <x:c r="C1256" s="9" t="str">
        <x:v>vape for bud</x:v>
      </x:c>
      <x:c r="D1256" s="9" t="str">
        <x:v>recommended</x:v>
      </x:c>
      <x:c r="E1256" s="36" t="n">
        <x:v>2900</x:v>
      </x:c>
      <x:c r="F1256" s="36" t="n">
        <x:v>57</x:v>
      </x:c>
      <x:c r="G1256" s="9" t="str">
        <x:v>commercial</x:v>
      </x:c>
      <x:c r="H1256" s="9" t="str">
        <x:v>General Vape</x:v>
      </x:c>
      <x:c r="I1256" s="9" t="str">
        <x:v>品类承接词</x:v>
      </x:c>
      <x:c r="J1256" s="9" t="str">
        <x:v>主站</x:v>
      </x:c>
      <x:c r="K1256" s="9" t="str"/>
      <x:c r="L1256" s="9" t="str">
        <x:f>IF(K1256="",J1256,K1256)</x:f>
        <x:v>主站</x:v>
      </x:c>
      <x:c r="M1256" s="9" t="str">
        <x:v>品类页/集合页 + FAQ内容块</x:v>
      </x:c>
      <x:c r="N1256" s="9" t="str">
        <x:v>主站品类页：用产品集合 + 选购说明承接</x:v>
      </x:c>
      <x:c r="O1256" s="9" t="str">
        <x:v>/collections/disposable-vapes</x:v>
      </x:c>
      <x:c r="P1256" s="9" t="str">
        <x:v>不适用</x:v>
      </x:c>
      <x:c r="Q1256" s="9" t="str">
        <x:v>主站页面自身承接</x:v>
      </x:c>
      <x:c r="R1256" s="9" t="str">
        <x:v>核心品类词：主站优先，博客只做长尾解释，不直接抢同一词</x:v>
      </x:c>
      <x:c r="S1256" s="9" t="str">
        <x:v>如果 Google 首页产品页和指南混合，主站页要加 FAQ、选购指南、对比模块。</x:v>
      </x:c>
      <x:c r="T1256" s="38" t="n">
        <x:v>13</x:v>
      </x:c>
      <x:c r="U1256" s="38" t="n">
        <x:v>6</x:v>
      </x:c>
      <x:c r="V1256" s="38" t="n">
        <x:v>18</x:v>
      </x:c>
      <x:c r="W1256" s="38" t="n">
        <x:v>8</x:v>
      </x:c>
      <x:c r="X1256" s="38" t="n">
        <x:v>15</x:v>
      </x:c>
      <x:c r="Y1256" s="38" t="n">
        <x:v>4</x:v>
      </x:c>
      <x:c r="Z1256" s="38" t="n">
        <x:f>MAX(0,MIN(100,ROUND(((T1256+U1256+V1256+W1256+X1256)-Y1256)/85*100,0)))</x:f>
        <x:v>66</x:v>
      </x:c>
      <x:c r="AA1256" s="9" t="str">
        <x:f>IF(L1256="暂不做","P3 暂缓",IF(Z1256&gt;=75,"P0 本周做",IF(Z1256&gt;=60,"P1 近期做",IF(Z1256&gt;=45,"P2 备选","P3 暂缓"))))</x:f>
        <x:v>P1 近期做</x:v>
      </x:c>
      <x:c r="AB1256" s="9" t="str">
        <x:f>IF(Y1256&gt;=15,"先做合规/相关性复核，不建议直接商业导流",IF(L1256="主站","建/优化主站商业页",IF(L1256="博客A-知识教程","写知识教程/FAQ文章",IF(L1256="博客B-场景人群","写场景需求/选购指南文章",IF(L1256="博客C-对比评测","写对比评测/榜单文章","暂不做或人工复核")))))</x:f>
        <x:v>建/优化主站商业页</x:v>
      </x:c>
      <x:c r="AC1256" s="9" t="str">
        <x:v>best portable vape</x:v>
      </x:c>
      <x:c r="AD1256" s="10" t="str">
        <x:v>48</x:v>
      </x:c>
    </x:row>
    <x:row r="1257">
      <x:c r="A1257" s="34" t="n">
        <x:v>1257</x:v>
      </x:c>
      <x:c r="B1257" s="9" t="str">
        <x:v>48</x:v>
      </x:c>
      <x:c r="C1257" s="9" t="str">
        <x:v>flower vaporizer</x:v>
      </x:c>
      <x:c r="D1257" s="9" t="str">
        <x:v>recommended</x:v>
      </x:c>
      <x:c r="E1257" s="36" t="n">
        <x:v>2900</x:v>
      </x:c>
      <x:c r="F1257" s="36" t="n">
        <x:v>60</x:v>
      </x:c>
      <x:c r="G1257" s="9" t="str">
        <x:v>commercial</x:v>
      </x:c>
      <x:c r="H1257" s="9" t="str">
        <x:v>General Vape</x:v>
      </x:c>
      <x:c r="I1257" s="9" t="str">
        <x:v>弱相关词</x:v>
      </x:c>
      <x:c r="J1257" s="9" t="str">
        <x:v>暂不做</x:v>
      </x:c>
      <x:c r="K1257" s="9" t="str"/>
      <x:c r="L1257" s="9" t="str">
        <x:f>IF(K1257="",J1257,K1257)</x:f>
        <x:v>暂不做</x:v>
      </x:c>
      <x:c r="M1257" s="9" t="str">
        <x:v>不建议建页</x:v>
      </x:c>
      <x:c r="N1257" s="9" t="str">
        <x:v>不进入内容生产</x:v>
      </x:c>
      <x:c r="O1257" s="9" t="str">
        <x:v>无</x:v>
      </x:c>
      <x:c r="P1257" s="9" t="str">
        <x:v>否</x:v>
      </x:c>
      <x:c r="Q1257" s="9" t="str">
        <x:v>不导流</x:v>
      </x:c>
      <x:c r="R1257" s="9" t="str">
        <x:v>相关性弱：可能带来无效流量或偏离产品定位</x:v>
      </x:c>
      <x:c r="S1257" s="9" t="str">
        <x:v>除非人工确认与核心产品强相关，否则不要进入内容排期。</x:v>
      </x:c>
      <x:c r="T1257" s="38" t="n">
        <x:v>13</x:v>
      </x:c>
      <x:c r="U1257" s="38" t="n">
        <x:v>6</x:v>
      </x:c>
      <x:c r="V1257" s="38" t="n">
        <x:v>2</x:v>
      </x:c>
      <x:c r="W1257" s="38" t="n">
        <x:v>3</x:v>
      </x:c>
      <x:c r="X1257" s="38" t="n">
        <x:v>2</x:v>
      </x:c>
      <x:c r="Y1257" s="38" t="n">
        <x:v>16</x:v>
      </x:c>
      <x:c r="Z1257" s="38" t="n">
        <x:f>MAX(0,MIN(100,ROUND(((T1257+U1257+V1257+W1257+X1257)-Y1257)/85*100,0)))</x:f>
        <x:v>12</x:v>
      </x:c>
      <x:c r="AA1257" s="9" t="str">
        <x:f>IF(L1257="暂不做","P3 暂缓",IF(Z1257&gt;=75,"P0 本周做",IF(Z1257&gt;=60,"P1 近期做",IF(Z1257&gt;=45,"P2 备选","P3 暂缓"))))</x:f>
        <x:v>P3 暂缓</x:v>
      </x:c>
      <x:c r="AB1257" s="9" t="str">
        <x:f>IF(Y1257&gt;=15,"先做合规/相关性复核，不建议直接商业导流",IF(L1257="主站","建/优化主站商业页",IF(L1257="博客A-知识教程","写知识教程/FAQ文章",IF(L1257="博客B-场景人群","写场景需求/选购指南文章",IF(L1257="博客C-对比评测","写对比评测/榜单文章","暂不做或人工复核")))))</x:f>
        <x:v>先做合规/相关性复核，不建议直接商业导流</x:v>
      </x:c>
      <x:c r="AC1257" s="9" t="str">
        <x:v>best portable vape</x:v>
      </x:c>
      <x:c r="AD1257" s="10" t="str">
        <x:v>48</x:v>
      </x:c>
    </x:row>
    <x:row r="1258">
      <x:c r="A1258" s="34" t="n">
        <x:v>1258</x:v>
      </x:c>
      <x:c r="B1258" s="9" t="str">
        <x:v>48</x:v>
      </x:c>
      <x:c r="C1258" s="9" t="str">
        <x:v>ice vape juice</x:v>
      </x:c>
      <x:c r="D1258" s="9" t="str">
        <x:v>recommended</x:v>
      </x:c>
      <x:c r="E1258" s="36" t="n">
        <x:v>90</x:v>
      </x:c>
      <x:c r="F1258" s="36" t="n">
        <x:v>1</x:v>
      </x:c>
      <x:c r="G1258" s="9" t="str">
        <x:v>commercial</x:v>
      </x:c>
      <x:c r="H1258" s="9" t="str">
        <x:v>General Vape</x:v>
      </x:c>
      <x:c r="I1258" s="9" t="str">
        <x:v>品类承接词</x:v>
      </x:c>
      <x:c r="J1258" s="9" t="str">
        <x:v>主站</x:v>
      </x:c>
      <x:c r="K1258" s="9" t="str"/>
      <x:c r="L1258" s="9" t="str">
        <x:f>IF(K1258="",J1258,K1258)</x:f>
        <x:v>主站</x:v>
      </x:c>
      <x:c r="M1258" s="9" t="str">
        <x:v>品类页/集合页 + FAQ内容块</x:v>
      </x:c>
      <x:c r="N1258" s="9" t="str">
        <x:v>主站品类页：用产品集合 + 选购说明承接</x:v>
      </x:c>
      <x:c r="O1258" s="9" t="str">
        <x:v>/collections/disposable-vapes</x:v>
      </x:c>
      <x:c r="P1258" s="9" t="str">
        <x:v>不适用</x:v>
      </x:c>
      <x:c r="Q1258" s="9" t="str">
        <x:v>主站页面自身承接</x:v>
      </x:c>
      <x:c r="R1258" s="9" t="str">
        <x:v>核心品类词：主站优先，博客只做长尾解释，不直接抢同一词</x:v>
      </x:c>
      <x:c r="S1258" s="9" t="str">
        <x:v>如果 Google 首页产品页和指南混合，主站页要加 FAQ、选购指南、对比模块。</x:v>
      </x:c>
      <x:c r="T1258" s="38" t="n">
        <x:v>4</x:v>
      </x:c>
      <x:c r="U1258" s="38" t="n">
        <x:v>15</x:v>
      </x:c>
      <x:c r="V1258" s="38" t="n">
        <x:v>18</x:v>
      </x:c>
      <x:c r="W1258" s="38" t="n">
        <x:v>8</x:v>
      </x:c>
      <x:c r="X1258" s="38" t="n">
        <x:v>15</x:v>
      </x:c>
      <x:c r="Y1258" s="38" t="n">
        <x:v>4</x:v>
      </x:c>
      <x:c r="Z1258" s="38" t="n">
        <x:f>MAX(0,MIN(100,ROUND(((T1258+U1258+V1258+W1258+X1258)-Y1258)/85*100,0)))</x:f>
        <x:v>66</x:v>
      </x:c>
      <x:c r="AA1258" s="9" t="str">
        <x:f>IF(L1258="暂不做","P3 暂缓",IF(Z1258&gt;=75,"P0 本周做",IF(Z1258&gt;=60,"P1 近期做",IF(Z1258&gt;=45,"P2 备选","P3 暂缓"))))</x:f>
        <x:v>P1 近期做</x:v>
      </x:c>
      <x:c r="AB1258" s="9" t="str">
        <x:f>IF(Y1258&gt;=15,"先做合规/相关性复核，不建议直接商业导流",IF(L1258="主站","建/优化主站商业页",IF(L1258="博客A-知识教程","写知识教程/FAQ文章",IF(L1258="博客B-场景人群","写场景需求/选购指南文章",IF(L1258="博客C-对比评测","写对比评测/榜单文章","暂不做或人工复核")))))</x:f>
        <x:v>建/优化主站商业页</x:v>
      </x:c>
      <x:c r="AC1258" s="9" t="str">
        <x:v>ice vape juice</x:v>
      </x:c>
      <x:c r="AD1258" s="10" t="str">
        <x:v>48</x:v>
      </x:c>
    </x:row>
    <x:row r="1259">
      <x:c r="A1259" s="34" t="n">
        <x:v>1259</x:v>
      </x:c>
      <x:c r="B1259" s="9" t="str">
        <x:v>48</x:v>
      </x:c>
      <x:c r="C1259" s="9" t="str">
        <x:v>sweet mint vape juice</x:v>
      </x:c>
      <x:c r="D1259" s="9" t="str">
        <x:v>recommended</x:v>
      </x:c>
      <x:c r="E1259" s="36" t="n">
        <x:v>40</x:v>
      </x:c>
      <x:c r="F1259" s="36" t="n">
        <x:v>3</x:v>
      </x:c>
      <x:c r="G1259" s="9" t="str">
        <x:v>informational</x:v>
      </x:c>
      <x:c r="H1259" s="9" t="str">
        <x:v>General Vape</x:v>
      </x:c>
      <x:c r="I1259" s="9" t="str">
        <x:v>知识/教程词</x:v>
      </x:c>
      <x:c r="J1259" s="9" t="str">
        <x:v>博客A-知识教程</x:v>
      </x:c>
      <x:c r="K1259" s="9" t="str"/>
      <x:c r="L1259" s="9" t="str">
        <x:f>IF(K1259="",J1259,K1259)</x:f>
        <x:v>博客A-知识教程</x:v>
      </x:c>
      <x:c r="M1259" s="9" t="str">
        <x:v>百科/How-to/FAQ文章</x:v>
      </x:c>
      <x:c r="N1259" s="9" t="str">
        <x:v>Guide angle: explain sweet mint vape juice, answer common questions, and avoid sales-first writing</x:v>
      </x:c>
      <x:c r="O1259" s="9" t="str">
        <x:v>/collections/disposable-vapes</x:v>
      </x:c>
      <x:c r="P1259" s="9" t="str">
        <x:v>谨慎</x:v>
      </x:c>
      <x:c r="Q1259" s="9" t="str">
        <x:v>自然句/品牌词</x:v>
      </x:c>
      <x:c r="R1259" s="9" t="str">
        <x:v>低中风险：先满足信息意图，导流要克制</x:v>
      </x:c>
      <x:c r="S1259" s="9" t="str">
        <x:v>如果文章能自然回答下一步购买问题，再放 1 个主站内链；否则只做知识闭环。</x:v>
      </x:c>
      <x:c r="T1259" s="38" t="n">
        <x:v>4</x:v>
      </x:c>
      <x:c r="U1259" s="38" t="n">
        <x:v>15</x:v>
      </x:c>
      <x:c r="V1259" s="38" t="n">
        <x:v>9</x:v>
      </x:c>
      <x:c r="W1259" s="38" t="n">
        <x:v>14</x:v>
      </x:c>
      <x:c r="X1259" s="38" t="n">
        <x:v>12</x:v>
      </x:c>
      <x:c r="Y1259" s="38" t="n">
        <x:v>5</x:v>
      </x:c>
      <x:c r="Z1259" s="38" t="n">
        <x:f>MAX(0,MIN(100,ROUND(((T1259+U1259+V1259+W1259+X1259)-Y1259)/85*100,0)))</x:f>
        <x:v>58</x:v>
      </x:c>
      <x:c r="AA1259" s="9" t="str">
        <x:f>IF(L1259="暂不做","P3 暂缓",IF(Z1259&gt;=75,"P0 本周做",IF(Z1259&gt;=60,"P1 近期做",IF(Z1259&gt;=45,"P2 备选","P3 暂缓"))))</x:f>
        <x:v>P2 备选</x:v>
      </x:c>
      <x:c r="AB1259" s="9" t="str">
        <x:f>IF(Y1259&gt;=15,"先做合规/相关性复核，不建议直接商业导流",IF(L1259="主站","建/优化主站商业页",IF(L1259="博客A-知识教程","写知识教程/FAQ文章",IF(L1259="博客B-场景人群","写场景需求/选购指南文章",IF(L1259="博客C-对比评测","写对比评测/榜单文章","暂不做或人工复核")))))</x:f>
        <x:v>写知识教程/FAQ文章</x:v>
      </x:c>
      <x:c r="AC1259" s="9" t="str">
        <x:v>ice vape juice</x:v>
      </x:c>
      <x:c r="AD1259" s="10" t="str">
        <x:v>48</x:v>
      </x:c>
    </x:row>
    <x:row r="1260">
      <x:c r="A1260" s="34" t="n">
        <x:v>1260</x:v>
      </x:c>
      <x:c r="B1260" s="9" t="str">
        <x:v>48</x:v>
      </x:c>
      <x:c r="C1260" s="9" t="str">
        <x:v>menthol flavored vape juice</x:v>
      </x:c>
      <x:c r="D1260" s="9" t="str">
        <x:v>recommended</x:v>
      </x:c>
      <x:c r="E1260" s="36" t="n">
        <x:v>40</x:v>
      </x:c>
      <x:c r="F1260" s="36" t="n">
        <x:v>16</x:v>
      </x:c>
      <x:c r="G1260" s="9" t="str">
        <x:v>commercial</x:v>
      </x:c>
      <x:c r="H1260" s="9" t="str">
        <x:v>Flavor / 口味</x:v>
      </x:c>
      <x:c r="I1260" s="9" t="str">
        <x:v>品类承接词</x:v>
      </x:c>
      <x:c r="J1260" s="9" t="str">
        <x:v>主站</x:v>
      </x:c>
      <x:c r="K1260" s="9" t="str"/>
      <x:c r="L1260" s="9" t="str">
        <x:f>IF(K1260="",J1260,K1260)</x:f>
        <x:v>主站</x:v>
      </x:c>
      <x:c r="M1260" s="9" t="str">
        <x:v>品类页/集合页 + FAQ内容块</x:v>
      </x:c>
      <x:c r="N1260" s="9" t="str">
        <x:v>主站品类页：用产品集合 + 选购说明承接</x:v>
      </x:c>
      <x:c r="O1260" s="9" t="str">
        <x:v>/collections/flavored-disposable-vapes</x:v>
      </x:c>
      <x:c r="P1260" s="9" t="str">
        <x:v>不适用</x:v>
      </x:c>
      <x:c r="Q1260" s="9" t="str">
        <x:v>主站页面自身承接</x:v>
      </x:c>
      <x:c r="R1260" s="9" t="str">
        <x:v>核心品类词：主站优先，博客只做长尾解释，不直接抢同一词</x:v>
      </x:c>
      <x:c r="S1260" s="9" t="str">
        <x:v>如果 Google 首页产品页和指南混合，主站页要加 FAQ、选购指南、对比模块。</x:v>
      </x:c>
      <x:c r="T1260" s="38" t="n">
        <x:v>4</x:v>
      </x:c>
      <x:c r="U1260" s="38" t="n">
        <x:v>12</x:v>
      </x:c>
      <x:c r="V1260" s="38" t="n">
        <x:v>18</x:v>
      </x:c>
      <x:c r="W1260" s="38" t="n">
        <x:v>8</x:v>
      </x:c>
      <x:c r="X1260" s="38" t="n">
        <x:v>15</x:v>
      </x:c>
      <x:c r="Y1260" s="38" t="n">
        <x:v>4</x:v>
      </x:c>
      <x:c r="Z1260" s="38" t="n">
        <x:f>MAX(0,MIN(100,ROUND(((T1260+U1260+V1260+W1260+X1260)-Y1260)/85*100,0)))</x:f>
        <x:v>62</x:v>
      </x:c>
      <x:c r="AA1260" s="9" t="str">
        <x:f>IF(L1260="暂不做","P3 暂缓",IF(Z1260&gt;=75,"P0 本周做",IF(Z1260&gt;=60,"P1 近期做",IF(Z1260&gt;=45,"P2 备选","P3 暂缓"))))</x:f>
        <x:v>P1 近期做</x:v>
      </x:c>
      <x:c r="AB1260" s="9" t="str">
        <x:f>IF(Y1260&gt;=15,"先做合规/相关性复核，不建议直接商业导流",IF(L1260="主站","建/优化主站商业页",IF(L1260="博客A-知识教程","写知识教程/FAQ文章",IF(L1260="博客B-场景人群","写场景需求/选购指南文章",IF(L1260="博客C-对比评测","写对比评测/榜单文章","暂不做或人工复核")))))</x:f>
        <x:v>建/优化主站商业页</x:v>
      </x:c>
      <x:c r="AC1260" s="9" t="str">
        <x:v>ice vape juice</x:v>
      </x:c>
      <x:c r="AD1260" s="10" t="str">
        <x:v>48</x:v>
      </x:c>
    </x:row>
    <x:row r="1261">
      <x:c r="A1261" s="34" t="n">
        <x:v>1261</x:v>
      </x:c>
      <x:c r="B1261" s="9" t="str">
        <x:v>48</x:v>
      </x:c>
      <x:c r="C1261" s="9" t="str">
        <x:v>best citrus vape flavor</x:v>
      </x:c>
      <x:c r="D1261" s="9" t="str">
        <x:v>recommended</x:v>
      </x:c>
      <x:c r="E1261" s="36" t="n">
        <x:v>0</x:v>
      </x:c>
      <x:c r="F1261" s="36" t="n">
        <x:v>0</x:v>
      </x:c>
      <x:c r="G1261" s="9" t="str">
        <x:v>48</x:v>
      </x:c>
      <x:c r="H1261" s="9" t="str">
        <x:v>Flavor / 口味</x:v>
      </x:c>
      <x:c r="I1261" s="9" t="str">
        <x:v>商业调查词</x:v>
      </x:c>
      <x:c r="J1261" s="9" t="str">
        <x:v>博客C-对比评测</x:v>
      </x:c>
      <x:c r="K1261" s="9" t="str"/>
      <x:c r="L1261" s="9" t="str">
        <x:f>IF(K1261="",J1261,K1261)</x:f>
        <x:v>博客C-对比评测</x:v>
      </x:c>
      <x:c r="M1261" s="9" t="str">
        <x:v>Best/Top/Review/VS/替代方案文章</x:v>
      </x:c>
      <x:c r="N1261" s="9" t="str">
        <x:v>Best angle: best citrus vape flavor - comparison, pros/cons, and which option fits different buyers</x:v>
      </x:c>
      <x:c r="O1261" s="9" t="str">
        <x:v>/collections/flavored-disposable-vapes</x:v>
      </x:c>
      <x:c r="P1261" s="9" t="str">
        <x:v>是</x:v>
      </x:c>
      <x:c r="Q1261" s="9" t="str">
        <x:v>自然句/品类词/品牌词</x:v>
      </x:c>
      <x:c r="R1261" s="9" t="str">
        <x:v>中风险：榜单和评测必须真实、中立，避免夸大</x:v>
      </x:c>
      <x:c r="S1261" s="9" t="str">
        <x:v>这类词不直接给主站，先用博客C教育和比较，再导流到最相关集合页。</x:v>
      </x:c>
      <x:c r="T1261" s="38" t="n">
        <x:v>1</x:v>
      </x:c>
      <x:c r="U1261" s="38" t="n">
        <x:v>15</x:v>
      </x:c>
      <x:c r="V1261" s="38" t="n">
        <x:v>16</x:v>
      </x:c>
      <x:c r="W1261" s="38" t="n">
        <x:v>15</x:v>
      </x:c>
      <x:c r="X1261" s="38" t="n">
        <x:v>13</x:v>
      </x:c>
      <x:c r="Y1261" s="38" t="n">
        <x:v>6</x:v>
      </x:c>
      <x:c r="Z1261" s="38" t="n">
        <x:f>MAX(0,MIN(100,ROUND(((T1261+U1261+V1261+W1261+X1261)-Y1261)/85*100,0)))</x:f>
        <x:v>64</x:v>
      </x:c>
      <x:c r="AA1261" s="9" t="str">
        <x:f>IF(L1261="暂不做","P3 暂缓",IF(Z1261&gt;=75,"P0 本周做",IF(Z1261&gt;=60,"P1 近期做",IF(Z1261&gt;=45,"P2 备选","P3 暂缓"))))</x:f>
        <x:v>P1 近期做</x:v>
      </x:c>
      <x:c r="AB1261" s="9" t="str">
        <x:f>IF(Y1261&gt;=15,"先做合规/相关性复核，不建议直接商业导流",IF(L1261="主站","建/优化主站商业页",IF(L1261="博客A-知识教程","写知识教程/FAQ文章",IF(L1261="博客B-场景人群","写场景需求/选购指南文章",IF(L1261="博客C-对比评测","写对比评测/榜单文章","暂不做或人工复核")))))</x:f>
        <x:v>写对比评测/榜单文章</x:v>
      </x:c>
      <x:c r="AC1261" s="9" t="str">
        <x:v>ice vape juice</x:v>
      </x:c>
      <x:c r="AD1261" s="10" t="str">
        <x:v>48</x:v>
      </x:c>
    </x:row>
    <x:row r="1262">
      <x:c r="A1262" s="34" t="n">
        <x:v>1262</x:v>
      </x:c>
      <x:c r="B1262" s="9" t="str">
        <x:v>48</x:v>
      </x:c>
      <x:c r="C1262" s="9" t="str">
        <x:v>vape mod starter kit</x:v>
      </x:c>
      <x:c r="D1262" s="9" t="str">
        <x:v>recommended</x:v>
      </x:c>
      <x:c r="E1262" s="36" t="n">
        <x:v>140</x:v>
      </x:c>
      <x:c r="F1262" s="36" t="n">
        <x:v>25</x:v>
      </x:c>
      <x:c r="G1262" s="9" t="str">
        <x:v>commercial</x:v>
      </x:c>
      <x:c r="H1262" s="9" t="str">
        <x:v>General Vape</x:v>
      </x:c>
      <x:c r="I1262" s="9" t="str">
        <x:v>品类承接词</x:v>
      </x:c>
      <x:c r="J1262" s="9" t="str">
        <x:v>主站</x:v>
      </x:c>
      <x:c r="K1262" s="9" t="str"/>
      <x:c r="L1262" s="9" t="str">
        <x:f>IF(K1262="",J1262,K1262)</x:f>
        <x:v>主站</x:v>
      </x:c>
      <x:c r="M1262" s="9" t="str">
        <x:v>品类页/集合页 + FAQ内容块</x:v>
      </x:c>
      <x:c r="N1262" s="9" t="str">
        <x:v>主站品类页：用产品集合 + 选购说明承接</x:v>
      </x:c>
      <x:c r="O1262" s="9" t="str">
        <x:v>/collections/disposable-vapes</x:v>
      </x:c>
      <x:c r="P1262" s="9" t="str">
        <x:v>不适用</x:v>
      </x:c>
      <x:c r="Q1262" s="9" t="str">
        <x:v>主站页面自身承接</x:v>
      </x:c>
      <x:c r="R1262" s="9" t="str">
        <x:v>核心品类词：主站优先，博客只做长尾解释，不直接抢同一词</x:v>
      </x:c>
      <x:c r="S1262" s="9" t="str">
        <x:v>如果 Google 首页产品页和指南混合，主站页要加 FAQ、选购指南、对比模块。</x:v>
      </x:c>
      <x:c r="T1262" s="38" t="n">
        <x:v>7</x:v>
      </x:c>
      <x:c r="U1262" s="38" t="n">
        <x:v>12</x:v>
      </x:c>
      <x:c r="V1262" s="38" t="n">
        <x:v>18</x:v>
      </x:c>
      <x:c r="W1262" s="38" t="n">
        <x:v>8</x:v>
      </x:c>
      <x:c r="X1262" s="38" t="n">
        <x:v>15</x:v>
      </x:c>
      <x:c r="Y1262" s="38" t="n">
        <x:v>4</x:v>
      </x:c>
      <x:c r="Z1262" s="38" t="n">
        <x:f>MAX(0,MIN(100,ROUND(((T1262+U1262+V1262+W1262+X1262)-Y1262)/85*100,0)))</x:f>
        <x:v>66</x:v>
      </x:c>
      <x:c r="AA1262" s="9" t="str">
        <x:f>IF(L1262="暂不做","P3 暂缓",IF(Z1262&gt;=75,"P0 本周做",IF(Z1262&gt;=60,"P1 近期做",IF(Z1262&gt;=45,"P2 备选","P3 暂缓"))))</x:f>
        <x:v>P1 近期做</x:v>
      </x:c>
      <x:c r="AB1262" s="9" t="str">
        <x:f>IF(Y1262&gt;=15,"先做合规/相关性复核，不建议直接商业导流",IF(L1262="主站","建/优化主站商业页",IF(L1262="博客A-知识教程","写知识教程/FAQ文章",IF(L1262="博客B-场景人群","写场景需求/选购指南文章",IF(L1262="博客C-对比评测","写对比评测/榜单文章","暂不做或人工复核")))))</x:f>
        <x:v>建/优化主站商业页</x:v>
      </x:c>
      <x:c r="AC1262" s="9" t="str">
        <x:v>vape mod starter kit</x:v>
      </x:c>
      <x:c r="AD1262" s="10" t="str">
        <x:v>48</x:v>
      </x:c>
    </x:row>
    <x:row r="1263">
      <x:c r="A1263" s="34" t="n">
        <x:v>1263</x:v>
      </x:c>
      <x:c r="B1263" s="9" t="str">
        <x:v>48</x:v>
      </x:c>
      <x:c r="C1263" s="9" t="str">
        <x:v>best vape mod kits</x:v>
      </x:c>
      <x:c r="D1263" s="9" t="str">
        <x:v>recommended</x:v>
      </x:c>
      <x:c r="E1263" s="36" t="n">
        <x:v>50</x:v>
      </x:c>
      <x:c r="F1263" s="36" t="n">
        <x:v>6</x:v>
      </x:c>
      <x:c r="G1263" s="9" t="str">
        <x:v>commercial</x:v>
      </x:c>
      <x:c r="H1263" s="9" t="str">
        <x:v>对比评测</x:v>
      </x:c>
      <x:c r="I1263" s="9" t="str">
        <x:v>商业调查词</x:v>
      </x:c>
      <x:c r="J1263" s="9" t="str">
        <x:v>博客C-对比评测</x:v>
      </x:c>
      <x:c r="K1263" s="9" t="str"/>
      <x:c r="L1263" s="9" t="str">
        <x:f>IF(K1263="",J1263,K1263)</x:f>
        <x:v>博客C-对比评测</x:v>
      </x:c>
      <x:c r="M1263" s="9" t="str">
        <x:v>Best/Top/Review/VS/替代方案文章</x:v>
      </x:c>
      <x:c r="N1263" s="9" t="str">
        <x:v>Best angle: best vape mod kits - comparison, pros/cons, and which option fits different buyers</x:v>
      </x:c>
      <x:c r="O1263" s="9" t="str">
        <x:v>/collections/disposable-vapes</x:v>
      </x:c>
      <x:c r="P1263" s="9" t="str">
        <x:v>是</x:v>
      </x:c>
      <x:c r="Q1263" s="9" t="str">
        <x:v>自然句/品类词/品牌词</x:v>
      </x:c>
      <x:c r="R1263" s="9" t="str">
        <x:v>中风险：榜单和评测必须真实、中立，避免夸大</x:v>
      </x:c>
      <x:c r="S1263" s="9" t="str">
        <x:v>这类词不直接给主站，先用博客C教育和比较，再导流到最相关集合页。</x:v>
      </x:c>
      <x:c r="T1263" s="38" t="n">
        <x:v>4</x:v>
      </x:c>
      <x:c r="U1263" s="38" t="n">
        <x:v>15</x:v>
      </x:c>
      <x:c r="V1263" s="38" t="n">
        <x:v>16</x:v>
      </x:c>
      <x:c r="W1263" s="38" t="n">
        <x:v>15</x:v>
      </x:c>
      <x:c r="X1263" s="38" t="n">
        <x:v>13</x:v>
      </x:c>
      <x:c r="Y1263" s="38" t="n">
        <x:v>6</x:v>
      </x:c>
      <x:c r="Z1263" s="38" t="n">
        <x:f>MAX(0,MIN(100,ROUND(((T1263+U1263+V1263+W1263+X1263)-Y1263)/85*100,0)))</x:f>
        <x:v>67</x:v>
      </x:c>
      <x:c r="AA1263" s="9" t="str">
        <x:f>IF(L1263="暂不做","P3 暂缓",IF(Z1263&gt;=75,"P0 本周做",IF(Z1263&gt;=60,"P1 近期做",IF(Z1263&gt;=45,"P2 备选","P3 暂缓"))))</x:f>
        <x:v>P1 近期做</x:v>
      </x:c>
      <x:c r="AB1263" s="9" t="str">
        <x:f>IF(Y1263&gt;=15,"先做合规/相关性复核，不建议直接商业导流",IF(L1263="主站","建/优化主站商业页",IF(L1263="博客A-知识教程","写知识教程/FAQ文章",IF(L1263="博客B-场景人群","写场景需求/选购指南文章",IF(L1263="博客C-对比评测","写对比评测/榜单文章","暂不做或人工复核")))))</x:f>
        <x:v>写对比评测/榜单文章</x:v>
      </x:c>
      <x:c r="AC1263" s="9" t="str">
        <x:v>vape mod starter kit</x:v>
      </x:c>
      <x:c r="AD1263" s="10" t="str">
        <x:v>48</x:v>
      </x:c>
    </x:row>
    <x:row r="1264">
      <x:c r="A1264" s="34" t="n">
        <x:v>1264</x:v>
      </x:c>
      <x:c r="B1264" s="9" t="str">
        <x:v>48</x:v>
      </x:c>
      <x:c r="C1264" s="9" t="str">
        <x:v>refillable vape mods</x:v>
      </x:c>
      <x:c r="D1264" s="9" t="str">
        <x:v>recommended</x:v>
      </x:c>
      <x:c r="E1264" s="36" t="n">
        <x:v>40</x:v>
      </x:c>
      <x:c r="F1264" s="36" t="n">
        <x:v>39</x:v>
      </x:c>
      <x:c r="G1264" s="9" t="str">
        <x:v>informational</x:v>
      </x:c>
      <x:c r="H1264" s="9" t="str">
        <x:v>Reusable / Rechargeable</x:v>
      </x:c>
      <x:c r="I1264" s="9" t="str">
        <x:v>场景/需求词</x:v>
      </x:c>
      <x:c r="J1264" s="9" t="str">
        <x:v>博客B-场景人群</x:v>
      </x:c>
      <x:c r="K1264" s="9" t="str"/>
      <x:c r="L1264" s="9" t="str">
        <x:f>IF(K1264="",J1264,K1264)</x:f>
        <x:v>博客B-场景人群</x:v>
      </x:c>
      <x:c r="M1264" s="9" t="str">
        <x:v>场景解决方案/选购指南文章</x:v>
      </x:c>
      <x:c r="N1264" s="9" t="str">
        <x:v>Scenario angle: how to choose refillable vape mods based on use case, flavor, nicotine, and budget</x:v>
      </x:c>
      <x:c r="O1264" s="9" t="str">
        <x:v>/collections/rechargeable-vapes</x:v>
      </x:c>
      <x:c r="P1264" s="9" t="str">
        <x:v>是</x:v>
      </x:c>
      <x:c r="Q1264" s="9" t="str">
        <x:v>自然句/品类词</x:v>
      </x:c>
      <x:c r="R1264" s="9" t="str">
        <x:v>低中风险：适合软性导流，但不要夸大效果或触碰健康疗效</x:v>
      </x:c>
      <x:c r="S1264" s="9" t="str">
        <x:v>围绕使用场景、口味、尼古丁需求、便携性等写，不和主站品类页抢词。</x:v>
      </x:c>
      <x:c r="T1264" s="38" t="n">
        <x:v>4</x:v>
      </x:c>
      <x:c r="U1264" s="38" t="n">
        <x:v>9</x:v>
      </x:c>
      <x:c r="V1264" s="38" t="n">
        <x:v>13</x:v>
      </x:c>
      <x:c r="W1264" s="38" t="n">
        <x:v>14</x:v>
      </x:c>
      <x:c r="X1264" s="38" t="n">
        <x:v>13</x:v>
      </x:c>
      <x:c r="Y1264" s="38" t="n">
        <x:v>5</x:v>
      </x:c>
      <x:c r="Z1264" s="38" t="n">
        <x:f>MAX(0,MIN(100,ROUND(((T1264+U1264+V1264+W1264+X1264)-Y1264)/85*100,0)))</x:f>
        <x:v>56</x:v>
      </x:c>
      <x:c r="AA1264" s="9" t="str">
        <x:f>IF(L1264="暂不做","P3 暂缓",IF(Z1264&gt;=75,"P0 本周做",IF(Z1264&gt;=60,"P1 近期做",IF(Z1264&gt;=45,"P2 备选","P3 暂缓"))))</x:f>
        <x:v>P2 备选</x:v>
      </x:c>
      <x:c r="AB1264" s="9" t="str">
        <x:f>IF(Y1264&gt;=15,"先做合规/相关性复核，不建议直接商业导流",IF(L1264="主站","建/优化主站商业页",IF(L1264="博客A-知识教程","写知识教程/FAQ文章",IF(L1264="博客B-场景人群","写场景需求/选购指南文章",IF(L1264="博客C-对比评测","写对比评测/榜单文章","暂不做或人工复核")))))</x:f>
        <x:v>写场景需求/选购指南文章</x:v>
      </x:c>
      <x:c r="AC1264" s="9" t="str">
        <x:v>vape mod starter kit</x:v>
      </x:c>
      <x:c r="AD1264" s="10" t="str">
        <x:v>48</x:v>
      </x:c>
    </x:row>
    <x:row r="1265">
      <x:c r="A1265" s="34" t="n">
        <x:v>1265</x:v>
      </x:c>
      <x:c r="B1265" s="9" t="str">
        <x:v>48</x:v>
      </x:c>
      <x:c r="C1265" s="9" t="str">
        <x:v>how old to buy vape in texas</x:v>
      </x:c>
      <x:c r="D1265" s="9" t="str">
        <x:v>recommended</x:v>
      </x:c>
      <x:c r="E1265" s="36" t="n">
        <x:v>40</x:v>
      </x:c>
      <x:c r="F1265" s="36" t="n">
        <x:v>27</x:v>
      </x:c>
      <x:c r="G1265" s="9" t="str">
        <x:v>informational</x:v>
      </x:c>
      <x:c r="H1265" s="9" t="str">
        <x:v>知识教程</x:v>
      </x:c>
      <x:c r="I1265" s="9" t="str">
        <x:v>交易词</x:v>
      </x:c>
      <x:c r="J1265" s="9" t="str">
        <x:v>主站</x:v>
      </x:c>
      <x:c r="K1265" s="9" t="str"/>
      <x:c r="L1265" s="9" t="str">
        <x:f>IF(K1265="",J1265,K1265)</x:f>
        <x:v>主站</x:v>
      </x:c>
      <x:c r="M1265" s="9" t="str">
        <x:v>产品集合页/分类页/购买页</x:v>
      </x:c>
      <x:c r="N1265" s="9" t="str">
        <x:v>主站商业页：标题围绕购买意图 + 品类 + 关键卖点</x:v>
      </x:c>
      <x:c r="O1265" s="9" t="str">
        <x:v>/collections/disposable-vapes</x:v>
      </x:c>
      <x:c r="P1265" s="9" t="str">
        <x:v>不适用</x:v>
      </x:c>
      <x:c r="Q1265" s="9" t="str">
        <x:v>主站页面自身承接</x:v>
      </x:c>
      <x:c r="R1265" s="9" t="str">
        <x:v>商业词：优先给主站，避免博客抢主站排名</x:v>
      </x:c>
      <x:c r="S1265" s="9" t="str">
        <x:v>SERP 如为商品列表/品牌站/电商集合页，就建主站页面；若 SERP 全是教程，再拆支持文章。</x:v>
      </x:c>
      <x:c r="T1265" s="38" t="n">
        <x:v>4</x:v>
      </x:c>
      <x:c r="U1265" s="38" t="n">
        <x:v>12</x:v>
      </x:c>
      <x:c r="V1265" s="38" t="n">
        <x:v>20</x:v>
      </x:c>
      <x:c r="W1265" s="38" t="n">
        <x:v>7</x:v>
      </x:c>
      <x:c r="X1265" s="38" t="n">
        <x:v>15</x:v>
      </x:c>
      <x:c r="Y1265" s="38" t="n">
        <x:v>4</x:v>
      </x:c>
      <x:c r="Z1265" s="38" t="n">
        <x:f>MAX(0,MIN(100,ROUND(((T1265+U1265+V1265+W1265+X1265)-Y1265)/85*100,0)))</x:f>
        <x:v>64</x:v>
      </x:c>
      <x:c r="AA1265" s="9" t="str">
        <x:f>IF(L1265="暂不做","P3 暂缓",IF(Z1265&gt;=75,"P0 本周做",IF(Z1265&gt;=60,"P1 近期做",IF(Z1265&gt;=45,"P2 备选","P3 暂缓"))))</x:f>
        <x:v>P1 近期做</x:v>
      </x:c>
      <x:c r="AB1265" s="9" t="str">
        <x:f>IF(Y1265&gt;=15,"先做合规/相关性复核，不建议直接商业导流",IF(L1265="主站","建/优化主站商业页",IF(L1265="博客A-知识教程","写知识教程/FAQ文章",IF(L1265="博客B-场景人群","写场景需求/选购指南文章",IF(L1265="博客C-对比评测","写对比评测/榜单文章","暂不做或人工复核")))))</x:f>
        <x:v>建/优化主站商业页</x:v>
      </x:c>
      <x:c r="AC1265" s="9" t="str">
        <x:v>how old to buy vape in texas</x:v>
      </x:c>
      <x:c r="AD1265" s="10" t="str">
        <x:v>48</x:v>
      </x:c>
    </x:row>
    <x:row r="1266">
      <x:c r="A1266" s="34" t="n">
        <x:v>1266</x:v>
      </x:c>
      <x:c r="B1266" s="9" t="str">
        <x:v>48</x:v>
      </x:c>
      <x:c r="C1266" s="9" t="str">
        <x:v>legal age to buy vape in arizona</x:v>
      </x:c>
      <x:c r="D1266" s="9" t="str">
        <x:v>recommended</x:v>
      </x:c>
      <x:c r="E1266" s="36" t="n">
        <x:v>50</x:v>
      </x:c>
      <x:c r="F1266" s="36" t="n">
        <x:v>12</x:v>
      </x:c>
      <x:c r="G1266" s="9" t="str">
        <x:v>informational</x:v>
      </x:c>
      <x:c r="H1266" s="9" t="str">
        <x:v>合规科普</x:v>
      </x:c>
      <x:c r="I1266" s="9" t="str">
        <x:v>合规/YMYL科普词</x:v>
      </x:c>
      <x:c r="J1266" s="9" t="str">
        <x:v>博客A-知识教程</x:v>
      </x:c>
      <x:c r="K1266" s="9" t="str"/>
      <x:c r="L1266" s="9" t="str">
        <x:f>IF(K1266="",J1266,K1266)</x:f>
        <x:v>博客A-知识教程</x:v>
      </x:c>
      <x:c r="M1266" s="9" t="str">
        <x:v>合规/健康风险科普文章</x:v>
      </x:c>
      <x:c r="N1266" s="9" t="str">
        <x:v>Guide angle: explain legal age to buy vape in arizona, answer common questions, and avoid sales-first writing</x:v>
      </x:c>
      <x:c r="O1266" s="9" t="str">
        <x:v>无商业内链</x:v>
      </x:c>
      <x:c r="P1266" s="9" t="str">
        <x:v>否</x:v>
      </x:c>
      <x:c r="Q1266" s="9" t="str">
        <x:v>不导流</x:v>
      </x:c>
      <x:c r="R1266" s="9" t="str">
        <x:v>高风险：健康、戒烟、法律等 YMYL 主题，不写疗效承诺，不直接卖货</x:v>
      </x:c>
      <x:c r="S1266" s="9" t="str">
        <x:v>需要引用权威资料，语气中立；如果不能做到合规审核，暂缓。</x:v>
      </x:c>
      <x:c r="T1266" s="38" t="n">
        <x:v>4</x:v>
      </x:c>
      <x:c r="U1266" s="38" t="n">
        <x:v>15</x:v>
      </x:c>
      <x:c r="V1266" s="38" t="n">
        <x:v>4</x:v>
      </x:c>
      <x:c r="W1266" s="38" t="n">
        <x:v>10</x:v>
      </x:c>
      <x:c r="X1266" s="38" t="n">
        <x:v>8</x:v>
      </x:c>
      <x:c r="Y1266" s="38" t="n">
        <x:v>15</x:v>
      </x:c>
      <x:c r="Z1266" s="38" t="n">
        <x:f>MAX(0,MIN(100,ROUND(((T1266+U1266+V1266+W1266+X1266)-Y1266)/85*100,0)))</x:f>
        <x:v>31</x:v>
      </x:c>
      <x:c r="AA1266" s="9" t="str">
        <x:f>IF(L1266="暂不做","P3 暂缓",IF(Z1266&gt;=75,"P0 本周做",IF(Z1266&gt;=60,"P1 近期做",IF(Z1266&gt;=45,"P2 备选","P3 暂缓"))))</x:f>
        <x:v>P3 暂缓</x:v>
      </x:c>
      <x:c r="AB1266" s="9" t="str">
        <x:f>IF(Y1266&gt;=15,"先做合规/相关性复核，不建议直接商业导流",IF(L1266="主站","建/优化主站商业页",IF(L1266="博客A-知识教程","写知识教程/FAQ文章",IF(L1266="博客B-场景人群","写场景需求/选购指南文章",IF(L1266="博客C-对比评测","写对比评测/榜单文章","暂不做或人工复核")))))</x:f>
        <x:v>先做合规/相关性复核，不建议直接商业导流</x:v>
      </x:c>
      <x:c r="AC1266" s="9" t="str">
        <x:v>how old to buy vape in texas</x:v>
      </x:c>
      <x:c r="AD1266" s="10" t="str">
        <x:v>48</x:v>
      </x:c>
    </x:row>
    <x:row r="1267">
      <x:c r="A1267" s="35" t="n">
        <x:v>1267</x:v>
      </x:c>
      <x:c r="B1267" s="12" t="str">
        <x:v>48</x:v>
      </x:c>
      <x:c r="C1267" s="12" t="str">
        <x:v>how old do you have to be to buy cig</x:v>
      </x:c>
      <x:c r="D1267" s="12" t="str">
        <x:v>recommended</x:v>
      </x:c>
      <x:c r="E1267" s="37" t="n">
        <x:v>320</x:v>
      </x:c>
      <x:c r="F1267" s="37" t="n">
        <x:v>46</x:v>
      </x:c>
      <x:c r="G1267" s="12" t="str">
        <x:v>informational</x:v>
      </x:c>
      <x:c r="H1267" s="12" t="str">
        <x:v>知识教程</x:v>
      </x:c>
      <x:c r="I1267" s="12" t="str">
        <x:v>交易词</x:v>
      </x:c>
      <x:c r="J1267" s="12" t="str">
        <x:v>主站</x:v>
      </x:c>
      <x:c r="K1267" s="12" t="str"/>
      <x:c r="L1267" s="12" t="str">
        <x:f>IF(K1267="",J1267,K1267)</x:f>
        <x:v>主站</x:v>
      </x:c>
      <x:c r="M1267" s="12" t="str">
        <x:v>产品集合页/分类页/购买页</x:v>
      </x:c>
      <x:c r="N1267" s="12" t="str">
        <x:v>主站商业页：标题围绕购买意图 + 品类 + 关键卖点</x:v>
      </x:c>
      <x:c r="O1267" s="12" t="str">
        <x:v>/collections/disposable-vapes</x:v>
      </x:c>
      <x:c r="P1267" s="12" t="str">
        <x:v>不适用</x:v>
      </x:c>
      <x:c r="Q1267" s="12" t="str">
        <x:v>主站页面自身承接</x:v>
      </x:c>
      <x:c r="R1267" s="12" t="str">
        <x:v>商业词：优先给主站，避免博客抢主站排名</x:v>
      </x:c>
      <x:c r="S1267" s="12" t="str">
        <x:v>SERP 如为商品列表/品牌站/电商集合页，就建主站页面；若 SERP 全是教程，再拆支持文章。</x:v>
      </x:c>
      <x:c r="T1267" s="39" t="n">
        <x:v>7</x:v>
      </x:c>
      <x:c r="U1267" s="39" t="n">
        <x:v>6</x:v>
      </x:c>
      <x:c r="V1267" s="39" t="n">
        <x:v>20</x:v>
      </x:c>
      <x:c r="W1267" s="39" t="n">
        <x:v>7</x:v>
      </x:c>
      <x:c r="X1267" s="39" t="n">
        <x:v>15</x:v>
      </x:c>
      <x:c r="Y1267" s="39" t="n">
        <x:v>4</x:v>
      </x:c>
      <x:c r="Z1267" s="39" t="n">
        <x:f>MAX(0,MIN(100,ROUND(((T1267+U1267+V1267+W1267+X1267)-Y1267)/85*100,0)))</x:f>
        <x:v>60</x:v>
      </x:c>
      <x:c r="AA1267" s="12" t="str">
        <x:f>IF(L1267="暂不做","P3 暂缓",IF(Z1267&gt;=75,"P0 本周做",IF(Z1267&gt;=60,"P1 近期做",IF(Z1267&gt;=45,"P2 备选","P3 暂缓"))))</x:f>
        <x:v>P1 近期做</x:v>
      </x:c>
      <x:c r="AB1267" s="12" t="str">
        <x:f>IF(Y1267&gt;=15,"先做合规/相关性复核，不建议直接商业导流",IF(L1267="主站","建/优化主站商业页",IF(L1267="博客A-知识教程","写知识教程/FAQ文章",IF(L1267="博客B-场景人群","写场景需求/选购指南文章",IF(L1267="博客C-对比评测","写对比评测/榜单文章","暂不做或人工复核")))))</x:f>
        <x:v>建/优化主站商业页</x:v>
      </x:c>
      <x:c r="AC1267" s="12" t="str">
        <x:v>how old to buy vape in texas</x:v>
      </x:c>
      <x:c r="AD1267" s="13" t="str">
        <x:v>48</x:v>
      </x:c>
    </x:row>
  </x:sheetData>
  <x:conditionalFormatting sqref="AA2:AA1267">
    <x:cfRule type="containsText" dxfId="0" priority="1" operator="containsText" text="P0"/>
    <x:cfRule type="containsText" dxfId="1" priority="2" operator="containsText" text="P1"/>
    <x:cfRule type="containsText" dxfId="2" priority="3" operator="containsText" text="P3"/>
  </x:conditionalFormatting>
  <x:conditionalFormatting sqref="J2:L1267">
    <x:cfRule type="containsText" dxfId="3" priority="4" operator="containsText" text="主站"/>
    <x:cfRule type="containsText" dxfId="4" priority="5" operator="containsText" text="博客C"/>
  </x:conditionalFormatting>
  <x:conditionalFormatting sqref="R2:R1267">
    <x:cfRule type="containsText" dxfId="5" priority="6" operator="containsText" text="高风险"/>
  </x:conditionalFormatting>
  <x:dataValidations count="1">
    <x:dataValidation type="list" sqref="K2:K1267">
      <x:formula1>"主站,博客A-知识教程,博客B-场景人群,博客C-对比评测,暂不做"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de179f0af74b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12" hidden="0" customWidth="1"/>
    <x:col min="5" max="5" width="10" hidden="0" customWidth="1"/>
    <x:col min="6" max="6" width="22" hidden="0" customWidth="1"/>
    <x:col min="7" max="7" width="16" hidden="0" customWidth="1"/>
    <x:col min="8" max="8" width="28" hidden="0" customWidth="1"/>
    <x:col min="9" max="9" width="58" hidden="0" customWidth="1"/>
    <x:col min="10" max="10" width="68" hidden="0" customWidth="1"/>
    <x:col min="11" max="11" width="34" hidden="0" customWidth="1"/>
    <x:col min="12" max="12" width="32" hidden="0" customWidth="1"/>
    <x:col min="13" max="13" width="56" hidden="0" customWidth="1"/>
  </x:cols>
  <x:sheetData>
    <x:row r="1">
      <x:c r="A1" s="31" t="str">
        <x:v>排期周</x:v>
      </x:c>
      <x:c r="B1" s="32" t="str">
        <x:v>推荐站点</x:v>
      </x:c>
      <x:c r="C1" s="32" t="str">
        <x:v>关键词</x:v>
      </x:c>
      <x:c r="D1" s="32" t="str">
        <x:v>volume</x:v>
      </x:c>
      <x:c r="E1" s="32" t="str">
        <x:v>KD</x:v>
      </x:c>
      <x:c r="F1" s="32" t="str">
        <x:v>intent</x:v>
      </x:c>
      <x:c r="G1" s="32" t="str">
        <x:v>优先级</x:v>
      </x:c>
      <x:c r="H1" s="32" t="str">
        <x:v>文章类型</x:v>
      </x:c>
      <x:c r="I1" s="32" t="str">
        <x:v>建议标题/角度</x:v>
      </x:c>
      <x:c r="J1" s="32" t="str">
        <x:v>H2大纲</x:v>
      </x:c>
      <x:c r="K1" s="32" t="str">
        <x:v>主站链接目标</x:v>
      </x:c>
      <x:c r="L1" s="32" t="str">
        <x:v>CTA/导流方式</x:v>
      </x:c>
      <x:c r="M1" s="33" t="str">
        <x:v>备注</x:v>
      </x:c>
    </x:row>
    <x:row r="2">
      <x:c r="A2" s="40" t="str">
        <x:v>Week 1</x:v>
      </x:c>
      <x:c r="B2" s="18" t="str">
        <x:v>博客B-场景人群</x:v>
      </x:c>
      <x:c r="C2" s="18" t="str">
        <x:v>nicotine free vape</x:v>
      </x:c>
      <x:c r="D2" s="41" t="n">
        <x:v>27100</x:v>
      </x:c>
      <x:c r="E2" s="41" t="n">
        <x:v>15</x:v>
      </x:c>
      <x:c r="F2" s="18" t="str">
        <x:v>informational</x:v>
      </x:c>
      <x:c r="G2" s="18" t="str">
        <x:v>P0 本周做</x:v>
      </x:c>
      <x:c r="H2" s="18" t="str">
        <x:v>场景解决方案/选购指南文章</x:v>
      </x:c>
      <x:c r="I2" s="18" t="str">
        <x:v>Scenario angle: how to choose nicotine free vape based on use case, flavor, nicotine, and budget</x:v>
      </x:c>
      <x:c r="J2" s="18" t="str">
        <x:v>1. 场景/人群问题；2. 选择维度；3. 常见误区；4. 推荐判断标准；5. FAQ；6. 如果需要购买，链接到对应集合页</x:v>
      </x:c>
      <x:c r="K2" s="18" t="str">
        <x:v>/collections/nicotine-free-vapes</x:v>
      </x:c>
      <x:c r="L2" s="18" t="str">
        <x:v>文中 1-2 个自然内链到对应集合页</x:v>
      </x:c>
      <x:c r="M2" s="19" t="str">
        <x:v>低中风险：适合软性导流，但不要夸大效果或触碰健康疗效</x:v>
      </x:c>
    </x:row>
    <x:row r="3">
      <x:c r="A3" s="40" t="str">
        <x:v>Week 1</x:v>
      </x:c>
      <x:c r="B3" s="18" t="str">
        <x:v>博客C-对比评测</x:v>
      </x:c>
      <x:c r="C3" s="18" t="str">
        <x:v>best vape</x:v>
      </x:c>
      <x:c r="D3" s="41" t="n">
        <x:v>8100</x:v>
      </x:c>
      <x:c r="E3" s="41" t="n">
        <x:v>30</x:v>
      </x:c>
      <x:c r="F3" s="18" t="str">
        <x:v>commercial</x:v>
      </x:c>
      <x:c r="G3" s="18" t="str">
        <x:v>P0 本周做</x:v>
      </x:c>
      <x:c r="H3" s="18" t="str">
        <x:v>Best/Top/Review/VS/替代方案文章</x:v>
      </x:c>
      <x:c r="I3" s="18" t="str">
        <x:v>Best angle: best vape - comparison, pros/cons, and which option fits different buyers</x:v>
      </x:c>
      <x:c r="J3" s="18" t="str">
        <x:v>1. 搜索者到底想比较什么；2. 评价标准；3. 主要选项对比；4. 适合/不适合人群；5. 购买前检查清单；6. 自然推荐相关集合页</x:v>
      </x:c>
      <x:c r="K3" s="18" t="str">
        <x:v>/collections/disposable-vapes</x:v>
      </x:c>
      <x:c r="L3" s="18" t="str">
        <x:v>文中 1-2 个自然内链到对应集合页</x:v>
      </x:c>
      <x:c r="M3" s="19" t="str">
        <x:v>中风险：榜单和评测必须真实、中立，避免夸大</x:v>
      </x:c>
    </x:row>
    <x:row r="4">
      <x:c r="A4" s="40" t="str">
        <x:v>Week 1</x:v>
      </x:c>
      <x:c r="B4" s="18" t="str">
        <x:v>博客C-对比评测</x:v>
      </x:c>
      <x:c r="C4" s="18" t="str">
        <x:v>best vapes</x:v>
      </x:c>
      <x:c r="D4" s="41" t="n">
        <x:v>6600</x:v>
      </x:c>
      <x:c r="E4" s="41" t="n">
        <x:v>30</x:v>
      </x:c>
      <x:c r="F4" s="18" t="str">
        <x:v>commercial</x:v>
      </x:c>
      <x:c r="G4" s="18" t="str">
        <x:v>P0 本周做</x:v>
      </x:c>
      <x:c r="H4" s="18" t="str">
        <x:v>Best/Top/Review/VS/替代方案文章</x:v>
      </x:c>
      <x:c r="I4" s="18" t="str">
        <x:v>Best angle: best vapes - comparison, pros/cons, and which option fits different buyers</x:v>
      </x:c>
      <x:c r="J4" s="18" t="str">
        <x:v>1. 搜索者到底想比较什么；2. 评价标准；3. 主要选项对比；4. 适合/不适合人群；5. 购买前检查清单；6. 自然推荐相关集合页</x:v>
      </x:c>
      <x:c r="K4" s="18" t="str">
        <x:v>/collections/disposable-vapes</x:v>
      </x:c>
      <x:c r="L4" s="18" t="str">
        <x:v>文中 1-2 个自然内链到对应集合页</x:v>
      </x:c>
      <x:c r="M4" s="19" t="str">
        <x:v>中风险：榜单和评测必须真实、中立，避免夸大</x:v>
      </x:c>
    </x:row>
    <x:row r="5">
      <x:c r="A5" s="40" t="str">
        <x:v>Week 1</x:v>
      </x:c>
      <x:c r="B5" s="18" t="str">
        <x:v>博客C-对比评测</x:v>
      </x:c>
      <x:c r="C5" s="18" t="str">
        <x:v>best electronic cigarette</x:v>
      </x:c>
      <x:c r="D5" s="41" t="n">
        <x:v>1300</x:v>
      </x:c>
      <x:c r="E5" s="41" t="n">
        <x:v>15</x:v>
      </x:c>
      <x:c r="F5" s="18" t="str">
        <x:v>commercial</x:v>
      </x:c>
      <x:c r="G5" s="18" t="str">
        <x:v>P0 本周做</x:v>
      </x:c>
      <x:c r="H5" s="18" t="str">
        <x:v>Best/Top/Review/VS/替代方案文章</x:v>
      </x:c>
      <x:c r="I5" s="18" t="str">
        <x:v>Best angle: best electronic cigarette - comparison, pros/cons, and which option fits different buyers</x:v>
      </x:c>
      <x:c r="J5" s="18" t="str">
        <x:v>1. 搜索者到底想比较什么；2. 评价标准；3. 主要选项对比；4. 适合/不适合人群；5. 购买前检查清单；6. 自然推荐相关集合页</x:v>
      </x:c>
      <x:c r="K5" s="18" t="str">
        <x:v>/collections/e-cigarettes</x:v>
      </x:c>
      <x:c r="L5" s="18" t="str">
        <x:v>文中 1-2 个自然内链到对应集合页</x:v>
      </x:c>
      <x:c r="M5" s="19" t="str">
        <x:v>中风险：榜单和评测必须真实、中立，避免夸大</x:v>
      </x:c>
    </x:row>
    <x:row r="6">
      <x:c r="A6" s="40" t="str">
        <x:v>Week 1</x:v>
      </x:c>
      <x:c r="B6" s="18" t="str">
        <x:v>博客C-对比评测</x:v>
      </x:c>
      <x:c r="C6" s="18" t="str">
        <x:v>best vape brands</x:v>
      </x:c>
      <x:c r="D6" s="41" t="n">
        <x:v>3600</x:v>
      </x:c>
      <x:c r="E6" s="41" t="n">
        <x:v>16</x:v>
      </x:c>
      <x:c r="F6" s="18" t="str">
        <x:v>commercial</x:v>
      </x:c>
      <x:c r="G6" s="18" t="str">
        <x:v>P1 近期做</x:v>
      </x:c>
      <x:c r="H6" s="18" t="str">
        <x:v>Best/Top/Review/VS/替代方案文章</x:v>
      </x:c>
      <x:c r="I6" s="18" t="str">
        <x:v>Best angle: best vape brands - comparison, pros/cons, and which option fits different buyers</x:v>
      </x:c>
      <x:c r="J6" s="18" t="str">
        <x:v>1. 搜索者到底想比较什么；2. 评价标准；3. 主要选项对比；4. 适合/不适合人群；5. 购买前检查清单；6. 自然推荐相关集合页</x:v>
      </x:c>
      <x:c r="K6" s="18" t="str">
        <x:v>/collections/disposable-vapes</x:v>
      </x:c>
      <x:c r="L6" s="18" t="str">
        <x:v>文中 1-2 个自然内链到对应集合页</x:v>
      </x:c>
      <x:c r="M6" s="19" t="str">
        <x:v>中风险：榜单和评测必须真实、中立，避免夸大</x:v>
      </x:c>
    </x:row>
    <x:row r="7">
      <x:c r="A7" s="40" t="str">
        <x:v>Week 1</x:v>
      </x:c>
      <x:c r="B7" s="18" t="str">
        <x:v>博客C-对比评测</x:v>
      </x:c>
      <x:c r="C7" s="18" t="str">
        <x:v>best vapes 2025</x:v>
      </x:c>
      <x:c r="D7" s="41" t="n">
        <x:v>3600</x:v>
      </x:c>
      <x:c r="E7" s="41" t="n">
        <x:v>29</x:v>
      </x:c>
      <x:c r="F7" s="18" t="str">
        <x:v>commercial</x:v>
      </x:c>
      <x:c r="G7" s="18" t="str">
        <x:v>P1 近期做</x:v>
      </x:c>
      <x:c r="H7" s="18" t="str">
        <x:v>Best/Top/Review/VS/替代方案文章</x:v>
      </x:c>
      <x:c r="I7" s="18" t="str">
        <x:v>Best angle: best vapes 2025 - comparison, pros/cons, and which option fits different buyers</x:v>
      </x:c>
      <x:c r="J7" s="18" t="str">
        <x:v>1. 搜索者到底想比较什么；2. 评价标准；3. 主要选项对比；4. 适合/不适合人群；5. 购买前检查清单；6. 自然推荐相关集合页</x:v>
      </x:c>
      <x:c r="K7" s="18" t="str">
        <x:v>/collections/disposable-vapes</x:v>
      </x:c>
      <x:c r="L7" s="18" t="str">
        <x:v>文中 1-2 个自然内链到对应集合页</x:v>
      </x:c>
      <x:c r="M7" s="19" t="str">
        <x:v>中风险：榜单和评测必须真实、中立，避免夸大</x:v>
      </x:c>
    </x:row>
    <x:row r="8">
      <x:c r="A8" s="40" t="str">
        <x:v>Week 1</x:v>
      </x:c>
      <x:c r="B8" s="18" t="str">
        <x:v>博客C-对比评测</x:v>
      </x:c>
      <x:c r="C8" s="18" t="str">
        <x:v>best vape flavors</x:v>
      </x:c>
      <x:c r="D8" s="41" t="n">
        <x:v>2900</x:v>
      </x:c>
      <x:c r="E8" s="41" t="n">
        <x:v>21</x:v>
      </x:c>
      <x:c r="F8" s="18" t="str">
        <x:v>commercial</x:v>
      </x:c>
      <x:c r="G8" s="18" t="str">
        <x:v>P1 近期做</x:v>
      </x:c>
      <x:c r="H8" s="18" t="str">
        <x:v>Best/Top/Review/VS/替代方案文章</x:v>
      </x:c>
      <x:c r="I8" s="18" t="str">
        <x:v>Best angle: best vape flavors - comparison, pros/cons, and which option fits different buyers</x:v>
      </x:c>
      <x:c r="J8" s="18" t="str">
        <x:v>1. 搜索者到底想比较什么；2. 评价标准；3. 主要选项对比；4. 适合/不适合人群；5. 购买前检查清单；6. 自然推荐相关集合页</x:v>
      </x:c>
      <x:c r="K8" s="18" t="str">
        <x:v>/collections/flavored-disposable-vapes</x:v>
      </x:c>
      <x:c r="L8" s="18" t="str">
        <x:v>文中 1-2 个自然内链到对应集合页</x:v>
      </x:c>
      <x:c r="M8" s="19" t="str">
        <x:v>中风险：榜单和评测必须真实、中立，避免夸大</x:v>
      </x:c>
    </x:row>
    <x:row r="9">
      <x:c r="A9" s="40" t="str">
        <x:v>Week 1</x:v>
      </x:c>
      <x:c r="B9" s="18" t="str">
        <x:v>博客C-对比评测</x:v>
      </x:c>
      <x:c r="C9" s="18" t="str">
        <x:v>ecig review</x:v>
      </x:c>
      <x:c r="D9" s="41" t="n">
        <x:v>2900</x:v>
      </x:c>
      <x:c r="E9" s="41" t="n">
        <x:v>26</x:v>
      </x:c>
      <x:c r="F9" s="18" t="str">
        <x:v>informational, commercial</x:v>
      </x:c>
      <x:c r="G9" s="18" t="str">
        <x:v>P1 近期做</x:v>
      </x:c>
      <x:c r="H9" s="18" t="str">
        <x:v>Best/Top/Review/VS/替代方案文章</x:v>
      </x:c>
      <x:c r="I9" s="18" t="str">
        <x:v>Best angle: ecig review - comparison, pros/cons, and which option fits different buyers</x:v>
      </x:c>
      <x:c r="J9" s="18" t="str">
        <x:v>1. 搜索者到底想比较什么；2. 评价标准；3. 主要选项对比；4. 适合/不适合人群；5. 购买前检查清单；6. 自然推荐相关集合页</x:v>
      </x:c>
      <x:c r="K9" s="18" t="str">
        <x:v>/collections/disposable-vapes</x:v>
      </x:c>
      <x:c r="L9" s="18" t="str">
        <x:v>文中 1-2 个自然内链到对应集合页</x:v>
      </x:c>
      <x:c r="M9" s="19" t="str">
        <x:v>中风险：榜单和评测必须真实、中立，避免夸大</x:v>
      </x:c>
    </x:row>
    <x:row r="10">
      <x:c r="A10" s="40" t="str">
        <x:v>Week 2</x:v>
      </x:c>
      <x:c r="B10" s="18" t="str">
        <x:v>博客C-对比评测</x:v>
      </x:c>
      <x:c r="C10" s="18" t="str">
        <x:v>ecigarette reviews</x:v>
      </x:c>
      <x:c r="D10" s="41" t="n">
        <x:v>2900</x:v>
      </x:c>
      <x:c r="E10" s="41" t="n">
        <x:v>25</x:v>
      </x:c>
      <x:c r="F10" s="18" t="str">
        <x:v>commercial</x:v>
      </x:c>
      <x:c r="G10" s="18" t="str">
        <x:v>P1 近期做</x:v>
      </x:c>
      <x:c r="H10" s="18" t="str">
        <x:v>Best/Top/Review/VS/替代方案文章</x:v>
      </x:c>
      <x:c r="I10" s="18" t="str">
        <x:v>Best angle: ecigarette reviews - comparison, pros/cons, and which option fits different buyers</x:v>
      </x:c>
      <x:c r="J10" s="18" t="str">
        <x:v>1. 搜索者到底想比较什么；2. 评价标准；3. 主要选项对比；4. 适合/不适合人群；5. 购买前检查清单；6. 自然推荐相关集合页</x:v>
      </x:c>
      <x:c r="K10" s="18" t="str">
        <x:v>/collections/e-cigarettes</x:v>
      </x:c>
      <x:c r="L10" s="18" t="str">
        <x:v>文中 1-2 个自然内链到对应集合页</x:v>
      </x:c>
      <x:c r="M10" s="19" t="str">
        <x:v>中风险：榜单和评测必须真实、中立，避免夸大</x:v>
      </x:c>
    </x:row>
    <x:row r="11">
      <x:c r="A11" s="40" t="str">
        <x:v>Week 2</x:v>
      </x:c>
      <x:c r="B11" s="18" t="str">
        <x:v>博客C-对比评测</x:v>
      </x:c>
      <x:c r="C11" s="18" t="str">
        <x:v>vape alternative</x:v>
      </x:c>
      <x:c r="D11" s="41" t="n">
        <x:v>2400</x:v>
      </x:c>
      <x:c r="E11" s="41" t="n">
        <x:v>18</x:v>
      </x:c>
      <x:c r="F11" s="18" t="str">
        <x:v>informational</x:v>
      </x:c>
      <x:c r="G11" s="18" t="str">
        <x:v>P1 近期做</x:v>
      </x:c>
      <x:c r="H11" s="18" t="str">
        <x:v>Best/Top/Review/VS/替代方案文章</x:v>
      </x:c>
      <x:c r="I11" s="18" t="str">
        <x:v>Best angle: vape alternative - comparison, pros/cons, and which option fits different buyers</x:v>
      </x:c>
      <x:c r="J11" s="18" t="str">
        <x:v>1. 搜索者到底想比较什么；2. 评价标准；3. 主要选项对比；4. 适合/不适合人群；5. 购买前检查清单；6. 自然推荐相关集合页</x:v>
      </x:c>
      <x:c r="K11" s="18" t="str">
        <x:v>/collections/disposable-vapes</x:v>
      </x:c>
      <x:c r="L11" s="18" t="str">
        <x:v>文中 1-2 个自然内链到对应集合页</x:v>
      </x:c>
      <x:c r="M11" s="19" t="str">
        <x:v>中风险：榜单和评测必须真实、中立，避免夸大</x:v>
      </x:c>
    </x:row>
    <x:row r="12">
      <x:c r="A12" s="40" t="str">
        <x:v>Week 2</x:v>
      </x:c>
      <x:c r="B12" s="18" t="str">
        <x:v>博客C-对比评测</x:v>
      </x:c>
      <x:c r="C12" s="18" t="str">
        <x:v>popular vapes</x:v>
      </x:c>
      <x:c r="D12" s="41" t="n">
        <x:v>1900</x:v>
      </x:c>
      <x:c r="E12" s="41" t="n">
        <x:v>27</x:v>
      </x:c>
      <x:c r="F12" s="18" t="str">
        <x:v>informational, commercial</x:v>
      </x:c>
      <x:c r="G12" s="18" t="str">
        <x:v>P1 近期做</x:v>
      </x:c>
      <x:c r="H12" s="18" t="str">
        <x:v>Best/Top/Review/VS/替代方案文章</x:v>
      </x:c>
      <x:c r="I12" s="18" t="str">
        <x:v>Best angle: popular vapes - comparison, pros/cons, and which option fits different buyers</x:v>
      </x:c>
      <x:c r="J12" s="18" t="str">
        <x:v>1. 搜索者到底想比较什么；2. 评价标准；3. 主要选项对比；4. 适合/不适合人群；5. 购买前检查清单；6. 自然推荐相关集合页</x:v>
      </x:c>
      <x:c r="K12" s="18" t="str">
        <x:v>/collections/disposable-vapes</x:v>
      </x:c>
      <x:c r="L12" s="18" t="str">
        <x:v>文中 1-2 个自然内链到对应集合页</x:v>
      </x:c>
      <x:c r="M12" s="19" t="str">
        <x:v>中风险：榜单和评测必须真实、中立，避免夸大</x:v>
      </x:c>
    </x:row>
    <x:row r="13">
      <x:c r="A13" s="40" t="str">
        <x:v>Week 2</x:v>
      </x:c>
      <x:c r="B13" s="18" t="str">
        <x:v>博客B-场景人群</x:v>
      </x:c>
      <x:c r="C13" s="18" t="str">
        <x:v>low nicotine vape</x:v>
      </x:c>
      <x:c r="D13" s="41" t="n">
        <x:v>1900</x:v>
      </x:c>
      <x:c r="E13" s="41" t="n">
        <x:v>6</x:v>
      </x:c>
      <x:c r="F13" s="18" t="str">
        <x:v>informational</x:v>
      </x:c>
      <x:c r="G13" s="18" t="str">
        <x:v>P1 近期做</x:v>
      </x:c>
      <x:c r="H13" s="18" t="str">
        <x:v>场景解决方案/选购指南文章</x:v>
      </x:c>
      <x:c r="I13" s="18" t="str">
        <x:v>Scenario angle: how to choose low nicotine vape based on use case, flavor, nicotine, and budget</x:v>
      </x:c>
      <x:c r="J13" s="18" t="str">
        <x:v>1. 场景/人群问题；2. 选择维度；3. 常见误区；4. 推荐判断标准；5. FAQ；6. 如果需要购买，链接到对应集合页</x:v>
      </x:c>
      <x:c r="K13" s="18" t="str">
        <x:v>/collections/disposable-vapes</x:v>
      </x:c>
      <x:c r="L13" s="18" t="str">
        <x:v>文中 1-2 个自然内链到对应集合页</x:v>
      </x:c>
      <x:c r="M13" s="19" t="str">
        <x:v>低中风险：适合软性导流，但不要夸大效果或触碰健康疗效</x:v>
      </x:c>
    </x:row>
    <x:row r="14">
      <x:c r="A14" s="40" t="str">
        <x:v>Week 2</x:v>
      </x:c>
      <x:c r="B14" s="18" t="str">
        <x:v>博客C-对比评测</x:v>
      </x:c>
      <x:c r="C14" s="18" t="str">
        <x:v>best disposable vape 2024</x:v>
      </x:c>
      <x:c r="D14" s="41" t="n">
        <x:v>1600</x:v>
      </x:c>
      <x:c r="E14" s="41" t="n">
        <x:v>29</x:v>
      </x:c>
      <x:c r="F14" s="18" t="str">
        <x:v>commercial</x:v>
      </x:c>
      <x:c r="G14" s="18" t="str">
        <x:v>P1 近期做</x:v>
      </x:c>
      <x:c r="H14" s="18" t="str">
        <x:v>Best/Top/Review/VS/替代方案文章</x:v>
      </x:c>
      <x:c r="I14" s="18" t="str">
        <x:v>Best angle: best disposable vape 2024 - comparison, pros/cons, and which option fits different buyers</x:v>
      </x:c>
      <x:c r="J14" s="18" t="str">
        <x:v>1. 搜索者到底想比较什么；2. 评价标准；3. 主要选项对比；4. 适合/不适合人群；5. 购买前检查清单；6. 自然推荐相关集合页</x:v>
      </x:c>
      <x:c r="K14" s="18" t="str">
        <x:v>/collections/disposable-vapes</x:v>
      </x:c>
      <x:c r="L14" s="18" t="str">
        <x:v>文中 1-2 个自然内链到对应集合页</x:v>
      </x:c>
      <x:c r="M14" s="19" t="str">
        <x:v>中风险：榜单和评测必须真实、中立，避免夸大</x:v>
      </x:c>
    </x:row>
    <x:row r="15">
      <x:c r="A15" s="40" t="str">
        <x:v>Week 2</x:v>
      </x:c>
      <x:c r="B15" s="18" t="str">
        <x:v>博客C-对比评测</x:v>
      </x:c>
      <x:c r="C15" s="18" t="str">
        <x:v>popular disposable vape brands</x:v>
      </x:c>
      <x:c r="D15" s="41" t="n">
        <x:v>1600</x:v>
      </x:c>
      <x:c r="E15" s="41" t="n">
        <x:v>25</x:v>
      </x:c>
      <x:c r="F15" s="18" t="str">
        <x:v>commercial</x:v>
      </x:c>
      <x:c r="G15" s="18" t="str">
        <x:v>P1 近期做</x:v>
      </x:c>
      <x:c r="H15" s="18" t="str">
        <x:v>Best/Top/Review/VS/替代方案文章</x:v>
      </x:c>
      <x:c r="I15" s="18" t="str">
        <x:v>Best angle: popular disposable vape brands - comparison, pros/cons, and which option fits different buyers</x:v>
      </x:c>
      <x:c r="J15" s="18" t="str">
        <x:v>1. 搜索者到底想比较什么；2. 评价标准；3. 主要选项对比；4. 适合/不适合人群；5. 购买前检查清单；6. 自然推荐相关集合页</x:v>
      </x:c>
      <x:c r="K15" s="18" t="str">
        <x:v>/collections/disposable-vapes</x:v>
      </x:c>
      <x:c r="L15" s="18" t="str">
        <x:v>文中 1-2 个自然内链到对应集合页</x:v>
      </x:c>
      <x:c r="M15" s="19" t="str">
        <x:v>中风险：榜单和评测必须真实、中立，避免夸大</x:v>
      </x:c>
    </x:row>
    <x:row r="16">
      <x:c r="A16" s="40" t="str">
        <x:v>Week 2</x:v>
      </x:c>
      <x:c r="B16" s="18" t="str">
        <x:v>博客C-对比评测</x:v>
      </x:c>
      <x:c r="C16" s="18" t="str">
        <x:v>best pod vape</x:v>
      </x:c>
      <x:c r="D16" s="41" t="n">
        <x:v>1600</x:v>
      </x:c>
      <x:c r="E16" s="41" t="n">
        <x:v>21</x:v>
      </x:c>
      <x:c r="F16" s="18" t="str">
        <x:v>commercial</x:v>
      </x:c>
      <x:c r="G16" s="18" t="str">
        <x:v>P1 近期做</x:v>
      </x:c>
      <x:c r="H16" s="18" t="str">
        <x:v>Best/Top/Review/VS/替代方案文章</x:v>
      </x:c>
      <x:c r="I16" s="18" t="str">
        <x:v>Best angle: best pod vape - comparison, pros/cons, and which option fits different buyers</x:v>
      </x:c>
      <x:c r="J16" s="18" t="str">
        <x:v>1. 搜索者到底想比较什么；2. 评价标准；3. 主要选项对比；4. 适合/不适合人群；5. 购买前检查清单；6. 自然推荐相关集合页</x:v>
      </x:c>
      <x:c r="K16" s="18" t="str">
        <x:v>/collections/pod-kits</x:v>
      </x:c>
      <x:c r="L16" s="18" t="str">
        <x:v>文中 1-2 个自然内链到对应集合页</x:v>
      </x:c>
      <x:c r="M16" s="19" t="str">
        <x:v>中风险：榜单和评测必须真实、中立，避免夸大</x:v>
      </x:c>
    </x:row>
    <x:row r="17">
      <x:c r="A17" s="40" t="str">
        <x:v>Week 2</x:v>
      </x:c>
      <x:c r="B17" s="18" t="str">
        <x:v>博客C-对比评测</x:v>
      </x:c>
      <x:c r="C17" s="18" t="str">
        <x:v>best vape juice</x:v>
      </x:c>
      <x:c r="D17" s="41" t="n">
        <x:v>1600</x:v>
      </x:c>
      <x:c r="E17" s="41" t="n">
        <x:v>25</x:v>
      </x:c>
      <x:c r="F17" s="18" t="str">
        <x:v>commercial</x:v>
      </x:c>
      <x:c r="G17" s="18" t="str">
        <x:v>P1 近期做</x:v>
      </x:c>
      <x:c r="H17" s="18" t="str">
        <x:v>Best/Top/Review/VS/替代方案文章</x:v>
      </x:c>
      <x:c r="I17" s="18" t="str">
        <x:v>Best angle: best vape juice - comparison, pros/cons, and which option fits different buyers</x:v>
      </x:c>
      <x:c r="J17" s="18" t="str">
        <x:v>1. 搜索者到底想比较什么；2. 评价标准；3. 主要选项对比；4. 适合/不适合人群；5. 购买前检查清单；6. 自然推荐相关集合页</x:v>
      </x:c>
      <x:c r="K17" s="18" t="str">
        <x:v>/collections/disposable-vapes</x:v>
      </x:c>
      <x:c r="L17" s="18" t="str">
        <x:v>文中 1-2 个自然内链到对应集合页</x:v>
      </x:c>
      <x:c r="M17" s="19" t="str">
        <x:v>中风险：榜单和评测必须真实、中立，避免夸大</x:v>
      </x:c>
    </x:row>
    <x:row r="18">
      <x:c r="A18" s="40" t="str">
        <x:v>Week 3</x:v>
      </x:c>
      <x:c r="B18" s="18" t="str">
        <x:v>博客C-对比评测</x:v>
      </x:c>
      <x:c r="C18" s="18" t="str">
        <x:v>best vapes 2024</x:v>
      </x:c>
      <x:c r="D18" s="41" t="n">
        <x:v>1600</x:v>
      </x:c>
      <x:c r="E18" s="41" t="n">
        <x:v>25</x:v>
      </x:c>
      <x:c r="F18" s="18" t="str">
        <x:v>commercial</x:v>
      </x:c>
      <x:c r="G18" s="18" t="str">
        <x:v>P1 近期做</x:v>
      </x:c>
      <x:c r="H18" s="18" t="str">
        <x:v>Best/Top/Review/VS/替代方案文章</x:v>
      </x:c>
      <x:c r="I18" s="18" t="str">
        <x:v>Best angle: best vapes 2024 - comparison, pros/cons, and which option fits different buyers</x:v>
      </x:c>
      <x:c r="J18" s="18" t="str">
        <x:v>1. 搜索者到底想比较什么；2. 评价标准；3. 主要选项对比；4. 适合/不适合人群；5. 购买前检查清单；6. 自然推荐相关集合页</x:v>
      </x:c>
      <x:c r="K18" s="18" t="str">
        <x:v>/collections/disposable-vapes</x:v>
      </x:c>
      <x:c r="L18" s="18" t="str">
        <x:v>文中 1-2 个自然内链到对应集合页</x:v>
      </x:c>
      <x:c r="M18" s="19" t="str">
        <x:v>中风险：榜单和评测必须真实、中立，避免夸大</x:v>
      </x:c>
    </x:row>
    <x:row r="19">
      <x:c r="A19" s="40" t="str">
        <x:v>Week 3</x:v>
      </x:c>
      <x:c r="B19" s="18" t="str">
        <x:v>博客C-对比评测</x:v>
      </x:c>
      <x:c r="C19" s="18" t="str">
        <x:v>best vape mods</x:v>
      </x:c>
      <x:c r="D19" s="41" t="n">
        <x:v>1300</x:v>
      </x:c>
      <x:c r="E19" s="41" t="n">
        <x:v>23</x:v>
      </x:c>
      <x:c r="F19" s="18" t="str">
        <x:v>commercial</x:v>
      </x:c>
      <x:c r="G19" s="18" t="str">
        <x:v>P1 近期做</x:v>
      </x:c>
      <x:c r="H19" s="18" t="str">
        <x:v>Best/Top/Review/VS/替代方案文章</x:v>
      </x:c>
      <x:c r="I19" s="18" t="str">
        <x:v>Best angle: best vape mods - comparison, pros/cons, and which option fits different buyers</x:v>
      </x:c>
      <x:c r="J19" s="18" t="str">
        <x:v>1. 搜索者到底想比较什么；2. 评价标准；3. 主要选项对比；4. 适合/不适合人群；5. 购买前检查清单；6. 自然推荐相关集合页</x:v>
      </x:c>
      <x:c r="K19" s="18" t="str">
        <x:v>/collections/disposable-vapes</x:v>
      </x:c>
      <x:c r="L19" s="18" t="str">
        <x:v>文中 1-2 个自然内链到对应集合页</x:v>
      </x:c>
      <x:c r="M19" s="19" t="str">
        <x:v>中风险：榜单和评测必须真实、中立，避免夸大</x:v>
      </x:c>
    </x:row>
    <x:row r="20">
      <x:c r="A20" s="40" t="str">
        <x:v>Week 3</x:v>
      </x:c>
      <x:c r="B20" s="18" t="str">
        <x:v>博客C-对比评测</x:v>
      </x:c>
      <x:c r="C20" s="18" t="str">
        <x:v>most popular vapes</x:v>
      </x:c>
      <x:c r="D20" s="41" t="n">
        <x:v>1000</x:v>
      </x:c>
      <x:c r="E20" s="41" t="n">
        <x:v>26</x:v>
      </x:c>
      <x:c r="F20" s="18" t="str">
        <x:v>informational, commercial</x:v>
      </x:c>
      <x:c r="G20" s="18" t="str">
        <x:v>P1 近期做</x:v>
      </x:c>
      <x:c r="H20" s="18" t="str">
        <x:v>Best/Top/Review/VS/替代方案文章</x:v>
      </x:c>
      <x:c r="I20" s="18" t="str">
        <x:v>Best angle: most popular vapes - comparison, pros/cons, and which option fits different buyers</x:v>
      </x:c>
      <x:c r="J20" s="18" t="str">
        <x:v>1. 搜索者到底想比较什么；2. 评价标准；3. 主要选项对比；4. 适合/不适合人群；5. 购买前检查清单；6. 自然推荐相关集合页</x:v>
      </x:c>
      <x:c r="K20" s="18" t="str">
        <x:v>/collections/disposable-vapes</x:v>
      </x:c>
      <x:c r="L20" s="18" t="str">
        <x:v>文中 1-2 个自然内链到对应集合页</x:v>
      </x:c>
      <x:c r="M20" s="19" t="str">
        <x:v>中风险：榜单和评测必须真实、中立，避免夸大</x:v>
      </x:c>
    </x:row>
    <x:row r="21">
      <x:c r="A21" s="40" t="str">
        <x:v>Week 3</x:v>
      </x:c>
      <x:c r="B21" s="18" t="str">
        <x:v>博客C-对比评测</x:v>
      </x:c>
      <x:c r="C21" s="18" t="str">
        <x:v>best vape juice brands</x:v>
      </x:c>
      <x:c r="D21" s="41" t="n">
        <x:v>880</x:v>
      </x:c>
      <x:c r="E21" s="41" t="n">
        <x:v>9</x:v>
      </x:c>
      <x:c r="F21" s="18" t="str">
        <x:v>commercial</x:v>
      </x:c>
      <x:c r="G21" s="18" t="str">
        <x:v>P1 近期做</x:v>
      </x:c>
      <x:c r="H21" s="18" t="str">
        <x:v>Best/Top/Review/VS/替代方案文章</x:v>
      </x:c>
      <x:c r="I21" s="18" t="str">
        <x:v>Best angle: best vape juice brands - comparison, pros/cons, and which option fits different buyers</x:v>
      </x:c>
      <x:c r="J21" s="18" t="str">
        <x:v>1. 搜索者到底想比较什么；2. 评价标准；3. 主要选项对比；4. 适合/不适合人群；5. 购买前检查清单；6. 自然推荐相关集合页</x:v>
      </x:c>
      <x:c r="K21" s="18" t="str">
        <x:v>/collections/disposable-vapes</x:v>
      </x:c>
      <x:c r="L21" s="18" t="str">
        <x:v>文中 1-2 个自然内链到对应集合页</x:v>
      </x:c>
      <x:c r="M21" s="19" t="str">
        <x:v>中风险：榜单和评测必须真实、中立，避免夸大</x:v>
      </x:c>
    </x:row>
    <x:row r="22">
      <x:c r="A22" s="40" t="str">
        <x:v>Week 3</x:v>
      </x:c>
      <x:c r="B22" s="18" t="str">
        <x:v>博客C-对比评测</x:v>
      </x:c>
      <x:c r="C22" s="18" t="str">
        <x:v>best foger vape flavors</x:v>
      </x:c>
      <x:c r="D22" s="41" t="n">
        <x:v>590</x:v>
      </x:c>
      <x:c r="E22" s="41" t="n">
        <x:v>2</x:v>
      </x:c>
      <x:c r="F22" s="18" t="str">
        <x:v>commercial</x:v>
      </x:c>
      <x:c r="G22" s="18" t="str">
        <x:v>P1 近期做</x:v>
      </x:c>
      <x:c r="H22" s="18" t="str">
        <x:v>Best/Top/Review/VS/替代方案文章</x:v>
      </x:c>
      <x:c r="I22" s="18" t="str">
        <x:v>Best angle: best foger vape flavors - comparison, pros/cons, and which option fits different buyers</x:v>
      </x:c>
      <x:c r="J22" s="18" t="str">
        <x:v>1. 搜索者到底想比较什么；2. 评价标准；3. 主要选项对比；4. 适合/不适合人群；5. 购买前检查清单；6. 自然推荐相关集合页</x:v>
      </x:c>
      <x:c r="K22" s="18" t="str">
        <x:v>/collections/flavored-disposable-vapes</x:v>
      </x:c>
      <x:c r="L22" s="18" t="str">
        <x:v>文中 1-2 个自然内链到对应集合页</x:v>
      </x:c>
      <x:c r="M22" s="19" t="str">
        <x:v>中风险：榜单和评测必须真实、中立，避免夸大</x:v>
      </x:c>
    </x:row>
    <x:row r="23">
      <x:c r="A23" s="40" t="str">
        <x:v>Week 3</x:v>
      </x:c>
      <x:c r="B23" s="18" t="str">
        <x:v>博客B-场景人群</x:v>
      </x:c>
      <x:c r="C23" s="18" t="str">
        <x:v>refillable vape</x:v>
      </x:c>
      <x:c r="D23" s="41" t="n">
        <x:v>9900</x:v>
      </x:c>
      <x:c r="E23" s="41" t="n">
        <x:v>35</x:v>
      </x:c>
      <x:c r="F23" s="18" t="str">
        <x:v>informational</x:v>
      </x:c>
      <x:c r="G23" s="18" t="str">
        <x:v>P1 近期做</x:v>
      </x:c>
      <x:c r="H23" s="18" t="str">
        <x:v>场景解决方案/选购指南文章</x:v>
      </x:c>
      <x:c r="I23" s="18" t="str">
        <x:v>Scenario angle: how to choose refillable vape based on use case, flavor, nicotine, and budget</x:v>
      </x:c>
      <x:c r="J23" s="18" t="str">
        <x:v>1. 场景/人群问题；2. 选择维度；3. 常见误区；4. 推荐判断标准；5. FAQ；6. 如果需要购买，链接到对应集合页</x:v>
      </x:c>
      <x:c r="K23" s="18" t="str">
        <x:v>/collections/rechargeable-vapes</x:v>
      </x:c>
      <x:c r="L23" s="18" t="str">
        <x:v>文中 1-2 个自然内链到对应集合页</x:v>
      </x:c>
      <x:c r="M23" s="19" t="str">
        <x:v>低中风险：适合软性导流，但不要夸大效果或触碰健康疗效</x:v>
      </x:c>
    </x:row>
    <x:row r="24">
      <x:c r="A24" s="40" t="str">
        <x:v>Week 3</x:v>
      </x:c>
      <x:c r="B24" s="18" t="str">
        <x:v>博客B-场景人群</x:v>
      </x:c>
      <x:c r="C24" s="18" t="str">
        <x:v>vape with screen</x:v>
      </x:c>
      <x:c r="D24" s="41" t="n">
        <x:v>3600</x:v>
      </x:c>
      <x:c r="E24" s="41" t="n">
        <x:v>17</x:v>
      </x:c>
      <x:c r="F24" s="18" t="str">
        <x:v>informational</x:v>
      </x:c>
      <x:c r="G24" s="18" t="str">
        <x:v>P1 近期做</x:v>
      </x:c>
      <x:c r="H24" s="18" t="str">
        <x:v>场景解决方案/选购指南文章</x:v>
      </x:c>
      <x:c r="I24" s="18" t="str">
        <x:v>Scenario angle: how to choose vape with screen based on use case, flavor, nicotine, and budget</x:v>
      </x:c>
      <x:c r="J24" s="18" t="str">
        <x:v>1. 场景/人群问题；2. 选择维度；3. 常见误区；4. 推荐判断标准；5. FAQ；6. 如果需要购买，链接到对应集合页</x:v>
      </x:c>
      <x:c r="K24" s="18" t="str">
        <x:v>/collections/disposable-vapes</x:v>
      </x:c>
      <x:c r="L24" s="18" t="str">
        <x:v>文中 1-2 个自然内链到对应集合页</x:v>
      </x:c>
      <x:c r="M24" s="19" t="str">
        <x:v>低中风险：适合软性导流，但不要夸大效果或触碰健康疗效</x:v>
      </x:c>
    </x:row>
    <x:row r="25">
      <x:c r="A25" s="40" t="str">
        <x:v>Week 3</x:v>
      </x:c>
      <x:c r="B25" s="18" t="str">
        <x:v>博客C-对比评测</x:v>
      </x:c>
      <x:c r="C25" s="18" t="str">
        <x:v>disposable vape brands</x:v>
      </x:c>
      <x:c r="D25" s="41" t="n">
        <x:v>2900</x:v>
      </x:c>
      <x:c r="E25" s="41" t="n">
        <x:v>35</x:v>
      </x:c>
      <x:c r="F25" s="18" t="str">
        <x:v>informational, commercial</x:v>
      </x:c>
      <x:c r="G25" s="18" t="str">
        <x:v>P1 近期做</x:v>
      </x:c>
      <x:c r="H25" s="18" t="str">
        <x:v>Best/Top/Review/VS/替代方案文章</x:v>
      </x:c>
      <x:c r="I25" s="18" t="str">
        <x:v>Best angle: disposable vape brands - comparison, pros/cons, and which option fits different buyers</x:v>
      </x:c>
      <x:c r="J25" s="18" t="str">
        <x:v>1. 搜索者到底想比较什么；2. 评价标准；3. 主要选项对比；4. 适合/不适合人群；5. 购买前检查清单；6. 自然推荐相关集合页</x:v>
      </x:c>
      <x:c r="K25" s="18" t="str">
        <x:v>/collections/disposable-vapes</x:v>
      </x:c>
      <x:c r="L25" s="18" t="str">
        <x:v>文中 1-2 个自然内链到对应集合页</x:v>
      </x:c>
      <x:c r="M25" s="19" t="str">
        <x:v>中风险：榜单和评测必须真实、中立，避免夸大</x:v>
      </x:c>
    </x:row>
    <x:row r="26">
      <x:c r="A26" s="40" t="str">
        <x:v>Week 4</x:v>
      </x:c>
      <x:c r="B26" s="18" t="str">
        <x:v>博客C-对比评测</x:v>
      </x:c>
      <x:c r="C26" s="18" t="str">
        <x:v>vapes brands</x:v>
      </x:c>
      <x:c r="D26" s="41" t="n">
        <x:v>2400</x:v>
      </x:c>
      <x:c r="E26" s="41" t="n">
        <x:v>38</x:v>
      </x:c>
      <x:c r="F26" s="18" t="str">
        <x:v>informational, commercial</x:v>
      </x:c>
      <x:c r="G26" s="18" t="str">
        <x:v>P1 近期做</x:v>
      </x:c>
      <x:c r="H26" s="18" t="str">
        <x:v>Best/Top/Review/VS/替代方案文章</x:v>
      </x:c>
      <x:c r="I26" s="18" t="str">
        <x:v>Best angle: vapes brands - comparison, pros/cons, and which option fits different buyers</x:v>
      </x:c>
      <x:c r="J26" s="18" t="str">
        <x:v>1. 搜索者到底想比较什么；2. 评价标准；3. 主要选项对比；4. 适合/不适合人群；5. 购买前检查清单；6. 自然推荐相关集合页</x:v>
      </x:c>
      <x:c r="K26" s="18" t="str">
        <x:v>/collections/disposable-vapes</x:v>
      </x:c>
      <x:c r="L26" s="18" t="str">
        <x:v>文中 1-2 个自然内链到对应集合页</x:v>
      </x:c>
      <x:c r="M26" s="19" t="str">
        <x:v>中风险：榜单和评测必须真实、中立，避免夸大</x:v>
      </x:c>
    </x:row>
    <x:row r="27">
      <x:c r="A27" s="40" t="str">
        <x:v>Week 4</x:v>
      </x:c>
      <x:c r="B27" s="18" t="str">
        <x:v>博客B-场景人群</x:v>
      </x:c>
      <x:c r="C27" s="18" t="str">
        <x:v>rechargeable disposable vape</x:v>
      </x:c>
      <x:c r="D27" s="41" t="n">
        <x:v>2400</x:v>
      </x:c>
      <x:c r="E27" s="41" t="n">
        <x:v>25</x:v>
      </x:c>
      <x:c r="F27" s="18" t="str">
        <x:v>informational</x:v>
      </x:c>
      <x:c r="G27" s="18" t="str">
        <x:v>P1 近期做</x:v>
      </x:c>
      <x:c r="H27" s="18" t="str">
        <x:v>场景解决方案/选购指南文章</x:v>
      </x:c>
      <x:c r="I27" s="18" t="str">
        <x:v>Scenario angle: how to choose rechargeable disposable vape based on use case, flavor, nicotine, and budget</x:v>
      </x:c>
      <x:c r="J27" s="18" t="str">
        <x:v>1. 场景/人群问题；2. 选择维度；3. 常见误区；4. 推荐判断标准；5. FAQ；6. 如果需要购买，链接到对应集合页</x:v>
      </x:c>
      <x:c r="K27" s="18" t="str">
        <x:v>/collections/rechargeable-vapes</x:v>
      </x:c>
      <x:c r="L27" s="18" t="str">
        <x:v>文中 1-2 个自然内链到对应集合页</x:v>
      </x:c>
      <x:c r="M27" s="19" t="str">
        <x:v>低中风险：适合软性导流，但不要夸大效果或触碰健康疗效</x:v>
      </x:c>
    </x:row>
    <x:row r="28">
      <x:c r="A28" s="40" t="str">
        <x:v>Week 4</x:v>
      </x:c>
      <x:c r="B28" s="18" t="str">
        <x:v>博客B-场景人群</x:v>
      </x:c>
      <x:c r="C28" s="18" t="str">
        <x:v>refillable vape pen</x:v>
      </x:c>
      <x:c r="D28" s="41" t="n">
        <x:v>1900</x:v>
      </x:c>
      <x:c r="E28" s="41" t="n">
        <x:v>24</x:v>
      </x:c>
      <x:c r="F28" s="18" t="str">
        <x:v>informational</x:v>
      </x:c>
      <x:c r="G28" s="18" t="str">
        <x:v>P1 近期做</x:v>
      </x:c>
      <x:c r="H28" s="18" t="str">
        <x:v>场景解决方案/选购指南文章</x:v>
      </x:c>
      <x:c r="I28" s="18" t="str">
        <x:v>Scenario angle: how to choose refillable vape pen based on use case, flavor, nicotine, and budget</x:v>
      </x:c>
      <x:c r="J28" s="18" t="str">
        <x:v>1. 场景/人群问题；2. 选择维度；3. 常见误区；4. 推荐判断标准；5. FAQ；6. 如果需要购买，链接到对应集合页</x:v>
      </x:c>
      <x:c r="K28" s="18" t="str">
        <x:v>/collections/rechargeable-vapes</x:v>
      </x:c>
      <x:c r="L28" s="18" t="str">
        <x:v>文中 1-2 个自然内链到对应集合页</x:v>
      </x:c>
      <x:c r="M28" s="19" t="str">
        <x:v>低中风险：适合软性导流，但不要夸大效果或触碰健康疗效</x:v>
      </x:c>
    </x:row>
    <x:row r="29">
      <x:c r="A29" s="40" t="str">
        <x:v>Week 4</x:v>
      </x:c>
      <x:c r="B29" s="18" t="str">
        <x:v>博客C-对比评测</x:v>
      </x:c>
      <x:c r="C29" s="18" t="str">
        <x:v>best vaporizer</x:v>
      </x:c>
      <x:c r="D29" s="41" t="n">
        <x:v>1900</x:v>
      </x:c>
      <x:c r="E29" s="41" t="n">
        <x:v>34</x:v>
      </x:c>
      <x:c r="F29" s="18" t="str">
        <x:v>commercial</x:v>
      </x:c>
      <x:c r="G29" s="18" t="str">
        <x:v>P1 近期做</x:v>
      </x:c>
      <x:c r="H29" s="18" t="str">
        <x:v>Best/Top/Review/VS/替代方案文章</x:v>
      </x:c>
      <x:c r="I29" s="18" t="str">
        <x:v>Best angle: best vaporizer - comparison, pros/cons, and which option fits different buyers</x:v>
      </x:c>
      <x:c r="J29" s="18" t="str">
        <x:v>1. 搜索者到底想比较什么；2. 评价标准；3. 主要选项对比；4. 适合/不适合人群；5. 购买前检查清单；6. 自然推荐相关集合页</x:v>
      </x:c>
      <x:c r="K29" s="18" t="str">
        <x:v>/collections/disposable-vapes</x:v>
      </x:c>
      <x:c r="L29" s="18" t="str">
        <x:v>文中 1-2 个自然内链到对应集合页</x:v>
      </x:c>
      <x:c r="M29" s="19" t="str">
        <x:v>中风险：榜单和评测必须真实、中立，避免夸大</x:v>
      </x:c>
    </x:row>
    <x:row r="30">
      <x:c r="A30" s="40" t="str">
        <x:v>Week 4</x:v>
      </x:c>
      <x:c r="B30" s="18" t="str">
        <x:v>博客C-对比评测</x:v>
      </x:c>
      <x:c r="C30" s="18" t="str">
        <x:v>best nicotine vape</x:v>
      </x:c>
      <x:c r="D30" s="41" t="n">
        <x:v>1600</x:v>
      </x:c>
      <x:c r="E30" s="41" t="n">
        <x:v>32</x:v>
      </x:c>
      <x:c r="F30" s="18" t="str">
        <x:v>commercial</x:v>
      </x:c>
      <x:c r="G30" s="18" t="str">
        <x:v>P1 近期做</x:v>
      </x:c>
      <x:c r="H30" s="18" t="str">
        <x:v>Best/Top/Review/VS/替代方案文章</x:v>
      </x:c>
      <x:c r="I30" s="18" t="str">
        <x:v>Best angle: best nicotine vape - comparison, pros/cons, and which option fits different buyers</x:v>
      </x:c>
      <x:c r="J30" s="18" t="str">
        <x:v>1. 搜索者到底想比较什么；2. 评价标准；3. 主要选项对比；4. 适合/不适合人群；5. 购买前检查清单；6. 自然推荐相关集合页</x:v>
      </x:c>
      <x:c r="K30" s="18" t="str">
        <x:v>/collections/disposable-vapes</x:v>
      </x:c>
      <x:c r="L30" s="18" t="str">
        <x:v>文中 1-2 个自然内链到对应集合页</x:v>
      </x:c>
      <x:c r="M30" s="19" t="str">
        <x:v>中风险：榜单和评测必须真实、中立，避免夸大</x:v>
      </x:c>
    </x:row>
    <x:row r="31">
      <x:c r="A31" s="40" t="str">
        <x:v>Week 4</x:v>
      </x:c>
      <x:c r="B31" s="18" t="str">
        <x:v>博客C-对比评测</x:v>
      </x:c>
      <x:c r="C31" s="18" t="str">
        <x:v>best vape disposable</x:v>
      </x:c>
      <x:c r="D31" s="41" t="n">
        <x:v>1300</x:v>
      </x:c>
      <x:c r="E31" s="41" t="n">
        <x:v>34</x:v>
      </x:c>
      <x:c r="F31" s="18" t="str">
        <x:v>commercial</x:v>
      </x:c>
      <x:c r="G31" s="18" t="str">
        <x:v>P1 近期做</x:v>
      </x:c>
      <x:c r="H31" s="18" t="str">
        <x:v>Best/Top/Review/VS/替代方案文章</x:v>
      </x:c>
      <x:c r="I31" s="18" t="str">
        <x:v>Best angle: best vape disposable - comparison, pros/cons, and which option fits different buyers</x:v>
      </x:c>
      <x:c r="J31" s="18" t="str">
        <x:v>1. 搜索者到底想比较什么；2. 评价标准；3. 主要选项对比；4. 适合/不适合人群；5. 购买前检查清单；6. 自然推荐相关集合页</x:v>
      </x:c>
      <x:c r="K31" s="18" t="str">
        <x:v>/collections/disposable-vapes</x:v>
      </x:c>
      <x:c r="L31" s="18" t="str">
        <x:v>文中 1-2 个自然内链到对应集合页</x:v>
      </x:c>
      <x:c r="M31" s="19" t="str">
        <x:v>中风险：榜单和评测必须真实、中立，避免夸大</x:v>
      </x:c>
    </x:row>
    <x:row r="32">
      <x:c r="A32" s="40" t="str">
        <x:v>Week 4</x:v>
      </x:c>
      <x:c r="B32" s="18" t="str">
        <x:v>博客C-对比评测</x:v>
      </x:c>
      <x:c r="C32" s="18" t="str">
        <x:v>e cigarette brands</x:v>
      </x:c>
      <x:c r="D32" s="41" t="n">
        <x:v>1000</x:v>
      </x:c>
      <x:c r="E32" s="41" t="n">
        <x:v>32</x:v>
      </x:c>
      <x:c r="F32" s="18" t="str">
        <x:v>informational, commercial</x:v>
      </x:c>
      <x:c r="G32" s="18" t="str">
        <x:v>P1 近期做</x:v>
      </x:c>
      <x:c r="H32" s="18" t="str">
        <x:v>Best/Top/Review/VS/替代方案文章</x:v>
      </x:c>
      <x:c r="I32" s="18" t="str">
        <x:v>Best angle: e cigarette brands - comparison, pros/cons, and which option fits different buyers</x:v>
      </x:c>
      <x:c r="J32" s="18" t="str">
        <x:v>1. 搜索者到底想比较什么；2. 评价标准；3. 主要选项对比；4. 适合/不适合人群；5. 购买前检查清单；6. 自然推荐相关集合页</x:v>
      </x:c>
      <x:c r="K32" s="18" t="str">
        <x:v>/collections/e-cigarettes</x:v>
      </x:c>
      <x:c r="L32" s="18" t="str">
        <x:v>文中 1-2 个自然内链到对应集合页</x:v>
      </x:c>
      <x:c r="M32" s="19" t="str">
        <x:v>中风险：榜单和评测必须真实、中立，避免夸大</x:v>
      </x:c>
    </x:row>
    <x:row r="33">
      <x:c r="A33" s="40" t="str">
        <x:v>Week 4</x:v>
      </x:c>
      <x:c r="B33" s="18" t="str">
        <x:v>博客C-对比评测</x:v>
      </x:c>
      <x:c r="C33" s="18" t="str">
        <x:v>electronic cigarette brands</x:v>
      </x:c>
      <x:c r="D33" s="41" t="n">
        <x:v>1000</x:v>
      </x:c>
      <x:c r="E33" s="41" t="n">
        <x:v>33</x:v>
      </x:c>
      <x:c r="F33" s="18" t="str">
        <x:v>commercial</x:v>
      </x:c>
      <x:c r="G33" s="18" t="str">
        <x:v>P1 近期做</x:v>
      </x:c>
      <x:c r="H33" s="18" t="str">
        <x:v>Best/Top/Review/VS/替代方案文章</x:v>
      </x:c>
      <x:c r="I33" s="18" t="str">
        <x:v>Best angle: electronic cigarette brands - comparison, pros/cons, and which option fits different buyers</x:v>
      </x:c>
      <x:c r="J33" s="18" t="str">
        <x:v>1. 搜索者到底想比较什么；2. 评价标准；3. 主要选项对比；4. 适合/不适合人群；5. 购买前检查清单；6. 自然推荐相关集合页</x:v>
      </x:c>
      <x:c r="K33" s="18" t="str">
        <x:v>/collections/e-cigarettes</x:v>
      </x:c>
      <x:c r="L33" s="18" t="str">
        <x:v>文中 1-2 个自然内链到对应集合页</x:v>
      </x:c>
      <x:c r="M33" s="19" t="str">
        <x:v>中风险：榜单和评测必须真实、中立，避免夸大</x:v>
      </x:c>
    </x:row>
    <x:row r="34">
      <x:c r="A34" s="40" t="str">
        <x:v>Week 5</x:v>
      </x:c>
      <x:c r="B34" s="18" t="str">
        <x:v>博客C-对比评测</x:v>
      </x:c>
      <x:c r="C34" s="18" t="str">
        <x:v>most popular vape</x:v>
      </x:c>
      <x:c r="D34" s="41" t="n">
        <x:v>720</x:v>
      </x:c>
      <x:c r="E34" s="41" t="n">
        <x:v>27</x:v>
      </x:c>
      <x:c r="F34" s="18" t="str">
        <x:v>informational, commercial</x:v>
      </x:c>
      <x:c r="G34" s="18" t="str">
        <x:v>P1 近期做</x:v>
      </x:c>
      <x:c r="H34" s="18" t="str">
        <x:v>Best/Top/Review/VS/替代方案文章</x:v>
      </x:c>
      <x:c r="I34" s="18" t="str">
        <x:v>Best angle: most popular vape - comparison, pros/cons, and which option fits different buyers</x:v>
      </x:c>
      <x:c r="J34" s="18" t="str">
        <x:v>1. 搜索者到底想比较什么；2. 评价标准；3. 主要选项对比；4. 适合/不适合人群；5. 购买前检查清单；6. 自然推荐相关集合页</x:v>
      </x:c>
      <x:c r="K34" s="18" t="str">
        <x:v>/collections/disposable-vapes</x:v>
      </x:c>
      <x:c r="L34" s="18" t="str">
        <x:v>文中 1-2 个自然内链到对应集合页</x:v>
      </x:c>
      <x:c r="M34" s="19" t="str">
        <x:v>中风险：榜单和评测必须真实、中立，避免夸大</x:v>
      </x:c>
    </x:row>
    <x:row r="35">
      <x:c r="A35" s="40" t="str">
        <x:v>Week 5</x:v>
      </x:c>
      <x:c r="B35" s="18" t="str">
        <x:v>博客C-对比评测</x:v>
      </x:c>
      <x:c r="C35" s="18" t="str">
        <x:v>best disposable vape brands</x:v>
      </x:c>
      <x:c r="D35" s="41" t="n">
        <x:v>590</x:v>
      </x:c>
      <x:c r="E35" s="41" t="n">
        <x:v>29</x:v>
      </x:c>
      <x:c r="F35" s="18" t="str">
        <x:v>commercial</x:v>
      </x:c>
      <x:c r="G35" s="18" t="str">
        <x:v>P1 近期做</x:v>
      </x:c>
      <x:c r="H35" s="18" t="str">
        <x:v>Best/Top/Review/VS/替代方案文章</x:v>
      </x:c>
      <x:c r="I35" s="18" t="str">
        <x:v>Best angle: best disposable vape brands - comparison, pros/cons, and which option fits different buyers</x:v>
      </x:c>
      <x:c r="J35" s="18" t="str">
        <x:v>1. 搜索者到底想比较什么；2. 评价标准；3. 主要选项对比；4. 适合/不适合人群；5. 购买前检查清单；6. 自然推荐相关集合页</x:v>
      </x:c>
      <x:c r="K35" s="18" t="str">
        <x:v>/collections/disposable-vapes</x:v>
      </x:c>
      <x:c r="L35" s="18" t="str">
        <x:v>文中 1-2 个自然内链到对应集合页</x:v>
      </x:c>
      <x:c r="M35" s="19" t="str">
        <x:v>中风险：榜单和评测必须真实、中立，避免夸大</x:v>
      </x:c>
    </x:row>
    <x:row r="36">
      <x:c r="A36" s="40" t="str">
        <x:v>Week 5</x:v>
      </x:c>
      <x:c r="B36" s="18" t="str">
        <x:v>博客C-对比评测</x:v>
      </x:c>
      <x:c r="C36" s="18" t="str">
        <x:v>popular vape flavors</x:v>
      </x:c>
      <x:c r="D36" s="41" t="n">
        <x:v>590</x:v>
      </x:c>
      <x:c r="E36" s="41" t="n">
        <x:v>16</x:v>
      </x:c>
      <x:c r="F36" s="18" t="str">
        <x:v>informational</x:v>
      </x:c>
      <x:c r="G36" s="18" t="str">
        <x:v>P1 近期做</x:v>
      </x:c>
      <x:c r="H36" s="18" t="str">
        <x:v>Best/Top/Review/VS/替代方案文章</x:v>
      </x:c>
      <x:c r="I36" s="18" t="str">
        <x:v>Best angle: popular vape flavors - comparison, pros/cons, and which option fits different buyers</x:v>
      </x:c>
      <x:c r="J36" s="18" t="str">
        <x:v>1. 搜索者到底想比较什么；2. 评价标准；3. 主要选项对比；4. 适合/不适合人群；5. 购买前检查清单；6. 自然推荐相关集合页</x:v>
      </x:c>
      <x:c r="K36" s="18" t="str">
        <x:v>/collections/flavored-disposable-vapes</x:v>
      </x:c>
      <x:c r="L36" s="18" t="str">
        <x:v>文中 1-2 个自然内链到对应集合页</x:v>
      </x:c>
      <x:c r="M36" s="19" t="str">
        <x:v>中风险：榜单和评测必须真实、中立，避免夸大</x:v>
      </x:c>
    </x:row>
    <x:row r="37">
      <x:c r="A37" s="40" t="str">
        <x:v>Week 5</x:v>
      </x:c>
      <x:c r="B37" s="18" t="str">
        <x:v>博客C-对比评测</x:v>
      </x:c>
      <x:c r="C37" s="18" t="str">
        <x:v>what is the best vape</x:v>
      </x:c>
      <x:c r="D37" s="41" t="n">
        <x:v>390</x:v>
      </x:c>
      <x:c r="E37" s="41" t="n">
        <x:v>15</x:v>
      </x:c>
      <x:c r="F37" s="18" t="str">
        <x:v>commercial</x:v>
      </x:c>
      <x:c r="G37" s="18" t="str">
        <x:v>P1 近期做</x:v>
      </x:c>
      <x:c r="H37" s="18" t="str">
        <x:v>Best/Top/Review/VS/替代方案文章</x:v>
      </x:c>
      <x:c r="I37" s="18" t="str">
        <x:v>Best angle: what is the best vape - comparison, pros/cons, and which option fits different buyers</x:v>
      </x:c>
      <x:c r="J37" s="18" t="str">
        <x:v>1. 搜索者到底想比较什么；2. 评价标准；3. 主要选项对比；4. 适合/不适合人群；5. 购买前检查清单；6. 自然推荐相关集合页</x:v>
      </x:c>
      <x:c r="K37" s="18" t="str">
        <x:v>/collections/disposable-vapes</x:v>
      </x:c>
      <x:c r="L37" s="18" t="str">
        <x:v>文中 1-2 个自然内链到对应集合页</x:v>
      </x:c>
      <x:c r="M37" s="19" t="str">
        <x:v>中风险：榜单和评测必须真实、中立，避免夸大</x:v>
      </x:c>
    </x:row>
    <x:row r="38">
      <x:c r="A38" s="40" t="str">
        <x:v>Week 5</x:v>
      </x:c>
      <x:c r="B38" s="18" t="str">
        <x:v>博客C-对比评测</x:v>
      </x:c>
      <x:c r="C38" s="18" t="str">
        <x:v>best tobacco flavor disposable vape</x:v>
      </x:c>
      <x:c r="D38" s="41" t="n">
        <x:v>320</x:v>
      </x:c>
      <x:c r="E38" s="41" t="n">
        <x:v>4</x:v>
      </x:c>
      <x:c r="F38" s="18" t="str">
        <x:v>commercial</x:v>
      </x:c>
      <x:c r="G38" s="18" t="str">
        <x:v>P1 近期做</x:v>
      </x:c>
      <x:c r="H38" s="18" t="str">
        <x:v>Best/Top/Review/VS/替代方案文章</x:v>
      </x:c>
      <x:c r="I38" s="18" t="str">
        <x:v>Best angle: best tobacco flavor disposable vape - comparison, pros/cons, and which option fits different buyers</x:v>
      </x:c>
      <x:c r="J38" s="18" t="str">
        <x:v>1. 搜索者到底想比较什么；2. 评价标准；3. 主要选项对比；4. 适合/不适合人群；5. 购买前检查清单；6. 自然推荐相关集合页</x:v>
      </x:c>
      <x:c r="K38" s="18" t="str">
        <x:v>/collections/flavored-disposable-vapes</x:v>
      </x:c>
      <x:c r="L38" s="18" t="str">
        <x:v>文中 1-2 个自然内链到对应集合页</x:v>
      </x:c>
      <x:c r="M38" s="19" t="str">
        <x:v>中风险：榜单和评测必须真实、中立，避免夸大</x:v>
      </x:c>
    </x:row>
    <x:row r="39">
      <x:c r="A39" s="40" t="str">
        <x:v>Week 5</x:v>
      </x:c>
      <x:c r="B39" s="18" t="str">
        <x:v>博客C-对比评测</x:v>
      </x:c>
      <x:c r="C39" s="18" t="str">
        <x:v>best vape starter kit</x:v>
      </x:c>
      <x:c r="D39" s="41" t="n">
        <x:v>210</x:v>
      </x:c>
      <x:c r="E39" s="41" t="n">
        <x:v>11</x:v>
      </x:c>
      <x:c r="F39" s="18" t="str">
        <x:v>commercial</x:v>
      </x:c>
      <x:c r="G39" s="18" t="str">
        <x:v>P1 近期做</x:v>
      </x:c>
      <x:c r="H39" s="18" t="str">
        <x:v>Best/Top/Review/VS/替代方案文章</x:v>
      </x:c>
      <x:c r="I39" s="18" t="str">
        <x:v>Best angle: best vape starter kit - comparison, pros/cons, and which option fits different buyers</x:v>
      </x:c>
      <x:c r="J39" s="18" t="str">
        <x:v>1. 搜索者到底想比较什么；2. 评价标准；3. 主要选项对比；4. 适合/不适合人群；5. 购买前检查清单；6. 自然推荐相关集合页</x:v>
      </x:c>
      <x:c r="K39" s="18" t="str">
        <x:v>/collections/disposable-vapes</x:v>
      </x:c>
      <x:c r="L39" s="18" t="str">
        <x:v>文中 1-2 个自然内链到对应集合页</x:v>
      </x:c>
      <x:c r="M39" s="19" t="str">
        <x:v>中风险：榜单和评测必须真实、中立，避免夸大</x:v>
      </x:c>
    </x:row>
    <x:row r="40">
      <x:c r="A40" s="40" t="str">
        <x:v>Week 5</x:v>
      </x:c>
      <x:c r="B40" s="18" t="str">
        <x:v>博客C-对比评测</x:v>
      </x:c>
      <x:c r="C40" s="18" t="str">
        <x:v>best mint vape</x:v>
      </x:c>
      <x:c r="D40" s="41" t="n">
        <x:v>210</x:v>
      </x:c>
      <x:c r="E40" s="41" t="n">
        <x:v>4</x:v>
      </x:c>
      <x:c r="F40" s="18" t="str">
        <x:v>commercial</x:v>
      </x:c>
      <x:c r="G40" s="18" t="str">
        <x:v>P1 近期做</x:v>
      </x:c>
      <x:c r="H40" s="18" t="str">
        <x:v>Best/Top/Review/VS/替代方案文章</x:v>
      </x:c>
      <x:c r="I40" s="18" t="str">
        <x:v>Best angle: best mint vape - comparison, pros/cons, and which option fits different buyers</x:v>
      </x:c>
      <x:c r="J40" s="18" t="str">
        <x:v>1. 搜索者到底想比较什么；2. 评价标准；3. 主要选项对比；4. 适合/不适合人群；5. 购买前检查清单；6. 自然推荐相关集合页</x:v>
      </x:c>
      <x:c r="K40" s="18" t="str">
        <x:v>/collections/disposable-vapes</x:v>
      </x:c>
      <x:c r="L40" s="18" t="str">
        <x:v>文中 1-2 个自然内链到对应集合页</x:v>
      </x:c>
      <x:c r="M40" s="19" t="str">
        <x:v>中风险：榜单和评测必须真实、中立，避免夸大</x:v>
      </x:c>
    </x:row>
    <x:row r="41">
      <x:c r="A41" s="40" t="str">
        <x:v>Week 5</x:v>
      </x:c>
      <x:c r="B41" s="18" t="str">
        <x:v>博客C-对比评测</x:v>
      </x:c>
      <x:c r="C41" s="18" t="str">
        <x:v>best beginner vape kit</x:v>
      </x:c>
      <x:c r="D41" s="41" t="n">
        <x:v>170</x:v>
      </x:c>
      <x:c r="E41" s="41" t="n">
        <x:v>7</x:v>
      </x:c>
      <x:c r="F41" s="18" t="str">
        <x:v>commercial</x:v>
      </x:c>
      <x:c r="G41" s="18" t="str">
        <x:v>P1 近期做</x:v>
      </x:c>
      <x:c r="H41" s="18" t="str">
        <x:v>Best/Top/Review/VS/替代方案文章</x:v>
      </x:c>
      <x:c r="I41" s="18" t="str">
        <x:v>Best angle: best beginner vape kit - comparison, pros/cons, and which option fits different buyers</x:v>
      </x:c>
      <x:c r="J41" s="18" t="str">
        <x:v>1. 搜索者到底想比较什么；2. 评价标准；3. 主要选项对比；4. 适合/不适合人群；5. 购买前检查清单；6. 自然推荐相关集合页</x:v>
      </x:c>
      <x:c r="K41" s="18" t="str">
        <x:v>/collections/disposable-vapes</x:v>
      </x:c>
      <x:c r="L41" s="18" t="str">
        <x:v>文中 1-2 个自然内链到对应集合页</x:v>
      </x:c>
      <x:c r="M41" s="19" t="str">
        <x:v>中风险：榜单和评测必须真实、中立，避免夸大</x:v>
      </x:c>
    </x:row>
    <x:row r="42">
      <x:c r="A42" s="40" t="str">
        <x:v>Week 6</x:v>
      </x:c>
      <x:c r="B42" s="18" t="str">
        <x:v>博客C-对比评测</x:v>
      </x:c>
      <x:c r="C42" s="18" t="str">
        <x:v>best tobacco vape juice</x:v>
      </x:c>
      <x:c r="D42" s="41" t="n">
        <x:v>170</x:v>
      </x:c>
      <x:c r="E42" s="41" t="n">
        <x:v>14</x:v>
      </x:c>
      <x:c r="F42" s="18" t="str">
        <x:v>commercial</x:v>
      </x:c>
      <x:c r="G42" s="18" t="str">
        <x:v>P1 近期做</x:v>
      </x:c>
      <x:c r="H42" s="18" t="str">
        <x:v>Best/Top/Review/VS/替代方案文章</x:v>
      </x:c>
      <x:c r="I42" s="18" t="str">
        <x:v>Best angle: best tobacco vape juice - comparison, pros/cons, and which option fits different buyers</x:v>
      </x:c>
      <x:c r="J42" s="18" t="str">
        <x:v>1. 搜索者到底想比较什么；2. 评价标准；3. 主要选项对比；4. 适合/不适合人群；5. 购买前检查清单；6. 自然推荐相关集合页</x:v>
      </x:c>
      <x:c r="K42" s="18" t="str">
        <x:v>/collections/disposable-vapes</x:v>
      </x:c>
      <x:c r="L42" s="18" t="str">
        <x:v>文中 1-2 个自然内链到对应集合页</x:v>
      </x:c>
      <x:c r="M42" s="19" t="str">
        <x:v>中风险：榜单和评测必须真实、中立，避免夸大</x:v>
      </x:c>
    </x:row>
    <x:row r="43">
      <x:c r="A43" s="40" t="str">
        <x:v>Week 6</x:v>
      </x:c>
      <x:c r="B43" s="18" t="str">
        <x:v>博客C-对比评测</x:v>
      </x:c>
      <x:c r="C43" s="18" t="str">
        <x:v>what is the best vape brand</x:v>
      </x:c>
      <x:c r="D43" s="41" t="n">
        <x:v>170</x:v>
      </x:c>
      <x:c r="E43" s="41" t="n">
        <x:v>15</x:v>
      </x:c>
      <x:c r="F43" s="18" t="str">
        <x:v>commercial</x:v>
      </x:c>
      <x:c r="G43" s="18" t="str">
        <x:v>P1 近期做</x:v>
      </x:c>
      <x:c r="H43" s="18" t="str">
        <x:v>Best/Top/Review/VS/替代方案文章</x:v>
      </x:c>
      <x:c r="I43" s="18" t="str">
        <x:v>Best angle: what is the best vape brand - comparison, pros/cons, and which option fits different buyers</x:v>
      </x:c>
      <x:c r="J43" s="18" t="str">
        <x:v>1. 搜索者到底想比较什么；2. 评价标准；3. 主要选项对比；4. 适合/不适合人群；5. 购买前检查清单；6. 自然推荐相关集合页</x:v>
      </x:c>
      <x:c r="K43" s="18" t="str">
        <x:v>/collections/disposable-vapes</x:v>
      </x:c>
      <x:c r="L43" s="18" t="str">
        <x:v>文中 1-2 个自然内链到对应集合页</x:v>
      </x:c>
      <x:c r="M43" s="19" t="str">
        <x:v>中风险：榜单和评测必须真实、中立，避免夸大</x:v>
      </x:c>
    </x:row>
    <x:row r="44">
      <x:c r="A44" s="40" t="str">
        <x:v>Week 6</x:v>
      </x:c>
      <x:c r="B44" s="18" t="str">
        <x:v>博客C-对比评测</x:v>
      </x:c>
      <x:c r="C44" s="18" t="str">
        <x:v>what is the best vape pen for beginners</x:v>
      </x:c>
      <x:c r="D44" s="41" t="n">
        <x:v>140</x:v>
      </x:c>
      <x:c r="E44" s="41" t="n">
        <x:v>12</x:v>
      </x:c>
      <x:c r="F44" s="18" t="str">
        <x:v>commercial</x:v>
      </x:c>
      <x:c r="G44" s="18" t="str">
        <x:v>P1 近期做</x:v>
      </x:c>
      <x:c r="H44" s="18" t="str">
        <x:v>Best/Top/Review/VS/替代方案文章</x:v>
      </x:c>
      <x:c r="I44" s="18" t="str">
        <x:v>Best angle: what is the best vape pen for beginners - comparison, pros/cons, and which option fits different buyers</x:v>
      </x:c>
      <x:c r="J44" s="18" t="str">
        <x:v>1. 搜索者到底想比较什么；2. 评价标准；3. 主要选项对比；4. 适合/不适合人群；5. 购买前检查清单；6. 自然推荐相关集合页</x:v>
      </x:c>
      <x:c r="K44" s="18" t="str">
        <x:v>/collections/disposable-vapes</x:v>
      </x:c>
      <x:c r="L44" s="18" t="str">
        <x:v>文中 1-2 个自然内链到对应集合页</x:v>
      </x:c>
      <x:c r="M44" s="19" t="str">
        <x:v>中风险：榜单和评测必须真实、中立，避免夸大</x:v>
      </x:c>
    </x:row>
    <x:row r="45">
      <x:c r="A45" s="40" t="str">
        <x:v>Week 6</x:v>
      </x:c>
      <x:c r="B45" s="18" t="str">
        <x:v>博客C-对比评测</x:v>
      </x:c>
      <x:c r="C45" s="18" t="str">
        <x:v>foger vape reviews</x:v>
      </x:c>
      <x:c r="D45" s="41" t="n">
        <x:v>140</x:v>
      </x:c>
      <x:c r="E45" s="41" t="n">
        <x:v>5</x:v>
      </x:c>
      <x:c r="F45" s="18" t="str">
        <x:v>commercial</x:v>
      </x:c>
      <x:c r="G45" s="18" t="str">
        <x:v>P1 近期做</x:v>
      </x:c>
      <x:c r="H45" s="18" t="str">
        <x:v>Best/Top/Review/VS/替代方案文章</x:v>
      </x:c>
      <x:c r="I45" s="18" t="str">
        <x:v>Best angle: foger vape reviews - comparison, pros/cons, and which option fits different buyers</x:v>
      </x:c>
      <x:c r="J45" s="18" t="str">
        <x:v>1. 搜索者到底想比较什么；2. 评价标准；3. 主要选项对比；4. 适合/不适合人群；5. 购买前检查清单；6. 自然推荐相关集合页</x:v>
      </x:c>
      <x:c r="K45" s="18" t="str">
        <x:v>/collections/disposable-vapes</x:v>
      </x:c>
      <x:c r="L45" s="18" t="str">
        <x:v>文中 1-2 个自然内链到对应集合页</x:v>
      </x:c>
      <x:c r="M45" s="19" t="str">
        <x:v>中风险：榜单和评测必须真实、中立，避免夸大</x:v>
      </x:c>
    </x:row>
    <x:row r="46">
      <x:c r="A46" s="40" t="str">
        <x:v>Week 6</x:v>
      </x:c>
      <x:c r="B46" s="18" t="str">
        <x:v>博客C-对比评测</x:v>
      </x:c>
      <x:c r="C46" s="18" t="str">
        <x:v>best vape for flavour</x:v>
      </x:c>
      <x:c r="D46" s="41" t="n">
        <x:v>110</x:v>
      </x:c>
      <x:c r="E46" s="41" t="n">
        <x:v>13</x:v>
      </x:c>
      <x:c r="F46" s="18" t="str">
        <x:v>commercial</x:v>
      </x:c>
      <x:c r="G46" s="18" t="str">
        <x:v>P1 近期做</x:v>
      </x:c>
      <x:c r="H46" s="18" t="str">
        <x:v>Best/Top/Review/VS/替代方案文章</x:v>
      </x:c>
      <x:c r="I46" s="18" t="str">
        <x:v>Best angle: best vape for flavour - comparison, pros/cons, and which option fits different buyers</x:v>
      </x:c>
      <x:c r="J46" s="18" t="str">
        <x:v>1. 搜索者到底想比较什么；2. 评价标准；3. 主要选项对比；4. 适合/不适合人群；5. 购买前检查清单；6. 自然推荐相关集合页</x:v>
      </x:c>
      <x:c r="K46" s="18" t="str">
        <x:v>/collections/disposable-vapes</x:v>
      </x:c>
      <x:c r="L46" s="18" t="str">
        <x:v>文中 1-2 个自然内链到对应集合页</x:v>
      </x:c>
      <x:c r="M46" s="19" t="str">
        <x:v>中风险：榜单和评测必须真实、中立，避免夸大</x:v>
      </x:c>
    </x:row>
    <x:row r="47">
      <x:c r="A47" s="40" t="str">
        <x:v>Week 6</x:v>
      </x:c>
      <x:c r="B47" s="18" t="str">
        <x:v>博客C-对比评测</x:v>
      </x:c>
      <x:c r="C47" s="18" t="str">
        <x:v>best mint vapes</x:v>
      </x:c>
      <x:c r="D47" s="41" t="n">
        <x:v>110</x:v>
      </x:c>
      <x:c r="E47" s="41" t="n">
        <x:v>5</x:v>
      </x:c>
      <x:c r="F47" s="18" t="str">
        <x:v>commercial</x:v>
      </x:c>
      <x:c r="G47" s="18" t="str">
        <x:v>P1 近期做</x:v>
      </x:c>
      <x:c r="H47" s="18" t="str">
        <x:v>Best/Top/Review/VS/替代方案文章</x:v>
      </x:c>
      <x:c r="I47" s="18" t="str">
        <x:v>Best angle: best mint vapes - comparison, pros/cons, and which option fits different buyers</x:v>
      </x:c>
      <x:c r="J47" s="18" t="str">
        <x:v>1. 搜索者到底想比较什么；2. 评价标准；3. 主要选项对比；4. 适合/不适合人群；5. 购买前检查清单；6. 自然推荐相关集合页</x:v>
      </x:c>
      <x:c r="K47" s="18" t="str">
        <x:v>/collections/disposable-vapes</x:v>
      </x:c>
      <x:c r="L47" s="18" t="str">
        <x:v>文中 1-2 个自然内链到对应集合页</x:v>
      </x:c>
      <x:c r="M47" s="19" t="str">
        <x:v>中风险：榜单和评测必须真实、中立，避免夸大</x:v>
      </x:c>
    </x:row>
    <x:row r="48">
      <x:c r="A48" s="40" t="str">
        <x:v>Week 6</x:v>
      </x:c>
      <x:c r="B48" s="18" t="str">
        <x:v>博客A-知识教程</x:v>
      </x:c>
      <x:c r="C48" s="18" t="str">
        <x:v>how to vape properly</x:v>
      </x:c>
      <x:c r="D48" s="41" t="n">
        <x:v>2900</x:v>
      </x:c>
      <x:c r="E48" s="41" t="n">
        <x:v>10</x:v>
      </x:c>
      <x:c r="F48" s="18" t="str">
        <x:v>informational</x:v>
      </x:c>
      <x:c r="G48" s="18" t="str">
        <x:v>P1 近期做</x:v>
      </x:c>
      <x:c r="H48" s="18" t="str">
        <x:v>百科/How-to/FAQ文章</x:v>
      </x:c>
      <x:c r="I48" s="18" t="str">
        <x:v>Guide angle: explain how to vape properly, answer common questions, and avoid sales-first writing</x:v>
      </x:c>
      <x:c r="J48" s="18" t="str">
        <x:v>1. 定义/背景；2. 工作原理或步骤；3. 常见问题；4. 风险与合规提醒；5. 何时需要进一步比较或选购</x:v>
      </x:c>
      <x:c r="K48" s="18" t="str">
        <x:v>/collections/disposable-vapes</x:v>
      </x:c>
      <x:c r="L48" s="18" t="str">
        <x:v>只在上下文强相关时放 1 个自然内链</x:v>
      </x:c>
      <x:c r="M48" s="19" t="str">
        <x:v>低中风险：先满足信息意图，导流要克制</x:v>
      </x:c>
    </x:row>
    <x:row r="49">
      <x:c r="A49" s="40" t="str">
        <x:v>Week 6</x:v>
      </x:c>
      <x:c r="B49" s="18" t="str">
        <x:v>博客A-知识教程</x:v>
      </x:c>
      <x:c r="C49" s="18" t="str">
        <x:v>foger switch pro 30k disposable vape</x:v>
      </x:c>
      <x:c r="D49" s="41" t="n">
        <x:v>2400</x:v>
      </x:c>
      <x:c r="E49" s="41" t="n">
        <x:v>8</x:v>
      </x:c>
      <x:c r="F49" s="18" t="str">
        <x:v>informational</x:v>
      </x:c>
      <x:c r="G49" s="18" t="str">
        <x:v>P1 近期做</x:v>
      </x:c>
      <x:c r="H49" s="18" t="str">
        <x:v>百科/How-to/FAQ文章</x:v>
      </x:c>
      <x:c r="I49" s="18" t="str">
        <x:v>Guide angle: explain foger switch pro 30k disposable vape, answer common questions, and avoid sales-first writing</x:v>
      </x:c>
      <x:c r="J49" s="18" t="str">
        <x:v>1. 定义/背景；2. 工作原理或步骤；3. 常见问题；4. 风险与合规提醒；5. 何时需要进一步比较或选购</x:v>
      </x:c>
      <x:c r="K49" s="18" t="str">
        <x:v>/collections/disposable-vapes</x:v>
      </x:c>
      <x:c r="L49" s="18" t="str">
        <x:v>只在上下文强相关时放 1 个自然内链</x:v>
      </x:c>
      <x:c r="M49" s="19" t="str">
        <x:v>低中风险：先满足信息意图，导流要克制</x:v>
      </x:c>
    </x:row>
    <x:row r="50">
      <x:c r="A50" s="40" t="str">
        <x:v>Week 7</x:v>
      </x:c>
      <x:c r="B50" s="18" t="str">
        <x:v>博客A-知识教程</x:v>
      </x:c>
      <x:c r="C50" s="18" t="str">
        <x:v>how to hit a vape</x:v>
      </x:c>
      <x:c r="D50" s="41" t="n">
        <x:v>1900</x:v>
      </x:c>
      <x:c r="E50" s="41" t="n">
        <x:v>3</x:v>
      </x:c>
      <x:c r="F50" s="18" t="str">
        <x:v>informational</x:v>
      </x:c>
      <x:c r="G50" s="18" t="str">
        <x:v>P1 近期做</x:v>
      </x:c>
      <x:c r="H50" s="18" t="str">
        <x:v>百科/How-to/FAQ文章</x:v>
      </x:c>
      <x:c r="I50" s="18" t="str">
        <x:v>Guide angle: explain how to hit a vape, answer common questions, and avoid sales-first writing</x:v>
      </x:c>
      <x:c r="J50" s="18" t="str">
        <x:v>1. 定义/背景；2. 工作原理或步骤；3. 常见问题；4. 风险与合规提醒；5. 何时需要进一步比较或选购</x:v>
      </x:c>
      <x:c r="K50" s="18" t="str">
        <x:v>/collections/disposable-vapes</x:v>
      </x:c>
      <x:c r="L50" s="18" t="str">
        <x:v>只在上下文强相关时放 1 个自然内链</x:v>
      </x:c>
      <x:c r="M50" s="19" t="str">
        <x:v>低中风险：先满足信息意图，导流要克制</x:v>
      </x:c>
    </x:row>
    <x:row r="51">
      <x:c r="A51" s="40" t="str">
        <x:v>Week 7</x:v>
      </x:c>
      <x:c r="B51" s="18" t="str">
        <x:v>博客A-知识教程</x:v>
      </x:c>
      <x:c r="C51" s="18" t="str">
        <x:v>white gummy ice</x:v>
      </x:c>
      <x:c r="D51" s="41" t="n">
        <x:v>1300</x:v>
      </x:c>
      <x:c r="E51" s="41" t="n">
        <x:v>4</x:v>
      </x:c>
      <x:c r="F51" s="18" t="str">
        <x:v>informational</x:v>
      </x:c>
      <x:c r="G51" s="18" t="str">
        <x:v>P1 近期做</x:v>
      </x:c>
      <x:c r="H51" s="18" t="str">
        <x:v>百科/How-to/FAQ文章</x:v>
      </x:c>
      <x:c r="I51" s="18" t="str">
        <x:v>Guide angle: explain white gummy ice, answer common questions, and avoid sales-first writing</x:v>
      </x:c>
      <x:c r="J51" s="18" t="str">
        <x:v>1. 定义/背景；2. 工作原理或步骤；3. 常见问题；4. 风险与合规提醒；5. 何时需要进一步比较或选购</x:v>
      </x:c>
      <x:c r="K51" s="18" t="str">
        <x:v>/collections/disposable-vapes</x:v>
      </x:c>
      <x:c r="L51" s="18" t="str">
        <x:v>只在上下文强相关时放 1 个自然内链</x:v>
      </x:c>
      <x:c r="M51" s="19" t="str">
        <x:v>低中风险：先满足信息意图，导流要克制</x:v>
      </x:c>
    </x:row>
    <x:row r="52">
      <x:c r="A52" s="40" t="str">
        <x:v>Week 7</x:v>
      </x:c>
      <x:c r="B52" s="18" t="str">
        <x:v>博客A-知识教程</x:v>
      </x:c>
      <x:c r="C52" s="18" t="str">
        <x:v>vapes made in usa</x:v>
      </x:c>
      <x:c r="D52" s="41" t="n">
        <x:v>1300</x:v>
      </x:c>
      <x:c r="E52" s="41" t="n">
        <x:v>3</x:v>
      </x:c>
      <x:c r="F52" s="18" t="str">
        <x:v>informational</x:v>
      </x:c>
      <x:c r="G52" s="18" t="str">
        <x:v>P1 近期做</x:v>
      </x:c>
      <x:c r="H52" s="18" t="str">
        <x:v>百科/How-to/FAQ文章</x:v>
      </x:c>
      <x:c r="I52" s="18" t="str">
        <x:v>Guide angle: explain vapes made in usa, answer common questions, and avoid sales-first writing</x:v>
      </x:c>
      <x:c r="J52" s="18" t="str">
        <x:v>1. 定义/背景；2. 工作原理或步骤；3. 常见问题；4. 风险与合规提醒；5. 何时需要进一步比较或选购</x:v>
      </x:c>
      <x:c r="K52" s="18" t="str">
        <x:v>/collections/disposable-vapes</x:v>
      </x:c>
      <x:c r="L52" s="18" t="str">
        <x:v>只在上下文强相关时放 1 个自然内链</x:v>
      </x:c>
      <x:c r="M52" s="19" t="str">
        <x:v>低中风险：先满足信息意图，导流要克制</x:v>
      </x:c>
    </x:row>
    <x:row r="53">
      <x:c r="A53" s="40" t="str">
        <x:v>Week 7</x:v>
      </x:c>
      <x:c r="B53" s="18" t="str">
        <x:v>博客A-知识教程</x:v>
      </x:c>
      <x:c r="C53" s="18" t="str">
        <x:v>sour apple ice</x:v>
      </x:c>
      <x:c r="D53" s="41" t="n">
        <x:v>1000</x:v>
      </x:c>
      <x:c r="E53" s="41" t="n">
        <x:v>7</x:v>
      </x:c>
      <x:c r="F53" s="18" t="str">
        <x:v>informational, commercial</x:v>
      </x:c>
      <x:c r="G53" s="18" t="str">
        <x:v>P1 近期做</x:v>
      </x:c>
      <x:c r="H53" s="18" t="str">
        <x:v>百科/How-to/FAQ文章</x:v>
      </x:c>
      <x:c r="I53" s="18" t="str">
        <x:v>Guide angle: explain sour apple ice, answer common questions, and avoid sales-first writing</x:v>
      </x:c>
      <x:c r="J53" s="18" t="str">
        <x:v>1. 定义/背景；2. 工作原理或步骤；3. 常见问题；4. 风险与合规提醒；5. 何时需要进一步比较或选购</x:v>
      </x:c>
      <x:c r="K53" s="18" t="str">
        <x:v>/collections/disposable-vapes</x:v>
      </x:c>
      <x:c r="L53" s="18" t="str">
        <x:v>只在上下文强相关时放 1 个自然内链</x:v>
      </x:c>
      <x:c r="M53" s="19" t="str">
        <x:v>低中风险：先满足信息意图，导流要克制</x:v>
      </x:c>
    </x:row>
    <x:row r="54">
      <x:c r="A54" s="40" t="str">
        <x:v>Week 7</x:v>
      </x:c>
      <x:c r="B54" s="18" t="str">
        <x:v>博客B-场景人群</x:v>
      </x:c>
      <x:c r="C54" s="18" t="str">
        <x:v>makeup mirror with lights</x:v>
      </x:c>
      <x:c r="D54" s="41" t="n">
        <x:v>6600</x:v>
      </x:c>
      <x:c r="E54" s="41" t="n">
        <x:v>51</x:v>
      </x:c>
      <x:c r="F54" s="18" t="str">
        <x:v>informational, commercial</x:v>
      </x:c>
      <x:c r="G54" s="18" t="str">
        <x:v>P1 近期做</x:v>
      </x:c>
      <x:c r="H54" s="18" t="str">
        <x:v>场景解决方案/选购指南文章</x:v>
      </x:c>
      <x:c r="I54" s="18" t="str">
        <x:v>Scenario angle: how to choose makeup mirror with lights based on use case, flavor, nicotine, and budget</x:v>
      </x:c>
      <x:c r="J54" s="18" t="str">
        <x:v>1. 场景/人群问题；2. 选择维度；3. 常见误区；4. 推荐判断标准；5. FAQ；6. 如果需要购买，链接到对应集合页</x:v>
      </x:c>
      <x:c r="K54" s="18" t="str">
        <x:v>/collections/disposable-vapes</x:v>
      </x:c>
      <x:c r="L54" s="18" t="str">
        <x:v>文中 1-2 个自然内链到对应集合页</x:v>
      </x:c>
      <x:c r="M54" s="19" t="str">
        <x:v>低中风险：适合软性导流，但不要夸大效果或触碰健康疗效</x:v>
      </x:c>
    </x:row>
    <x:row r="55">
      <x:c r="A55" s="40" t="str">
        <x:v>Week 7</x:v>
      </x:c>
      <x:c r="B55" s="18" t="str">
        <x:v>博客B-场景人群</x:v>
      </x:c>
      <x:c r="C55" s="18" t="str">
        <x:v>refillable vapes</x:v>
      </x:c>
      <x:c r="D55" s="41" t="n">
        <x:v>4400</x:v>
      </x:c>
      <x:c r="E55" s="41" t="n">
        <x:v>40</x:v>
      </x:c>
      <x:c r="F55" s="18" t="str">
        <x:v>informational</x:v>
      </x:c>
      <x:c r="G55" s="18" t="str">
        <x:v>P1 近期做</x:v>
      </x:c>
      <x:c r="H55" s="18" t="str">
        <x:v>场景解决方案/选购指南文章</x:v>
      </x:c>
      <x:c r="I55" s="18" t="str">
        <x:v>Scenario angle: how to choose refillable vapes based on use case, flavor, nicotine, and budget</x:v>
      </x:c>
      <x:c r="J55" s="18" t="str">
        <x:v>1. 场景/人群问题；2. 选择维度；3. 常见误区；4. 推荐判断标准；5. FAQ；6. 如果需要购买，链接到对应集合页</x:v>
      </x:c>
      <x:c r="K55" s="18" t="str">
        <x:v>/collections/rechargeable-vapes</x:v>
      </x:c>
      <x:c r="L55" s="18" t="str">
        <x:v>文中 1-2 个自然内链到对应集合页</x:v>
      </x:c>
      <x:c r="M55" s="19" t="str">
        <x:v>低中风险：适合软性导流，但不要夸大效果或触碰健康疗效</x:v>
      </x:c>
    </x:row>
    <x:row r="56">
      <x:c r="A56" s="40" t="str">
        <x:v>Week 7</x:v>
      </x:c>
      <x:c r="B56" s="18" t="str">
        <x:v>博客B-场景人群</x:v>
      </x:c>
      <x:c r="C56" s="18" t="str">
        <x:v>reusable vape</x:v>
      </x:c>
      <x:c r="D56" s="41" t="n">
        <x:v>2400</x:v>
      </x:c>
      <x:c r="E56" s="41" t="n">
        <x:v>39</x:v>
      </x:c>
      <x:c r="F56" s="18" t="str">
        <x:v>informational</x:v>
      </x:c>
      <x:c r="G56" s="18" t="str">
        <x:v>P1 近期做</x:v>
      </x:c>
      <x:c r="H56" s="18" t="str">
        <x:v>场景解决方案/选购指南文章</x:v>
      </x:c>
      <x:c r="I56" s="18" t="str">
        <x:v>Scenario angle: how to choose reusable vape based on use case, flavor, nicotine, and budget</x:v>
      </x:c>
      <x:c r="J56" s="18" t="str">
        <x:v>1. 场景/人群问题；2. 选择维度；3. 常见误区；4. 推荐判断标准；5. FAQ；6. 如果需要购买，链接到对应集合页</x:v>
      </x:c>
      <x:c r="K56" s="18" t="str">
        <x:v>/collections/rechargeable-vapes</x:v>
      </x:c>
      <x:c r="L56" s="18" t="str">
        <x:v>文中 1-2 个自然内链到对应集合页</x:v>
      </x:c>
      <x:c r="M56" s="19" t="str">
        <x:v>低中风险：适合软性导流，但不要夸大效果或触碰健康疗效</x:v>
      </x:c>
    </x:row>
    <x:row r="57">
      <x:c r="A57" s="40" t="str">
        <x:v>Week 7</x:v>
      </x:c>
      <x:c r="B57" s="18" t="str">
        <x:v>博客B-场景人群</x:v>
      </x:c>
      <x:c r="C57" s="18" t="str">
        <x:v>flavors of vapes</x:v>
      </x:c>
      <x:c r="D57" s="41" t="n">
        <x:v>1000</x:v>
      </x:c>
      <x:c r="E57" s="41" t="n">
        <x:v>34</x:v>
      </x:c>
      <x:c r="F57" s="18" t="str">
        <x:v>informational</x:v>
      </x:c>
      <x:c r="G57" s="18" t="str">
        <x:v>P1 近期做</x:v>
      </x:c>
      <x:c r="H57" s="18" t="str">
        <x:v>场景解决方案/选购指南文章</x:v>
      </x:c>
      <x:c r="I57" s="18" t="str">
        <x:v>Scenario angle: how to choose flavors of vapes based on use case, flavor, nicotine, and budget</x:v>
      </x:c>
      <x:c r="J57" s="18" t="str">
        <x:v>1. 场景/人群问题；2. 选择维度；3. 常见误区；4. 推荐判断标准；5. FAQ；6. 如果需要购买，链接到对应集合页</x:v>
      </x:c>
      <x:c r="K57" s="18" t="str">
        <x:v>/collections/flavored-disposable-vapes</x:v>
      </x:c>
      <x:c r="L57" s="18" t="str">
        <x:v>文中 1-2 个自然内链到对应集合页</x:v>
      </x:c>
      <x:c r="M57" s="19" t="str">
        <x:v>低中风险：适合软性导流，但不要夸大效果或触碰健康疗效</x:v>
      </x:c>
    </x:row>
    <x:row r="58">
      <x:c r="A58" s="40" t="str">
        <x:v>Week 8</x:v>
      </x:c>
      <x:c r="B58" s="18" t="str">
        <x:v>博客C-对比评测</x:v>
      </x:c>
      <x:c r="C58" s="18" t="str">
        <x:v>best for ecigs</x:v>
      </x:c>
      <x:c r="D58" s="41" t="n">
        <x:v>1000</x:v>
      </x:c>
      <x:c r="E58" s="41" t="n">
        <x:v>54</x:v>
      </x:c>
      <x:c r="F58" s="18" t="str">
        <x:v>commercial</x:v>
      </x:c>
      <x:c r="G58" s="18" t="str">
        <x:v>P1 近期做</x:v>
      </x:c>
      <x:c r="H58" s="18" t="str">
        <x:v>Best/Top/Review/VS/替代方案文章</x:v>
      </x:c>
      <x:c r="I58" s="18" t="str">
        <x:v>Best angle: best for ecigs - comparison, pros/cons, and which option fits different buyers</x:v>
      </x:c>
      <x:c r="J58" s="18" t="str">
        <x:v>1. 搜索者到底想比较什么；2. 评价标准；3. 主要选项对比；4. 适合/不适合人群；5. 购买前检查清单；6. 自然推荐相关集合页</x:v>
      </x:c>
      <x:c r="K58" s="18" t="str">
        <x:v>/collections/disposable-vapes</x:v>
      </x:c>
      <x:c r="L58" s="18" t="str">
        <x:v>文中 1-2 个自然内链到对应集合页</x:v>
      </x:c>
      <x:c r="M58" s="19" t="str">
        <x:v>中风险：榜单和评测必须真实、中立，避免夸大</x:v>
      </x:c>
    </x:row>
    <x:row r="59">
      <x:c r="A59" s="40" t="str">
        <x:v>Week 8</x:v>
      </x:c>
      <x:c r="B59" s="18" t="str">
        <x:v>博客C-对比评测</x:v>
      </x:c>
      <x:c r="C59" s="18" t="str">
        <x:v>best raz vape flavors</x:v>
      </x:c>
      <x:c r="D59" s="41" t="n">
        <x:v>1000</x:v>
      </x:c>
      <x:c r="E59" s="41" t="n">
        <x:v>4</x:v>
      </x:c>
      <x:c r="F59" s="18" t="str">
        <x:v>commercial</x:v>
      </x:c>
      <x:c r="G59" s="18" t="str">
        <x:v>P1 近期做</x:v>
      </x:c>
      <x:c r="H59" s="18" t="str">
        <x:v>对比/替代/榜单文章</x:v>
      </x:c>
      <x:c r="I59" s="18" t="str">
        <x:v>Best angle: best raz vape flavors - comparison, pros/cons, and which option fits different buyers</x:v>
      </x:c>
      <x:c r="J59" s="18" t="str">
        <x:v>1. 搜索者到底想比较什么；2. 评价标准；3. 主要选项对比；4. 适合/不适合人群；5. 购买前检查清单；6. 自然推荐相关集合页</x:v>
      </x:c>
      <x:c r="K59" s="18" t="str">
        <x:v>/collections/disposable-vapes 或对应替代产品集合页</x:v>
      </x:c>
      <x:c r="L59" s="18" t="str">
        <x:v>只在上下文强相关时放 1 个自然内链</x:v>
      </x:c>
      <x:c r="M59" s="19" t="str">
        <x:v>中风险：涉及竞品品牌，避免商标误导、贬低竞品和虚假对比</x:v>
      </x:c>
    </x:row>
    <x:row r="60">
      <x:c r="A60" s="40" t="str">
        <x:v>Week 8</x:v>
      </x:c>
      <x:c r="B60" s="18" t="str">
        <x:v>博客C-对比评测</x:v>
      </x:c>
      <x:c r="C60" s="18" t="str">
        <x:v>best vape pens</x:v>
      </x:c>
      <x:c r="D60" s="41" t="n">
        <x:v>1000</x:v>
      </x:c>
      <x:c r="E60" s="41" t="n">
        <x:v>51</x:v>
      </x:c>
      <x:c r="F60" s="18" t="str">
        <x:v>commercial</x:v>
      </x:c>
      <x:c r="G60" s="18" t="str">
        <x:v>P1 近期做</x:v>
      </x:c>
      <x:c r="H60" s="18" t="str">
        <x:v>Best/Top/Review/VS/替代方案文章</x:v>
      </x:c>
      <x:c r="I60" s="18" t="str">
        <x:v>Best angle: best vape pens - comparison, pros/cons, and which option fits different buyers</x:v>
      </x:c>
      <x:c r="J60" s="18" t="str">
        <x:v>1. 搜索者到底想比较什么；2. 评价标准；3. 主要选项对比；4. 适合/不适合人群；5. 购买前检查清单；6. 自然推荐相关集合页</x:v>
      </x:c>
      <x:c r="K60" s="18" t="str">
        <x:v>/collections/disposable-vapes</x:v>
      </x:c>
      <x:c r="L60" s="18" t="str">
        <x:v>文中 1-2 个自然内链到对应集合页</x:v>
      </x:c>
      <x:c r="M60" s="19" t="str">
        <x:v>中风险：榜单和评测必须真实、中立，避免夸大</x:v>
      </x:c>
    </x:row>
    <x:row r="61">
      <x:c r="A61" s="40" t="str">
        <x:v>Week 8</x:v>
      </x:c>
      <x:c r="B61" s="18" t="str">
        <x:v>博客B-场景人群</x:v>
      </x:c>
      <x:c r="C61" s="18" t="str">
        <x:v>good vape flavors</x:v>
      </x:c>
      <x:c r="D61" s="41" t="n">
        <x:v>720</x:v>
      </x:c>
      <x:c r="E61" s="41" t="n">
        <x:v>19</x:v>
      </x:c>
      <x:c r="F61" s="18" t="str">
        <x:v>informational</x:v>
      </x:c>
      <x:c r="G61" s="18" t="str">
        <x:v>P1 近期做</x:v>
      </x:c>
      <x:c r="H61" s="18" t="str">
        <x:v>场景解决方案/选购指南文章</x:v>
      </x:c>
      <x:c r="I61" s="18" t="str">
        <x:v>Scenario angle: how to choose good vape flavors based on use case, flavor, nicotine, and budget</x:v>
      </x:c>
      <x:c r="J61" s="18" t="str">
        <x:v>1. 场景/人群问题；2. 选择维度；3. 常见误区；4. 推荐判断标准；5. FAQ；6. 如果需要购买，链接到对应集合页</x:v>
      </x:c>
      <x:c r="K61" s="18" t="str">
        <x:v>/collections/flavored-disposable-vapes</x:v>
      </x:c>
      <x:c r="L61" s="18" t="str">
        <x:v>文中 1-2 个自然内链到对应集合页</x:v>
      </x:c>
      <x:c r="M61" s="19" t="str">
        <x:v>低中风险：适合软性导流，但不要夸大效果或触碰健康疗效</x:v>
      </x:c>
    </x:row>
    <x:row r="62">
      <x:c r="A62" s="40" t="str">
        <x:v>Week 8</x:v>
      </x:c>
      <x:c r="B62" s="18" t="str">
        <x:v>博客C-对比评测</x:v>
      </x:c>
      <x:c r="C62" s="18" t="str">
        <x:v>vapor cigarette brands</x:v>
      </x:c>
      <x:c r="D62" s="41" t="n">
        <x:v>720</x:v>
      </x:c>
      <x:c r="E62" s="41" t="n">
        <x:v>33</x:v>
      </x:c>
      <x:c r="F62" s="18" t="str">
        <x:v>informational, commercial</x:v>
      </x:c>
      <x:c r="G62" s="18" t="str">
        <x:v>P1 近期做</x:v>
      </x:c>
      <x:c r="H62" s="18" t="str">
        <x:v>Best/Top/Review/VS/替代方案文章</x:v>
      </x:c>
      <x:c r="I62" s="18" t="str">
        <x:v>Best angle: vapor cigarette brands - comparison, pros/cons, and which option fits different buyers</x:v>
      </x:c>
      <x:c r="J62" s="18" t="str">
        <x:v>1. 搜索者到底想比较什么；2. 评价标准；3. 主要选项对比；4. 适合/不适合人群；5. 购买前检查清单；6. 自然推荐相关集合页</x:v>
      </x:c>
      <x:c r="K62" s="18" t="str">
        <x:v>/collections/e-cigarettes</x:v>
      </x:c>
      <x:c r="L62" s="18" t="str">
        <x:v>文中 1-2 个自然内链到对应集合页</x:v>
      </x:c>
      <x:c r="M62" s="19" t="str">
        <x:v>中风险：榜单和评测必须真实、中立，避免夸大</x:v>
      </x:c>
    </x:row>
    <x:row r="63">
      <x:c r="A63" s="40" t="str">
        <x:v>Week 8</x:v>
      </x:c>
      <x:c r="B63" s="18" t="str">
        <x:v>博客C-对比评测</x:v>
      </x:c>
      <x:c r="C63" s="18" t="str">
        <x:v>most popular vape flavors</x:v>
      </x:c>
      <x:c r="D63" s="41" t="n">
        <x:v>390</x:v>
      </x:c>
      <x:c r="E63" s="41" t="n">
        <x:v>17</x:v>
      </x:c>
      <x:c r="F63" s="18" t="str">
        <x:v>informational</x:v>
      </x:c>
      <x:c r="G63" s="18" t="str">
        <x:v>P1 近期做</x:v>
      </x:c>
      <x:c r="H63" s="18" t="str">
        <x:v>Best/Top/Review/VS/替代方案文章</x:v>
      </x:c>
      <x:c r="I63" s="18" t="str">
        <x:v>Best angle: most popular vape flavors - comparison, pros/cons, and which option fits different buyers</x:v>
      </x:c>
      <x:c r="J63" s="18" t="str">
        <x:v>1. 搜索者到底想比较什么；2. 评价标准；3. 主要选项对比；4. 适合/不适合人群；5. 购买前检查清单；6. 自然推荐相关集合页</x:v>
      </x:c>
      <x:c r="K63" s="18" t="str">
        <x:v>/collections/flavored-disposable-vapes</x:v>
      </x:c>
      <x:c r="L63" s="18" t="str">
        <x:v>文中 1-2 个自然内链到对应集合页</x:v>
      </x:c>
      <x:c r="M63" s="19" t="str">
        <x:v>中风险：榜单和评测必须真实、中立，避免夸大</x:v>
      </x:c>
    </x:row>
    <x:row r="64">
      <x:c r="A64" s="40" t="str">
        <x:v>Week 8</x:v>
      </x:c>
      <x:c r="B64" s="18" t="str">
        <x:v>博客C-对比评测</x:v>
      </x:c>
      <x:c r="C64" s="18" t="str">
        <x:v>best vape pod system</x:v>
      </x:c>
      <x:c r="D64" s="41" t="n">
        <x:v>390</x:v>
      </x:c>
      <x:c r="E64" s="41" t="n">
        <x:v>18</x:v>
      </x:c>
      <x:c r="F64" s="18" t="str">
        <x:v>commercial</x:v>
      </x:c>
      <x:c r="G64" s="18" t="str">
        <x:v>P1 近期做</x:v>
      </x:c>
      <x:c r="H64" s="18" t="str">
        <x:v>Best/Top/Review/VS/替代方案文章</x:v>
      </x:c>
      <x:c r="I64" s="18" t="str">
        <x:v>Best angle: best vape pod system - comparison, pros/cons, and which option fits different buyers</x:v>
      </x:c>
      <x:c r="J64" s="18" t="str">
        <x:v>1. 搜索者到底想比较什么；2. 评价标准；3. 主要选项对比；4. 适合/不适合人群；5. 购买前检查清单；6. 自然推荐相关集合页</x:v>
      </x:c>
      <x:c r="K64" s="18" t="str">
        <x:v>/collections/pod-kits</x:v>
      </x:c>
      <x:c r="L64" s="18" t="str">
        <x:v>文中 1-2 个自然内链到对应集合页</x:v>
      </x:c>
      <x:c r="M64" s="19" t="str">
        <x:v>中风险：榜单和评测必须真实、中立，避免夸大</x:v>
      </x:c>
    </x:row>
    <x:row r="65">
      <x:c r="A65" s="40" t="str">
        <x:v>Week 8</x:v>
      </x:c>
      <x:c r="B65" s="18" t="str">
        <x:v>博客B-场景人群</x:v>
      </x:c>
      <x:c r="C65" s="18" t="str">
        <x:v>how to use a vape pen for first time</x:v>
      </x:c>
      <x:c r="D65" s="41" t="n">
        <x:v>390</x:v>
      </x:c>
      <x:c r="E65" s="41" t="n">
        <x:v>10</x:v>
      </x:c>
      <x:c r="F65" s="18" t="str">
        <x:v>informational</x:v>
      </x:c>
      <x:c r="G65" s="18" t="str">
        <x:v>P1 近期做</x:v>
      </x:c>
      <x:c r="H65" s="18" t="str">
        <x:v>场景解决方案/选购指南文章</x:v>
      </x:c>
      <x:c r="I65" s="18" t="str">
        <x:v>Scenario angle: how to choose how to use a vape pen for first time based on use case, flavor, nicotine, and budget</x:v>
      </x:c>
      <x:c r="J65" s="18" t="str">
        <x:v>1. 场景/人群问题；2. 选择维度；3. 常见误区；4. 推荐判断标准；5. FAQ；6. 如果需要购买，链接到对应集合页</x:v>
      </x:c>
      <x:c r="K65" s="18" t="str">
        <x:v>/collections/disposable-vapes</x:v>
      </x:c>
      <x:c r="L65" s="18" t="str">
        <x:v>文中 1-2 个自然内链到对应集合页</x:v>
      </x:c>
      <x:c r="M65" s="19" t="str">
        <x:v>低中风险：适合软性导流，但不要夸大效果或触碰健康疗效</x:v>
      </x:c>
    </x:row>
    <x:row r="66">
      <x:c r="A66" s="40" t="str">
        <x:v>Week 9</x:v>
      </x:c>
      <x:c r="B66" s="18" t="str">
        <x:v>博客C-对比评测</x:v>
      </x:c>
      <x:c r="C66" s="18" t="str">
        <x:v>best vape juice flavors</x:v>
      </x:c>
      <x:c r="D66" s="41" t="n">
        <x:v>390</x:v>
      </x:c>
      <x:c r="E66" s="41" t="n">
        <x:v>23</x:v>
      </x:c>
      <x:c r="F66" s="18" t="str">
        <x:v>commercial</x:v>
      </x:c>
      <x:c r="G66" s="18" t="str">
        <x:v>P1 近期做</x:v>
      </x:c>
      <x:c r="H66" s="18" t="str">
        <x:v>Best/Top/Review/VS/替代方案文章</x:v>
      </x:c>
      <x:c r="I66" s="18" t="str">
        <x:v>Best angle: best vape juice flavors - comparison, pros/cons, and which option fits different buyers</x:v>
      </x:c>
      <x:c r="J66" s="18" t="str">
        <x:v>1. 搜索者到底想比较什么；2. 评价标准；3. 主要选项对比；4. 适合/不适合人群；5. 购买前检查清单；6. 自然推荐相关集合页</x:v>
      </x:c>
      <x:c r="K66" s="18" t="str">
        <x:v>/collections/flavored-disposable-vapes</x:v>
      </x:c>
      <x:c r="L66" s="18" t="str">
        <x:v>文中 1-2 个自然内链到对应集合页</x:v>
      </x:c>
      <x:c r="M66" s="19" t="str">
        <x:v>中风险：榜单和评测必须真实、中立，避免夸大</x:v>
      </x:c>
    </x:row>
    <x:row r="67">
      <x:c r="A67" s="40" t="str">
        <x:v>Week 9</x:v>
      </x:c>
      <x:c r="B67" s="18" t="str">
        <x:v>博客C-对比评测</x:v>
      </x:c>
      <x:c r="C67" s="18" t="str">
        <x:v>types of vapes brands</x:v>
      </x:c>
      <x:c r="D67" s="41" t="n">
        <x:v>390</x:v>
      </x:c>
      <x:c r="E67" s="41" t="n">
        <x:v>23</x:v>
      </x:c>
      <x:c r="F67" s="18" t="str">
        <x:v>commercial</x:v>
      </x:c>
      <x:c r="G67" s="18" t="str">
        <x:v>P1 近期做</x:v>
      </x:c>
      <x:c r="H67" s="18" t="str">
        <x:v>Best/Top/Review/VS/替代方案文章</x:v>
      </x:c>
      <x:c r="I67" s="18" t="str">
        <x:v>Best angle: types of vapes brands - comparison, pros/cons, and which option fits different buyers</x:v>
      </x:c>
      <x:c r="J67" s="18" t="str">
        <x:v>1. 搜索者到底想比较什么；2. 评价标准；3. 主要选项对比；4. 适合/不适合人群；5. 购买前检查清单；6. 自然推荐相关集合页</x:v>
      </x:c>
      <x:c r="K67" s="18" t="str">
        <x:v>/collections/disposable-vapes</x:v>
      </x:c>
      <x:c r="L67" s="18" t="str">
        <x:v>文中 1-2 个自然内链到对应集合页</x:v>
      </x:c>
      <x:c r="M67" s="19" t="str">
        <x:v>中风险：榜单和评测必须真实、中立，避免夸大</x:v>
      </x:c>
    </x:row>
    <x:row r="68">
      <x:c r="A68" s="40" t="str">
        <x:v>Week 9</x:v>
      </x:c>
      <x:c r="B68" s="18" t="str">
        <x:v>博客C-对比评测</x:v>
      </x:c>
      <x:c r="C68" s="18" t="str">
        <x:v>best vape flavours disposable</x:v>
      </x:c>
      <x:c r="D68" s="41" t="n">
        <x:v>320</x:v>
      </x:c>
      <x:c r="E68" s="41" t="n">
        <x:v>29</x:v>
      </x:c>
      <x:c r="F68" s="18" t="str">
        <x:v>commercial</x:v>
      </x:c>
      <x:c r="G68" s="18" t="str">
        <x:v>P1 近期做</x:v>
      </x:c>
      <x:c r="H68" s="18" t="str">
        <x:v>Best/Top/Review/VS/替代方案文章</x:v>
      </x:c>
      <x:c r="I68" s="18" t="str">
        <x:v>Best angle: best vape flavours disposable - comparison, pros/cons, and which option fits different buyers</x:v>
      </x:c>
      <x:c r="J68" s="18" t="str">
        <x:v>1. 搜索者到底想比较什么；2. 评价标准；3. 主要选项对比；4. 适合/不适合人群；5. 购买前检查清单；6. 自然推荐相关集合页</x:v>
      </x:c>
      <x:c r="K68" s="18" t="str">
        <x:v>/collections/disposable-vapes</x:v>
      </x:c>
      <x:c r="L68" s="18" t="str">
        <x:v>文中 1-2 个自然内链到对应集合页</x:v>
      </x:c>
      <x:c r="M68" s="19" t="str">
        <x:v>中风险：榜单和评测必须真实、中立，避免夸大</x:v>
      </x:c>
    </x:row>
    <x:row r="69">
      <x:c r="A69" s="40" t="str">
        <x:v>Week 9</x:v>
      </x:c>
      <x:c r="B69" s="18" t="str">
        <x:v>博客B-场景人群</x:v>
      </x:c>
      <x:c r="C69" s="18" t="str">
        <x:v>long lasting vapes</x:v>
      </x:c>
      <x:c r="D69" s="41" t="n">
        <x:v>260</x:v>
      </x:c>
      <x:c r="E69" s="41" t="n">
        <x:v>13</x:v>
      </x:c>
      <x:c r="F69" s="18" t="str">
        <x:v>informational</x:v>
      </x:c>
      <x:c r="G69" s="18" t="str">
        <x:v>P1 近期做</x:v>
      </x:c>
      <x:c r="H69" s="18" t="str">
        <x:v>场景解决方案/选购指南文章</x:v>
      </x:c>
      <x:c r="I69" s="18" t="str">
        <x:v>Scenario angle: how to choose long lasting vapes based on use case, flavor, nicotine, and budget</x:v>
      </x:c>
      <x:c r="J69" s="18" t="str">
        <x:v>1. 场景/人群问题；2. 选择维度；3. 常见误区；4. 推荐判断标准；5. FAQ；6. 如果需要购买，链接到对应集合页</x:v>
      </x:c>
      <x:c r="K69" s="18" t="str">
        <x:v>/collections/disposable-vapes</x:v>
      </x:c>
      <x:c r="L69" s="18" t="str">
        <x:v>文中 1-2 个自然内链到对应集合页</x:v>
      </x:c>
      <x:c r="M69" s="19" t="str">
        <x:v>低中风险：适合软性导流，但不要夸大效果或触碰健康疗效</x:v>
      </x:c>
    </x:row>
    <x:row r="70">
      <x:c r="A70" s="40" t="str">
        <x:v>Week 9</x:v>
      </x:c>
      <x:c r="B70" s="18" t="str">
        <x:v>博客C-对比评测</x:v>
      </x:c>
      <x:c r="C70" s="18" t="str">
        <x:v>top 10 disposable vape brands</x:v>
      </x:c>
      <x:c r="D70" s="41" t="n">
        <x:v>260</x:v>
      </x:c>
      <x:c r="E70" s="41" t="n">
        <x:v>21</x:v>
      </x:c>
      <x:c r="F70" s="18" t="str">
        <x:v>informational, commercial</x:v>
      </x:c>
      <x:c r="G70" s="18" t="str">
        <x:v>P1 近期做</x:v>
      </x:c>
      <x:c r="H70" s="18" t="str">
        <x:v>Best/Top/Review/VS/替代方案文章</x:v>
      </x:c>
      <x:c r="I70" s="18" t="str">
        <x:v>Best angle: top 10 disposable vape brands - comparison, pros/cons, and which option fits different buyers</x:v>
      </x:c>
      <x:c r="J70" s="18" t="str">
        <x:v>1. 搜索者到底想比较什么；2. 评价标准；3. 主要选项对比；4. 适合/不适合人群；5. 购买前检查清单；6. 自然推荐相关集合页</x:v>
      </x:c>
      <x:c r="K70" s="18" t="str">
        <x:v>/collections/disposable-vapes</x:v>
      </x:c>
      <x:c r="L70" s="18" t="str">
        <x:v>文中 1-2 个自然内链到对应集合页</x:v>
      </x:c>
      <x:c r="M70" s="19" t="str">
        <x:v>中风险：榜单和评测必须真实、中立，避免夸大</x:v>
      </x:c>
    </x:row>
    <x:row r="71">
      <x:c r="A71" s="40" t="str">
        <x:v>Week 9</x:v>
      </x:c>
      <x:c r="B71" s="18" t="str">
        <x:v>博客C-对比评测</x:v>
      </x:c>
      <x:c r="C71" s="18" t="str">
        <x:v>famous vape brands in usa</x:v>
      </x:c>
      <x:c r="D71" s="41" t="n">
        <x:v>260</x:v>
      </x:c>
      <x:c r="E71" s="41" t="n">
        <x:v>19</x:v>
      </x:c>
      <x:c r="F71" s="18" t="str">
        <x:v>commercial</x:v>
      </x:c>
      <x:c r="G71" s="18" t="str">
        <x:v>P1 近期做</x:v>
      </x:c>
      <x:c r="H71" s="18" t="str">
        <x:v>Best/Top/Review/VS/替代方案文章</x:v>
      </x:c>
      <x:c r="I71" s="18" t="str">
        <x:v>Best angle: famous vape brands in usa - comparison, pros/cons, and which option fits different buyers</x:v>
      </x:c>
      <x:c r="J71" s="18" t="str">
        <x:v>1. 搜索者到底想比较什么；2. 评价标准；3. 主要选项对比；4. 适合/不适合人群；5. 购买前检查清单；6. 自然推荐相关集合页</x:v>
      </x:c>
      <x:c r="K71" s="18" t="str">
        <x:v>/collections/disposable-vapes</x:v>
      </x:c>
      <x:c r="L71" s="18" t="str">
        <x:v>文中 1-2 个自然内链到对应集合页</x:v>
      </x:c>
      <x:c r="M71" s="19" t="str">
        <x:v>中风险：榜单和评测必须真实、中立，避免夸大</x:v>
      </x:c>
    </x:row>
    <x:row r="72">
      <x:c r="A72" s="40" t="str">
        <x:v>Week 9</x:v>
      </x:c>
      <x:c r="B72" s="18" t="str">
        <x:v>博客B-场景人群</x:v>
      </x:c>
      <x:c r="C72" s="18" t="str">
        <x:v>rl vape flavors</x:v>
      </x:c>
      <x:c r="D72" s="41" t="n">
        <x:v>260</x:v>
      </x:c>
      <x:c r="E72" s="41" t="n">
        <x:v>2</x:v>
      </x:c>
      <x:c r="F72" s="18" t="str">
        <x:v>informational</x:v>
      </x:c>
      <x:c r="G72" s="18" t="str">
        <x:v>P1 近期做</x:v>
      </x:c>
      <x:c r="H72" s="18" t="str">
        <x:v>场景解决方案/选购指南文章</x:v>
      </x:c>
      <x:c r="I72" s="18" t="str">
        <x:v>Scenario angle: how to choose rl vape flavors based on use case, flavor, nicotine, and budget</x:v>
      </x:c>
      <x:c r="J72" s="18" t="str">
        <x:v>1. 场景/人群问题；2. 选择维度；3. 常见误区；4. 推荐判断标准；5. FAQ；6. 如果需要购买，链接到对应集合页</x:v>
      </x:c>
      <x:c r="K72" s="18" t="str">
        <x:v>/collections/flavored-disposable-vapes</x:v>
      </x:c>
      <x:c r="L72" s="18" t="str">
        <x:v>文中 1-2 个自然内链到对应集合页</x:v>
      </x:c>
      <x:c r="M72" s="19" t="str">
        <x:v>低中风险：适合软性导流，但不要夸大效果或触碰健康疗效</x:v>
      </x:c>
    </x:row>
    <x:row r="73">
      <x:c r="A73" s="40" t="str">
        <x:v>Week 9</x:v>
      </x:c>
      <x:c r="B73" s="18" t="str">
        <x:v>博客C-对比评测</x:v>
      </x:c>
      <x:c r="C73" s="18" t="str">
        <x:v>best vapor cigarette</x:v>
      </x:c>
      <x:c r="D73" s="41" t="n">
        <x:v>210</x:v>
      </x:c>
      <x:c r="E73" s="41" t="n">
        <x:v>23</x:v>
      </x:c>
      <x:c r="F73" s="18" t="str">
        <x:v>commercial</x:v>
      </x:c>
      <x:c r="G73" s="18" t="str">
        <x:v>P1 近期做</x:v>
      </x:c>
      <x:c r="H73" s="18" t="str">
        <x:v>Best/Top/Review/VS/替代方案文章</x:v>
      </x:c>
      <x:c r="I73" s="18" t="str">
        <x:v>Best angle: best vapor cigarette - comparison, pros/cons, and which option fits different buyers</x:v>
      </x:c>
      <x:c r="J73" s="18" t="str">
        <x:v>1. 搜索者到底想比较什么；2. 评价标准；3. 主要选项对比；4. 适合/不适合人群；5. 购买前检查清单；6. 自然推荐相关集合页</x:v>
      </x:c>
      <x:c r="K73" s="18" t="str">
        <x:v>/collections/e-cigarettes</x:v>
      </x:c>
      <x:c r="L73" s="18" t="str">
        <x:v>文中 1-2 个自然内链到对应集合页</x:v>
      </x:c>
      <x:c r="M73" s="19" t="str">
        <x:v>中风险：榜单和评测必须真实、中立，避免夸大</x:v>
      </x:c>
    </x:row>
    <x:row r="74">
      <x:c r="A74" s="40" t="str">
        <x:v>Week 10</x:v>
      </x:c>
      <x:c r="B74" s="18" t="str">
        <x:v>博客B-场景人群</x:v>
      </x:c>
      <x:c r="C74" s="18" t="str">
        <x:v>dessert flavored disposable vapes</x:v>
      </x:c>
      <x:c r="D74" s="41" t="n">
        <x:v>210</x:v>
      </x:c>
      <x:c r="E74" s="41" t="n">
        <x:v>1</x:v>
      </x:c>
      <x:c r="F74" s="18" t="str">
        <x:v>informational</x:v>
      </x:c>
      <x:c r="G74" s="18" t="str">
        <x:v>P1 近期做</x:v>
      </x:c>
      <x:c r="H74" s="18" t="str">
        <x:v>场景解决方案/选购指南文章</x:v>
      </x:c>
      <x:c r="I74" s="18" t="str">
        <x:v>Scenario angle: how to choose dessert flavored disposable vapes based on use case, flavor, nicotine, and budget</x:v>
      </x:c>
      <x:c r="J74" s="18" t="str">
        <x:v>1. 场景/人群问题；2. 选择维度；3. 常见误区；4. 推荐判断标准；5. FAQ；6. 如果需要购买，链接到对应集合页</x:v>
      </x:c>
      <x:c r="K74" s="18" t="str">
        <x:v>/collections/flavored-disposable-vapes</x:v>
      </x:c>
      <x:c r="L74" s="18" t="str">
        <x:v>文中 1-2 个自然内链到对应集合页</x:v>
      </x:c>
      <x:c r="M74" s="19" t="str">
        <x:v>低中风险：适合软性导流，但不要夸大效果或触碰健康疗效</x:v>
      </x:c>
    </x:row>
    <x:row r="75">
      <x:c r="A75" s="40" t="str">
        <x:v>Week 10</x:v>
      </x:c>
      <x:c r="B75" s="18" t="str">
        <x:v>博客C-对比评测</x:v>
      </x:c>
      <x:c r="C75" s="18" t="str">
        <x:v>best vaping devices</x:v>
      </x:c>
      <x:c r="D75" s="41" t="n">
        <x:v>170</x:v>
      </x:c>
      <x:c r="E75" s="41" t="n">
        <x:v>20</x:v>
      </x:c>
      <x:c r="F75" s="18" t="str">
        <x:v>commercial</x:v>
      </x:c>
      <x:c r="G75" s="18" t="str">
        <x:v>P1 近期做</x:v>
      </x:c>
      <x:c r="H75" s="18" t="str">
        <x:v>Best/Top/Review/VS/替代方案文章</x:v>
      </x:c>
      <x:c r="I75" s="18" t="str">
        <x:v>Best angle: best vaping devices - comparison, pros/cons, and which option fits different buyers</x:v>
      </x:c>
      <x:c r="J75" s="18" t="str">
        <x:v>1. 搜索者到底想比较什么；2. 评价标准；3. 主要选项对比；4. 适合/不适合人群；5. 购买前检查清单；6. 自然推荐相关集合页</x:v>
      </x:c>
      <x:c r="K75" s="18" t="str">
        <x:v>/collections/disposable-vapes</x:v>
      </x:c>
      <x:c r="L75" s="18" t="str">
        <x:v>文中 1-2 个自然内链到对应集合页</x:v>
      </x:c>
      <x:c r="M75" s="19" t="str">
        <x:v>中风险：榜单和评测必须真实、中立，避免夸大</x:v>
      </x:c>
    </x:row>
    <x:row r="76">
      <x:c r="A76" s="40" t="str">
        <x:v>Week 10</x:v>
      </x:c>
      <x:c r="B76" s="18" t="str">
        <x:v>博客C-对比评测</x:v>
      </x:c>
      <x:c r="C76" s="18" t="str">
        <x:v>what are the best disposable vapes</x:v>
      </x:c>
      <x:c r="D76" s="41" t="n">
        <x:v>170</x:v>
      </x:c>
      <x:c r="E76" s="41" t="n">
        <x:v>22</x:v>
      </x:c>
      <x:c r="F76" s="18" t="str">
        <x:v>commercial</x:v>
      </x:c>
      <x:c r="G76" s="18" t="str">
        <x:v>P1 近期做</x:v>
      </x:c>
      <x:c r="H76" s="18" t="str">
        <x:v>Best/Top/Review/VS/替代方案文章</x:v>
      </x:c>
      <x:c r="I76" s="18" t="str">
        <x:v>Best angle: what are the best disposable vapes - comparison, pros/cons, and which option fits different buyers</x:v>
      </x:c>
      <x:c r="J76" s="18" t="str">
        <x:v>1. 搜索者到底想比较什么；2. 评价标准；3. 主要选项对比；4. 适合/不适合人群；5. 购买前检查清单；6. 自然推荐相关集合页</x:v>
      </x:c>
      <x:c r="K76" s="18" t="str">
        <x:v>/collections/disposable-vapes</x:v>
      </x:c>
      <x:c r="L76" s="18" t="str">
        <x:v>文中 1-2 个自然内链到对应集合页</x:v>
      </x:c>
      <x:c r="M76" s="19" t="str">
        <x:v>中风险：榜单和评测必须真实、中立，避免夸大</x:v>
      </x:c>
    </x:row>
    <x:row r="77">
      <x:c r="A77" s="40" t="str">
        <x:v>Week 10</x:v>
      </x:c>
      <x:c r="B77" s="18" t="str">
        <x:v>博客C-对比评测</x:v>
      </x:c>
      <x:c r="C77" s="18" t="str">
        <x:v>top rated vapes</x:v>
      </x:c>
      <x:c r="D77" s="41" t="n">
        <x:v>170</x:v>
      </x:c>
      <x:c r="E77" s="41" t="n">
        <x:v>24</x:v>
      </x:c>
      <x:c r="F77" s="18" t="str">
        <x:v>informational, commercial</x:v>
      </x:c>
      <x:c r="G77" s="18" t="str">
        <x:v>P1 近期做</x:v>
      </x:c>
      <x:c r="H77" s="18" t="str">
        <x:v>Best/Top/Review/VS/替代方案文章</x:v>
      </x:c>
      <x:c r="I77" s="18" t="str">
        <x:v>Best angle: top rated vapes - comparison, pros/cons, and which option fits different buyers</x:v>
      </x:c>
      <x:c r="J77" s="18" t="str">
        <x:v>1. 搜索者到底想比较什么；2. 评价标准；3. 主要选项对比；4. 适合/不适合人群；5. 购买前检查清单；6. 自然推荐相关集合页</x:v>
      </x:c>
      <x:c r="K77" s="18" t="str">
        <x:v>/collections/disposable-vapes</x:v>
      </x:c>
      <x:c r="L77" s="18" t="str">
        <x:v>文中 1-2 个自然内链到对应集合页</x:v>
      </x:c>
      <x:c r="M77" s="19" t="str">
        <x:v>中风险：榜单和评测必须真实、中立，避免夸大</x:v>
      </x:c>
    </x:row>
    <x:row r="78">
      <x:c r="A78" s="40" t="str">
        <x:v>Week 10</x:v>
      </x:c>
      <x:c r="B78" s="18" t="str">
        <x:v>博客C-对比评测</x:v>
      </x:c>
      <x:c r="C78" s="18" t="str">
        <x:v>best tasting vapes</x:v>
      </x:c>
      <x:c r="D78" s="41" t="n">
        <x:v>170</x:v>
      </x:c>
      <x:c r="E78" s="41" t="n">
        <x:v>20</x:v>
      </x:c>
      <x:c r="F78" s="18" t="str">
        <x:v>commercial</x:v>
      </x:c>
      <x:c r="G78" s="18" t="str">
        <x:v>P1 近期做</x:v>
      </x:c>
      <x:c r="H78" s="18" t="str">
        <x:v>Best/Top/Review/VS/替代方案文章</x:v>
      </x:c>
      <x:c r="I78" s="18" t="str">
        <x:v>Best angle: best tasting vapes - comparison, pros/cons, and which option fits different buyers</x:v>
      </x:c>
      <x:c r="J78" s="18" t="str">
        <x:v>1. 搜索者到底想比较什么；2. 评价标准；3. 主要选项对比；4. 适合/不适合人群；5. 购买前检查清单；6. 自然推荐相关集合页</x:v>
      </x:c>
      <x:c r="K78" s="18" t="str">
        <x:v>/collections/disposable-vapes</x:v>
      </x:c>
      <x:c r="L78" s="18" t="str">
        <x:v>文中 1-2 个自然内链到对应集合页</x:v>
      </x:c>
      <x:c r="M78" s="19" t="str">
        <x:v>中风险：榜单和评测必须真实、中立，避免夸大</x:v>
      </x:c>
    </x:row>
    <x:row r="79">
      <x:c r="A79" s="40" t="str">
        <x:v>Week 10</x:v>
      </x:c>
      <x:c r="B79" s="18" t="str">
        <x:v>博客C-对比评测</x:v>
      </x:c>
      <x:c r="C79" s="18" t="str">
        <x:v>best flavored vapes</x:v>
      </x:c>
      <x:c r="D79" s="41" t="n">
        <x:v>170</x:v>
      </x:c>
      <x:c r="E79" s="41" t="n">
        <x:v>26</x:v>
      </x:c>
      <x:c r="F79" s="18" t="str">
        <x:v>commercial</x:v>
      </x:c>
      <x:c r="G79" s="18" t="str">
        <x:v>P1 近期做</x:v>
      </x:c>
      <x:c r="H79" s="18" t="str">
        <x:v>Best/Top/Review/VS/替代方案文章</x:v>
      </x:c>
      <x:c r="I79" s="18" t="str">
        <x:v>Best angle: best flavored vapes - comparison, pros/cons, and which option fits different buyers</x:v>
      </x:c>
      <x:c r="J79" s="18" t="str">
        <x:v>1. 搜索者到底想比较什么；2. 评价标准；3. 主要选项对比；4. 适合/不适合人群；5. 购买前检查清单；6. 自然推荐相关集合页</x:v>
      </x:c>
      <x:c r="K79" s="18" t="str">
        <x:v>/collections/flavored-disposable-vapes</x:v>
      </x:c>
      <x:c r="L79" s="18" t="str">
        <x:v>文中 1-2 个自然内链到对应集合页</x:v>
      </x:c>
      <x:c r="M79" s="19" t="str">
        <x:v>中风险：榜单和评测必须真实、中立，避免夸大</x:v>
      </x:c>
    </x:row>
    <x:row r="80">
      <x:c r="A80" s="40" t="str">
        <x:v>Week 10</x:v>
      </x:c>
      <x:c r="B80" s="18" t="str">
        <x:v>博客B-场景人群</x:v>
      </x:c>
      <x:c r="C80" s="18" t="str">
        <x:v>vape flavors fruity</x:v>
      </x:c>
      <x:c r="D80" s="41" t="n">
        <x:v>170</x:v>
      </x:c>
      <x:c r="E80" s="41" t="n">
        <x:v>3</x:v>
      </x:c>
      <x:c r="F80" s="18" t="str">
        <x:v>informational</x:v>
      </x:c>
      <x:c r="G80" s="18" t="str">
        <x:v>P1 近期做</x:v>
      </x:c>
      <x:c r="H80" s="18" t="str">
        <x:v>场景解决方案/选购指南文章</x:v>
      </x:c>
      <x:c r="I80" s="18" t="str">
        <x:v>Scenario angle: how to choose vape flavors fruity based on use case, flavor, nicotine, and budget</x:v>
      </x:c>
      <x:c r="J80" s="18" t="str">
        <x:v>1. 场景/人群问题；2. 选择维度；3. 常见误区；4. 推荐判断标准；5. FAQ；6. 如果需要购买，链接到对应集合页</x:v>
      </x:c>
      <x:c r="K80" s="18" t="str">
        <x:v>/collections/flavored-disposable-vapes</x:v>
      </x:c>
      <x:c r="L80" s="18" t="str">
        <x:v>文中 1-2 个自然内链到对应集合页</x:v>
      </x:c>
      <x:c r="M80" s="19" t="str">
        <x:v>低中风险：适合软性导流，但不要夸大效果或触碰健康疗效</x:v>
      </x:c>
    </x:row>
    <x:row r="81">
      <x:c r="A81" s="40" t="str">
        <x:v>Week 10</x:v>
      </x:c>
      <x:c r="B81" s="18" t="str">
        <x:v>博客C-对比评测</x:v>
      </x:c>
      <x:c r="C81" s="18" t="str">
        <x:v>different brands of vapes</x:v>
      </x:c>
      <x:c r="D81" s="41" t="n">
        <x:v>170</x:v>
      </x:c>
      <x:c r="E81" s="41" t="n">
        <x:v>21</x:v>
      </x:c>
      <x:c r="F81" s="18" t="str">
        <x:v>commercial</x:v>
      </x:c>
      <x:c r="G81" s="18" t="str">
        <x:v>P1 近期做</x:v>
      </x:c>
      <x:c r="H81" s="18" t="str">
        <x:v>Best/Top/Review/VS/替代方案文章</x:v>
      </x:c>
      <x:c r="I81" s="18" t="str">
        <x:v>Best angle: different brands of vapes - comparison, pros/cons, and which option fits different buyers</x:v>
      </x:c>
      <x:c r="J81" s="18" t="str">
        <x:v>1. 搜索者到底想比较什么；2. 评价标准；3. 主要选项对比；4. 适合/不适合人群；5. 购买前检查清单；6. 自然推荐相关集合页</x:v>
      </x:c>
      <x:c r="K81" s="18" t="str">
        <x:v>/collections/disposable-vapes</x:v>
      </x:c>
      <x:c r="L81" s="18" t="str">
        <x:v>文中 1-2 个自然内链到对应集合页</x:v>
      </x:c>
      <x:c r="M81" s="19" t="str">
        <x:v>中风险：榜单和评测必须真实、中立，避免夸大</x:v>
      </x:c>
    </x:row>
    <x:row r="82">
      <x:c r="A82" s="40" t="str">
        <x:v>Week 11</x:v>
      </x:c>
      <x:c r="B82" s="18" t="str">
        <x:v>博客C-对比评测</x:v>
      </x:c>
      <x:c r="C82" s="18" t="str">
        <x:v>vaping brands</x:v>
      </x:c>
      <x:c r="D82" s="41" t="n">
        <x:v>140</x:v>
      </x:c>
      <x:c r="E82" s="41" t="n">
        <x:v>26</x:v>
      </x:c>
      <x:c r="F82" s="18" t="str">
        <x:v>informational, commercial</x:v>
      </x:c>
      <x:c r="G82" s="18" t="str">
        <x:v>P1 近期做</x:v>
      </x:c>
      <x:c r="H82" s="18" t="str">
        <x:v>Best/Top/Review/VS/替代方案文章</x:v>
      </x:c>
      <x:c r="I82" s="18" t="str">
        <x:v>Best angle: vaping brands - comparison, pros/cons, and which option fits different buyers</x:v>
      </x:c>
      <x:c r="J82" s="18" t="str">
        <x:v>1. 搜索者到底想比较什么；2. 评价标准；3. 主要选项对比；4. 适合/不适合人群；5. 购买前检查清单；6. 自然推荐相关集合页</x:v>
      </x:c>
      <x:c r="K82" s="18" t="str">
        <x:v>/collections/disposable-vapes</x:v>
      </x:c>
      <x:c r="L82" s="18" t="str">
        <x:v>文中 1-2 个自然内链到对应集合页</x:v>
      </x:c>
      <x:c r="M82" s="19" t="str">
        <x:v>中风险：榜单和评测必须真实、中立，避免夸大</x:v>
      </x:c>
    </x:row>
    <x:row r="83">
      <x:c r="A83" s="40" t="str">
        <x:v>Week 11</x:v>
      </x:c>
      <x:c r="B83" s="18" t="str">
        <x:v>博客C-对比评测</x:v>
      </x:c>
      <x:c r="C83" s="18" t="str">
        <x:v>best tasting disposable vape</x:v>
      </x:c>
      <x:c r="D83" s="41" t="n">
        <x:v>140</x:v>
      </x:c>
      <x:c r="E83" s="41" t="n">
        <x:v>25</x:v>
      </x:c>
      <x:c r="F83" s="18" t="str">
        <x:v>commercial</x:v>
      </x:c>
      <x:c r="G83" s="18" t="str">
        <x:v>P1 近期做</x:v>
      </x:c>
      <x:c r="H83" s="18" t="str">
        <x:v>Best/Top/Review/VS/替代方案文章</x:v>
      </x:c>
      <x:c r="I83" s="18" t="str">
        <x:v>Best angle: best tasting disposable vape - comparison, pros/cons, and which option fits different buyers</x:v>
      </x:c>
      <x:c r="J83" s="18" t="str">
        <x:v>1. 搜索者到底想比较什么；2. 评价标准；3. 主要选项对比；4. 适合/不适合人群；5. 购买前检查清单；6. 自然推荐相关集合页</x:v>
      </x:c>
      <x:c r="K83" s="18" t="str">
        <x:v>/collections/disposable-vapes</x:v>
      </x:c>
      <x:c r="L83" s="18" t="str">
        <x:v>文中 1-2 个自然内链到对应集合页</x:v>
      </x:c>
      <x:c r="M83" s="19" t="str">
        <x:v>中风险：榜单和评测必须真实、中立，避免夸大</x:v>
      </x:c>
    </x:row>
    <x:row r="84">
      <x:c r="A84" s="40" t="str">
        <x:v>Week 11</x:v>
      </x:c>
      <x:c r="B84" s="18" t="str">
        <x:v>博客C-对比评测</x:v>
      </x:c>
      <x:c r="C84" s="18" t="str">
        <x:v>top disposable vapes</x:v>
      </x:c>
      <x:c r="D84" s="41" t="n">
        <x:v>140</x:v>
      </x:c>
      <x:c r="E84" s="41" t="n">
        <x:v>20</x:v>
      </x:c>
      <x:c r="F84" s="18" t="str">
        <x:v>commercial</x:v>
      </x:c>
      <x:c r="G84" s="18" t="str">
        <x:v>P1 近期做</x:v>
      </x:c>
      <x:c r="H84" s="18" t="str">
        <x:v>Best/Top/Review/VS/替代方案文章</x:v>
      </x:c>
      <x:c r="I84" s="18" t="str">
        <x:v>Best angle: top disposable vapes - comparison, pros/cons, and which option fits different buyers</x:v>
      </x:c>
      <x:c r="J84" s="18" t="str">
        <x:v>1. 搜索者到底想比较什么；2. 评价标准；3. 主要选项对比；4. 适合/不适合人群；5. 购买前检查清单；6. 自然推荐相关集合页</x:v>
      </x:c>
      <x:c r="K84" s="18" t="str">
        <x:v>/collections/disposable-vapes</x:v>
      </x:c>
      <x:c r="L84" s="18" t="str">
        <x:v>文中 1-2 个自然内链到对应集合页</x:v>
      </x:c>
      <x:c r="M84" s="19" t="str">
        <x:v>中风险：榜单和评测必须真实、中立，避免夸大</x:v>
      </x:c>
    </x:row>
    <x:row r="85">
      <x:c r="A85" s="40" t="str">
        <x:v>Week 11</x:v>
      </x:c>
      <x:c r="B85" s="18" t="str">
        <x:v>博客C-对比评测</x:v>
      </x:c>
      <x:c r="C85" s="18" t="str">
        <x:v>top 10 vapes</x:v>
      </x:c>
      <x:c r="D85" s="41" t="n">
        <x:v>140</x:v>
      </x:c>
      <x:c r="E85" s="41" t="n">
        <x:v>24</x:v>
      </x:c>
      <x:c r="F85" s="18" t="str">
        <x:v>informational, commercial</x:v>
      </x:c>
      <x:c r="G85" s="18" t="str">
        <x:v>P1 近期做</x:v>
      </x:c>
      <x:c r="H85" s="18" t="str">
        <x:v>Best/Top/Review/VS/替代方案文章</x:v>
      </x:c>
      <x:c r="I85" s="18" t="str">
        <x:v>Best angle: top 10 vapes - comparison, pros/cons, and which option fits different buyers</x:v>
      </x:c>
      <x:c r="J85" s="18" t="str">
        <x:v>1. 搜索者到底想比较什么；2. 评价标准；3. 主要选项对比；4. 适合/不适合人群；5. 购买前检查清单；6. 自然推荐相关集合页</x:v>
      </x:c>
      <x:c r="K85" s="18" t="str">
        <x:v>/collections/disposable-vapes</x:v>
      </x:c>
      <x:c r="L85" s="18" t="str">
        <x:v>文中 1-2 个自然内链到对应集合页</x:v>
      </x:c>
      <x:c r="M85" s="19" t="str">
        <x:v>中风险：榜单和评测必须真实、中立，避免夸大</x:v>
      </x:c>
    </x:row>
    <x:row r="86">
      <x:c r="A86" s="40" t="str">
        <x:v>Week 11</x:v>
      </x:c>
      <x:c r="B86" s="18" t="str">
        <x:v>博客C-对比评测</x:v>
      </x:c>
      <x:c r="C86" s="18" t="str">
        <x:v>best tasting vape juice</x:v>
      </x:c>
      <x:c r="D86" s="41" t="n">
        <x:v>140</x:v>
      </x:c>
      <x:c r="E86" s="41" t="n">
        <x:v>17</x:v>
      </x:c>
      <x:c r="F86" s="18" t="str">
        <x:v>commercial</x:v>
      </x:c>
      <x:c r="G86" s="18" t="str">
        <x:v>P1 近期做</x:v>
      </x:c>
      <x:c r="H86" s="18" t="str">
        <x:v>Best/Top/Review/VS/替代方案文章</x:v>
      </x:c>
      <x:c r="I86" s="18" t="str">
        <x:v>Best angle: best tasting vape juice - comparison, pros/cons, and which option fits different buyers</x:v>
      </x:c>
      <x:c r="J86" s="18" t="str">
        <x:v>1. 搜索者到底想比较什么；2. 评价标准；3. 主要选项对比；4. 适合/不适合人群；5. 购买前检查清单；6. 自然推荐相关集合页</x:v>
      </x:c>
      <x:c r="K86" s="18" t="str">
        <x:v>/collections/disposable-vapes</x:v>
      </x:c>
      <x:c r="L86" s="18" t="str">
        <x:v>文中 1-2 个自然内链到对应集合页</x:v>
      </x:c>
      <x:c r="M86" s="19" t="str">
        <x:v>中风险：榜单和评测必须真实、中立，避免夸大</x:v>
      </x:c>
    </x:row>
    <x:row r="87">
      <x:c r="A87" s="40" t="str">
        <x:v>Week 11</x:v>
      </x:c>
      <x:c r="B87" s="18" t="str">
        <x:v>博客C-对比评测</x:v>
      </x:c>
      <x:c r="C87" s="18" t="str">
        <x:v>best vape liquid</x:v>
      </x:c>
      <x:c r="D87" s="41" t="n">
        <x:v>140</x:v>
      </x:c>
      <x:c r="E87" s="41" t="n">
        <x:v>20</x:v>
      </x:c>
      <x:c r="F87" s="18" t="str">
        <x:v>commercial</x:v>
      </x:c>
      <x:c r="G87" s="18" t="str">
        <x:v>P1 近期做</x:v>
      </x:c>
      <x:c r="H87" s="18" t="str">
        <x:v>Best/Top/Review/VS/替代方案文章</x:v>
      </x:c>
      <x:c r="I87" s="18" t="str">
        <x:v>Best angle: best vape liquid - comparison, pros/cons, and which option fits different buyers</x:v>
      </x:c>
      <x:c r="J87" s="18" t="str">
        <x:v>1. 搜索者到底想比较什么；2. 评价标准；3. 主要选项对比；4. 适合/不适合人群；5. 购买前检查清单；6. 自然推荐相关集合页</x:v>
      </x:c>
      <x:c r="K87" s="18" t="str">
        <x:v>/collections/disposable-vapes</x:v>
      </x:c>
      <x:c r="L87" s="18" t="str">
        <x:v>文中 1-2 个自然内链到对应集合页</x:v>
      </x:c>
      <x:c r="M87" s="19" t="str">
        <x:v>中风险：榜单和评测必须真实、中立，避免夸大</x:v>
      </x:c>
    </x:row>
    <x:row r="88">
      <x:c r="A88" s="40" t="str">
        <x:v>Week 11</x:v>
      </x:c>
      <x:c r="B88" s="18" t="str">
        <x:v>博客B-场景人群</x:v>
      </x:c>
      <x:c r="C88" s="18" t="str">
        <x:v>white gummy flavor</x:v>
      </x:c>
      <x:c r="D88" s="41" t="n">
        <x:v>140</x:v>
      </x:c>
      <x:c r="E88" s="41" t="n">
        <x:v>6</x:v>
      </x:c>
      <x:c r="F88" s="18" t="str">
        <x:v>commercial</x:v>
      </x:c>
      <x:c r="G88" s="18" t="str">
        <x:v>P1 近期做</x:v>
      </x:c>
      <x:c r="H88" s="18" t="str">
        <x:v>场景解决方案/选购指南文章</x:v>
      </x:c>
      <x:c r="I88" s="18" t="str">
        <x:v>Scenario angle: how to choose white gummy flavor based on use case, flavor, nicotine, and budget</x:v>
      </x:c>
      <x:c r="J88" s="18" t="str">
        <x:v>1. 场景/人群问题；2. 选择维度；3. 常见误区；4. 推荐判断标准；5. FAQ；6. 如果需要购买，链接到对应集合页</x:v>
      </x:c>
      <x:c r="K88" s="18" t="str">
        <x:v>/collections/flavored-disposable-vapes</x:v>
      </x:c>
      <x:c r="L88" s="18" t="str">
        <x:v>文中 1-2 个自然内链到对应集合页</x:v>
      </x:c>
      <x:c r="M88" s="19" t="str">
        <x:v>低中风险：适合软性导流，但不要夸大效果或触碰健康疗效</x:v>
      </x:c>
    </x:row>
    <x:row r="89">
      <x:c r="A89" s="40" t="str">
        <x:v>Week 11</x:v>
      </x:c>
      <x:c r="B89" s="18" t="str">
        <x:v>博客C-对比评测</x:v>
      </x:c>
      <x:c r="C89" s="18" t="str">
        <x:v>best selling vapes</x:v>
      </x:c>
      <x:c r="D89" s="41" t="n">
        <x:v>110</x:v>
      </x:c>
      <x:c r="E89" s="41" t="n">
        <x:v>19</x:v>
      </x:c>
      <x:c r="F89" s="18" t="str">
        <x:v>commercial</x:v>
      </x:c>
      <x:c r="G89" s="18" t="str">
        <x:v>P1 近期做</x:v>
      </x:c>
      <x:c r="H89" s="18" t="str">
        <x:v>Best/Top/Review/VS/替代方案文章</x:v>
      </x:c>
      <x:c r="I89" s="18" t="str">
        <x:v>Best angle: best selling vapes - comparison, pros/cons, and which option fits different buyers</x:v>
      </x:c>
      <x:c r="J89" s="18" t="str">
        <x:v>1. 搜索者到底想比较什么；2. 评价标准；3. 主要选项对比；4. 适合/不适合人群；5. 购买前检查清单；6. 自然推荐相关集合页</x:v>
      </x:c>
      <x:c r="K89" s="18" t="str">
        <x:v>/collections/disposable-vapes</x:v>
      </x:c>
      <x:c r="L89" s="18" t="str">
        <x:v>文中 1-2 个自然内链到对应集合页</x:v>
      </x:c>
      <x:c r="M89" s="19" t="str">
        <x:v>中风险：榜单和评测必须真实、中立，避免夸大</x:v>
      </x:c>
    </x:row>
    <x:row r="90">
      <x:c r="A90" s="40" t="str">
        <x:v>Week 12</x:v>
      </x:c>
      <x:c r="B90" s="18" t="str">
        <x:v>博客C-对比评测</x:v>
      </x:c>
      <x:c r="C90" s="18" t="str">
        <x:v>common vape brands</x:v>
      </x:c>
      <x:c r="D90" s="41" t="n">
        <x:v>110</x:v>
      </x:c>
      <x:c r="E90" s="41" t="n">
        <x:v>20</x:v>
      </x:c>
      <x:c r="F90" s="18" t="str">
        <x:v>informational, commercial</x:v>
      </x:c>
      <x:c r="G90" s="18" t="str">
        <x:v>P1 近期做</x:v>
      </x:c>
      <x:c r="H90" s="18" t="str">
        <x:v>Best/Top/Review/VS/替代方案文章</x:v>
      </x:c>
      <x:c r="I90" s="18" t="str">
        <x:v>Best angle: common vape brands - comparison, pros/cons, and which option fits different buyers</x:v>
      </x:c>
      <x:c r="J90" s="18" t="str">
        <x:v>1. 搜索者到底想比较什么；2. 评价标准；3. 主要选项对比；4. 适合/不适合人群；5. 购买前检查清单；6. 自然推荐相关集合页</x:v>
      </x:c>
      <x:c r="K90" s="18" t="str">
        <x:v>/collections/disposable-vapes</x:v>
      </x:c>
      <x:c r="L90" s="18" t="str">
        <x:v>文中 1-2 个自然内链到对应集合页</x:v>
      </x:c>
      <x:c r="M90" s="19" t="str">
        <x:v>中风险：榜单和评测必须真实、中立，避免夸大</x:v>
      </x:c>
    </x:row>
    <x:row r="91">
      <x:c r="A91" s="40" t="str">
        <x:v>Week 12</x:v>
      </x:c>
      <x:c r="B91" s="18" t="str">
        <x:v>博客B-场景人群</x:v>
      </x:c>
      <x:c r="C91" s="18" t="str">
        <x:v>white gummy ice flavor</x:v>
      </x:c>
      <x:c r="D91" s="41" t="n">
        <x:v>110</x:v>
      </x:c>
      <x:c r="E91" s="41" t="n">
        <x:v>2</x:v>
      </x:c>
      <x:c r="F91" s="18" t="str">
        <x:v>commercial</x:v>
      </x:c>
      <x:c r="G91" s="18" t="str">
        <x:v>P1 近期做</x:v>
      </x:c>
      <x:c r="H91" s="18" t="str">
        <x:v>场景解决方案/选购指南文章</x:v>
      </x:c>
      <x:c r="I91" s="18" t="str">
        <x:v>Scenario angle: how to choose white gummy ice flavor based on use case, flavor, nicotine, and budget</x:v>
      </x:c>
      <x:c r="J91" s="18" t="str">
        <x:v>1. 场景/人群问题；2. 选择维度；3. 常见误区；4. 推荐判断标准；5. FAQ；6. 如果需要购买，链接到对应集合页</x:v>
      </x:c>
      <x:c r="K91" s="18" t="str">
        <x:v>/collections/flavored-disposable-vapes</x:v>
      </x:c>
      <x:c r="L91" s="18" t="str">
        <x:v>文中 1-2 个自然内链到对应集合页</x:v>
      </x:c>
      <x:c r="M91" s="19" t="str">
        <x:v>低中风险：适合软性导流，但不要夸大效果或触碰健康疗效</x:v>
      </x:c>
    </x:row>
    <x:row r="92">
      <x:c r="A92" s="40" t="str">
        <x:v>Week 12</x:v>
      </x:c>
      <x:c r="B92" s="18" t="str">
        <x:v>博客B-场景人群</x:v>
      </x:c>
      <x:c r="C92" s="18" t="str">
        <x:v>ice vape flavors</x:v>
      </x:c>
      <x:c r="D92" s="41" t="n">
        <x:v>110</x:v>
      </x:c>
      <x:c r="E92" s="41" t="n">
        <x:v>2</x:v>
      </x:c>
      <x:c r="F92" s="18" t="str">
        <x:v>informational</x:v>
      </x:c>
      <x:c r="G92" s="18" t="str">
        <x:v>P1 近期做</x:v>
      </x:c>
      <x:c r="H92" s="18" t="str">
        <x:v>场景解决方案/选购指南文章</x:v>
      </x:c>
      <x:c r="I92" s="18" t="str">
        <x:v>Scenario angle: how to choose ice vape flavors based on use case, flavor, nicotine, and budget</x:v>
      </x:c>
      <x:c r="J92" s="18" t="str">
        <x:v>1. 场景/人群问题；2. 选择维度；3. 常见误区；4. 推荐判断标准；5. FAQ；6. 如果需要购买，链接到对应集合页</x:v>
      </x:c>
      <x:c r="K92" s="18" t="str">
        <x:v>/collections/flavored-disposable-vapes</x:v>
      </x:c>
      <x:c r="L92" s="18" t="str">
        <x:v>文中 1-2 个自然内链到对应集合页</x:v>
      </x:c>
      <x:c r="M92" s="19" t="str">
        <x:v>低中风险：适合软性导流，但不要夸大效果或触碰健康疗效</x:v>
      </x:c>
    </x:row>
    <x:row r="93">
      <x:c r="A93" s="40" t="str">
        <x:v>Week 12</x:v>
      </x:c>
      <x:c r="B93" s="18" t="str">
        <x:v>博客C-对比评测</x:v>
      </x:c>
      <x:c r="C93" s="18" t="str">
        <x:v>best beginner vape</x:v>
      </x:c>
      <x:c r="D93" s="41" t="n">
        <x:v>90</x:v>
      </x:c>
      <x:c r="E93" s="41" t="n">
        <x:v>12</x:v>
      </x:c>
      <x:c r="F93" s="18" t="str">
        <x:v>commercial</x:v>
      </x:c>
      <x:c r="G93" s="18" t="str">
        <x:v>P1 近期做</x:v>
      </x:c>
      <x:c r="H93" s="18" t="str">
        <x:v>Best/Top/Review/VS/替代方案文章</x:v>
      </x:c>
      <x:c r="I93" s="18" t="str">
        <x:v>Best angle: best beginner vape - comparison, pros/cons, and which option fits different buyers</x:v>
      </x:c>
      <x:c r="J93" s="18" t="str">
        <x:v>1. 搜索者到底想比较什么；2. 评价标准；3. 主要选项对比；4. 适合/不适合人群；5. 购买前检查清单；6. 自然推荐相关集合页</x:v>
      </x:c>
      <x:c r="K93" s="18" t="str">
        <x:v>/collections/disposable-vapes</x:v>
      </x:c>
      <x:c r="L93" s="18" t="str">
        <x:v>文中 1-2 个自然内链到对应集合页</x:v>
      </x:c>
      <x:c r="M93" s="19" t="str">
        <x:v>中风险：榜单和评测必须真实、中立，避免夸大</x:v>
      </x:c>
    </x:row>
    <x:row r="94">
      <x:c r="A94" s="40" t="str">
        <x:v>Week 12</x:v>
      </x:c>
      <x:c r="B94" s="18" t="str">
        <x:v>博客C-对比评测</x:v>
      </x:c>
      <x:c r="C94" s="18" t="str">
        <x:v>best mint disposable vape</x:v>
      </x:c>
      <x:c r="D94" s="41" t="n">
        <x:v>90</x:v>
      </x:c>
      <x:c r="E94" s="41" t="n">
        <x:v>2</x:v>
      </x:c>
      <x:c r="F94" s="18" t="str">
        <x:v>informational, commercial</x:v>
      </x:c>
      <x:c r="G94" s="18" t="str">
        <x:v>P1 近期做</x:v>
      </x:c>
      <x:c r="H94" s="18" t="str">
        <x:v>Best/Top/Review/VS/替代方案文章</x:v>
      </x:c>
      <x:c r="I94" s="18" t="str">
        <x:v>Best angle: best mint disposable vape - comparison, pros/cons, and which option fits different buyers</x:v>
      </x:c>
      <x:c r="J94" s="18" t="str">
        <x:v>1. 搜索者到底想比较什么；2. 评价标准；3. 主要选项对比；4. 适合/不适合人群；5. 购买前检查清单；6. 自然推荐相关集合页</x:v>
      </x:c>
      <x:c r="K94" s="18" t="str">
        <x:v>/collections/disposable-vapes</x:v>
      </x:c>
      <x:c r="L94" s="18" t="str">
        <x:v>文中 1-2 个自然内链到对应集合页</x:v>
      </x:c>
      <x:c r="M94" s="19" t="str">
        <x:v>中风险：榜单和评测必须真实、中立，避免夸大</x:v>
      </x:c>
    </x:row>
    <x:row r="95">
      <x:c r="A95" s="40" t="str">
        <x:v>Week 12</x:v>
      </x:c>
      <x:c r="B95" s="18" t="str">
        <x:v>博客C-对比评测</x:v>
      </x:c>
      <x:c r="C95" s="18" t="str">
        <x:v>refillable vape brands</x:v>
      </x:c>
      <x:c r="D95" s="41" t="n">
        <x:v>90</x:v>
      </x:c>
      <x:c r="E95" s="41" t="n">
        <x:v>13</x:v>
      </x:c>
      <x:c r="F95" s="18" t="str">
        <x:v>informational</x:v>
      </x:c>
      <x:c r="G95" s="18" t="str">
        <x:v>P1 近期做</x:v>
      </x:c>
      <x:c r="H95" s="18" t="str">
        <x:v>Best/Top/Review/VS/替代方案文章</x:v>
      </x:c>
      <x:c r="I95" s="18" t="str">
        <x:v>Best angle: refillable vape brands - comparison, pros/cons, and which option fits different buyers</x:v>
      </x:c>
      <x:c r="J95" s="18" t="str">
        <x:v>1. 搜索者到底想比较什么；2. 评价标准；3. 主要选项对比；4. 适合/不适合人群；5. 购买前检查清单；6. 自然推荐相关集合页</x:v>
      </x:c>
      <x:c r="K95" s="18" t="str">
        <x:v>/collections/rechargeable-vapes</x:v>
      </x:c>
      <x:c r="L95" s="18" t="str">
        <x:v>文中 1-2 个自然内链到对应集合页</x:v>
      </x:c>
      <x:c r="M95" s="19" t="str">
        <x:v>中风险：榜单和评测必须真实、中立，避免夸大</x:v>
      </x:c>
    </x:row>
    <x:row r="96">
      <x:c r="A96" s="40" t="str">
        <x:v>Week 12</x:v>
      </x:c>
      <x:c r="B96" s="18" t="str">
        <x:v>博客C-对比评测</x:v>
      </x:c>
      <x:c r="C96" s="18" t="str">
        <x:v>fasta vape review</x:v>
      </x:c>
      <x:c r="D96" s="41" t="n">
        <x:v>90</x:v>
      </x:c>
      <x:c r="E96" s="41" t="n">
        <x:v>5</x:v>
      </x:c>
      <x:c r="F96" s="18" t="str">
        <x:v>informational, commercial</x:v>
      </x:c>
      <x:c r="G96" s="18" t="str">
        <x:v>P1 近期做</x:v>
      </x:c>
      <x:c r="H96" s="18" t="str">
        <x:v>Best/Top/Review/VS/替代方案文章</x:v>
      </x:c>
      <x:c r="I96" s="18" t="str">
        <x:v>Best angle: fasta vape review - comparison, pros/cons, and which option fits different buyers</x:v>
      </x:c>
      <x:c r="J96" s="18" t="str">
        <x:v>1. 搜索者到底想比较什么；2. 评价标准；3. 主要选项对比；4. 适合/不适合人群；5. 购买前检查清单；6. 自然推荐相关集合页</x:v>
      </x:c>
      <x:c r="K96" s="18" t="str">
        <x:v>/collections/disposable-vapes</x:v>
      </x:c>
      <x:c r="L96" s="18" t="str">
        <x:v>文中 1-2 个自然内链到对应集合页</x:v>
      </x:c>
      <x:c r="M96" s="19" t="str">
        <x:v>中风险：榜单和评测必须真实、中立，避免夸大</x:v>
      </x:c>
    </x:row>
    <x:row r="97">
      <x:c r="A97" s="40" t="str">
        <x:v>Week 12</x:v>
      </x:c>
      <x:c r="B97" s="18" t="str">
        <x:v>博客C-对比评测</x:v>
      </x:c>
      <x:c r="C97" s="18" t="str">
        <x:v>brands of vape</x:v>
      </x:c>
      <x:c r="D97" s="41" t="n">
        <x:v>70</x:v>
      </x:c>
      <x:c r="E97" s="41" t="n">
        <x:v>15</x:v>
      </x:c>
      <x:c r="F97" s="18" t="str">
        <x:v>informational</x:v>
      </x:c>
      <x:c r="G97" s="18" t="str">
        <x:v>P1 近期做</x:v>
      </x:c>
      <x:c r="H97" s="18" t="str">
        <x:v>Best/Top/Review/VS/替代方案文章</x:v>
      </x:c>
      <x:c r="I97" s="18" t="str">
        <x:v>Best angle: brands of vape - comparison, pros/cons, and which option fits different buyers</x:v>
      </x:c>
      <x:c r="J97" s="18" t="str">
        <x:v>1. 搜索者到底想比较什么；2. 评价标准；3. 主要选项对比；4. 适合/不适合人群；5. 购买前检查清单；6. 自然推荐相关集合页</x:v>
      </x:c>
      <x:c r="K97" s="18" t="str">
        <x:v>/collections/disposable-vapes</x:v>
      </x:c>
      <x:c r="L97" s="18" t="str">
        <x:v>文中 1-2 个自然内链到对应集合页</x:v>
      </x:c>
      <x:c r="M97" s="19" t="str">
        <x:v>中风险：榜单和评测必须真实、中立，避免夸大</x:v>
      </x:c>
    </x:row>
    <x:row r="98">
      <x:c r="A98" s="40" t="str">
        <x:v>Week 13</x:v>
      </x:c>
      <x:c r="B98" s="18" t="str">
        <x:v>博客C-对比评测</x:v>
      </x:c>
      <x:c r="C98" s="18" t="str">
        <x:v>best starter vape</x:v>
      </x:c>
      <x:c r="D98" s="41" t="n">
        <x:v>70</x:v>
      </x:c>
      <x:c r="E98" s="41" t="n">
        <x:v>5</x:v>
      </x:c>
      <x:c r="F98" s="18" t="str">
        <x:v>commercial</x:v>
      </x:c>
      <x:c r="G98" s="18" t="str">
        <x:v>P1 近期做</x:v>
      </x:c>
      <x:c r="H98" s="18" t="str">
        <x:v>Best/Top/Review/VS/替代方案文章</x:v>
      </x:c>
      <x:c r="I98" s="18" t="str">
        <x:v>Best angle: best starter vape - comparison, pros/cons, and which option fits different buyers</x:v>
      </x:c>
      <x:c r="J98" s="18" t="str">
        <x:v>1. 搜索者到底想比较什么；2. 评价标准；3. 主要选项对比；4. 适合/不适合人群；5. 购买前检查清单；6. 自然推荐相关集合页</x:v>
      </x:c>
      <x:c r="K98" s="18" t="str">
        <x:v>/collections/disposable-vapes</x:v>
      </x:c>
      <x:c r="L98" s="18" t="str">
        <x:v>文中 1-2 个自然内链到对应集合页</x:v>
      </x:c>
      <x:c r="M98" s="19" t="str">
        <x:v>中风险：榜单和评测必须真实、中立，避免夸大</x:v>
      </x:c>
    </x:row>
    <x:row r="99">
      <x:c r="A99" s="40" t="str">
        <x:v>Week 13</x:v>
      </x:c>
      <x:c r="B99" s="18" t="str">
        <x:v>博客C-对比评测</x:v>
      </x:c>
      <x:c r="C99" s="18" t="str">
        <x:v>best fruity vape juice</x:v>
      </x:c>
      <x:c r="D99" s="41" t="n">
        <x:v>70</x:v>
      </x:c>
      <x:c r="E99" s="41" t="n">
        <x:v>1</x:v>
      </x:c>
      <x:c r="F99" s="18" t="str">
        <x:v>commercial</x:v>
      </x:c>
      <x:c r="G99" s="18" t="str">
        <x:v>P1 近期做</x:v>
      </x:c>
      <x:c r="H99" s="18" t="str">
        <x:v>Best/Top/Review/VS/替代方案文章</x:v>
      </x:c>
      <x:c r="I99" s="18" t="str">
        <x:v>Best angle: best fruity vape juice - comparison, pros/cons, and which option fits different buyers</x:v>
      </x:c>
      <x:c r="J99" s="18" t="str">
        <x:v>1. 搜索者到底想比较什么；2. 评价标准；3. 主要选项对比；4. 适合/不适合人群；5. 购买前检查清单；6. 自然推荐相关集合页</x:v>
      </x:c>
      <x:c r="K99" s="18" t="str">
        <x:v>/collections/disposable-vapes</x:v>
      </x:c>
      <x:c r="L99" s="18" t="str">
        <x:v>文中 1-2 个自然内链到对应集合页</x:v>
      </x:c>
      <x:c r="M99" s="19" t="str">
        <x:v>中风险：榜单和评测必须真实、中立，避免夸大</x:v>
      </x:c>
    </x:row>
    <x:row r="100">
      <x:c r="A100" s="40" t="str">
        <x:v>Week 13</x:v>
      </x:c>
      <x:c r="B100" s="18" t="str">
        <x:v>博客C-对比评测</x:v>
      </x:c>
      <x:c r="C100" s="18" t="str">
        <x:v>best eliquid</x:v>
      </x:c>
      <x:c r="D100" s="41" t="n">
        <x:v>70</x:v>
      </x:c>
      <x:c r="E100" s="41" t="n">
        <x:v>14</x:v>
      </x:c>
      <x:c r="F100" s="18" t="str">
        <x:v>commercial</x:v>
      </x:c>
      <x:c r="G100" s="18" t="str">
        <x:v>P1 近期做</x:v>
      </x:c>
      <x:c r="H100" s="18" t="str">
        <x:v>Best/Top/Review/VS/替代方案文章</x:v>
      </x:c>
      <x:c r="I100" s="18" t="str">
        <x:v>Best angle: best eliquid - comparison, pros/cons, and which option fits different buyers</x:v>
      </x:c>
      <x:c r="J100" s="18" t="str">
        <x:v>1. 搜索者到底想比较什么；2. 评价标准；3. 主要选项对比；4. 适合/不适合人群；5. 购买前检查清单；6. 自然推荐相关集合页</x:v>
      </x:c>
      <x:c r="K100" s="18" t="str">
        <x:v>/collections/disposable-vapes</x:v>
      </x:c>
      <x:c r="L100" s="18" t="str">
        <x:v>文中 1-2 个自然内链到对应集合页</x:v>
      </x:c>
      <x:c r="M100" s="19" t="str">
        <x:v>中风险：榜单和评测必须真实、中立，避免夸大</x:v>
      </x:c>
    </x:row>
    <x:row r="101">
      <x:c r="A101" s="40" t="str">
        <x:v>Week 13</x:v>
      </x:c>
      <x:c r="B101" s="18" t="str">
        <x:v>博客C-对比评测</x:v>
      </x:c>
      <x:c r="C101" s="18" t="str">
        <x:v>best dessert flavor disposable vape</x:v>
      </x:c>
      <x:c r="D101" s="41" t="n">
        <x:v>70</x:v>
      </x:c>
      <x:c r="E101" s="41" t="n">
        <x:v>0</x:v>
      </x:c>
      <x:c r="F101" s="18" t="str">
        <x:v>commercial</x:v>
      </x:c>
      <x:c r="G101" s="18" t="str">
        <x:v>P1 近期做</x:v>
      </x:c>
      <x:c r="H101" s="18" t="str">
        <x:v>Best/Top/Review/VS/替代方案文章</x:v>
      </x:c>
      <x:c r="I101" s="18" t="str">
        <x:v>Best angle: best dessert flavor disposable vape - comparison, pros/cons, and which option fits different buyers</x:v>
      </x:c>
      <x:c r="J101" s="18" t="str">
        <x:v>1. 搜索者到底想比较什么；2. 评价标准；3. 主要选项对比；4. 适合/不适合人群；5. 购买前检查清单；6. 自然推荐相关集合页</x:v>
      </x:c>
      <x:c r="K101" s="18" t="str">
        <x:v>/collections/flavored-disposable-vapes</x:v>
      </x:c>
      <x:c r="L101" s="18" t="str">
        <x:v>文中 1-2 个自然内链到对应集合页</x:v>
      </x:c>
      <x:c r="M101" s="19" t="str">
        <x:v>中风险：榜单和评测必须真实、中立，避免夸大</x:v>
      </x:c>
    </x:row>
    <x:row r="102">
      <x:c r="A102" s="40" t="str">
        <x:v>Week 13</x:v>
      </x:c>
      <x:c r="B102" s="18" t="str">
        <x:v>博客C-对比评测</x:v>
      </x:c>
      <x:c r="C102" s="18" t="str">
        <x:v>top 5 vape brands</x:v>
      </x:c>
      <x:c r="D102" s="41" t="n">
        <x:v>70</x:v>
      </x:c>
      <x:c r="E102" s="41" t="n">
        <x:v>15</x:v>
      </x:c>
      <x:c r="F102" s="18" t="str">
        <x:v>commercial</x:v>
      </x:c>
      <x:c r="G102" s="18" t="str">
        <x:v>P1 近期做</x:v>
      </x:c>
      <x:c r="H102" s="18" t="str">
        <x:v>Best/Top/Review/VS/替代方案文章</x:v>
      </x:c>
      <x:c r="I102" s="18" t="str">
        <x:v>Best angle: top 5 vape brands - comparison, pros/cons, and which option fits different buyers</x:v>
      </x:c>
      <x:c r="J102" s="18" t="str">
        <x:v>1. 搜索者到底想比较什么；2. 评价标准；3. 主要选项对比；4. 适合/不适合人群；5. 购买前检查清单；6. 自然推荐相关集合页</x:v>
      </x:c>
      <x:c r="K102" s="18" t="str">
        <x:v>/collections/disposable-vapes</x:v>
      </x:c>
      <x:c r="L102" s="18" t="str">
        <x:v>文中 1-2 个自然内链到对应集合页</x:v>
      </x:c>
      <x:c r="M102" s="19" t="str">
        <x:v>中风险：榜单和评测必须真实、中立，避免夸大</x:v>
      </x:c>
    </x:row>
    <x:row r="103">
      <x:c r="A103" s="40" t="str">
        <x:v>Week 13</x:v>
      </x:c>
      <x:c r="B103" s="18" t="str">
        <x:v>博客C-对比评测</x:v>
      </x:c>
      <x:c r="C103" s="18" t="str">
        <x:v>best disposable vape made in usa</x:v>
      </x:c>
      <x:c r="D103" s="41" t="n">
        <x:v>70</x:v>
      </x:c>
      <x:c r="E103" s="41" t="n">
        <x:v>0</x:v>
      </x:c>
      <x:c r="F103" s="18" t="str">
        <x:v>commercial</x:v>
      </x:c>
      <x:c r="G103" s="18" t="str">
        <x:v>P1 近期做</x:v>
      </x:c>
      <x:c r="H103" s="18" t="str">
        <x:v>Best/Top/Review/VS/替代方案文章</x:v>
      </x:c>
      <x:c r="I103" s="18" t="str">
        <x:v>Best angle: best disposable vape made in usa - comparison, pros/cons, and which option fits different buyers</x:v>
      </x:c>
      <x:c r="J103" s="18" t="str">
        <x:v>1. 搜索者到底想比较什么；2. 评价标准；3. 主要选项对比；4. 适合/不适合人群；5. 购买前检查清单；6. 自然推荐相关集合页</x:v>
      </x:c>
      <x:c r="K103" s="18" t="str">
        <x:v>/collections/disposable-vapes</x:v>
      </x:c>
      <x:c r="L103" s="18" t="str">
        <x:v>文中 1-2 个自然内链到对应集合页</x:v>
      </x:c>
      <x:c r="M103" s="19" t="str">
        <x:v>中风险：榜单和评测必须真实、中立，避免夸大</x:v>
      </x:c>
    </x:row>
    <x:row r="104">
      <x:c r="A104" s="40" t="str">
        <x:v>Week 13</x:v>
      </x:c>
      <x:c r="B104" s="18" t="str">
        <x:v>博客C-对比评测</x:v>
      </x:c>
      <x:c r="C104" s="18" t="str">
        <x:v>best tobacco disposable vape</x:v>
      </x:c>
      <x:c r="D104" s="41" t="n">
        <x:v>50</x:v>
      </x:c>
      <x:c r="E104" s="41" t="n">
        <x:v>4</x:v>
      </x:c>
      <x:c r="F104" s="18" t="str">
        <x:v>commercial</x:v>
      </x:c>
      <x:c r="G104" s="18" t="str">
        <x:v>P1 近期做</x:v>
      </x:c>
      <x:c r="H104" s="18" t="str">
        <x:v>Best/Top/Review/VS/替代方案文章</x:v>
      </x:c>
      <x:c r="I104" s="18" t="str">
        <x:v>Best angle: best tobacco disposable vape - comparison, pros/cons, and which option fits different buyers</x:v>
      </x:c>
      <x:c r="J104" s="18" t="str">
        <x:v>1. 搜索者到底想比较什么；2. 评价标准；3. 主要选项对比；4. 适合/不适合人群；5. 购买前检查清单；6. 自然推荐相关集合页</x:v>
      </x:c>
      <x:c r="K104" s="18" t="str">
        <x:v>/collections/disposable-vapes</x:v>
      </x:c>
      <x:c r="L104" s="18" t="str">
        <x:v>文中 1-2 个自然内链到对应集合页</x:v>
      </x:c>
      <x:c r="M104" s="19" t="str">
        <x:v>中风险：榜单和评测必须真实、中立，避免夸大</x:v>
      </x:c>
    </x:row>
    <x:row r="105">
      <x:c r="A105" s="40" t="str">
        <x:v>Week 13</x:v>
      </x:c>
      <x:c r="B105" s="18" t="str">
        <x:v>博客C-对比评测</x:v>
      </x:c>
      <x:c r="C105" s="18" t="str">
        <x:v>what is the most popular vape brand</x:v>
      </x:c>
      <x:c r="D105" s="41" t="n">
        <x:v>50</x:v>
      </x:c>
      <x:c r="E105" s="41" t="n">
        <x:v>14</x:v>
      </x:c>
      <x:c r="F105" s="18" t="str">
        <x:v>informational, commercial</x:v>
      </x:c>
      <x:c r="G105" s="18" t="str">
        <x:v>P1 近期做</x:v>
      </x:c>
      <x:c r="H105" s="18" t="str">
        <x:v>Best/Top/Review/VS/替代方案文章</x:v>
      </x:c>
      <x:c r="I105" s="18" t="str">
        <x:v>Best angle: what is the most popular vape brand - comparison, pros/cons, and which option fits different buyers</x:v>
      </x:c>
      <x:c r="J105" s="18" t="str">
        <x:v>1. 搜索者到底想比较什么；2. 评价标准；3. 主要选项对比；4. 适合/不适合人群；5. 购买前检查清单；6. 自然推荐相关集合页</x:v>
      </x:c>
      <x:c r="K105" s="18" t="str">
        <x:v>/collections/disposable-vapes</x:v>
      </x:c>
      <x:c r="L105" s="18" t="str">
        <x:v>文中 1-2 个自然内链到对应集合页</x:v>
      </x:c>
      <x:c r="M105" s="19" t="str">
        <x:v>中风险：榜单和评测必须真实、中立，避免夸大</x:v>
      </x:c>
    </x:row>
    <x:row r="106">
      <x:c r="A106" s="40" t="str">
        <x:v>Week 14</x:v>
      </x:c>
      <x:c r="B106" s="18" t="str">
        <x:v>博客C-对比评测</x:v>
      </x:c>
      <x:c r="C106" s="18" t="str">
        <x:v>top 10 vape flavors</x:v>
      </x:c>
      <x:c r="D106" s="41" t="n">
        <x:v>50</x:v>
      </x:c>
      <x:c r="E106" s="41" t="n">
        <x:v>0</x:v>
      </x:c>
      <x:c r="F106" s="18" t="str">
        <x:v>informational, commercial</x:v>
      </x:c>
      <x:c r="G106" s="18" t="str">
        <x:v>P1 近期做</x:v>
      </x:c>
      <x:c r="H106" s="18" t="str">
        <x:v>Best/Top/Review/VS/替代方案文章</x:v>
      </x:c>
      <x:c r="I106" s="18" t="str">
        <x:v>Best angle: top 10 vape flavors - comparison, pros/cons, and which option fits different buyers</x:v>
      </x:c>
      <x:c r="J106" s="18" t="str">
        <x:v>1. 搜索者到底想比较什么；2. 评价标准；3. 主要选项对比；4. 适合/不适合人群；5. 购买前检查清单；6. 自然推荐相关集合页</x:v>
      </x:c>
      <x:c r="K106" s="18" t="str">
        <x:v>/collections/flavored-disposable-vapes</x:v>
      </x:c>
      <x:c r="L106" s="18" t="str">
        <x:v>文中 1-2 个自然内链到对应集合页</x:v>
      </x:c>
      <x:c r="M106" s="19" t="str">
        <x:v>中风险：榜单和评测必须真实、中立，避免夸大</x:v>
      </x:c>
    </x:row>
    <x:row r="107">
      <x:c r="A107" s="40" t="str">
        <x:v>Week 14</x:v>
      </x:c>
      <x:c r="B107" s="18" t="str">
        <x:v>博客C-对比评测</x:v>
      </x:c>
      <x:c r="C107" s="18" t="str">
        <x:v>best vape starter kits</x:v>
      </x:c>
      <x:c r="D107" s="41" t="n">
        <x:v>50</x:v>
      </x:c>
      <x:c r="E107" s="41" t="n">
        <x:v>14</x:v>
      </x:c>
      <x:c r="F107" s="18" t="str">
        <x:v>commercial</x:v>
      </x:c>
      <x:c r="G107" s="18" t="str">
        <x:v>P1 近期做</x:v>
      </x:c>
      <x:c r="H107" s="18" t="str">
        <x:v>Best/Top/Review/VS/替代方案文章</x:v>
      </x:c>
      <x:c r="I107" s="18" t="str">
        <x:v>Best angle: best vape starter kits - comparison, pros/cons, and which option fits different buyers</x:v>
      </x:c>
      <x:c r="J107" s="18" t="str">
        <x:v>1. 搜索者到底想比较什么；2. 评价标准；3. 主要选项对比；4. 适合/不适合人群；5. 购买前检查清单；6. 自然推荐相关集合页</x:v>
      </x:c>
      <x:c r="K107" s="18" t="str">
        <x:v>/collections/disposable-vapes</x:v>
      </x:c>
      <x:c r="L107" s="18" t="str">
        <x:v>文中 1-2 个自然内链到对应集合页</x:v>
      </x:c>
      <x:c r="M107" s="19" t="str">
        <x:v>中风险：榜单和评测必须真实、中立，避免夸大</x:v>
      </x:c>
    </x:row>
    <x:row r="108">
      <x:c r="A108" s="40" t="str">
        <x:v>Week 14</x:v>
      </x:c>
      <x:c r="B108" s="18" t="str">
        <x:v>博客C-对比评测</x:v>
      </x:c>
      <x:c r="C108" s="18" t="str">
        <x:v>best vape for flavor</x:v>
      </x:c>
      <x:c r="D108" s="41" t="n">
        <x:v>50</x:v>
      </x:c>
      <x:c r="E108" s="41" t="n">
        <x:v>0</x:v>
      </x:c>
      <x:c r="F108" s="18" t="str">
        <x:v>commercial</x:v>
      </x:c>
      <x:c r="G108" s="18" t="str">
        <x:v>P1 近期做</x:v>
      </x:c>
      <x:c r="H108" s="18" t="str">
        <x:v>Best/Top/Review/VS/替代方案文章</x:v>
      </x:c>
      <x:c r="I108" s="18" t="str">
        <x:v>Best angle: best vape for flavor - comparison, pros/cons, and which option fits different buyers</x:v>
      </x:c>
      <x:c r="J108" s="18" t="str">
        <x:v>1. 搜索者到底想比较什么；2. 评价标准；3. 主要选项对比；4. 适合/不适合人群；5. 购买前检查清单；6. 自然推荐相关集合页</x:v>
      </x:c>
      <x:c r="K108" s="18" t="str">
        <x:v>/collections/flavored-disposable-vapes</x:v>
      </x:c>
      <x:c r="L108" s="18" t="str">
        <x:v>文中 1-2 个自然内链到对应集合页</x:v>
      </x:c>
      <x:c r="M108" s="19" t="str">
        <x:v>中风险：榜单和评测必须真实、中立，避免夸大</x:v>
      </x:c>
    </x:row>
    <x:row r="109">
      <x:c r="A109" s="40" t="str">
        <x:v>Week 14</x:v>
      </x:c>
      <x:c r="B109" s="18" t="str">
        <x:v>博客C-对比评测</x:v>
      </x:c>
      <x:c r="C109" s="18" t="str">
        <x:v>best vape mod kits</x:v>
      </x:c>
      <x:c r="D109" s="41" t="n">
        <x:v>50</x:v>
      </x:c>
      <x:c r="E109" s="41" t="n">
        <x:v>6</x:v>
      </x:c>
      <x:c r="F109" s="18" t="str">
        <x:v>commercial</x:v>
      </x:c>
      <x:c r="G109" s="18" t="str">
        <x:v>P1 近期做</x:v>
      </x:c>
      <x:c r="H109" s="18" t="str">
        <x:v>Best/Top/Review/VS/替代方案文章</x:v>
      </x:c>
      <x:c r="I109" s="18" t="str">
        <x:v>Best angle: best vape mod kits - comparison, pros/cons, and which option fits different buyers</x:v>
      </x:c>
      <x:c r="J109" s="18" t="str">
        <x:v>1. 搜索者到底想比较什么；2. 评价标准；3. 主要选项对比；4. 适合/不适合人群；5. 购买前检查清单；6. 自然推荐相关集合页</x:v>
      </x:c>
      <x:c r="K109" s="18" t="str">
        <x:v>/collections/disposable-vapes</x:v>
      </x:c>
      <x:c r="L109" s="18" t="str">
        <x:v>文中 1-2 个自然内链到对应集合页</x:v>
      </x:c>
      <x:c r="M109" s="19" t="str">
        <x:v>中风险：榜单和评测必须真实、中立，避免夸大</x:v>
      </x:c>
    </x:row>
    <x:row r="110">
      <x:c r="A110" s="40" t="str">
        <x:v>Week 14</x:v>
      </x:c>
      <x:c r="B110" s="18" t="str">
        <x:v>博客C-对比评测</x:v>
      </x:c>
      <x:c r="C110" s="18" t="str">
        <x:v>best miami mint vape</x:v>
      </x:c>
      <x:c r="D110" s="41" t="n">
        <x:v>40</x:v>
      </x:c>
      <x:c r="E110" s="41" t="n">
        <x:v>1</x:v>
      </x:c>
      <x:c r="F110" s="18" t="str">
        <x:v>commercial</x:v>
      </x:c>
      <x:c r="G110" s="18" t="str">
        <x:v>P1 近期做</x:v>
      </x:c>
      <x:c r="H110" s="18" t="str">
        <x:v>Best/Top/Review/VS/替代方案文章</x:v>
      </x:c>
      <x:c r="I110" s="18" t="str">
        <x:v>Best angle: best miami mint vape - comparison, pros/cons, and which option fits different buyers</x:v>
      </x:c>
      <x:c r="J110" s="18" t="str">
        <x:v>1. 搜索者到底想比较什么；2. 评价标准；3. 主要选项对比；4. 适合/不适合人群；5. 购买前检查清单；6. 自然推荐相关集合页</x:v>
      </x:c>
      <x:c r="K110" s="18" t="str">
        <x:v>/collections/disposable-vapes</x:v>
      </x:c>
      <x:c r="L110" s="18" t="str">
        <x:v>文中 1-2 个自然内链到对应集合页</x:v>
      </x:c>
      <x:c r="M110" s="19" t="str">
        <x:v>中风险：榜单和评测必须真实、中立，避免夸大</x:v>
      </x:c>
    </x:row>
    <x:row r="111">
      <x:c r="A111" s="40" t="str">
        <x:v>Week 14</x:v>
      </x:c>
      <x:c r="B111" s="18" t="str">
        <x:v>博客C-对比评测</x:v>
      </x:c>
      <x:c r="C111" s="18" t="str">
        <x:v>best selling vape juice</x:v>
      </x:c>
      <x:c r="D111" s="41" t="n">
        <x:v>40</x:v>
      </x:c>
      <x:c r="E111" s="41" t="n">
        <x:v>11</x:v>
      </x:c>
      <x:c r="F111" s="18" t="str">
        <x:v>commercial</x:v>
      </x:c>
      <x:c r="G111" s="18" t="str">
        <x:v>P1 近期做</x:v>
      </x:c>
      <x:c r="H111" s="18" t="str">
        <x:v>Best/Top/Review/VS/替代方案文章</x:v>
      </x:c>
      <x:c r="I111" s="18" t="str">
        <x:v>Best angle: best selling vape juice - comparison, pros/cons, and which option fits different buyers</x:v>
      </x:c>
      <x:c r="J111" s="18" t="str">
        <x:v>1. 搜索者到底想比较什么；2. 评价标准；3. 主要选项对比；4. 适合/不适合人群；5. 购买前检查清单；6. 自然推荐相关集合页</x:v>
      </x:c>
      <x:c r="K111" s="18" t="str">
        <x:v>/collections/disposable-vapes</x:v>
      </x:c>
      <x:c r="L111" s="18" t="str">
        <x:v>文中 1-2 个自然内链到对应集合页</x:v>
      </x:c>
      <x:c r="M111" s="19" t="str">
        <x:v>中风险：榜单和评测必须真实、中立，避免夸大</x:v>
      </x:c>
    </x:row>
    <x:row r="112">
      <x:c r="A112" s="40" t="str">
        <x:v>Week 14</x:v>
      </x:c>
      <x:c r="B112" s="18" t="str">
        <x:v>博客C-对比评测</x:v>
      </x:c>
      <x:c r="C112" s="18" t="str">
        <x:v>best selling vape brands</x:v>
      </x:c>
      <x:c r="D112" s="41" t="n">
        <x:v>40</x:v>
      </x:c>
      <x:c r="E112" s="41" t="n">
        <x:v>14</x:v>
      </x:c>
      <x:c r="F112" s="18" t="str">
        <x:v>commercial</x:v>
      </x:c>
      <x:c r="G112" s="18" t="str">
        <x:v>P1 近期做</x:v>
      </x:c>
      <x:c r="H112" s="18" t="str">
        <x:v>Best/Top/Review/VS/替代方案文章</x:v>
      </x:c>
      <x:c r="I112" s="18" t="str">
        <x:v>Best angle: best selling vape brands - comparison, pros/cons, and which option fits different buyers</x:v>
      </x:c>
      <x:c r="J112" s="18" t="str">
        <x:v>1. 搜索者到底想比较什么；2. 评价标准；3. 主要选项对比；4. 适合/不适合人群；5. 购买前检查清单；6. 自然推荐相关集合页</x:v>
      </x:c>
      <x:c r="K112" s="18" t="str">
        <x:v>/collections/disposable-vapes</x:v>
      </x:c>
      <x:c r="L112" s="18" t="str">
        <x:v>文中 1-2 个自然内链到对应集合页</x:v>
      </x:c>
      <x:c r="M112" s="19" t="str">
        <x:v>中风险：榜单和评测必须真实、中立，避免夸大</x:v>
      </x:c>
    </x:row>
    <x:row r="113">
      <x:c r="A113" s="40" t="str">
        <x:v>Week 14</x:v>
      </x:c>
      <x:c r="B113" s="18" t="str">
        <x:v>博客C-对比评测</x:v>
      </x:c>
      <x:c r="C113" s="18" t="str">
        <x:v>best refillable vape for beginners</x:v>
      </x:c>
      <x:c r="D113" s="41" t="n">
        <x:v>40</x:v>
      </x:c>
      <x:c r="E113" s="41" t="n">
        <x:v>2</x:v>
      </x:c>
      <x:c r="F113" s="18" t="str">
        <x:v>commercial</x:v>
      </x:c>
      <x:c r="G113" s="18" t="str">
        <x:v>P1 近期做</x:v>
      </x:c>
      <x:c r="H113" s="18" t="str">
        <x:v>Best/Top/Review/VS/替代方案文章</x:v>
      </x:c>
      <x:c r="I113" s="18" t="str">
        <x:v>Best angle: best refillable vape for beginners - comparison, pros/cons, and which option fits different buyers</x:v>
      </x:c>
      <x:c r="J113" s="18" t="str">
        <x:v>1. 搜索者到底想比较什么；2. 评价标准；3. 主要选项对比；4. 适合/不适合人群；5. 购买前检查清单；6. 自然推荐相关集合页</x:v>
      </x:c>
      <x:c r="K113" s="18" t="str">
        <x:v>/collections/rechargeable-vapes</x:v>
      </x:c>
      <x:c r="L113" s="18" t="str">
        <x:v>文中 1-2 个自然内链到对应集合页</x:v>
      </x:c>
      <x:c r="M113" s="19" t="str">
        <x:v>中风险：榜单和评测必须真实、中立，避免夸大</x:v>
      </x:c>
    </x:row>
    <x:row r="114">
      <x:c r="A114" s="40" t="str">
        <x:v>Week 15</x:v>
      </x:c>
      <x:c r="B114" s="18" t="str">
        <x:v>博客C-对比评测</x:v>
      </x:c>
      <x:c r="C114" s="18" t="str">
        <x:v>best flavored vape</x:v>
      </x:c>
      <x:c r="D114" s="41" t="n">
        <x:v>40</x:v>
      </x:c>
      <x:c r="E114" s="41" t="n">
        <x:v>13</x:v>
      </x:c>
      <x:c r="F114" s="18" t="str">
        <x:v>commercial</x:v>
      </x:c>
      <x:c r="G114" s="18" t="str">
        <x:v>P1 近期做</x:v>
      </x:c>
      <x:c r="H114" s="18" t="str">
        <x:v>Best/Top/Review/VS/替代方案文章</x:v>
      </x:c>
      <x:c r="I114" s="18" t="str">
        <x:v>Best angle: best flavored vape - comparison, pros/cons, and which option fits different buyers</x:v>
      </x:c>
      <x:c r="J114" s="18" t="str">
        <x:v>1. 搜索者到底想比较什么；2. 评价标准；3. 主要选项对比；4. 适合/不适合人群；5. 购买前检查清单；6. 自然推荐相关集合页</x:v>
      </x:c>
      <x:c r="K114" s="18" t="str">
        <x:v>/collections/flavored-disposable-vapes</x:v>
      </x:c>
      <x:c r="L114" s="18" t="str">
        <x:v>文中 1-2 个自然内链到对应集合页</x:v>
      </x:c>
      <x:c r="M114" s="19" t="str">
        <x:v>中风险：榜单和评测必须真实、中立，避免夸大</x:v>
      </x:c>
    </x:row>
    <x:row r="115">
      <x:c r="A115" s="40" t="str">
        <x:v>Week 15</x:v>
      </x:c>
      <x:c r="B115" s="18" t="str">
        <x:v>博客C-对比评测</x:v>
      </x:c>
      <x:c r="C115" s="18" t="str">
        <x:v>mint vape brands</x:v>
      </x:c>
      <x:c r="D115" s="41" t="n">
        <x:v>40</x:v>
      </x:c>
      <x:c r="E115" s="41" t="n">
        <x:v>0</x:v>
      </x:c>
      <x:c r="F115" s="18" t="str">
        <x:v>informational</x:v>
      </x:c>
      <x:c r="G115" s="18" t="str">
        <x:v>P1 近期做</x:v>
      </x:c>
      <x:c r="H115" s="18" t="str">
        <x:v>Best/Top/Review/VS/替代方案文章</x:v>
      </x:c>
      <x:c r="I115" s="18" t="str">
        <x:v>Best angle: mint vape brands - comparison, pros/cons, and which option fits different buyers</x:v>
      </x:c>
      <x:c r="J115" s="18" t="str">
        <x:v>1. 搜索者到底想比较什么；2. 评价标准；3. 主要选项对比；4. 适合/不适合人群；5. 购买前检查清单；6. 自然推荐相关集合页</x:v>
      </x:c>
      <x:c r="K115" s="18" t="str">
        <x:v>/collections/disposable-vapes</x:v>
      </x:c>
      <x:c r="L115" s="18" t="str">
        <x:v>文中 1-2 个自然内链到对应集合页</x:v>
      </x:c>
      <x:c r="M115" s="19" t="str">
        <x:v>中风险：榜单和评测必须真实、中立，避免夸大</x:v>
      </x:c>
    </x:row>
    <x:row r="116">
      <x:c r="A116" s="40" t="str">
        <x:v>Week 15</x:v>
      </x:c>
      <x:c r="B116" s="18" t="str">
        <x:v>博客A-知识教程</x:v>
      </x:c>
      <x:c r="C116" s="18" t="str">
        <x:v>vapour flavours</x:v>
      </x:c>
      <x:c r="D116" s="41" t="n">
        <x:v>8100</x:v>
      </x:c>
      <x:c r="E116" s="41" t="n">
        <x:v>45</x:v>
      </x:c>
      <x:c r="F116" s="18" t="str">
        <x:v>informational</x:v>
      </x:c>
      <x:c r="G116" s="18" t="str">
        <x:v>P1 近期做</x:v>
      </x:c>
      <x:c r="H116" s="18" t="str">
        <x:v>百科/How-to/FAQ文章</x:v>
      </x:c>
      <x:c r="I116" s="18" t="str">
        <x:v>Guide angle: explain vapour flavours, answer common questions, and avoid sales-first writing</x:v>
      </x:c>
      <x:c r="J116" s="18" t="str">
        <x:v>1. 定义/背景；2. 工作原理或步骤；3. 常见问题；4. 风险与合规提醒；5. 何时需要进一步比较或选购</x:v>
      </x:c>
      <x:c r="K116" s="18" t="str">
        <x:v>/collections/disposable-vapes</x:v>
      </x:c>
      <x:c r="L116" s="18" t="str">
        <x:v>只在上下文强相关时放 1 个自然内链</x:v>
      </x:c>
      <x:c r="M116" s="19" t="str">
        <x:v>低中风险：先满足信息意图，导流要克制</x:v>
      </x:c>
    </x:row>
    <x:row r="117">
      <x:c r="A117" s="40" t="str">
        <x:v>Week 15</x:v>
      </x:c>
      <x:c r="B117" s="18" t="str">
        <x:v>博客A-知识教程</x:v>
      </x:c>
      <x:c r="C117" s="18" t="str">
        <x:v>how to vape</x:v>
      </x:c>
      <x:c r="D117" s="41" t="n">
        <x:v>4400</x:v>
      </x:c>
      <x:c r="E117" s="41" t="n">
        <x:v>22</x:v>
      </x:c>
      <x:c r="F117" s="18" t="str">
        <x:v>informational</x:v>
      </x:c>
      <x:c r="G117" s="18" t="str">
        <x:v>P1 近期做</x:v>
      </x:c>
      <x:c r="H117" s="18" t="str">
        <x:v>百科/How-to/FAQ文章</x:v>
      </x:c>
      <x:c r="I117" s="18" t="str">
        <x:v>Guide angle: explain how to vape, answer common questions, and avoid sales-first writing</x:v>
      </x:c>
      <x:c r="J117" s="18" t="str">
        <x:v>1. 定义/背景；2. 工作原理或步骤；3. 常见问题；4. 风险与合规提醒；5. 何时需要进一步比较或选购</x:v>
      </x:c>
      <x:c r="K117" s="18" t="str">
        <x:v>/collections/disposable-vapes</x:v>
      </x:c>
      <x:c r="L117" s="18" t="str">
        <x:v>只在上下文强相关时放 1 个自然内链</x:v>
      </x:c>
      <x:c r="M117" s="19" t="str">
        <x:v>低中风险：先满足信息意图，导流要克制</x:v>
      </x:c>
    </x:row>
    <x:row r="118">
      <x:c r="A118" s="40" t="str">
        <x:v>Week 15</x:v>
      </x:c>
      <x:c r="B118" s="18" t="str">
        <x:v>博客A-知识教程</x:v>
      </x:c>
      <x:c r="C118" s="18" t="str">
        <x:v>how much does a vape cost</x:v>
      </x:c>
      <x:c r="D118" s="41" t="n">
        <x:v>2900</x:v>
      </x:c>
      <x:c r="E118" s="41" t="n">
        <x:v>22</x:v>
      </x:c>
      <x:c r="F118" s="18" t="str">
        <x:v>informational</x:v>
      </x:c>
      <x:c r="G118" s="18" t="str">
        <x:v>P1 近期做</x:v>
      </x:c>
      <x:c r="H118" s="18" t="str">
        <x:v>百科/How-to/FAQ文章</x:v>
      </x:c>
      <x:c r="I118" s="18" t="str">
        <x:v>Guide angle: explain how much does a vape cost, answer common questions, and avoid sales-first writing</x:v>
      </x:c>
      <x:c r="J118" s="18" t="str">
        <x:v>1. 定义/背景；2. 工作原理或步骤；3. 常见问题；4. 风险与合规提醒；5. 何时需要进一步比较或选购</x:v>
      </x:c>
      <x:c r="K118" s="18" t="str">
        <x:v>/collections/disposable-vapes</x:v>
      </x:c>
      <x:c r="L118" s="18" t="str">
        <x:v>只在上下文强相关时放 1 个自然内链</x:v>
      </x:c>
      <x:c r="M118" s="19" t="str">
        <x:v>低中风险：先满足信息意图，导流要克制</x:v>
      </x:c>
    </x:row>
    <x:row r="119">
      <x:c r="A119" s="40" t="str">
        <x:v>Week 15</x:v>
      </x:c>
      <x:c r="B119" s="18" t="str">
        <x:v>博客A-知识教程</x:v>
      </x:c>
      <x:c r="C119" s="18" t="str">
        <x:v>how to inhale a vape</x:v>
      </x:c>
      <x:c r="D119" s="41" t="n">
        <x:v>2400</x:v>
      </x:c>
      <x:c r="E119" s="41" t="n">
        <x:v>19</x:v>
      </x:c>
      <x:c r="F119" s="18" t="str">
        <x:v>informational</x:v>
      </x:c>
      <x:c r="G119" s="18" t="str">
        <x:v>P1 近期做</x:v>
      </x:c>
      <x:c r="H119" s="18" t="str">
        <x:v>百科/How-to/FAQ文章</x:v>
      </x:c>
      <x:c r="I119" s="18" t="str">
        <x:v>Guide angle: explain how to inhale a vape, answer common questions, and avoid sales-first writing</x:v>
      </x:c>
      <x:c r="J119" s="18" t="str">
        <x:v>1. 定义/背景；2. 工作原理或步骤；3. 常见问题；4. 风险与合规提醒；5. 何时需要进一步比较或选购</x:v>
      </x:c>
      <x:c r="K119" s="18" t="str">
        <x:v>/collections/disposable-vapes</x:v>
      </x:c>
      <x:c r="L119" s="18" t="str">
        <x:v>只在上下文强相关时放 1 个自然内链</x:v>
      </x:c>
      <x:c r="M119" s="19" t="str">
        <x:v>低中风险：先满足信息意图，导流要克制</x:v>
      </x:c>
    </x:row>
    <x:row r="120">
      <x:c r="A120" s="40" t="str">
        <x:v>Week 15</x:v>
      </x:c>
      <x:c r="B120" s="18" t="str">
        <x:v>博客A-知识教程</x:v>
      </x:c>
      <x:c r="C120" s="18" t="str">
        <x:v>how much are vapes</x:v>
      </x:c>
      <x:c r="D120" s="41" t="n">
        <x:v>1600</x:v>
      </x:c>
      <x:c r="E120" s="41" t="n">
        <x:v>19</x:v>
      </x:c>
      <x:c r="F120" s="18" t="str">
        <x:v>informational</x:v>
      </x:c>
      <x:c r="G120" s="18" t="str">
        <x:v>P1 近期做</x:v>
      </x:c>
      <x:c r="H120" s="18" t="str">
        <x:v>百科/How-to/FAQ文章</x:v>
      </x:c>
      <x:c r="I120" s="18" t="str">
        <x:v>Guide angle: explain how much are vapes, answer common questions, and avoid sales-first writing</x:v>
      </x:c>
      <x:c r="J120" s="18" t="str">
        <x:v>1. 定义/背景；2. 工作原理或步骤；3. 常见问题；4. 风险与合规提醒；5. 何时需要进一步比较或选购</x:v>
      </x:c>
      <x:c r="K120" s="18" t="str">
        <x:v>/collections/disposable-vapes</x:v>
      </x:c>
      <x:c r="L120" s="18" t="str">
        <x:v>只在上下文强相关时放 1 个自然内链</x:v>
      </x:c>
      <x:c r="M120" s="19" t="str">
        <x:v>低中风险：先满足信息意图，导流要克制</x:v>
      </x:c>
    </x:row>
    <x:row r="121">
      <x:c r="A121" s="40" t="str">
        <x:v>Week 15</x:v>
      </x:c>
      <x:c r="B121" s="18" t="str">
        <x:v>博客A-知识教程</x:v>
      </x:c>
      <x:c r="C121" s="18" t="str">
        <x:v>juicy peach ice</x:v>
      </x:c>
      <x:c r="D121" s="41" t="n">
        <x:v>590</x:v>
      </x:c>
      <x:c r="E121" s="41" t="n">
        <x:v>6</x:v>
      </x:c>
      <x:c r="F121" s="18" t="str">
        <x:v>informational</x:v>
      </x:c>
      <x:c r="G121" s="18" t="str">
        <x:v>P1 近期做</x:v>
      </x:c>
      <x:c r="H121" s="18" t="str">
        <x:v>百科/How-to/FAQ文章</x:v>
      </x:c>
      <x:c r="I121" s="18" t="str">
        <x:v>Guide angle: explain juicy peach ice, answer common questions, and avoid sales-first writing</x:v>
      </x:c>
      <x:c r="J121" s="18" t="str">
        <x:v>1. 定义/背景；2. 工作原理或步骤；3. 常见问题；4. 风险与合规提醒；5. 何时需要进一步比较或选购</x:v>
      </x:c>
      <x:c r="K121" s="18" t="str">
        <x:v>/collections/disposable-vapes</x:v>
      </x:c>
      <x:c r="L121" s="18" t="str">
        <x:v>只在上下文强相关时放 1 个自然内链</x:v>
      </x:c>
      <x:c r="M121" s="19" t="str">
        <x:v>低中风险：先满足信息意图，导流要克制</x:v>
      </x:c>
    </x:row>
    <x:row r="122">
      <x:c r="A122" s="40" t="str">
        <x:v>Week 16</x:v>
      </x:c>
      <x:c r="B122" s="18" t="str">
        <x:v>博客A-知识教程</x:v>
      </x:c>
      <x:c r="C122" s="18" t="str">
        <x:v>how do you vape</x:v>
      </x:c>
      <x:c r="D122" s="41" t="n">
        <x:v>590</x:v>
      </x:c>
      <x:c r="E122" s="41" t="n">
        <x:v>13</x:v>
      </x:c>
      <x:c r="F122" s="18" t="str">
        <x:v>informational</x:v>
      </x:c>
      <x:c r="G122" s="18" t="str">
        <x:v>P1 近期做</x:v>
      </x:c>
      <x:c r="H122" s="18" t="str">
        <x:v>百科/How-to/FAQ文章</x:v>
      </x:c>
      <x:c r="I122" s="18" t="str">
        <x:v>Guide angle: explain how do you vape, answer common questions, and avoid sales-first writing</x:v>
      </x:c>
      <x:c r="J122" s="18" t="str">
        <x:v>1. 定义/背景；2. 工作原理或步骤；3. 常见问题；4. 风险与合规提醒；5. 何时需要进一步比较或选购</x:v>
      </x:c>
      <x:c r="K122" s="18" t="str">
        <x:v>/collections/disposable-vapes</x:v>
      </x:c>
      <x:c r="L122" s="18" t="str">
        <x:v>只在上下文强相关时放 1 个自然内链</x:v>
      </x:c>
      <x:c r="M122" s="19" t="str">
        <x:v>低中风险：先满足信息意图，导流要克制</x:v>
      </x:c>
    </x:row>
    <x:row r="123">
      <x:c r="A123" s="40" t="str">
        <x:v>Week 16</x:v>
      </x:c>
      <x:c r="B123" s="18" t="str">
        <x:v>博客B-场景人群</x:v>
      </x:c>
      <x:c r="C123" s="18" t="str">
        <x:v>vapes without nicotine</x:v>
      </x:c>
      <x:c r="D123" s="41" t="n">
        <x:v>2900</x:v>
      </x:c>
      <x:c r="E123" s="41" t="n">
        <x:v>50</x:v>
      </x:c>
      <x:c r="F123" s="18" t="str">
        <x:v>informational</x:v>
      </x:c>
      <x:c r="G123" s="18" t="str">
        <x:v>P1 近期做</x:v>
      </x:c>
      <x:c r="H123" s="18" t="str">
        <x:v>场景解决方案/选购指南文章</x:v>
      </x:c>
      <x:c r="I123" s="18" t="str">
        <x:v>Scenario angle: how to choose vapes without nicotine based on use case, flavor, nicotine, and budget</x:v>
      </x:c>
      <x:c r="J123" s="18" t="str">
        <x:v>1. 场景/人群问题；2. 选择维度；3. 常见误区；4. 推荐判断标准；5. FAQ；6. 如果需要购买，链接到对应集合页</x:v>
      </x:c>
      <x:c r="K123" s="18" t="str">
        <x:v>/collections/disposable-vapes</x:v>
      </x:c>
      <x:c r="L123" s="18" t="str">
        <x:v>文中 1-2 个自然内链到对应集合页</x:v>
      </x:c>
      <x:c r="M123" s="19" t="str">
        <x:v>低中风险：适合软性导流，但不要夸大效果或触碰健康疗效</x:v>
      </x:c>
    </x:row>
    <x:row r="124">
      <x:c r="A124" s="40" t="str">
        <x:v>Week 16</x:v>
      </x:c>
      <x:c r="B124" s="18" t="str">
        <x:v>博客B-场景人群</x:v>
      </x:c>
      <x:c r="C124" s="18" t="str">
        <x:v>makeup mirror with light</x:v>
      </x:c>
      <x:c r="D124" s="41" t="n">
        <x:v>1900</x:v>
      </x:c>
      <x:c r="E124" s="41" t="n">
        <x:v>47</x:v>
      </x:c>
      <x:c r="F124" s="18" t="str">
        <x:v>commercial</x:v>
      </x:c>
      <x:c r="G124" s="18" t="str">
        <x:v>P1 近期做</x:v>
      </x:c>
      <x:c r="H124" s="18" t="str">
        <x:v>场景解决方案/选购指南文章</x:v>
      </x:c>
      <x:c r="I124" s="18" t="str">
        <x:v>Scenario angle: how to choose makeup mirror with light based on use case, flavor, nicotine, and budget</x:v>
      </x:c>
      <x:c r="J124" s="18" t="str">
        <x:v>1. 场景/人群问题；2. 选择维度；3. 常见误区；4. 推荐判断标准；5. FAQ；6. 如果需要购买，链接到对应集合页</x:v>
      </x:c>
      <x:c r="K124" s="18" t="str">
        <x:v>/collections/disposable-vapes</x:v>
      </x:c>
      <x:c r="L124" s="18" t="str">
        <x:v>文中 1-2 个自然内链到对应集合页</x:v>
      </x:c>
      <x:c r="M124" s="19" t="str">
        <x:v>低中风险：适合软性导流，但不要夸大效果或触碰健康疗效</x:v>
      </x:c>
    </x:row>
    <x:row r="125">
      <x:c r="A125" s="40" t="str">
        <x:v>Week 16</x:v>
      </x:c>
      <x:c r="B125" s="18" t="str">
        <x:v>博客B-场景人群</x:v>
      </x:c>
      <x:c r="C125" s="18" t="str">
        <x:v>cartridges for vapes</x:v>
      </x:c>
      <x:c r="D125" s="41" t="n">
        <x:v>1600</x:v>
      </x:c>
      <x:c r="E125" s="41" t="n">
        <x:v>49</x:v>
      </x:c>
      <x:c r="F125" s="18" t="str">
        <x:v>informational</x:v>
      </x:c>
      <x:c r="G125" s="18" t="str">
        <x:v>P1 近期做</x:v>
      </x:c>
      <x:c r="H125" s="18" t="str">
        <x:v>场景解决方案/选购指南文章</x:v>
      </x:c>
      <x:c r="I125" s="18" t="str">
        <x:v>Scenario angle: how to choose cartridges for vapes based on use case, flavor, nicotine, and budget</x:v>
      </x:c>
      <x:c r="J125" s="18" t="str">
        <x:v>1. 场景/人群问题；2. 选择维度；3. 常见误区；4. 推荐判断标准；5. FAQ；6. 如果需要购买，链接到对应集合页</x:v>
      </x:c>
      <x:c r="K125" s="18" t="str">
        <x:v>/collections/disposable-vapes</x:v>
      </x:c>
      <x:c r="L125" s="18" t="str">
        <x:v>文中 1-2 个自然内链到对应集合页</x:v>
      </x:c>
      <x:c r="M125" s="19" t="str">
        <x:v>低中风险：适合软性导流，但不要夸大效果或触碰健康疗效</x:v>
      </x:c>
    </x:row>
    <x:row r="126">
      <x:c r="A126" s="40" t="str">
        <x:v>Week 16</x:v>
      </x:c>
      <x:c r="B126" s="18" t="str">
        <x:v>博客B-场景人群</x:v>
      </x:c>
      <x:c r="C126" s="18" t="str">
        <x:v>vape flavor</x:v>
      </x:c>
      <x:c r="D126" s="41" t="n">
        <x:v>1000</x:v>
      </x:c>
      <x:c r="E126" s="41" t="n">
        <x:v>50</x:v>
      </x:c>
      <x:c r="F126" s="18" t="str">
        <x:v>informational</x:v>
      </x:c>
      <x:c r="G126" s="18" t="str">
        <x:v>P1 近期做</x:v>
      </x:c>
      <x:c r="H126" s="18" t="str">
        <x:v>场景解决方案/选购指南文章</x:v>
      </x:c>
      <x:c r="I126" s="18" t="str">
        <x:v>Scenario angle: how to choose vape flavor based on use case, flavor, nicotine, and budget</x:v>
      </x:c>
      <x:c r="J126" s="18" t="str">
        <x:v>1. 场景/人群问题；2. 选择维度；3. 常见误区；4. 推荐判断标准；5. FAQ；6. 如果需要购买，链接到对应集合页</x:v>
      </x:c>
      <x:c r="K126" s="18" t="str">
        <x:v>/collections/flavored-disposable-vapes</x:v>
      </x:c>
      <x:c r="L126" s="18" t="str">
        <x:v>文中 1-2 个自然内链到对应集合页</x:v>
      </x:c>
      <x:c r="M126" s="19" t="str">
        <x:v>低中风险：适合软性导流，但不要夸大效果或触碰健康疗效</x:v>
      </x:c>
    </x:row>
    <x:row r="127">
      <x:c r="A127" s="40" t="str">
        <x:v>Week 16</x:v>
      </x:c>
      <x:c r="B127" s="18" t="str">
        <x:v>博客B-场景人群</x:v>
      </x:c>
      <x:c r="C127" s="18" t="str">
        <x:v>rechargeable vape</x:v>
      </x:c>
      <x:c r="D127" s="41" t="n">
        <x:v>720</x:v>
      </x:c>
      <x:c r="E127" s="41" t="n">
        <x:v>33</x:v>
      </x:c>
      <x:c r="F127" s="18" t="str">
        <x:v>informational</x:v>
      </x:c>
      <x:c r="G127" s="18" t="str">
        <x:v>P1 近期做</x:v>
      </x:c>
      <x:c r="H127" s="18" t="str">
        <x:v>场景解决方案/选购指南文章</x:v>
      </x:c>
      <x:c r="I127" s="18" t="str">
        <x:v>Scenario angle: how to choose rechargeable vape based on use case, flavor, nicotine, and budget</x:v>
      </x:c>
      <x:c r="J127" s="18" t="str">
        <x:v>1. 场景/人群问题；2. 选择维度；3. 常见误区；4. 推荐判断标准；5. FAQ；6. 如果需要购买，链接到对应集合页</x:v>
      </x:c>
      <x:c r="K127" s="18" t="str">
        <x:v>/collections/rechargeable-vapes</x:v>
      </x:c>
      <x:c r="L127" s="18" t="str">
        <x:v>文中 1-2 个自然内链到对应集合页</x:v>
      </x:c>
      <x:c r="M127" s="19" t="str">
        <x:v>低中风险：适合软性导流，但不要夸大效果或触碰健康疗效</x:v>
      </x:c>
    </x:row>
    <x:row r="128">
      <x:c r="A128" s="40" t="str">
        <x:v>Week 16</x:v>
      </x:c>
      <x:c r="B128" s="18" t="str">
        <x:v>博客B-场景人群</x:v>
      </x:c>
      <x:c r="C128" s="18" t="str">
        <x:v>flavor vapes</x:v>
      </x:c>
      <x:c r="D128" s="41" t="n">
        <x:v>590</x:v>
      </x:c>
      <x:c r="E128" s="41" t="n">
        <x:v>33</x:v>
      </x:c>
      <x:c r="F128" s="18" t="str">
        <x:v>informational</x:v>
      </x:c>
      <x:c r="G128" s="18" t="str">
        <x:v>P1 近期做</x:v>
      </x:c>
      <x:c r="H128" s="18" t="str">
        <x:v>场景解决方案/选购指南文章</x:v>
      </x:c>
      <x:c r="I128" s="18" t="str">
        <x:v>Scenario angle: how to choose flavor vapes based on use case, flavor, nicotine, and budget</x:v>
      </x:c>
      <x:c r="J128" s="18" t="str">
        <x:v>1. 场景/人群问题；2. 选择维度；3. 常见误区；4. 推荐判断标准；5. FAQ；6. 如果需要购买，链接到对应集合页</x:v>
      </x:c>
      <x:c r="K128" s="18" t="str">
        <x:v>/collections/flavored-disposable-vapes</x:v>
      </x:c>
      <x:c r="L128" s="18" t="str">
        <x:v>文中 1-2 个自然内链到对应集合页</x:v>
      </x:c>
      <x:c r="M128" s="19" t="str">
        <x:v>低中风险：适合软性导流，但不要夸大效果或触碰健康疗效</x:v>
      </x:c>
    </x:row>
    <x:row r="129">
      <x:c r="A129" s="40" t="str">
        <x:v>Week 16</x:v>
      </x:c>
      <x:c r="B129" s="18" t="str">
        <x:v>博客B-场景人群</x:v>
      </x:c>
      <x:c r="C129" s="18" t="str">
        <x:v>mirror with lights for makeup</x:v>
      </x:c>
      <x:c r="D129" s="41" t="n">
        <x:v>590</x:v>
      </x:c>
      <x:c r="E129" s="41" t="n">
        <x:v>41</x:v>
      </x:c>
      <x:c r="F129" s="18" t="str">
        <x:v>commercial</x:v>
      </x:c>
      <x:c r="G129" s="18" t="str">
        <x:v>P1 近期做</x:v>
      </x:c>
      <x:c r="H129" s="18" t="str">
        <x:v>场景解决方案/选购指南文章</x:v>
      </x:c>
      <x:c r="I129" s="18" t="str">
        <x:v>Scenario angle: how to choose mirror with lights for makeup based on use case, flavor, nicotine, and budget</x:v>
      </x:c>
      <x:c r="J129" s="18" t="str">
        <x:v>1. 场景/人群问题；2. 选择维度；3. 常见误区；4. 推荐判断标准；5. FAQ；6. 如果需要购买，链接到对应集合页</x:v>
      </x:c>
      <x:c r="K129" s="18" t="str">
        <x:v>/collections/disposable-vapes</x:v>
      </x:c>
      <x:c r="L129" s="18" t="str">
        <x:v>文中 1-2 个自然内链到对应集合页</x:v>
      </x:c>
      <x:c r="M129" s="19" t="str">
        <x:v>低中风险：适合软性导流，但不要夸大效果或触碰健康疗效</x:v>
      </x:c>
    </x:row>
    <x:row r="130">
      <x:c r="A130" s="40" t="str">
        <x:v>Week 17</x:v>
      </x:c>
      <x:c r="B130" s="18" t="str">
        <x:v>博客B-场景人群</x:v>
      </x:c>
      <x:c r="C130" s="18" t="str">
        <x:v>flavours for vape</x:v>
      </x:c>
      <x:c r="D130" s="41" t="n">
        <x:v>480</x:v>
      </x:c>
      <x:c r="E130" s="41" t="n">
        <x:v>24</x:v>
      </x:c>
      <x:c r="F130" s="18" t="str">
        <x:v>informational</x:v>
      </x:c>
      <x:c r="G130" s="18" t="str">
        <x:v>P1 近期做</x:v>
      </x:c>
      <x:c r="H130" s="18" t="str">
        <x:v>场景解决方案/选购指南文章</x:v>
      </x:c>
      <x:c r="I130" s="18" t="str">
        <x:v>Scenario angle: how to choose flavours for vape based on use case, flavor, nicotine, and budget</x:v>
      </x:c>
      <x:c r="J130" s="18" t="str">
        <x:v>1. 场景/人群问题；2. 选择维度；3. 常见误区；4. 推荐判断标准；5. FAQ；6. 如果需要购买，链接到对应集合页</x:v>
      </x:c>
      <x:c r="K130" s="18" t="str">
        <x:v>/collections/disposable-vapes</x:v>
      </x:c>
      <x:c r="L130" s="18" t="str">
        <x:v>文中 1-2 个自然内链到对应集合页</x:v>
      </x:c>
      <x:c r="M130" s="19" t="str">
        <x:v>低中风险：适合软性导流，但不要夸大效果或触碰健康疗效</x:v>
      </x:c>
    </x:row>
    <x:row r="131">
      <x:c r="A131" s="40" t="str">
        <x:v>Week 17</x:v>
      </x:c>
      <x:c r="B131" s="18" t="str">
        <x:v>博客C-对比评测</x:v>
      </x:c>
      <x:c r="C131" s="18" t="str">
        <x:v>popular disposable vapes</x:v>
      </x:c>
      <x:c r="D131" s="41" t="n">
        <x:v>480</x:v>
      </x:c>
      <x:c r="E131" s="41" t="n">
        <x:v>32</x:v>
      </x:c>
      <x:c r="F131" s="18" t="str">
        <x:v>informational</x:v>
      </x:c>
      <x:c r="G131" s="18" t="str">
        <x:v>P1 近期做</x:v>
      </x:c>
      <x:c r="H131" s="18" t="str">
        <x:v>Best/Top/Review/VS/替代方案文章</x:v>
      </x:c>
      <x:c r="I131" s="18" t="str">
        <x:v>Best angle: popular disposable vapes - comparison, pros/cons, and which option fits different buyers</x:v>
      </x:c>
      <x:c r="J131" s="18" t="str">
        <x:v>1. 搜索者到底想比较什么；2. 评价标准；3. 主要选项对比；4. 适合/不适合人群；5. 购买前检查清单；6. 自然推荐相关集合页</x:v>
      </x:c>
      <x:c r="K131" s="18" t="str">
        <x:v>/collections/disposable-vapes</x:v>
      </x:c>
      <x:c r="L131" s="18" t="str">
        <x:v>文中 1-2 个自然内链到对应集合页</x:v>
      </x:c>
      <x:c r="M131" s="19" t="str">
        <x:v>中风险：榜单和评测必须真实、中立，避免夸大</x:v>
      </x:c>
    </x:row>
    <x:row r="132">
      <x:c r="A132" s="40" t="str">
        <x:v>Week 17</x:v>
      </x:c>
      <x:c r="B132" s="18" t="str">
        <x:v>博客C-对比评测</x:v>
      </x:c>
      <x:c r="C132" s="18" t="str">
        <x:v>best pod vapes</x:v>
      </x:c>
      <x:c r="D132" s="41" t="n">
        <x:v>390</x:v>
      </x:c>
      <x:c r="E132" s="41" t="n">
        <x:v>33</x:v>
      </x:c>
      <x:c r="F132" s="18" t="str">
        <x:v>commercial</x:v>
      </x:c>
      <x:c r="G132" s="18" t="str">
        <x:v>P1 近期做</x:v>
      </x:c>
      <x:c r="H132" s="18" t="str">
        <x:v>Best/Top/Review/VS/替代方案文章</x:v>
      </x:c>
      <x:c r="I132" s="18" t="str">
        <x:v>Best angle: best pod vapes - comparison, pros/cons, and which option fits different buyers</x:v>
      </x:c>
      <x:c r="J132" s="18" t="str">
        <x:v>1. 搜索者到底想比较什么；2. 评价标准；3. 主要选项对比；4. 适合/不适合人群；5. 购买前检查清单；6. 自然推荐相关集合页</x:v>
      </x:c>
      <x:c r="K132" s="18" t="str">
        <x:v>/collections/pod-kits</x:v>
      </x:c>
      <x:c r="L132" s="18" t="str">
        <x:v>文中 1-2 个自然内链到对应集合页</x:v>
      </x:c>
      <x:c r="M132" s="19" t="str">
        <x:v>中风险：榜单和评测必须真实、中立，避免夸大</x:v>
      </x:c>
    </x:row>
    <x:row r="133">
      <x:c r="A133" s="40" t="str">
        <x:v>Week 17</x:v>
      </x:c>
      <x:c r="B133" s="18" t="str">
        <x:v>博客C-对比评测</x:v>
      </x:c>
      <x:c r="C133" s="18" t="str">
        <x:v>best refillable pod vape</x:v>
      </x:c>
      <x:c r="D133" s="41" t="n">
        <x:v>390</x:v>
      </x:c>
      <x:c r="E133" s="41" t="n">
        <x:v>32</x:v>
      </x:c>
      <x:c r="F133" s="18" t="str">
        <x:v>commercial</x:v>
      </x:c>
      <x:c r="G133" s="18" t="str">
        <x:v>P1 近期做</x:v>
      </x:c>
      <x:c r="H133" s="18" t="str">
        <x:v>Best/Top/Review/VS/替代方案文章</x:v>
      </x:c>
      <x:c r="I133" s="18" t="str">
        <x:v>Best angle: best refillable pod vape - comparison, pros/cons, and which option fits different buyers</x:v>
      </x:c>
      <x:c r="J133" s="18" t="str">
        <x:v>1. 搜索者到底想比较什么；2. 评价标准；3. 主要选项对比；4. 适合/不适合人群；5. 购买前检查清单；6. 自然推荐相关集合页</x:v>
      </x:c>
      <x:c r="K133" s="18" t="str">
        <x:v>/collections/pod-kits</x:v>
      </x:c>
      <x:c r="L133" s="18" t="str">
        <x:v>文中 1-2 个自然内链到对应集合页</x:v>
      </x:c>
      <x:c r="M133" s="19" t="str">
        <x:v>中风险：榜单和评测必须真实、中立，避免夸大</x:v>
      </x:c>
    </x:row>
    <x:row r="134">
      <x:c r="A134" s="40" t="str">
        <x:v>Week 17</x:v>
      </x:c>
      <x:c r="B134" s="18" t="str">
        <x:v>博客C-对比评测</x:v>
      </x:c>
      <x:c r="C134" s="18" t="str">
        <x:v>vape pen brands</x:v>
      </x:c>
      <x:c r="D134" s="41" t="n">
        <x:v>390</x:v>
      </x:c>
      <x:c r="E134" s="41" t="n">
        <x:v>34</x:v>
      </x:c>
      <x:c r="F134" s="18" t="str">
        <x:v>informational</x:v>
      </x:c>
      <x:c r="G134" s="18" t="str">
        <x:v>P1 近期做</x:v>
      </x:c>
      <x:c r="H134" s="18" t="str">
        <x:v>Best/Top/Review/VS/替代方案文章</x:v>
      </x:c>
      <x:c r="I134" s="18" t="str">
        <x:v>Best angle: vape pen brands - comparison, pros/cons, and which option fits different buyers</x:v>
      </x:c>
      <x:c r="J134" s="18" t="str">
        <x:v>1. 搜索者到底想比较什么；2. 评价标准；3. 主要选项对比；4. 适合/不适合人群；5. 购买前检查清单；6. 自然推荐相关集合页</x:v>
      </x:c>
      <x:c r="K134" s="18" t="str">
        <x:v>/collections/disposable-vapes</x:v>
      </x:c>
      <x:c r="L134" s="18" t="str">
        <x:v>文中 1-2 个自然内链到对应集合页</x:v>
      </x:c>
      <x:c r="M134" s="19" t="str">
        <x:v>中风险：榜单和评测必须真实、中立，避免夸大</x:v>
      </x:c>
    </x:row>
    <x:row r="135">
      <x:c r="A135" s="40" t="str">
        <x:v>Week 17</x:v>
      </x:c>
      <x:c r="B135" s="18" t="str">
        <x:v>博客C-对比评测</x:v>
      </x:c>
      <x:c r="C135" s="18" t="str">
        <x:v>best e cigarette</x:v>
      </x:c>
      <x:c r="D135" s="41" t="n">
        <x:v>390</x:v>
      </x:c>
      <x:c r="E135" s="41" t="n">
        <x:v>36</x:v>
      </x:c>
      <x:c r="F135" s="18" t="str">
        <x:v>commercial</x:v>
      </x:c>
      <x:c r="G135" s="18" t="str">
        <x:v>P1 近期做</x:v>
      </x:c>
      <x:c r="H135" s="18" t="str">
        <x:v>Best/Top/Review/VS/替代方案文章</x:v>
      </x:c>
      <x:c r="I135" s="18" t="str">
        <x:v>Best angle: best e cigarette - comparison, pros/cons, and which option fits different buyers</x:v>
      </x:c>
      <x:c r="J135" s="18" t="str">
        <x:v>1. 搜索者到底想比较什么；2. 评价标准；3. 主要选项对比；4. 适合/不适合人群；5. 购买前检查清单；6. 自然推荐相关集合页</x:v>
      </x:c>
      <x:c r="K135" s="18" t="str">
        <x:v>/collections/e-cigarettes</x:v>
      </x:c>
      <x:c r="L135" s="18" t="str">
        <x:v>文中 1-2 个自然内链到对应集合页</x:v>
      </x:c>
      <x:c r="M135" s="19" t="str">
        <x:v>中风险：榜单和评测必须真实、中立，避免夸大</x:v>
      </x:c>
    </x:row>
    <x:row r="136">
      <x:c r="A136" s="40" t="str">
        <x:v>Week 17</x:v>
      </x:c>
      <x:c r="B136" s="18" t="str">
        <x:v>博客C-对比评测</x:v>
      </x:c>
      <x:c r="C136" s="18" t="str">
        <x:v>best vapes disposable</x:v>
      </x:c>
      <x:c r="D136" s="41" t="n">
        <x:v>260</x:v>
      </x:c>
      <x:c r="E136" s="41" t="n">
        <x:v>32</x:v>
      </x:c>
      <x:c r="F136" s="18" t="str">
        <x:v>commercial</x:v>
      </x:c>
      <x:c r="G136" s="18" t="str">
        <x:v>P1 近期做</x:v>
      </x:c>
      <x:c r="H136" s="18" t="str">
        <x:v>Best/Top/Review/VS/替代方案文章</x:v>
      </x:c>
      <x:c r="I136" s="18" t="str">
        <x:v>Best angle: best vapes disposable - comparison, pros/cons, and which option fits different buyers</x:v>
      </x:c>
      <x:c r="J136" s="18" t="str">
        <x:v>1. 搜索者到底想比较什么；2. 评价标准；3. 主要选项对比；4. 适合/不适合人群；5. 购买前检查清单；6. 自然推荐相关集合页</x:v>
      </x:c>
      <x:c r="K136" s="18" t="str">
        <x:v>/collections/disposable-vapes</x:v>
      </x:c>
      <x:c r="L136" s="18" t="str">
        <x:v>文中 1-2 个自然内链到对应集合页</x:v>
      </x:c>
      <x:c r="M136" s="19" t="str">
        <x:v>中风险：榜单和评测必须真实、中立，避免夸大</x:v>
      </x:c>
    </x:row>
    <x:row r="137">
      <x:c r="A137" s="40" t="str">
        <x:v>Week 17</x:v>
      </x:c>
      <x:c r="B137" s="18" t="str">
        <x:v>博客C-对比评测</x:v>
      </x:c>
      <x:c r="C137" s="18" t="str">
        <x:v>popular vape</x:v>
      </x:c>
      <x:c r="D137" s="41" t="n">
        <x:v>260</x:v>
      </x:c>
      <x:c r="E137" s="41" t="n">
        <x:v>34</x:v>
      </x:c>
      <x:c r="F137" s="18" t="str">
        <x:v>informational, commercial</x:v>
      </x:c>
      <x:c r="G137" s="18" t="str">
        <x:v>P1 近期做</x:v>
      </x:c>
      <x:c r="H137" s="18" t="str">
        <x:v>Best/Top/Review/VS/替代方案文章</x:v>
      </x:c>
      <x:c r="I137" s="18" t="str">
        <x:v>Best angle: popular vape - comparison, pros/cons, and which option fits different buyers</x:v>
      </x:c>
      <x:c r="J137" s="18" t="str">
        <x:v>1. 搜索者到底想比较什么；2. 评价标准；3. 主要选项对比；4. 适合/不适合人群；5. 购买前检查清单；6. 自然推荐相关集合页</x:v>
      </x:c>
      <x:c r="K137" s="18" t="str">
        <x:v>/collections/disposable-vapes</x:v>
      </x:c>
      <x:c r="L137" s="18" t="str">
        <x:v>文中 1-2 个自然内链到对应集合页</x:v>
      </x:c>
      <x:c r="M137" s="19" t="str">
        <x:v>中风险：榜单和评测必须真实、中立，避免夸大</x:v>
      </x:c>
    </x:row>
    <x:row r="138">
      <x:c r="A138" s="40" t="str">
        <x:v>Week 18</x:v>
      </x:c>
      <x:c r="B138" s="18" t="str">
        <x:v>博客B-场景人群</x:v>
      </x:c>
      <x:c r="C138" s="18" t="str">
        <x:v>vaping for beginners</x:v>
      </x:c>
      <x:c r="D138" s="41" t="n">
        <x:v>260</x:v>
      </x:c>
      <x:c r="E138" s="41" t="n">
        <x:v>17</x:v>
      </x:c>
      <x:c r="F138" s="18" t="str">
        <x:v>informational</x:v>
      </x:c>
      <x:c r="G138" s="18" t="str">
        <x:v>P1 近期做</x:v>
      </x:c>
      <x:c r="H138" s="18" t="str">
        <x:v>场景解决方案/选购指南文章</x:v>
      </x:c>
      <x:c r="I138" s="18" t="str">
        <x:v>Scenario angle: how to choose vaping for beginners based on use case, flavor, nicotine, and budget</x:v>
      </x:c>
      <x:c r="J138" s="18" t="str">
        <x:v>1. 场景/人群问题；2. 选择维度；3. 常见误区；4. 推荐判断标准；5. FAQ；6. 如果需要购买，链接到对应集合页</x:v>
      </x:c>
      <x:c r="K138" s="18" t="str">
        <x:v>/collections/disposable-vapes</x:v>
      </x:c>
      <x:c r="L138" s="18" t="str">
        <x:v>文中 1-2 个自然内链到对应集合页</x:v>
      </x:c>
      <x:c r="M138" s="19" t="str">
        <x:v>低中风险：适合软性导流，但不要夸大效果或触碰健康疗效</x:v>
      </x:c>
    </x:row>
    <x:row r="139">
      <x:c r="A139" s="40" t="str">
        <x:v>Week 18</x:v>
      </x:c>
      <x:c r="B139" s="18" t="str">
        <x:v>博客C-对比评测</x:v>
      </x:c>
      <x:c r="C139" s="18" t="str">
        <x:v>best vaping pens</x:v>
      </x:c>
      <x:c r="D139" s="41" t="n">
        <x:v>210</x:v>
      </x:c>
      <x:c r="E139" s="41" t="n">
        <x:v>31</x:v>
      </x:c>
      <x:c r="F139" s="18" t="str">
        <x:v>commercial</x:v>
      </x:c>
      <x:c r="G139" s="18" t="str">
        <x:v>P1 近期做</x:v>
      </x:c>
      <x:c r="H139" s="18" t="str">
        <x:v>Best/Top/Review/VS/替代方案文章</x:v>
      </x:c>
      <x:c r="I139" s="18" t="str">
        <x:v>Best angle: best vaping pens - comparison, pros/cons, and which option fits different buyers</x:v>
      </x:c>
      <x:c r="J139" s="18" t="str">
        <x:v>1. 搜索者到底想比较什么；2. 评价标准；3. 主要选项对比；4. 适合/不适合人群；5. 购买前检查清单；6. 自然推荐相关集合页</x:v>
      </x:c>
      <x:c r="K139" s="18" t="str">
        <x:v>/collections/disposable-vapes</x:v>
      </x:c>
      <x:c r="L139" s="18" t="str">
        <x:v>文中 1-2 个自然内链到对应集合页</x:v>
      </x:c>
      <x:c r="M139" s="19" t="str">
        <x:v>中风险：榜单和评测必须真实、中立，避免夸大</x:v>
      </x:c>
    </x:row>
    <x:row r="140">
      <x:c r="A140" s="40" t="str">
        <x:v>Week 18</x:v>
      </x:c>
      <x:c r="B140" s="18" t="str">
        <x:v>博客C-对比评测</x:v>
      </x:c>
      <x:c r="C140" s="18" t="str">
        <x:v>brands of electronic cigarettes</x:v>
      </x:c>
      <x:c r="D140" s="41" t="n">
        <x:v>210</x:v>
      </x:c>
      <x:c r="E140" s="41" t="n">
        <x:v>33</x:v>
      </x:c>
      <x:c r="F140" s="18" t="str">
        <x:v>informational</x:v>
      </x:c>
      <x:c r="G140" s="18" t="str">
        <x:v>P1 近期做</x:v>
      </x:c>
      <x:c r="H140" s="18" t="str">
        <x:v>Best/Top/Review/VS/替代方案文章</x:v>
      </x:c>
      <x:c r="I140" s="18" t="str">
        <x:v>Best angle: brands of electronic cigarettes - comparison, pros/cons, and which option fits different buyers</x:v>
      </x:c>
      <x:c r="J140" s="18" t="str">
        <x:v>1. 搜索者到底想比较什么；2. 评价标准；3. 主要选项对比；4. 适合/不适合人群；5. 购买前检查清单；6. 自然推荐相关集合页</x:v>
      </x:c>
      <x:c r="K140" s="18" t="str">
        <x:v>/collections/e-cigarettes</x:v>
      </x:c>
      <x:c r="L140" s="18" t="str">
        <x:v>文中 1-2 个自然内链到对应集合页</x:v>
      </x:c>
      <x:c r="M140" s="19" t="str">
        <x:v>中风险：榜单和评测必须真实、中立，避免夸大</x:v>
      </x:c>
    </x:row>
    <x:row r="141">
      <x:c r="A141" s="40" t="str">
        <x:v>Week 18</x:v>
      </x:c>
      <x:c r="B141" s="18" t="str">
        <x:v>博客B-场景人群</x:v>
      </x:c>
      <x:c r="C141" s="18" t="str">
        <x:v>e cig flavors</x:v>
      </x:c>
      <x:c r="D141" s="41" t="n">
        <x:v>170</x:v>
      </x:c>
      <x:c r="E141" s="41" t="n">
        <x:v>28</x:v>
      </x:c>
      <x:c r="F141" s="18" t="str">
        <x:v>informational</x:v>
      </x:c>
      <x:c r="G141" s="18" t="str">
        <x:v>P1 近期做</x:v>
      </x:c>
      <x:c r="H141" s="18" t="str">
        <x:v>场景解决方案/选购指南文章</x:v>
      </x:c>
      <x:c r="I141" s="18" t="str">
        <x:v>Scenario angle: how to choose e cig flavors based on use case, flavor, nicotine, and budget</x:v>
      </x:c>
      <x:c r="J141" s="18" t="str">
        <x:v>1. 场景/人群问题；2. 选择维度；3. 常见误区；4. 推荐判断标准；5. FAQ；6. 如果需要购买，链接到对应集合页</x:v>
      </x:c>
      <x:c r="K141" s="18" t="str">
        <x:v>/collections/flavored-disposable-vapes</x:v>
      </x:c>
      <x:c r="L141" s="18" t="str">
        <x:v>文中 1-2 个自然内链到对应集合页</x:v>
      </x:c>
      <x:c r="M141" s="19" t="str">
        <x:v>低中风险：适合软性导流，但不要夸大效果或触碰健康疗效</x:v>
      </x:c>
    </x:row>
    <x:row r="142">
      <x:c r="A142" s="40" t="str">
        <x:v>Week 18</x:v>
      </x:c>
      <x:c r="B142" s="18" t="str">
        <x:v>博客B-场景人群</x:v>
      </x:c>
      <x:c r="C142" s="18" t="str">
        <x:v>different vape flavors</x:v>
      </x:c>
      <x:c r="D142" s="41" t="n">
        <x:v>140</x:v>
      </x:c>
      <x:c r="E142" s="41" t="n">
        <x:v>29</x:v>
      </x:c>
      <x:c r="F142" s="18" t="str">
        <x:v>informational</x:v>
      </x:c>
      <x:c r="G142" s="18" t="str">
        <x:v>P1 近期做</x:v>
      </x:c>
      <x:c r="H142" s="18" t="str">
        <x:v>场景解决方案/选购指南文章</x:v>
      </x:c>
      <x:c r="I142" s="18" t="str">
        <x:v>Scenario angle: how to choose different vape flavors based on use case, flavor, nicotine, and budget</x:v>
      </x:c>
      <x:c r="J142" s="18" t="str">
        <x:v>1. 场景/人群问题；2. 选择维度；3. 常见误区；4. 推荐判断标准；5. FAQ；6. 如果需要购买，链接到对应集合页</x:v>
      </x:c>
      <x:c r="K142" s="18" t="str">
        <x:v>/collections/flavored-disposable-vapes</x:v>
      </x:c>
      <x:c r="L142" s="18" t="str">
        <x:v>文中 1-2 个自然内链到对应集合页</x:v>
      </x:c>
      <x:c r="M142" s="19" t="str">
        <x:v>低中风险：适合软性导流，但不要夸大效果或触碰健康疗效</x:v>
      </x:c>
    </x:row>
    <x:row r="143">
      <x:c r="A143" s="40" t="str">
        <x:v>Week 18</x:v>
      </x:c>
      <x:c r="B143" s="18" t="str">
        <x:v>博客C-对比评测</x:v>
      </x:c>
      <x:c r="C143" s="18" t="str">
        <x:v>best flower vape</x:v>
      </x:c>
      <x:c r="D143" s="41" t="n">
        <x:v>140</x:v>
      </x:c>
      <x:c r="E143" s="41" t="n">
        <x:v>32</x:v>
      </x:c>
      <x:c r="F143" s="18" t="str">
        <x:v>commercial</x:v>
      </x:c>
      <x:c r="G143" s="18" t="str">
        <x:v>P1 近期做</x:v>
      </x:c>
      <x:c r="H143" s="18" t="str">
        <x:v>Best/Top/Review/VS/替代方案文章</x:v>
      </x:c>
      <x:c r="I143" s="18" t="str">
        <x:v>Best angle: best flower vape - comparison, pros/cons, and which option fits different buyers</x:v>
      </x:c>
      <x:c r="J143" s="18" t="str">
        <x:v>1. 搜索者到底想比较什么；2. 评价标准；3. 主要选项对比；4. 适合/不适合人群；5. 购买前检查清单；6. 自然推荐相关集合页</x:v>
      </x:c>
      <x:c r="K143" s="18" t="str">
        <x:v>/collections/disposable-vapes</x:v>
      </x:c>
      <x:c r="L143" s="18" t="str">
        <x:v>文中 1-2 个自然内链到对应集合页</x:v>
      </x:c>
      <x:c r="M143" s="19" t="str">
        <x:v>中风险：榜单和评测必须真实、中立，避免夸大</x:v>
      </x:c>
    </x:row>
    <x:row r="144">
      <x:c r="A144" s="40" t="str">
        <x:v>Week 18</x:v>
      </x:c>
      <x:c r="B144" s="18" t="str">
        <x:v>博客C-对比评测</x:v>
      </x:c>
      <x:c r="C144" s="18" t="str">
        <x:v>best disposable vape pen</x:v>
      </x:c>
      <x:c r="D144" s="41" t="n">
        <x:v>110</x:v>
      </x:c>
      <x:c r="E144" s="41" t="n">
        <x:v>34</x:v>
      </x:c>
      <x:c r="F144" s="18" t="str">
        <x:v>commercial</x:v>
      </x:c>
      <x:c r="G144" s="18" t="str">
        <x:v>P1 近期做</x:v>
      </x:c>
      <x:c r="H144" s="18" t="str">
        <x:v>Best/Top/Review/VS/替代方案文章</x:v>
      </x:c>
      <x:c r="I144" s="18" t="str">
        <x:v>Best angle: best disposable vape pen - comparison, pros/cons, and which option fits different buyers</x:v>
      </x:c>
      <x:c r="J144" s="18" t="str">
        <x:v>1. 搜索者到底想比较什么；2. 评价标准；3. 主要选项对比；4. 适合/不适合人群；5. 购买前检查清单；6. 自然推荐相关集合页</x:v>
      </x:c>
      <x:c r="K144" s="18" t="str">
        <x:v>/collections/disposable-vapes</x:v>
      </x:c>
      <x:c r="L144" s="18" t="str">
        <x:v>文中 1-2 个自然内链到对应集合页</x:v>
      </x:c>
      <x:c r="M144" s="19" t="str">
        <x:v>中风险：榜单和评测必须真实、中立，避免夸大</x:v>
      </x:c>
    </x:row>
    <x:row r="145">
      <x:c r="A145" s="40" t="str">
        <x:v>Week 18</x:v>
      </x:c>
      <x:c r="B145" s="18" t="str">
        <x:v>博客C-对比评测</x:v>
      </x:c>
      <x:c r="C145" s="18" t="str">
        <x:v>best disposable vape brand</x:v>
      </x:c>
      <x:c r="D145" s="41" t="n">
        <x:v>90</x:v>
      </x:c>
      <x:c r="E145" s="41" t="n">
        <x:v>22</x:v>
      </x:c>
      <x:c r="F145" s="18" t="str">
        <x:v>commercial</x:v>
      </x:c>
      <x:c r="G145" s="18" t="str">
        <x:v>P1 近期做</x:v>
      </x:c>
      <x:c r="H145" s="18" t="str">
        <x:v>Best/Top/Review/VS/替代方案文章</x:v>
      </x:c>
      <x:c r="I145" s="18" t="str">
        <x:v>Best angle: best disposable vape brand - comparison, pros/cons, and which option fits different buyers</x:v>
      </x:c>
      <x:c r="J145" s="18" t="str">
        <x:v>1. 搜索者到底想比较什么；2. 评价标准；3. 主要选项对比；4. 适合/不适合人群；5. 购买前检查清单；6. 自然推荐相关集合页</x:v>
      </x:c>
      <x:c r="K145" s="18" t="str">
        <x:v>/collections/disposable-vapes</x:v>
      </x:c>
      <x:c r="L145" s="18" t="str">
        <x:v>文中 1-2 个自然内链到对应集合页</x:v>
      </x:c>
      <x:c r="M145" s="19" t="str">
        <x:v>中风险：榜单和评测必须真实、中立，避免夸大</x:v>
      </x:c>
    </x:row>
    <x:row r="146">
      <x:c r="A146" s="40" t="str">
        <x:v>Week 19</x:v>
      </x:c>
      <x:c r="B146" s="18" t="str">
        <x:v>博客B-场景人群</x:v>
      </x:c>
      <x:c r="C146" s="18" t="str">
        <x:v>miami mint vape flavor</x:v>
      </x:c>
      <x:c r="D146" s="41" t="n">
        <x:v>90</x:v>
      </x:c>
      <x:c r="E146" s="41" t="n">
        <x:v>1</x:v>
      </x:c>
      <x:c r="F146" s="18" t="str">
        <x:v>informational</x:v>
      </x:c>
      <x:c r="G146" s="18" t="str">
        <x:v>P1 近期做</x:v>
      </x:c>
      <x:c r="H146" s="18" t="str">
        <x:v>场景解决方案/选购指南文章</x:v>
      </x:c>
      <x:c r="I146" s="18" t="str">
        <x:v>Scenario angle: how to choose miami mint vape flavor based on use case, flavor, nicotine, and budget</x:v>
      </x:c>
      <x:c r="J146" s="18" t="str">
        <x:v>1. 场景/人群问题；2. 选择维度；3. 常见误区；4. 推荐判断标准；5. FAQ；6. 如果需要购买，链接到对应集合页</x:v>
      </x:c>
      <x:c r="K146" s="18" t="str">
        <x:v>/collections/flavored-disposable-vapes</x:v>
      </x:c>
      <x:c r="L146" s="18" t="str">
        <x:v>文中 1-2 个自然内链到对应集合页</x:v>
      </x:c>
      <x:c r="M146" s="19" t="str">
        <x:v>低中风险：适合软性导流，但不要夸大效果或触碰健康疗效</x:v>
      </x:c>
    </x:row>
    <x:row r="147">
      <x:c r="A147" s="40" t="str">
        <x:v>Week 19</x:v>
      </x:c>
      <x:c r="B147" s="18" t="str">
        <x:v>博客B-场景人群</x:v>
      </x:c>
      <x:c r="C147" s="18" t="str">
        <x:v>fucking fab vape flavor</x:v>
      </x:c>
      <x:c r="D147" s="41" t="n">
        <x:v>90</x:v>
      </x:c>
      <x:c r="E147" s="41" t="n">
        <x:v>2</x:v>
      </x:c>
      <x:c r="F147" s="18" t="str">
        <x:v>informational</x:v>
      </x:c>
      <x:c r="G147" s="18" t="str">
        <x:v>P1 近期做</x:v>
      </x:c>
      <x:c r="H147" s="18" t="str">
        <x:v>场景解决方案/选购指南文章</x:v>
      </x:c>
      <x:c r="I147" s="18" t="str">
        <x:v>Scenario angle: how to choose fucking fab vape flavor based on use case, flavor, nicotine, and budget</x:v>
      </x:c>
      <x:c r="J147" s="18" t="str">
        <x:v>1. 场景/人群问题；2. 选择维度；3. 常见误区；4. 推荐判断标准；5. FAQ；6. 如果需要购买，链接到对应集合页</x:v>
      </x:c>
      <x:c r="K147" s="18" t="str">
        <x:v>/collections/flavored-disposable-vapes</x:v>
      </x:c>
      <x:c r="L147" s="18" t="str">
        <x:v>文中 1-2 个自然内链到对应集合页</x:v>
      </x:c>
      <x:c r="M147" s="19" t="str">
        <x:v>低中风险：适合软性导流，但不要夸大效果或触碰健康疗效</x:v>
      </x:c>
    </x:row>
    <x:row r="148">
      <x:c r="A148" s="40" t="str">
        <x:v>Week 19</x:v>
      </x:c>
      <x:c r="B148" s="18" t="str">
        <x:v>博客C-对比评测</x:v>
      </x:c>
      <x:c r="C148" s="18" t="str">
        <x:v>most popular disposable vape brands</x:v>
      </x:c>
      <x:c r="D148" s="41" t="n">
        <x:v>90</x:v>
      </x:c>
      <x:c r="E148" s="41" t="n">
        <x:v>25</x:v>
      </x:c>
      <x:c r="F148" s="18" t="str">
        <x:v>informational</x:v>
      </x:c>
      <x:c r="G148" s="18" t="str">
        <x:v>P1 近期做</x:v>
      </x:c>
      <x:c r="H148" s="18" t="str">
        <x:v>Best/Top/Review/VS/替代方案文章</x:v>
      </x:c>
      <x:c r="I148" s="18" t="str">
        <x:v>Best angle: most popular disposable vape brands - comparison, pros/cons, and which option fits different buyers</x:v>
      </x:c>
      <x:c r="J148" s="18" t="str">
        <x:v>1. 搜索者到底想比较什么；2. 评价标准；3. 主要选项对比；4. 适合/不适合人群；5. 购买前检查清单；6. 自然推荐相关集合页</x:v>
      </x:c>
      <x:c r="K148" s="18" t="str">
        <x:v>/collections/disposable-vapes</x:v>
      </x:c>
      <x:c r="L148" s="18" t="str">
        <x:v>文中 1-2 个自然内链到对应集合页</x:v>
      </x:c>
      <x:c r="M148" s="19" t="str">
        <x:v>中风险：榜单和评测必须真实、中立，避免夸大</x:v>
      </x:c>
    </x:row>
    <x:row r="149">
      <x:c r="A149" s="40" t="str">
        <x:v>Week 19</x:v>
      </x:c>
      <x:c r="B149" s="18" t="str">
        <x:v>博客B-场景人群</x:v>
      </x:c>
      <x:c r="C149" s="18" t="str">
        <x:v>how to vape for beginners</x:v>
      </x:c>
      <x:c r="D149" s="41" t="n">
        <x:v>90</x:v>
      </x:c>
      <x:c r="E149" s="41" t="n">
        <x:v>14</x:v>
      </x:c>
      <x:c r="F149" s="18" t="str">
        <x:v>informational</x:v>
      </x:c>
      <x:c r="G149" s="18" t="str">
        <x:v>P1 近期做</x:v>
      </x:c>
      <x:c r="H149" s="18" t="str">
        <x:v>场景解决方案/选购指南文章</x:v>
      </x:c>
      <x:c r="I149" s="18" t="str">
        <x:v>Scenario angle: how to choose how to vape for beginners based on use case, flavor, nicotine, and budget</x:v>
      </x:c>
      <x:c r="J149" s="18" t="str">
        <x:v>1. 场景/人群问题；2. 选择维度；3. 常见误区；4. 推荐判断标准；5. FAQ；6. 如果需要购买，链接到对应集合页</x:v>
      </x:c>
      <x:c r="K149" s="18" t="str">
        <x:v>/collections/disposable-vapes</x:v>
      </x:c>
      <x:c r="L149" s="18" t="str">
        <x:v>文中 1-2 个自然内链到对应集合页</x:v>
      </x:c>
      <x:c r="M149" s="19" t="str">
        <x:v>低中风险：适合软性导流，但不要夸大效果或触碰健康疗效</x:v>
      </x:c>
    </x:row>
    <x:row r="150">
      <x:c r="A150" s="40" t="str">
        <x:v>Week 19</x:v>
      </x:c>
      <x:c r="B150" s="18" t="str">
        <x:v>博客C-对比评测</x:v>
      </x:c>
      <x:c r="C150" s="18" t="str">
        <x:v>best vape liquid for flavour</x:v>
      </x:c>
      <x:c r="D150" s="41" t="n">
        <x:v>90</x:v>
      </x:c>
      <x:c r="E150" s="41" t="n">
        <x:v>23</x:v>
      </x:c>
      <x:c r="F150" s="18" t="str">
        <x:v>commercial</x:v>
      </x:c>
      <x:c r="G150" s="18" t="str">
        <x:v>P1 近期做</x:v>
      </x:c>
      <x:c r="H150" s="18" t="str">
        <x:v>Best/Top/Review/VS/替代方案文章</x:v>
      </x:c>
      <x:c r="I150" s="18" t="str">
        <x:v>Best angle: best vape liquid for flavour - comparison, pros/cons, and which option fits different buyers</x:v>
      </x:c>
      <x:c r="J150" s="18" t="str">
        <x:v>1. 搜索者到底想比较什么；2. 评价标准；3. 主要选项对比；4. 适合/不适合人群；5. 购买前检查清单；6. 自然推荐相关集合页</x:v>
      </x:c>
      <x:c r="K150" s="18" t="str">
        <x:v>/collections/disposable-vapes</x:v>
      </x:c>
      <x:c r="L150" s="18" t="str">
        <x:v>文中 1-2 个自然内链到对应集合页</x:v>
      </x:c>
      <x:c r="M150" s="19" t="str">
        <x:v>中风险：榜单和评测必须真实、中立，避免夸大</x:v>
      </x:c>
    </x:row>
    <x:row r="151">
      <x:c r="A151" s="40" t="str">
        <x:v>Week 19</x:v>
      </x:c>
      <x:c r="B151" s="18" t="str">
        <x:v>博客C-对比评测</x:v>
      </x:c>
      <x:c r="C151" s="18" t="str">
        <x:v>top vape flavors</x:v>
      </x:c>
      <x:c r="D151" s="41" t="n">
        <x:v>90</x:v>
      </x:c>
      <x:c r="E151" s="41" t="n">
        <x:v>23</x:v>
      </x:c>
      <x:c r="F151" s="18" t="str">
        <x:v>informational, commercial</x:v>
      </x:c>
      <x:c r="G151" s="18" t="str">
        <x:v>P1 近期做</x:v>
      </x:c>
      <x:c r="H151" s="18" t="str">
        <x:v>Best/Top/Review/VS/替代方案文章</x:v>
      </x:c>
      <x:c r="I151" s="18" t="str">
        <x:v>Best angle: top vape flavors - comparison, pros/cons, and which option fits different buyers</x:v>
      </x:c>
      <x:c r="J151" s="18" t="str">
        <x:v>1. 搜索者到底想比较什么；2. 评价标准；3. 主要选项对比；4. 适合/不适合人群；5. 购买前检查清单；6. 自然推荐相关集合页</x:v>
      </x:c>
      <x:c r="K151" s="18" t="str">
        <x:v>/collections/flavored-disposable-vapes</x:v>
      </x:c>
      <x:c r="L151" s="18" t="str">
        <x:v>文中 1-2 个自然内链到对应集合页</x:v>
      </x:c>
      <x:c r="M151" s="19" t="str">
        <x:v>中风险：榜单和评测必须真实、中立，避免夸大</x:v>
      </x:c>
    </x:row>
    <x:row r="152">
      <x:c r="A152" s="40" t="str">
        <x:v>Week 19</x:v>
      </x:c>
      <x:c r="B152" s="18" t="str">
        <x:v>博客C-对比评测</x:v>
      </x:c>
      <x:c r="C152" s="18" t="str">
        <x:v>best vape mod for flavor</x:v>
      </x:c>
      <x:c r="D152" s="41" t="n">
        <x:v>90</x:v>
      </x:c>
      <x:c r="E152" s="41" t="n">
        <x:v>21</x:v>
      </x:c>
      <x:c r="F152" s="18" t="str">
        <x:v>commercial</x:v>
      </x:c>
      <x:c r="G152" s="18" t="str">
        <x:v>P1 近期做</x:v>
      </x:c>
      <x:c r="H152" s="18" t="str">
        <x:v>Best/Top/Review/VS/替代方案文章</x:v>
      </x:c>
      <x:c r="I152" s="18" t="str">
        <x:v>Best angle: best vape mod for flavor - comparison, pros/cons, and which option fits different buyers</x:v>
      </x:c>
      <x:c r="J152" s="18" t="str">
        <x:v>1. 搜索者到底想比较什么；2. 评价标准；3. 主要选项对比；4. 适合/不适合人群；5. 购买前检查清单；6. 自然推荐相关集合页</x:v>
      </x:c>
      <x:c r="K152" s="18" t="str">
        <x:v>/collections/flavored-disposable-vapes</x:v>
      </x:c>
      <x:c r="L152" s="18" t="str">
        <x:v>文中 1-2 个自然内链到对应集合页</x:v>
      </x:c>
      <x:c r="M152" s="19" t="str">
        <x:v>中风险：榜单和评测必须真实、中立，避免夸大</x:v>
      </x:c>
    </x:row>
    <x:row r="153">
      <x:c r="A153" s="40" t="str">
        <x:v>Week 19</x:v>
      </x:c>
      <x:c r="B153" s="18" t="str">
        <x:v>博客B-场景人群</x:v>
      </x:c>
      <x:c r="C153" s="18" t="str">
        <x:v>vape purse flavors</x:v>
      </x:c>
      <x:c r="D153" s="41" t="n">
        <x:v>90</x:v>
      </x:c>
      <x:c r="E153" s="41" t="n">
        <x:v>7</x:v>
      </x:c>
      <x:c r="F153" s="18" t="str">
        <x:v>informational</x:v>
      </x:c>
      <x:c r="G153" s="18" t="str">
        <x:v>P1 近期做</x:v>
      </x:c>
      <x:c r="H153" s="18" t="str">
        <x:v>场景解决方案/选购指南文章</x:v>
      </x:c>
      <x:c r="I153" s="18" t="str">
        <x:v>Scenario angle: how to choose vape purse flavors based on use case, flavor, nicotine, and budget</x:v>
      </x:c>
      <x:c r="J153" s="18" t="str">
        <x:v>1. 场景/人群问题；2. 选择维度；3. 常见误区；4. 推荐判断标准；5. FAQ；6. 如果需要购买，链接到对应集合页</x:v>
      </x:c>
      <x:c r="K153" s="18" t="str">
        <x:v>/collections/flavored-disposable-vapes</x:v>
      </x:c>
      <x:c r="L153" s="18" t="str">
        <x:v>文中 1-2 个自然内链到对应集合页</x:v>
      </x:c>
      <x:c r="M153" s="19" t="str">
        <x:v>低中风险：适合软性导流，但不要夸大效果或触碰健康疗效</x:v>
      </x:c>
    </x:row>
    <x:row r="154">
      <x:c r="A154" s="40" t="str">
        <x:v>Week 20</x:v>
      </x:c>
      <x:c r="B154" s="18" t="str">
        <x:v>博客B-场景人群</x:v>
      </x:c>
      <x:c r="C154" s="18" t="str">
        <x:v>vaping for the first time</x:v>
      </x:c>
      <x:c r="D154" s="41" t="n">
        <x:v>90</x:v>
      </x:c>
      <x:c r="E154" s="41" t="n">
        <x:v>10</x:v>
      </x:c>
      <x:c r="F154" s="18" t="str">
        <x:v>informational</x:v>
      </x:c>
      <x:c r="G154" s="18" t="str">
        <x:v>P1 近期做</x:v>
      </x:c>
      <x:c r="H154" s="18" t="str">
        <x:v>场景解决方案/选购指南文章</x:v>
      </x:c>
      <x:c r="I154" s="18" t="str">
        <x:v>Scenario angle: how to choose vaping for the first time based on use case, flavor, nicotine, and budget</x:v>
      </x:c>
      <x:c r="J154" s="18" t="str">
        <x:v>1. 场景/人群问题；2. 选择维度；3. 常见误区；4. 推荐判断标准；5. FAQ；6. 如果需要购买，链接到对应集合页</x:v>
      </x:c>
      <x:c r="K154" s="18" t="str">
        <x:v>/collections/disposable-vapes</x:v>
      </x:c>
      <x:c r="L154" s="18" t="str">
        <x:v>文中 1-2 个自然内链到对应集合页</x:v>
      </x:c>
      <x:c r="M154" s="19" t="str">
        <x:v>低中风险：适合软性导流，但不要夸大效果或触碰健康疗效</x:v>
      </x:c>
    </x:row>
    <x:row r="155">
      <x:c r="A155" s="40" t="str">
        <x:v>Week 20</x:v>
      </x:c>
      <x:c r="B155" s="18" t="str">
        <x:v>博客B-场景人群</x:v>
      </x:c>
      <x:c r="C155" s="18" t="str">
        <x:v>vapes with less nicotine</x:v>
      </x:c>
      <x:c r="D155" s="41" t="n">
        <x:v>90</x:v>
      </x:c>
      <x:c r="E155" s="41" t="n">
        <x:v>0</x:v>
      </x:c>
      <x:c r="F155" s="18" t="str">
        <x:v>informational</x:v>
      </x:c>
      <x:c r="G155" s="18" t="str">
        <x:v>P1 近期做</x:v>
      </x:c>
      <x:c r="H155" s="18" t="str">
        <x:v>场景解决方案/选购指南文章</x:v>
      </x:c>
      <x:c r="I155" s="18" t="str">
        <x:v>Scenario angle: how to choose vapes with less nicotine based on use case, flavor, nicotine, and budget</x:v>
      </x:c>
      <x:c r="J155" s="18" t="str">
        <x:v>1. 场景/人群问题；2. 选择维度；3. 常见误区；4. 推荐判断标准；5. FAQ；6. 如果需要购买，链接到对应集合页</x:v>
      </x:c>
      <x:c r="K155" s="18" t="str">
        <x:v>/collections/disposable-vapes</x:v>
      </x:c>
      <x:c r="L155" s="18" t="str">
        <x:v>文中 1-2 个自然内链到对应集合页</x:v>
      </x:c>
      <x:c r="M155" s="19" t="str">
        <x:v>低中风险：适合软性导流，但不要夸大效果或触碰健康疗效</x:v>
      </x:c>
    </x:row>
    <x:row r="156">
      <x:c r="A156" s="40" t="str">
        <x:v>Week 20</x:v>
      </x:c>
      <x:c r="B156" s="18" t="str">
        <x:v>博客C-对比评测</x:v>
      </x:c>
      <x:c r="C156" s="18" t="str">
        <x:v>best portable vape</x:v>
      </x:c>
      <x:c r="D156" s="41" t="n">
        <x:v>90</x:v>
      </x:c>
      <x:c r="E156" s="41" t="n">
        <x:v>21</x:v>
      </x:c>
      <x:c r="F156" s="18" t="str">
        <x:v>commercial</x:v>
      </x:c>
      <x:c r="G156" s="18" t="str">
        <x:v>P1 近期做</x:v>
      </x:c>
      <x:c r="H156" s="18" t="str">
        <x:v>Best/Top/Review/VS/替代方案文章</x:v>
      </x:c>
      <x:c r="I156" s="18" t="str">
        <x:v>Best angle: best portable vape - comparison, pros/cons, and which option fits different buyers</x:v>
      </x:c>
      <x:c r="J156" s="18" t="str">
        <x:v>1. 搜索者到底想比较什么；2. 评价标准；3. 主要选项对比；4. 适合/不适合人群；5. 购买前检查清单；6. 自然推荐相关集合页</x:v>
      </x:c>
      <x:c r="K156" s="18" t="str">
        <x:v>/collections/disposable-vapes</x:v>
      </x:c>
      <x:c r="L156" s="18" t="str">
        <x:v>文中 1-2 个自然内链到对应集合页</x:v>
      </x:c>
      <x:c r="M156" s="19" t="str">
        <x:v>中风险：榜单和评测必须真实、中立，避免夸大</x:v>
      </x:c>
    </x:row>
    <x:row r="157">
      <x:c r="A157" s="40" t="str">
        <x:v>Week 20</x:v>
      </x:c>
      <x:c r="B157" s="18" t="str">
        <x:v>博客C-对比评测</x:v>
      </x:c>
      <x:c r="C157" s="18" t="str">
        <x:v>what is the most popular vape</x:v>
      </x:c>
      <x:c r="D157" s="41" t="n">
        <x:v>70</x:v>
      </x:c>
      <x:c r="E157" s="41" t="n">
        <x:v>21</x:v>
      </x:c>
      <x:c r="F157" s="18" t="str">
        <x:v>informational, commercial</x:v>
      </x:c>
      <x:c r="G157" s="18" t="str">
        <x:v>P1 近期做</x:v>
      </x:c>
      <x:c r="H157" s="18" t="str">
        <x:v>Best/Top/Review/VS/替代方案文章</x:v>
      </x:c>
      <x:c r="I157" s="18" t="str">
        <x:v>Best angle: what is the most popular vape - comparison, pros/cons, and which option fits different buyers</x:v>
      </x:c>
      <x:c r="J157" s="18" t="str">
        <x:v>1. 搜索者到底想比较什么；2. 评价标准；3. 主要选项对比；4. 适合/不适合人群；5. 购买前检查清单；6. 自然推荐相关集合页</x:v>
      </x:c>
      <x:c r="K157" s="18" t="str">
        <x:v>/collections/disposable-vapes</x:v>
      </x:c>
      <x:c r="L157" s="18" t="str">
        <x:v>文中 1-2 个自然内链到对应集合页</x:v>
      </x:c>
      <x:c r="M157" s="19" t="str">
        <x:v>中风险：榜单和评测必须真实、中立，避免夸大</x:v>
      </x:c>
    </x:row>
    <x:row r="158">
      <x:c r="A158" s="40" t="str">
        <x:v>Week 20</x:v>
      </x:c>
      <x:c r="B158" s="18" t="str">
        <x:v>博客C-对比评测</x:v>
      </x:c>
      <x:c r="C158" s="18" t="str">
        <x:v>top 10 disposable vapes</x:v>
      </x:c>
      <x:c r="D158" s="41" t="n">
        <x:v>70</x:v>
      </x:c>
      <x:c r="E158" s="41" t="n">
        <x:v>25</x:v>
      </x:c>
      <x:c r="F158" s="18" t="str">
        <x:v>informational, commercial</x:v>
      </x:c>
      <x:c r="G158" s="18" t="str">
        <x:v>P1 近期做</x:v>
      </x:c>
      <x:c r="H158" s="18" t="str">
        <x:v>Best/Top/Review/VS/替代方案文章</x:v>
      </x:c>
      <x:c r="I158" s="18" t="str">
        <x:v>Best angle: top 10 disposable vapes - comparison, pros/cons, and which option fits different buyers</x:v>
      </x:c>
      <x:c r="J158" s="18" t="str">
        <x:v>1. 搜索者到底想比较什么；2. 评价标准；3. 主要选项对比；4. 适合/不适合人群；5. 购买前检查清单；6. 自然推荐相关集合页</x:v>
      </x:c>
      <x:c r="K158" s="18" t="str">
        <x:v>/collections/disposable-vapes</x:v>
      </x:c>
      <x:c r="L158" s="18" t="str">
        <x:v>文中 1-2 个自然内链到对应集合页</x:v>
      </x:c>
      <x:c r="M158" s="19" t="str">
        <x:v>中风险：榜单和评测必须真实、中立，避免夸大</x:v>
      </x:c>
    </x:row>
    <x:row r="159">
      <x:c r="A159" s="40" t="str">
        <x:v>Week 20</x:v>
      </x:c>
      <x:c r="B159" s="18" t="str">
        <x:v>博客C-对比评测</x:v>
      </x:c>
      <x:c r="C159" s="18" t="str">
        <x:v>popular vapes brands</x:v>
      </x:c>
      <x:c r="D159" s="41" t="n">
        <x:v>70</x:v>
      </x:c>
      <x:c r="E159" s="41" t="n">
        <x:v>21</x:v>
      </x:c>
      <x:c r="F159" s="18" t="str">
        <x:v>informational, commercial</x:v>
      </x:c>
      <x:c r="G159" s="18" t="str">
        <x:v>P1 近期做</x:v>
      </x:c>
      <x:c r="H159" s="18" t="str">
        <x:v>Best/Top/Review/VS/替代方案文章</x:v>
      </x:c>
      <x:c r="I159" s="18" t="str">
        <x:v>Best angle: popular vapes brands - comparison, pros/cons, and which option fits different buyers</x:v>
      </x:c>
      <x:c r="J159" s="18" t="str">
        <x:v>1. 搜索者到底想比较什么；2. 评价标准；3. 主要选项对比；4. 适合/不适合人群；5. 购买前检查清单；6. 自然推荐相关集合页</x:v>
      </x:c>
      <x:c r="K159" s="18" t="str">
        <x:v>/collections/disposable-vapes</x:v>
      </x:c>
      <x:c r="L159" s="18" t="str">
        <x:v>文中 1-2 个自然内链到对应集合页</x:v>
      </x:c>
      <x:c r="M159" s="19" t="str">
        <x:v>中风险：榜单和评测必须真实、中立，避免夸大</x:v>
      </x:c>
    </x:row>
    <x:row r="160">
      <x:c r="A160" s="40" t="str">
        <x:v>Week 20</x:v>
      </x:c>
      <x:c r="B160" s="18" t="str">
        <x:v>博客C-对比评测</x:v>
      </x:c>
      <x:c r="C160" s="18" t="str">
        <x:v>which vape is the best</x:v>
      </x:c>
      <x:c r="D160" s="41" t="n">
        <x:v>70</x:v>
      </x:c>
      <x:c r="E160" s="41" t="n">
        <x:v>18</x:v>
      </x:c>
      <x:c r="F160" s="18" t="str">
        <x:v>commercial</x:v>
      </x:c>
      <x:c r="G160" s="18" t="str">
        <x:v>P1 近期做</x:v>
      </x:c>
      <x:c r="H160" s="18" t="str">
        <x:v>Best/Top/Review/VS/替代方案文章</x:v>
      </x:c>
      <x:c r="I160" s="18" t="str">
        <x:v>Best angle: which vape is the best - comparison, pros/cons, and which option fits different buyers</x:v>
      </x:c>
      <x:c r="J160" s="18" t="str">
        <x:v>1. 搜索者到底想比较什么；2. 评价标准；3. 主要选项对比；4. 适合/不适合人群；5. 购买前检查清单；6. 自然推荐相关集合页</x:v>
      </x:c>
      <x:c r="K160" s="18" t="str">
        <x:v>/collections/disposable-vapes</x:v>
      </x:c>
      <x:c r="L160" s="18" t="str">
        <x:v>文中 1-2 个自然内链到对应集合页</x:v>
      </x:c>
      <x:c r="M160" s="19" t="str">
        <x:v>中风险：榜单和评测必须真实、中立，避免夸大</x:v>
      </x:c>
    </x:row>
    <x:row r="161">
      <x:c r="A161" s="43" t="str">
        <x:v>Week 20</x:v>
      </x:c>
      <x:c r="B161" s="21" t="str">
        <x:v>博客C-对比评测</x:v>
      </x:c>
      <x:c r="C161" s="21" t="str">
        <x:v>perfectvape reviews</x:v>
      </x:c>
      <x:c r="D161" s="44" t="n">
        <x:v>70</x:v>
      </x:c>
      <x:c r="E161" s="44" t="n">
        <x:v>18</x:v>
      </x:c>
      <x:c r="F161" s="21" t="str">
        <x:v>commercial</x:v>
      </x:c>
      <x:c r="G161" s="21" t="str">
        <x:v>P1 近期做</x:v>
      </x:c>
      <x:c r="H161" s="21" t="str">
        <x:v>Best/Top/Review/VS/替代方案文章</x:v>
      </x:c>
      <x:c r="I161" s="21" t="str">
        <x:v>Best angle: perfectvape reviews - comparison, pros/cons, and which option fits different buyers</x:v>
      </x:c>
      <x:c r="J161" s="21" t="str">
        <x:v>1. 搜索者到底想比较什么；2. 评价标准；3. 主要选项对比；4. 适合/不适合人群；5. 购买前检查清单；6. 自然推荐相关集合页</x:v>
      </x:c>
      <x:c r="K161" s="21" t="str">
        <x:v>/collections/disposable-vapes</x:v>
      </x:c>
      <x:c r="L161" s="21" t="str">
        <x:v>文中 1-2 个自然内链到对应集合页</x:v>
      </x:c>
      <x:c r="M161" s="22" t="str">
        <x:v>中风险：榜单和评测必须真实、中立，避免夸大</x:v>
      </x:c>
    </x:row>
  </x:sheetData>
  <x:pageMargins left="0.7" right="0.7" top="0.75" bottom="0.75" header="0.3" footer="0.3"/>
  <x:tableParts count="1">
    <x:tablePart xmlns:r="http://schemas.openxmlformats.org/officeDocument/2006/relationships" r:id="R6d7170cbc74d4f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46" hidden="0" customWidth="1"/>
    <x:col min="5" max="5" width="52" hidden="0" customWidth="1"/>
    <x:col min="6" max="6" width="72" hidden="0" customWidth="1"/>
    <x:col min="7" max="7" width="48" hidden="0" customWidth="1"/>
    <x:col min="8" max="8" width="42" hidden="0" customWidth="1"/>
    <x:col min="9" max="9" width="40" hidden="0" customWidth="1"/>
    <x:col min="10" max="10" width="36" hidden="0" customWidth="1"/>
    <x:col min="11" max="11" width="10" hidden="0" customWidth="1"/>
  </x:cols>
  <x:sheetData>
    <x:row r="1">
      <x:c r="A1" s="31" t="str">
        <x:v>关键词</x:v>
      </x:c>
      <x:c r="B1" s="32" t="str">
        <x:v>推荐站点</x:v>
      </x:c>
      <x:c r="C1" s="32" t="str">
        <x:v>搜索意图</x:v>
      </x:c>
      <x:c r="D1" s="32" t="str">
        <x:v>目标读者问题</x:v>
      </x:c>
      <x:c r="E1" s="32" t="str">
        <x:v>H1建议</x:v>
      </x:c>
      <x:c r="F1" s="32" t="str">
        <x:v>文章骨架</x:v>
      </x:c>
      <x:c r="G1" s="32" t="str">
        <x:v>必须覆盖</x:v>
      </x:c>
      <x:c r="H1" s="32" t="str">
        <x:v>不要写</x:v>
      </x:c>
      <x:c r="I1" s="32" t="str">
        <x:v>主站内链/锚文本</x:v>
      </x:c>
      <x:c r="J1" s="32" t="str">
        <x:v>转化方式</x:v>
      </x:c>
      <x:c r="K1" s="33" t="str">
        <x:v>评分</x:v>
      </x:c>
    </x:row>
    <x:row r="2">
      <x:c r="A2" s="40" t="str">
        <x:v>nicotine free vape</x:v>
      </x:c>
      <x:c r="B2" s="18" t="str">
        <x:v>博客B-场景人群</x:v>
      </x:c>
      <x:c r="C2" s="18" t="str">
        <x:v>informational</x:v>
      </x:c>
      <x:c r="D2" s="18" t="str">
        <x:v>用户在具体场景下考虑 nicotine free vape，想知道怎么选更合适。</x:v>
      </x:c>
      <x:c r="E2" s="18" t="str">
        <x:v>Nicotine Free Vape: How to Choose the Right Option for Your Needs</x:v>
      </x:c>
      <x:c r="F2" s="18" t="str">
        <x:v>1. 场景/人群问题；2. 选择维度；3. 常见误区；4. 推荐判断标准；5. FAQ；6. 如果需要购买，链接到对应集合页</x:v>
      </x:c>
      <x:c r="G2" s="18" t="str">
        <x:v>使用场景、核心选择标准、常见误区、FAQ、自然内链到主站相关集合页</x:v>
      </x:c>
      <x:c r="H2" s="18" t="str">
        <x:v>不要写戒烟疗效、健康保证、医疗建议或购买诱导</x:v>
      </x:c>
      <x:c r="I2" s="18" t="str">
        <x:v>/collections/nicotine-free-vapes；锚文本用自然句/品类词</x:v>
      </x:c>
      <x:c r="J2" s="18" t="str">
        <x:v>文中自然引导查看相关集合页，不要硬广</x:v>
      </x:c>
      <x:c r="K2" s="47" t="n">
        <x:v>82</x:v>
      </x:c>
    </x:row>
    <x:row r="3">
      <x:c r="A3" s="40" t="str">
        <x:v>best vape</x:v>
      </x:c>
      <x:c r="B3" s="18" t="str">
        <x:v>博客C-对比评测</x:v>
      </x:c>
      <x:c r="C3" s="18" t="str">
        <x:v>commercial</x:v>
      </x:c>
      <x:c r="D3" s="18" t="str">
        <x:v>用户想知道 best vape 里哪种选择更值得买、差异是什么、有没有替代方案。</x:v>
      </x:c>
      <x:c r="E3" s="18" t="str">
        <x:v>Best Vape: Best Options, Comparisons, and Buying Considerations</x:v>
      </x:c>
      <x:c r="F3" s="18" t="str">
        <x:v>1. 搜索者到底想比较什么；2. 评价标准；3. 主要选项对比；4. 适合/不适合人群；5. 购买前检查清单；6. 自然推荐相关集合页</x:v>
      </x:c>
      <x:c r="G3" s="18" t="str">
        <x:v>评价标准、对比维度、适合人群、优缺点、购买前清单、客观免责声明</x:v>
      </x:c>
      <x:c r="H3" s="18" t="str">
        <x:v>不要硬塞产品、不要关键词堆砌、不要承诺不确定的效果</x:v>
      </x:c>
      <x:c r="I3" s="18" t="str">
        <x:v>/collections/disposable-vapes；锚文本用自然句/品类词/品牌词</x:v>
      </x:c>
      <x:c r="J3" s="18" t="str">
        <x:v>文中自然引导查看相关集合页，不要硬广</x:v>
      </x:c>
      <x:c r="K3" s="47" t="n">
        <x:v>78</x:v>
      </x:c>
    </x:row>
    <x:row r="4">
      <x:c r="A4" s="40" t="str">
        <x:v>best vapes</x:v>
      </x:c>
      <x:c r="B4" s="18" t="str">
        <x:v>博客C-对比评测</x:v>
      </x:c>
      <x:c r="C4" s="18" t="str">
        <x:v>commercial</x:v>
      </x:c>
      <x:c r="D4" s="18" t="str">
        <x:v>用户想知道 best vapes 里哪种选择更值得买、差异是什么、有没有替代方案。</x:v>
      </x:c>
      <x:c r="E4" s="18" t="str">
        <x:v>Best Vapes: Best Options, Comparisons, and Buying Considerations</x:v>
      </x:c>
      <x:c r="F4" s="18" t="str">
        <x:v>1. 搜索者到底想比较什么；2. 评价标准；3. 主要选项对比；4. 适合/不适合人群；5. 购买前检查清单；6. 自然推荐相关集合页</x:v>
      </x:c>
      <x:c r="G4" s="18" t="str">
        <x:v>评价标准、对比维度、适合人群、优缺点、购买前清单、客观免责声明</x:v>
      </x:c>
      <x:c r="H4" s="18" t="str">
        <x:v>不要硬塞产品、不要关键词堆砌、不要承诺不确定的效果</x:v>
      </x:c>
      <x:c r="I4" s="18" t="str">
        <x:v>/collections/disposable-vapes；锚文本用自然句/品类词/品牌词</x:v>
      </x:c>
      <x:c r="J4" s="18" t="str">
        <x:v>文中自然引导查看相关集合页，不要硬广</x:v>
      </x:c>
      <x:c r="K4" s="47" t="n">
        <x:v>78</x:v>
      </x:c>
    </x:row>
    <x:row r="5">
      <x:c r="A5" s="40" t="str">
        <x:v>best electronic cigarette</x:v>
      </x:c>
      <x:c r="B5" s="18" t="str">
        <x:v>博客C-对比评测</x:v>
      </x:c>
      <x:c r="C5" s="18" t="str">
        <x:v>commercial</x:v>
      </x:c>
      <x:c r="D5" s="18" t="str">
        <x:v>用户想知道 best electronic cigarette 里哪种选择更值得买、差异是什么、有没有替代方案。</x:v>
      </x:c>
      <x:c r="E5" s="18" t="str">
        <x:v>Best Electronic Cigarette: Best Options, Comparisons, and Buying Considerations</x:v>
      </x:c>
      <x:c r="F5" s="18" t="str">
        <x:v>1. 搜索者到底想比较什么；2. 评价标准；3. 主要选项对比；4. 适合/不适合人群；5. 购买前检查清单；6. 自然推荐相关集合页</x:v>
      </x:c>
      <x:c r="G5" s="18" t="str">
        <x:v>评价标准、对比维度、适合人群、优缺点、购买前清单、客观免责声明</x:v>
      </x:c>
      <x:c r="H5" s="18" t="str">
        <x:v>不要硬塞产品、不要关键词堆砌、不要承诺不确定的效果</x:v>
      </x:c>
      <x:c r="I5" s="18" t="str">
        <x:v>/collections/e-cigarettes；锚文本用自然句/品类词/品牌词</x:v>
      </x:c>
      <x:c r="J5" s="18" t="str">
        <x:v>文中自然引导查看相关集合页，不要硬广</x:v>
      </x:c>
      <x:c r="K5" s="47" t="n">
        <x:v>78</x:v>
      </x:c>
    </x:row>
    <x:row r="6">
      <x:c r="A6" s="40" t="str">
        <x:v>best vape brands</x:v>
      </x:c>
      <x:c r="B6" s="18" t="str">
        <x:v>博客C-对比评测</x:v>
      </x:c>
      <x:c r="C6" s="18" t="str">
        <x:v>commercial</x:v>
      </x:c>
      <x:c r="D6" s="18" t="str">
        <x:v>用户想知道 best vape brands 里哪种选择更值得买、差异是什么、有没有替代方案。</x:v>
      </x:c>
      <x:c r="E6" s="18" t="str">
        <x:v>Best Vape Brands: Best Options, Comparisons, and Buying Considerations</x:v>
      </x:c>
      <x:c r="F6" s="18" t="str">
        <x:v>1. 搜索者到底想比较什么；2. 评价标准；3. 主要选项对比；4. 适合/不适合人群；5. 购买前检查清单；6. 自然推荐相关集合页</x:v>
      </x:c>
      <x:c r="G6" s="18" t="str">
        <x:v>评价标准、对比维度、适合人群、优缺点、购买前清单、客观免责声明</x:v>
      </x:c>
      <x:c r="H6" s="18" t="str">
        <x:v>不要硬塞产品、不要关键词堆砌、不要承诺不确定的效果</x:v>
      </x:c>
      <x:c r="I6" s="18" t="str">
        <x:v>/collections/disposable-vapes；锚文本用自然句/品类词/品牌词</x:v>
      </x:c>
      <x:c r="J6" s="18" t="str">
        <x:v>文中自然引导查看相关集合页，不要硬广</x:v>
      </x:c>
      <x:c r="K6" s="47" t="n">
        <x:v>74</x:v>
      </x:c>
    </x:row>
    <x:row r="7">
      <x:c r="A7" s="40" t="str">
        <x:v>best vapes 2025</x:v>
      </x:c>
      <x:c r="B7" s="18" t="str">
        <x:v>博客C-对比评测</x:v>
      </x:c>
      <x:c r="C7" s="18" t="str">
        <x:v>commercial</x:v>
      </x:c>
      <x:c r="D7" s="18" t="str">
        <x:v>用户想知道 best vapes 2025 里哪种选择更值得买、差异是什么、有没有替代方案。</x:v>
      </x:c>
      <x:c r="E7" s="18" t="str">
        <x:v>Best Vapes 2025: Best Options, Comparisons, and Buying Considerations</x:v>
      </x:c>
      <x:c r="F7" s="18" t="str">
        <x:v>1. 搜索者到底想比较什么；2. 评价标准；3. 主要选项对比；4. 适合/不适合人群；5. 购买前检查清单；6. 自然推荐相关集合页</x:v>
      </x:c>
      <x:c r="G7" s="18" t="str">
        <x:v>评价标准、对比维度、适合人群、优缺点、购买前清单、客观免责声明</x:v>
      </x:c>
      <x:c r="H7" s="18" t="str">
        <x:v>不要硬塞产品、不要关键词堆砌、不要承诺不确定的效果</x:v>
      </x:c>
      <x:c r="I7" s="18" t="str">
        <x:v>/collections/disposable-vapes；锚文本用自然句/品类词/品牌词</x:v>
      </x:c>
      <x:c r="J7" s="18" t="str">
        <x:v>文中自然引导查看相关集合页，不要硬广</x:v>
      </x:c>
      <x:c r="K7" s="47" t="n">
        <x:v>74</x:v>
      </x:c>
    </x:row>
    <x:row r="8">
      <x:c r="A8" s="40" t="str">
        <x:v>best vape flavors</x:v>
      </x:c>
      <x:c r="B8" s="18" t="str">
        <x:v>博客C-对比评测</x:v>
      </x:c>
      <x:c r="C8" s="18" t="str">
        <x:v>commercial</x:v>
      </x:c>
      <x:c r="D8" s="18" t="str">
        <x:v>用户想知道 best vape flavors 里哪种选择更值得买、差异是什么、有没有替代方案。</x:v>
      </x:c>
      <x:c r="E8" s="18" t="str">
        <x:v>Best Vape Flavors: Best Options, Comparisons, and Buying Considerations</x:v>
      </x:c>
      <x:c r="F8" s="18" t="str">
        <x:v>1. 搜索者到底想比较什么；2. 评价标准；3. 主要选项对比；4. 适合/不适合人群；5. 购买前检查清单；6. 自然推荐相关集合页</x:v>
      </x:c>
      <x:c r="G8" s="18" t="str">
        <x:v>评价标准、对比维度、适合人群、优缺点、购买前清单、客观免责声明</x:v>
      </x:c>
      <x:c r="H8" s="18" t="str">
        <x:v>不要硬塞产品、不要关键词堆砌、不要承诺不确定的效果</x:v>
      </x:c>
      <x:c r="I8" s="18" t="str">
        <x:v>/collections/flavored-disposable-vapes；锚文本用自然句/品类词/品牌词</x:v>
      </x:c>
      <x:c r="J8" s="18" t="str">
        <x:v>文中自然引导查看相关集合页，不要硬广</x:v>
      </x:c>
      <x:c r="K8" s="47" t="n">
        <x:v>74</x:v>
      </x:c>
    </x:row>
    <x:row r="9">
      <x:c r="A9" s="40" t="str">
        <x:v>ecig review</x:v>
      </x:c>
      <x:c r="B9" s="18" t="str">
        <x:v>博客C-对比评测</x:v>
      </x:c>
      <x:c r="C9" s="18" t="str">
        <x:v>informational, commercial</x:v>
      </x:c>
      <x:c r="D9" s="18" t="str">
        <x:v>用户想知道 ecig review 里哪种选择更值得买、差异是什么、有没有替代方案。</x:v>
      </x:c>
      <x:c r="E9" s="18" t="str">
        <x:v>Ecig Review: Best Options, Comparisons, and Buying Considerations</x:v>
      </x:c>
      <x:c r="F9" s="18" t="str">
        <x:v>1. 搜索者到底想比较什么；2. 评价标准；3. 主要选项对比；4. 适合/不适合人群；5. 购买前检查清单；6. 自然推荐相关集合页</x:v>
      </x:c>
      <x:c r="G9" s="18" t="str">
        <x:v>评价标准、对比维度、适合人群、优缺点、购买前清单、客观免责声明</x:v>
      </x:c>
      <x:c r="H9" s="18" t="str">
        <x:v>不要硬塞产品、不要关键词堆砌、不要承诺不确定的效果</x:v>
      </x:c>
      <x:c r="I9" s="18" t="str">
        <x:v>/collections/disposable-vapes；锚文本用自然句/品类词/品牌词</x:v>
      </x:c>
      <x:c r="J9" s="18" t="str">
        <x:v>文中自然引导查看相关集合页，不要硬广</x:v>
      </x:c>
      <x:c r="K9" s="47" t="n">
        <x:v>74</x:v>
      </x:c>
    </x:row>
    <x:row r="10">
      <x:c r="A10" s="40" t="str">
        <x:v>ecigarette reviews</x:v>
      </x:c>
      <x:c r="B10" s="18" t="str">
        <x:v>博客C-对比评测</x:v>
      </x:c>
      <x:c r="C10" s="18" t="str">
        <x:v>commercial</x:v>
      </x:c>
      <x:c r="D10" s="18" t="str">
        <x:v>用户想知道 ecigarette reviews 里哪种选择更值得买、差异是什么、有没有替代方案。</x:v>
      </x:c>
      <x:c r="E10" s="18" t="str">
        <x:v>Ecigarette Reviews: Best Options, Comparisons, and Buying Considerations</x:v>
      </x:c>
      <x:c r="F10" s="18" t="str">
        <x:v>1. 搜索者到底想比较什么；2. 评价标准；3. 主要选项对比；4. 适合/不适合人群；5. 购买前检查清单；6. 自然推荐相关集合页</x:v>
      </x:c>
      <x:c r="G10" s="18" t="str">
        <x:v>评价标准、对比维度、适合人群、优缺点、购买前清单、客观免责声明</x:v>
      </x:c>
      <x:c r="H10" s="18" t="str">
        <x:v>不要硬塞产品、不要关键词堆砌、不要承诺不确定的效果</x:v>
      </x:c>
      <x:c r="I10" s="18" t="str">
        <x:v>/collections/e-cigarettes；锚文本用自然句/品类词/品牌词</x:v>
      </x:c>
      <x:c r="J10" s="18" t="str">
        <x:v>文中自然引导查看相关集合页，不要硬广</x:v>
      </x:c>
      <x:c r="K10" s="47" t="n">
        <x:v>74</x:v>
      </x:c>
    </x:row>
    <x:row r="11">
      <x:c r="A11" s="40" t="str">
        <x:v>vape alternative</x:v>
      </x:c>
      <x:c r="B11" s="18" t="str">
        <x:v>博客C-对比评测</x:v>
      </x:c>
      <x:c r="C11" s="18" t="str">
        <x:v>informational</x:v>
      </x:c>
      <x:c r="D11" s="18" t="str">
        <x:v>用户想知道 vape alternative 里哪种选择更值得买、差异是什么、有没有替代方案。</x:v>
      </x:c>
      <x:c r="E11" s="18" t="str">
        <x:v>Vape Alternative: Best Options, Comparisons, and Buying Considerations</x:v>
      </x:c>
      <x:c r="F11" s="18" t="str">
        <x:v>1. 搜索者到底想比较什么；2. 评价标准；3. 主要选项对比；4. 适合/不适合人群；5. 购买前检查清单；6. 自然推荐相关集合页</x:v>
      </x:c>
      <x:c r="G11" s="18" t="str">
        <x:v>评价标准、对比维度、适合人群、优缺点、购买前清单、客观免责声明</x:v>
      </x:c>
      <x:c r="H11" s="18" t="str">
        <x:v>不要硬塞产品、不要关键词堆砌、不要承诺不确定的效果</x:v>
      </x:c>
      <x:c r="I11" s="18" t="str">
        <x:v>/collections/disposable-vapes；锚文本用自然句/品类词/品牌词</x:v>
      </x:c>
      <x:c r="J11" s="18" t="str">
        <x:v>文中自然引导查看相关集合页，不要硬广</x:v>
      </x:c>
      <x:c r="K11" s="47" t="n">
        <x:v>74</x:v>
      </x:c>
    </x:row>
    <x:row r="12">
      <x:c r="A12" s="40" t="str">
        <x:v>popular vapes</x:v>
      </x:c>
      <x:c r="B12" s="18" t="str">
        <x:v>博客C-对比评测</x:v>
      </x:c>
      <x:c r="C12" s="18" t="str">
        <x:v>informational, commercial</x:v>
      </x:c>
      <x:c r="D12" s="18" t="str">
        <x:v>用户想知道 popular vapes 里哪种选择更值得买、差异是什么、有没有替代方案。</x:v>
      </x:c>
      <x:c r="E12" s="18" t="str">
        <x:v>Popular Vapes: Best Options, Comparisons, and Buying Considerations</x:v>
      </x:c>
      <x:c r="F12" s="18" t="str">
        <x:v>1. 搜索者到底想比较什么；2. 评价标准；3. 主要选项对比；4. 适合/不适合人群；5. 购买前检查清单；6. 自然推荐相关集合页</x:v>
      </x:c>
      <x:c r="G12" s="18" t="str">
        <x:v>评价标准、对比维度、适合人群、优缺点、购买前清单、客观免责声明</x:v>
      </x:c>
      <x:c r="H12" s="18" t="str">
        <x:v>不要硬塞产品、不要关键词堆砌、不要承诺不确定的效果</x:v>
      </x:c>
      <x:c r="I12" s="18" t="str">
        <x:v>/collections/disposable-vapes；锚文本用自然句/品类词/品牌词</x:v>
      </x:c>
      <x:c r="J12" s="18" t="str">
        <x:v>文中自然引导查看相关集合页，不要硬广</x:v>
      </x:c>
      <x:c r="K12" s="47" t="n">
        <x:v>74</x:v>
      </x:c>
    </x:row>
    <x:row r="13">
      <x:c r="A13" s="40" t="str">
        <x:v>low nicotine vape</x:v>
      </x:c>
      <x:c r="B13" s="18" t="str">
        <x:v>博客B-场景人群</x:v>
      </x:c>
      <x:c r="C13" s="18" t="str">
        <x:v>informational</x:v>
      </x:c>
      <x:c r="D13" s="18" t="str">
        <x:v>用户在具体场景下考虑 low nicotine vape，想知道怎么选更合适。</x:v>
      </x:c>
      <x:c r="E13" s="18" t="str">
        <x:v>Low Nicotine Vape: How to Choose the Right Option for Your Needs</x:v>
      </x:c>
      <x:c r="F13" s="18" t="str">
        <x:v>1. 场景/人群问题；2. 选择维度；3. 常见误区；4. 推荐判断标准；5. FAQ；6. 如果需要购买，链接到对应集合页</x:v>
      </x:c>
      <x:c r="G13" s="18" t="str">
        <x:v>使用场景、核心选择标准、常见误区、FAQ、自然内链到主站相关集合页</x:v>
      </x:c>
      <x:c r="H13" s="18" t="str">
        <x:v>不要写戒烟疗效、健康保证、医疗建议或购买诱导</x:v>
      </x:c>
      <x:c r="I13" s="18" t="str">
        <x:v>/collections/disposable-vapes；锚文本用自然句/品类词</x:v>
      </x:c>
      <x:c r="J13" s="18" t="str">
        <x:v>文中自然引导查看相关集合页，不要硬广</x:v>
      </x:c>
      <x:c r="K13" s="47" t="n">
        <x:v>74</x:v>
      </x:c>
    </x:row>
    <x:row r="14">
      <x:c r="A14" s="40" t="str">
        <x:v>best disposable vape 2024</x:v>
      </x:c>
      <x:c r="B14" s="18" t="str">
        <x:v>博客C-对比评测</x:v>
      </x:c>
      <x:c r="C14" s="18" t="str">
        <x:v>commercial</x:v>
      </x:c>
      <x:c r="D14" s="18" t="str">
        <x:v>用户想知道 best disposable vape 2024 里哪种选择更值得买、差异是什么、有没有替代方案。</x:v>
      </x:c>
      <x:c r="E14" s="18" t="str">
        <x:v>Best Disposable Vape 2024: Best Options, Comparisons, and Buying Considerations</x:v>
      </x:c>
      <x:c r="F14" s="18" t="str">
        <x:v>1. 搜索者到底想比较什么；2. 评价标准；3. 主要选项对比；4. 适合/不适合人群；5. 购买前检查清单；6. 自然推荐相关集合页</x:v>
      </x:c>
      <x:c r="G14" s="18" t="str">
        <x:v>评价标准、对比维度、适合人群、优缺点、购买前清单、客观免责声明</x:v>
      </x:c>
      <x:c r="H14" s="18" t="str">
        <x:v>不要硬塞产品、不要关键词堆砌、不要承诺不确定的效果</x:v>
      </x:c>
      <x:c r="I14" s="18" t="str">
        <x:v>/collections/disposable-vapes；锚文本用自然句/品类词/品牌词</x:v>
      </x:c>
      <x:c r="J14" s="18" t="str">
        <x:v>文中自然引导查看相关集合页，不要硬广</x:v>
      </x:c>
      <x:c r="K14" s="47" t="n">
        <x:v>74</x:v>
      </x:c>
    </x:row>
    <x:row r="15">
      <x:c r="A15" s="40" t="str">
        <x:v>popular disposable vape brands</x:v>
      </x:c>
      <x:c r="B15" s="18" t="str">
        <x:v>博客C-对比评测</x:v>
      </x:c>
      <x:c r="C15" s="18" t="str">
        <x:v>commercial</x:v>
      </x:c>
      <x:c r="D15" s="18" t="str">
        <x:v>用户想知道 popular disposable vape brands 里哪种选择更值得买、差异是什么、有没有替代方案。</x:v>
      </x:c>
      <x:c r="E15" s="18" t="str">
        <x:v>Popular Disposable Vape Brands: Best Options, Comparisons, and Buying Considerations</x:v>
      </x:c>
      <x:c r="F15" s="18" t="str">
        <x:v>1. 搜索者到底想比较什么；2. 评价标准；3. 主要选项对比；4. 适合/不适合人群；5. 购买前检查清单；6. 自然推荐相关集合页</x:v>
      </x:c>
      <x:c r="G15" s="18" t="str">
        <x:v>评价标准、对比维度、适合人群、优缺点、购买前清单、客观免责声明</x:v>
      </x:c>
      <x:c r="H15" s="18" t="str">
        <x:v>不要硬塞产品、不要关键词堆砌、不要承诺不确定的效果</x:v>
      </x:c>
      <x:c r="I15" s="18" t="str">
        <x:v>/collections/disposable-vapes；锚文本用自然句/品类词/品牌词</x:v>
      </x:c>
      <x:c r="J15" s="18" t="str">
        <x:v>文中自然引导查看相关集合页，不要硬广</x:v>
      </x:c>
      <x:c r="K15" s="47" t="n">
        <x:v>74</x:v>
      </x:c>
    </x:row>
    <x:row r="16">
      <x:c r="A16" s="40" t="str">
        <x:v>best pod vape</x:v>
      </x:c>
      <x:c r="B16" s="18" t="str">
        <x:v>博客C-对比评测</x:v>
      </x:c>
      <x:c r="C16" s="18" t="str">
        <x:v>commercial</x:v>
      </x:c>
      <x:c r="D16" s="18" t="str">
        <x:v>用户想知道 best pod vape 里哪种选择更值得买、差异是什么、有没有替代方案。</x:v>
      </x:c>
      <x:c r="E16" s="18" t="str">
        <x:v>Best Pod Vape: Best Options, Comparisons, and Buying Considerations</x:v>
      </x:c>
      <x:c r="F16" s="18" t="str">
        <x:v>1. 搜索者到底想比较什么；2. 评价标准；3. 主要选项对比；4. 适合/不适合人群；5. 购买前检查清单；6. 自然推荐相关集合页</x:v>
      </x:c>
      <x:c r="G16" s="18" t="str">
        <x:v>评价标准、对比维度、适合人群、优缺点、购买前清单、客观免责声明</x:v>
      </x:c>
      <x:c r="H16" s="18" t="str">
        <x:v>不要硬塞产品、不要关键词堆砌、不要承诺不确定的效果</x:v>
      </x:c>
      <x:c r="I16" s="18" t="str">
        <x:v>/collections/pod-kits；锚文本用自然句/品类词/品牌词</x:v>
      </x:c>
      <x:c r="J16" s="18" t="str">
        <x:v>文中自然引导查看相关集合页，不要硬广</x:v>
      </x:c>
      <x:c r="K16" s="47" t="n">
        <x:v>74</x:v>
      </x:c>
    </x:row>
    <x:row r="17">
      <x:c r="A17" s="40" t="str">
        <x:v>best vape juice</x:v>
      </x:c>
      <x:c r="B17" s="18" t="str">
        <x:v>博客C-对比评测</x:v>
      </x:c>
      <x:c r="C17" s="18" t="str">
        <x:v>commercial</x:v>
      </x:c>
      <x:c r="D17" s="18" t="str">
        <x:v>用户想知道 best vape juice 里哪种选择更值得买、差异是什么、有没有替代方案。</x:v>
      </x:c>
      <x:c r="E17" s="18" t="str">
        <x:v>Best Vape Juice: Best Options, Comparisons, and Buying Considerations</x:v>
      </x:c>
      <x:c r="F17" s="18" t="str">
        <x:v>1. 搜索者到底想比较什么；2. 评价标准；3. 主要选项对比；4. 适合/不适合人群；5. 购买前检查清单；6. 自然推荐相关集合页</x:v>
      </x:c>
      <x:c r="G17" s="18" t="str">
        <x:v>评价标准、对比维度、适合人群、优缺点、购买前清单、客观免责声明</x:v>
      </x:c>
      <x:c r="H17" s="18" t="str">
        <x:v>不要硬塞产品、不要关键词堆砌、不要承诺不确定的效果</x:v>
      </x:c>
      <x:c r="I17" s="18" t="str">
        <x:v>/collections/disposable-vapes；锚文本用自然句/品类词/品牌词</x:v>
      </x:c>
      <x:c r="J17" s="18" t="str">
        <x:v>文中自然引导查看相关集合页，不要硬广</x:v>
      </x:c>
      <x:c r="K17" s="47" t="n">
        <x:v>74</x:v>
      </x:c>
    </x:row>
    <x:row r="18">
      <x:c r="A18" s="40" t="str">
        <x:v>best vapes 2024</x:v>
      </x:c>
      <x:c r="B18" s="18" t="str">
        <x:v>博客C-对比评测</x:v>
      </x:c>
      <x:c r="C18" s="18" t="str">
        <x:v>commercial</x:v>
      </x:c>
      <x:c r="D18" s="18" t="str">
        <x:v>用户想知道 best vapes 2024 里哪种选择更值得买、差异是什么、有没有替代方案。</x:v>
      </x:c>
      <x:c r="E18" s="18" t="str">
        <x:v>Best Vapes 2024: Best Options, Comparisons, and Buying Considerations</x:v>
      </x:c>
      <x:c r="F18" s="18" t="str">
        <x:v>1. 搜索者到底想比较什么；2. 评价标准；3. 主要选项对比；4. 适合/不适合人群；5. 购买前检查清单；6. 自然推荐相关集合页</x:v>
      </x:c>
      <x:c r="G18" s="18" t="str">
        <x:v>评价标准、对比维度、适合人群、优缺点、购买前清单、客观免责声明</x:v>
      </x:c>
      <x:c r="H18" s="18" t="str">
        <x:v>不要硬塞产品、不要关键词堆砌、不要承诺不确定的效果</x:v>
      </x:c>
      <x:c r="I18" s="18" t="str">
        <x:v>/collections/disposable-vapes；锚文本用自然句/品类词/品牌词</x:v>
      </x:c>
      <x:c r="J18" s="18" t="str">
        <x:v>文中自然引导查看相关集合页，不要硬广</x:v>
      </x:c>
      <x:c r="K18" s="47" t="n">
        <x:v>74</x:v>
      </x:c>
    </x:row>
    <x:row r="19">
      <x:c r="A19" s="40" t="str">
        <x:v>best vape mods</x:v>
      </x:c>
      <x:c r="B19" s="18" t="str">
        <x:v>博客C-对比评测</x:v>
      </x:c>
      <x:c r="C19" s="18" t="str">
        <x:v>commercial</x:v>
      </x:c>
      <x:c r="D19" s="18" t="str">
        <x:v>用户想知道 best vape mods 里哪种选择更值得买、差异是什么、有没有替代方案。</x:v>
      </x:c>
      <x:c r="E19" s="18" t="str">
        <x:v>Best Vape Mods: Best Options, Comparisons, and Buying Considerations</x:v>
      </x:c>
      <x:c r="F19" s="18" t="str">
        <x:v>1. 搜索者到底想比较什么；2. 评价标准；3. 主要选项对比；4. 适合/不适合人群；5. 购买前检查清单；6. 自然推荐相关集合页</x:v>
      </x:c>
      <x:c r="G19" s="18" t="str">
        <x:v>评价标准、对比维度、适合人群、优缺点、购买前清单、客观免责声明</x:v>
      </x:c>
      <x:c r="H19" s="18" t="str">
        <x:v>不要硬塞产品、不要关键词堆砌、不要承诺不确定的效果</x:v>
      </x:c>
      <x:c r="I19" s="18" t="str">
        <x:v>/collections/disposable-vapes；锚文本用自然句/品类词/品牌词</x:v>
      </x:c>
      <x:c r="J19" s="18" t="str">
        <x:v>文中自然引导查看相关集合页，不要硬广</x:v>
      </x:c>
      <x:c r="K19" s="47" t="n">
        <x:v>74</x:v>
      </x:c>
    </x:row>
    <x:row r="20">
      <x:c r="A20" s="40" t="str">
        <x:v>most popular vapes</x:v>
      </x:c>
      <x:c r="B20" s="18" t="str">
        <x:v>博客C-对比评测</x:v>
      </x:c>
      <x:c r="C20" s="18" t="str">
        <x:v>informational, commercial</x:v>
      </x:c>
      <x:c r="D20" s="18" t="str">
        <x:v>用户想知道 most popular vapes 里哪种选择更值得买、差异是什么、有没有替代方案。</x:v>
      </x:c>
      <x:c r="E20" s="18" t="str">
        <x:v>Most Popular Vapes: Best Options, Comparisons, and Buying Considerations</x:v>
      </x:c>
      <x:c r="F20" s="18" t="str">
        <x:v>1. 搜索者到底想比较什么；2. 评价标准；3. 主要选项对比；4. 适合/不适合人群；5. 购买前检查清单；6. 自然推荐相关集合页</x:v>
      </x:c>
      <x:c r="G20" s="18" t="str">
        <x:v>评价标准、对比维度、适合人群、优缺点、购买前清单、客观免责声明</x:v>
      </x:c>
      <x:c r="H20" s="18" t="str">
        <x:v>不要硬塞产品、不要关键词堆砌、不要承诺不确定的效果</x:v>
      </x:c>
      <x:c r="I20" s="18" t="str">
        <x:v>/collections/disposable-vapes；锚文本用自然句/品类词/品牌词</x:v>
      </x:c>
      <x:c r="J20" s="18" t="str">
        <x:v>文中自然引导查看相关集合页，不要硬广</x:v>
      </x:c>
      <x:c r="K20" s="47" t="n">
        <x:v>74</x:v>
      </x:c>
    </x:row>
    <x:row r="21">
      <x:c r="A21" s="40" t="str">
        <x:v>best vape juice brands</x:v>
      </x:c>
      <x:c r="B21" s="18" t="str">
        <x:v>博客C-对比评测</x:v>
      </x:c>
      <x:c r="C21" s="18" t="str">
        <x:v>commercial</x:v>
      </x:c>
      <x:c r="D21" s="18" t="str">
        <x:v>用户想知道 best vape juice brands 里哪种选择更值得买、差异是什么、有没有替代方案。</x:v>
      </x:c>
      <x:c r="E21" s="18" t="str">
        <x:v>Best Vape Juice Brands: Best Options, Comparisons, and Buying Considerations</x:v>
      </x:c>
      <x:c r="F21" s="18" t="str">
        <x:v>1. 搜索者到底想比较什么；2. 评价标准；3. 主要选项对比；4. 适合/不适合人群；5. 购买前检查清单；6. 自然推荐相关集合页</x:v>
      </x:c>
      <x:c r="G21" s="18" t="str">
        <x:v>评价标准、对比维度、适合人群、优缺点、购买前清单、客观免责声明</x:v>
      </x:c>
      <x:c r="H21" s="18" t="str">
        <x:v>不要硬塞产品、不要关键词堆砌、不要承诺不确定的效果</x:v>
      </x:c>
      <x:c r="I21" s="18" t="str">
        <x:v>/collections/disposable-vapes；锚文本用自然句/品类词/品牌词</x:v>
      </x:c>
      <x:c r="J21" s="18" t="str">
        <x:v>文中自然引导查看相关集合页，不要硬广</x:v>
      </x:c>
      <x:c r="K21" s="47" t="n">
        <x:v>74</x:v>
      </x:c>
    </x:row>
    <x:row r="22">
      <x:c r="A22" s="40" t="str">
        <x:v>best foger vape flavors</x:v>
      </x:c>
      <x:c r="B22" s="18" t="str">
        <x:v>博客C-对比评测</x:v>
      </x:c>
      <x:c r="C22" s="18" t="str">
        <x:v>commercial</x:v>
      </x:c>
      <x:c r="D22" s="18" t="str">
        <x:v>用户想知道 best foger vape flavors 里哪种选择更值得买、差异是什么、有没有替代方案。</x:v>
      </x:c>
      <x:c r="E22" s="18" t="str">
        <x:v>Best Foger Vape Flavors: Best Options, Comparisons, and Buying Considerations</x:v>
      </x:c>
      <x:c r="F22" s="18" t="str">
        <x:v>1. 搜索者到底想比较什么；2. 评价标准；3. 主要选项对比；4. 适合/不适合人群；5. 购买前检查清单；6. 自然推荐相关集合页</x:v>
      </x:c>
      <x:c r="G22" s="18" t="str">
        <x:v>评价标准、对比维度、适合人群、优缺点、购买前清单、客观免责声明</x:v>
      </x:c>
      <x:c r="H22" s="18" t="str">
        <x:v>不要硬塞产品、不要关键词堆砌、不要承诺不确定的效果</x:v>
      </x:c>
      <x:c r="I22" s="18" t="str">
        <x:v>/collections/flavored-disposable-vapes；锚文本用自然句/品类词/品牌词</x:v>
      </x:c>
      <x:c r="J22" s="18" t="str">
        <x:v>文中自然引导查看相关集合页，不要硬广</x:v>
      </x:c>
      <x:c r="K22" s="47" t="n">
        <x:v>74</x:v>
      </x:c>
    </x:row>
    <x:row r="23">
      <x:c r="A23" s="40" t="str">
        <x:v>refillable vape</x:v>
      </x:c>
      <x:c r="B23" s="18" t="str">
        <x:v>博客B-场景人群</x:v>
      </x:c>
      <x:c r="C23" s="18" t="str">
        <x:v>informational</x:v>
      </x:c>
      <x:c r="D23" s="18" t="str">
        <x:v>用户在具体场景下考虑 refillable vape，想知道怎么选更合适。</x:v>
      </x:c>
      <x:c r="E23" s="18" t="str">
        <x:v>Refillable Vape: How to Choose the Right Option for Your Needs</x:v>
      </x:c>
      <x:c r="F23" s="18" t="str">
        <x:v>1. 场景/人群问题；2. 选择维度；3. 常见误区；4. 推荐判断标准；5. FAQ；6. 如果需要购买，链接到对应集合页</x:v>
      </x:c>
      <x:c r="G23" s="18" t="str">
        <x:v>使用场景、核心选择标准、常见误区、FAQ、自然内链到主站相关集合页</x:v>
      </x:c>
      <x:c r="H23" s="18" t="str">
        <x:v>不要写戒烟疗效、健康保证、医疗建议或购买诱导</x:v>
      </x:c>
      <x:c r="I23" s="18" t="str">
        <x:v>/collections/rechargeable-vapes；锚文本用自然句/品类词</x:v>
      </x:c>
      <x:c r="J23" s="18" t="str">
        <x:v>文中自然引导查看相关集合页，不要硬广</x:v>
      </x:c>
      <x:c r="K23" s="47" t="n">
        <x:v>71</x:v>
      </x:c>
    </x:row>
    <x:row r="24">
      <x:c r="A24" s="40" t="str">
        <x:v>vape with screen</x:v>
      </x:c>
      <x:c r="B24" s="18" t="str">
        <x:v>博客B-场景人群</x:v>
      </x:c>
      <x:c r="C24" s="18" t="str">
        <x:v>informational</x:v>
      </x:c>
      <x:c r="D24" s="18" t="str">
        <x:v>用户在具体场景下考虑 vape with screen，想知道怎么选更合适。</x:v>
      </x:c>
      <x:c r="E24" s="18" t="str">
        <x:v>Vape With Screen: How to Choose the Right Option for Your Needs</x:v>
      </x:c>
      <x:c r="F24" s="18" t="str">
        <x:v>1. 场景/人群问题；2. 选择维度；3. 常见误区；4. 推荐判断标准；5. FAQ；6. 如果需要购买，链接到对应集合页</x:v>
      </x:c>
      <x:c r="G24" s="18" t="str">
        <x:v>使用场景、核心选择标准、常见误区、FAQ、自然内链到主站相关集合页</x:v>
      </x:c>
      <x:c r="H24" s="18" t="str">
        <x:v>不要写戒烟疗效、健康保证、医疗建议或购买诱导</x:v>
      </x:c>
      <x:c r="I24" s="18" t="str">
        <x:v>/collections/disposable-vapes；锚文本用自然句/品类词</x:v>
      </x:c>
      <x:c r="J24" s="18" t="str">
        <x:v>文中自然引导查看相关集合页，不要硬广</x:v>
      </x:c>
      <x:c r="K24" s="47" t="n">
        <x:v>71</x:v>
      </x:c>
    </x:row>
    <x:row r="25">
      <x:c r="A25" s="40" t="str">
        <x:v>disposable vape brands</x:v>
      </x:c>
      <x:c r="B25" s="18" t="str">
        <x:v>博客C-对比评测</x:v>
      </x:c>
      <x:c r="C25" s="18" t="str">
        <x:v>informational, commercial</x:v>
      </x:c>
      <x:c r="D25" s="18" t="str">
        <x:v>用户想知道 disposable vape brands 里哪种选择更值得买、差异是什么、有没有替代方案。</x:v>
      </x:c>
      <x:c r="E25" s="18" t="str">
        <x:v>Disposable Vape Brands: Best Options, Comparisons, and Buying Considerations</x:v>
      </x:c>
      <x:c r="F25" s="18" t="str">
        <x:v>1. 搜索者到底想比较什么；2. 评价标准；3. 主要选项对比；4. 适合/不适合人群；5. 购买前检查清单；6. 自然推荐相关集合页</x:v>
      </x:c>
      <x:c r="G25" s="18" t="str">
        <x:v>评价标准、对比维度、适合人群、优缺点、购买前清单、客观免责声明</x:v>
      </x:c>
      <x:c r="H25" s="18" t="str">
        <x:v>不要硬塞产品、不要关键词堆砌、不要承诺不确定的效果</x:v>
      </x:c>
      <x:c r="I25" s="18" t="str">
        <x:v>/collections/disposable-vapes；锚文本用自然句/品类词/品牌词</x:v>
      </x:c>
      <x:c r="J25" s="18" t="str">
        <x:v>文中自然引导查看相关集合页，不要硬广</x:v>
      </x:c>
      <x:c r="K25" s="47" t="n">
        <x:v>71</x:v>
      </x:c>
    </x:row>
    <x:row r="26">
      <x:c r="A26" s="40" t="str">
        <x:v>vapes brands</x:v>
      </x:c>
      <x:c r="B26" s="18" t="str">
        <x:v>博客C-对比评测</x:v>
      </x:c>
      <x:c r="C26" s="18" t="str">
        <x:v>informational, commercial</x:v>
      </x:c>
      <x:c r="D26" s="18" t="str">
        <x:v>用户想知道 vapes brands 里哪种选择更值得买、差异是什么、有没有替代方案。</x:v>
      </x:c>
      <x:c r="E26" s="18" t="str">
        <x:v>Vapes Brands: Best Options, Comparisons, and Buying Considerations</x:v>
      </x:c>
      <x:c r="F26" s="18" t="str">
        <x:v>1. 搜索者到底想比较什么；2. 评价标准；3. 主要选项对比；4. 适合/不适合人群；5. 购买前检查清单；6. 自然推荐相关集合页</x:v>
      </x:c>
      <x:c r="G26" s="18" t="str">
        <x:v>评价标准、对比维度、适合人群、优缺点、购买前清单、客观免责声明</x:v>
      </x:c>
      <x:c r="H26" s="18" t="str">
        <x:v>不要硬塞产品、不要关键词堆砌、不要承诺不确定的效果</x:v>
      </x:c>
      <x:c r="I26" s="18" t="str">
        <x:v>/collections/disposable-vapes；锚文本用自然句/品类词/品牌词</x:v>
      </x:c>
      <x:c r="J26" s="18" t="str">
        <x:v>文中自然引导查看相关集合页，不要硬广</x:v>
      </x:c>
      <x:c r="K26" s="47" t="n">
        <x:v>71</x:v>
      </x:c>
    </x:row>
    <x:row r="27">
      <x:c r="A27" s="40" t="str">
        <x:v>rechargeable disposable vape</x:v>
      </x:c>
      <x:c r="B27" s="18" t="str">
        <x:v>博客B-场景人群</x:v>
      </x:c>
      <x:c r="C27" s="18" t="str">
        <x:v>informational</x:v>
      </x:c>
      <x:c r="D27" s="18" t="str">
        <x:v>用户在具体场景下考虑 rechargeable disposable vape，想知道怎么选更合适。</x:v>
      </x:c>
      <x:c r="E27" s="18" t="str">
        <x:v>Rechargeable Disposable Vape: How to Choose the Right Option for Your Needs</x:v>
      </x:c>
      <x:c r="F27" s="18" t="str">
        <x:v>1. 场景/人群问题；2. 选择维度；3. 常见误区；4. 推荐判断标准；5. FAQ；6. 如果需要购买，链接到对应集合页</x:v>
      </x:c>
      <x:c r="G27" s="18" t="str">
        <x:v>使用场景、核心选择标准、常见误区、FAQ、自然内链到主站相关集合页</x:v>
      </x:c>
      <x:c r="H27" s="18" t="str">
        <x:v>不要写戒烟疗效、健康保证、医疗建议或购买诱导</x:v>
      </x:c>
      <x:c r="I27" s="18" t="str">
        <x:v>/collections/rechargeable-vapes；锚文本用自然句/品类词</x:v>
      </x:c>
      <x:c r="J27" s="18" t="str">
        <x:v>文中自然引导查看相关集合页，不要硬广</x:v>
      </x:c>
      <x:c r="K27" s="47" t="n">
        <x:v>71</x:v>
      </x:c>
    </x:row>
    <x:row r="28">
      <x:c r="A28" s="40" t="str">
        <x:v>refillable vape pen</x:v>
      </x:c>
      <x:c r="B28" s="18" t="str">
        <x:v>博客B-场景人群</x:v>
      </x:c>
      <x:c r="C28" s="18" t="str">
        <x:v>informational</x:v>
      </x:c>
      <x:c r="D28" s="18" t="str">
        <x:v>用户在具体场景下考虑 refillable vape pen，想知道怎么选更合适。</x:v>
      </x:c>
      <x:c r="E28" s="18" t="str">
        <x:v>Refillable Vape Pen: How to Choose the Right Option for Your Needs</x:v>
      </x:c>
      <x:c r="F28" s="18" t="str">
        <x:v>1. 场景/人群问题；2. 选择维度；3. 常见误区；4. 推荐判断标准；5. FAQ；6. 如果需要购买，链接到对应集合页</x:v>
      </x:c>
      <x:c r="G28" s="18" t="str">
        <x:v>使用场景、核心选择标准、常见误区、FAQ、自然内链到主站相关集合页</x:v>
      </x:c>
      <x:c r="H28" s="18" t="str">
        <x:v>不要写戒烟疗效、健康保证、医疗建议或购买诱导</x:v>
      </x:c>
      <x:c r="I28" s="18" t="str">
        <x:v>/collections/rechargeable-vapes；锚文本用自然句/品类词</x:v>
      </x:c>
      <x:c r="J28" s="18" t="str">
        <x:v>文中自然引导查看相关集合页，不要硬广</x:v>
      </x:c>
      <x:c r="K28" s="47" t="n">
        <x:v>71</x:v>
      </x:c>
    </x:row>
    <x:row r="29">
      <x:c r="A29" s="40" t="str">
        <x:v>best vaporizer</x:v>
      </x:c>
      <x:c r="B29" s="18" t="str">
        <x:v>博客C-对比评测</x:v>
      </x:c>
      <x:c r="C29" s="18" t="str">
        <x:v>commercial</x:v>
      </x:c>
      <x:c r="D29" s="18" t="str">
        <x:v>用户想知道 best vaporizer 里哪种选择更值得买、差异是什么、有没有替代方案。</x:v>
      </x:c>
      <x:c r="E29" s="18" t="str">
        <x:v>Best Vaporizer: Best Options, Comparisons, and Buying Considerations</x:v>
      </x:c>
      <x:c r="F29" s="18" t="str">
        <x:v>1. 搜索者到底想比较什么；2. 评价标准；3. 主要选项对比；4. 适合/不适合人群；5. 购买前检查清单；6. 自然推荐相关集合页</x:v>
      </x:c>
      <x:c r="G29" s="18" t="str">
        <x:v>评价标准、对比维度、适合人群、优缺点、购买前清单、客观免责声明</x:v>
      </x:c>
      <x:c r="H29" s="18" t="str">
        <x:v>不要硬塞产品、不要关键词堆砌、不要承诺不确定的效果</x:v>
      </x:c>
      <x:c r="I29" s="18" t="str">
        <x:v>/collections/disposable-vapes；锚文本用自然句/品类词/品牌词</x:v>
      </x:c>
      <x:c r="J29" s="18" t="str">
        <x:v>文中自然引导查看相关集合页，不要硬广</x:v>
      </x:c>
      <x:c r="K29" s="47" t="n">
        <x:v>71</x:v>
      </x:c>
    </x:row>
    <x:row r="30">
      <x:c r="A30" s="40" t="str">
        <x:v>best nicotine vape</x:v>
      </x:c>
      <x:c r="B30" s="18" t="str">
        <x:v>博客C-对比评测</x:v>
      </x:c>
      <x:c r="C30" s="18" t="str">
        <x:v>commercial</x:v>
      </x:c>
      <x:c r="D30" s="18" t="str">
        <x:v>用户想知道 best nicotine vape 里哪种选择更值得买、差异是什么、有没有替代方案。</x:v>
      </x:c>
      <x:c r="E30" s="18" t="str">
        <x:v>Best Nicotine Vape: Best Options, Comparisons, and Buying Considerations</x:v>
      </x:c>
      <x:c r="F30" s="18" t="str">
        <x:v>1. 搜索者到底想比较什么；2. 评价标准；3. 主要选项对比；4. 适合/不适合人群；5. 购买前检查清单；6. 自然推荐相关集合页</x:v>
      </x:c>
      <x:c r="G30" s="18" t="str">
        <x:v>评价标准、对比维度、适合人群、优缺点、购买前清单、客观免责声明</x:v>
      </x:c>
      <x:c r="H30" s="18" t="str">
        <x:v>不要硬塞产品、不要关键词堆砌、不要承诺不确定的效果</x:v>
      </x:c>
      <x:c r="I30" s="18" t="str">
        <x:v>/collections/disposable-vapes；锚文本用自然句/品类词/品牌词</x:v>
      </x:c>
      <x:c r="J30" s="18" t="str">
        <x:v>文中自然引导查看相关集合页，不要硬广</x:v>
      </x:c>
      <x:c r="K30" s="47" t="n">
        <x:v>71</x:v>
      </x:c>
    </x:row>
    <x:row r="31">
      <x:c r="A31" s="40" t="str">
        <x:v>best vape disposable</x:v>
      </x:c>
      <x:c r="B31" s="18" t="str">
        <x:v>博客C-对比评测</x:v>
      </x:c>
      <x:c r="C31" s="18" t="str">
        <x:v>commercial</x:v>
      </x:c>
      <x:c r="D31" s="18" t="str">
        <x:v>用户想知道 best vape disposable 里哪种选择更值得买、差异是什么、有没有替代方案。</x:v>
      </x:c>
      <x:c r="E31" s="18" t="str">
        <x:v>Best Vape Disposable: Best Options, Comparisons, and Buying Considerations</x:v>
      </x:c>
      <x:c r="F31" s="18" t="str">
        <x:v>1. 搜索者到底想比较什么；2. 评价标准；3. 主要选项对比；4. 适合/不适合人群；5. 购买前检查清单；6. 自然推荐相关集合页</x:v>
      </x:c>
      <x:c r="G31" s="18" t="str">
        <x:v>评价标准、对比维度、适合人群、优缺点、购买前清单、客观免责声明</x:v>
      </x:c>
      <x:c r="H31" s="18" t="str">
        <x:v>不要硬塞产品、不要关键词堆砌、不要承诺不确定的效果</x:v>
      </x:c>
      <x:c r="I31" s="18" t="str">
        <x:v>/collections/disposable-vapes；锚文本用自然句/品类词/品牌词</x:v>
      </x:c>
      <x:c r="J31" s="18" t="str">
        <x:v>文中自然引导查看相关集合页，不要硬广</x:v>
      </x:c>
      <x:c r="K31" s="47" t="n">
        <x:v>71</x:v>
      </x:c>
    </x:row>
    <x:row r="32">
      <x:c r="A32" s="40" t="str">
        <x:v>e cigarette brands</x:v>
      </x:c>
      <x:c r="B32" s="18" t="str">
        <x:v>博客C-对比评测</x:v>
      </x:c>
      <x:c r="C32" s="18" t="str">
        <x:v>informational, commercial</x:v>
      </x:c>
      <x:c r="D32" s="18" t="str">
        <x:v>用户想知道 e cigarette brands 里哪种选择更值得买、差异是什么、有没有替代方案。</x:v>
      </x:c>
      <x:c r="E32" s="18" t="str">
        <x:v>E Cigarette Brands: Best Options, Comparisons, and Buying Considerations</x:v>
      </x:c>
      <x:c r="F32" s="18" t="str">
        <x:v>1. 搜索者到底想比较什么；2. 评价标准；3. 主要选项对比；4. 适合/不适合人群；5. 购买前检查清单；6. 自然推荐相关集合页</x:v>
      </x:c>
      <x:c r="G32" s="18" t="str">
        <x:v>评价标准、对比维度、适合人群、优缺点、购买前清单、客观免责声明</x:v>
      </x:c>
      <x:c r="H32" s="18" t="str">
        <x:v>不要硬塞产品、不要关键词堆砌、不要承诺不确定的效果</x:v>
      </x:c>
      <x:c r="I32" s="18" t="str">
        <x:v>/collections/e-cigarettes；锚文本用自然句/品类词/品牌词</x:v>
      </x:c>
      <x:c r="J32" s="18" t="str">
        <x:v>文中自然引导查看相关集合页，不要硬广</x:v>
      </x:c>
      <x:c r="K32" s="47" t="n">
        <x:v>71</x:v>
      </x:c>
    </x:row>
    <x:row r="33">
      <x:c r="A33" s="40" t="str">
        <x:v>electronic cigarette brands</x:v>
      </x:c>
      <x:c r="B33" s="18" t="str">
        <x:v>博客C-对比评测</x:v>
      </x:c>
      <x:c r="C33" s="18" t="str">
        <x:v>commercial</x:v>
      </x:c>
      <x:c r="D33" s="18" t="str">
        <x:v>用户想知道 electronic cigarette brands 里哪种选择更值得买、差异是什么、有没有替代方案。</x:v>
      </x:c>
      <x:c r="E33" s="18" t="str">
        <x:v>Electronic Cigarette Brands: Best Options, Comparisons, and Buying Considerations</x:v>
      </x:c>
      <x:c r="F33" s="18" t="str">
        <x:v>1. 搜索者到底想比较什么；2. 评价标准；3. 主要选项对比；4. 适合/不适合人群；5. 购买前检查清单；6. 自然推荐相关集合页</x:v>
      </x:c>
      <x:c r="G33" s="18" t="str">
        <x:v>评价标准、对比维度、适合人群、优缺点、购买前清单、客观免责声明</x:v>
      </x:c>
      <x:c r="H33" s="18" t="str">
        <x:v>不要硬塞产品、不要关键词堆砌、不要承诺不确定的效果</x:v>
      </x:c>
      <x:c r="I33" s="18" t="str">
        <x:v>/collections/e-cigarettes；锚文本用自然句/品类词/品牌词</x:v>
      </x:c>
      <x:c r="J33" s="18" t="str">
        <x:v>文中自然引导查看相关集合页，不要硬广</x:v>
      </x:c>
      <x:c r="K33" s="47" t="n">
        <x:v>71</x:v>
      </x:c>
    </x:row>
    <x:row r="34">
      <x:c r="A34" s="40" t="str">
        <x:v>most popular vape</x:v>
      </x:c>
      <x:c r="B34" s="18" t="str">
        <x:v>博客C-对比评测</x:v>
      </x:c>
      <x:c r="C34" s="18" t="str">
        <x:v>informational, commercial</x:v>
      </x:c>
      <x:c r="D34" s="18" t="str">
        <x:v>用户想知道 most popular vape 里哪种选择更值得买、差异是什么、有没有替代方案。</x:v>
      </x:c>
      <x:c r="E34" s="18" t="str">
        <x:v>Most Popular Vape: Best Options, Comparisons, and Buying Considerations</x:v>
      </x:c>
      <x:c r="F34" s="18" t="str">
        <x:v>1. 搜索者到底想比较什么；2. 评价标准；3. 主要选项对比；4. 适合/不适合人群；5. 购买前检查清单；6. 自然推荐相关集合页</x:v>
      </x:c>
      <x:c r="G34" s="18" t="str">
        <x:v>评价标准、对比维度、适合人群、优缺点、购买前清单、客观免责声明</x:v>
      </x:c>
      <x:c r="H34" s="18" t="str">
        <x:v>不要硬塞产品、不要关键词堆砌、不要承诺不确定的效果</x:v>
      </x:c>
      <x:c r="I34" s="18" t="str">
        <x:v>/collections/disposable-vapes；锚文本用自然句/品类词/品牌词</x:v>
      </x:c>
      <x:c r="J34" s="18" t="str">
        <x:v>文中自然引导查看相关集合页，不要硬广</x:v>
      </x:c>
      <x:c r="K34" s="47" t="n">
        <x:v>71</x:v>
      </x:c>
    </x:row>
    <x:row r="35">
      <x:c r="A35" s="40" t="str">
        <x:v>best disposable vape brands</x:v>
      </x:c>
      <x:c r="B35" s="18" t="str">
        <x:v>博客C-对比评测</x:v>
      </x:c>
      <x:c r="C35" s="18" t="str">
        <x:v>commercial</x:v>
      </x:c>
      <x:c r="D35" s="18" t="str">
        <x:v>用户想知道 best disposable vape brands 里哪种选择更值得买、差异是什么、有没有替代方案。</x:v>
      </x:c>
      <x:c r="E35" s="18" t="str">
        <x:v>Best Disposable Vape Brands: Best Options, Comparisons, and Buying Considerations</x:v>
      </x:c>
      <x:c r="F35" s="18" t="str">
        <x:v>1. 搜索者到底想比较什么；2. 评价标准；3. 主要选项对比；4. 适合/不适合人群；5. 购买前检查清单；6. 自然推荐相关集合页</x:v>
      </x:c>
      <x:c r="G35" s="18" t="str">
        <x:v>评价标准、对比维度、适合人群、优缺点、购买前清单、客观免责声明</x:v>
      </x:c>
      <x:c r="H35" s="18" t="str">
        <x:v>不要硬塞产品、不要关键词堆砌、不要承诺不确定的效果</x:v>
      </x:c>
      <x:c r="I35" s="18" t="str">
        <x:v>/collections/disposable-vapes；锚文本用自然句/品类词/品牌词</x:v>
      </x:c>
      <x:c r="J35" s="18" t="str">
        <x:v>文中自然引导查看相关集合页，不要硬广</x:v>
      </x:c>
      <x:c r="K35" s="47" t="n">
        <x:v>71</x:v>
      </x:c>
    </x:row>
    <x:row r="36">
      <x:c r="A36" s="40" t="str">
        <x:v>popular vape flavors</x:v>
      </x:c>
      <x:c r="B36" s="18" t="str">
        <x:v>博客C-对比评测</x:v>
      </x:c>
      <x:c r="C36" s="18" t="str">
        <x:v>informational</x:v>
      </x:c>
      <x:c r="D36" s="18" t="str">
        <x:v>用户想知道 popular vape flavors 里哪种选择更值得买、差异是什么、有没有替代方案。</x:v>
      </x:c>
      <x:c r="E36" s="18" t="str">
        <x:v>Popular Vape Flavors: Best Options, Comparisons, and Buying Considerations</x:v>
      </x:c>
      <x:c r="F36" s="18" t="str">
        <x:v>1. 搜索者到底想比较什么；2. 评价标准；3. 主要选项对比；4. 适合/不适合人群；5. 购买前检查清单；6. 自然推荐相关集合页</x:v>
      </x:c>
      <x:c r="G36" s="18" t="str">
        <x:v>评价标准、对比维度、适合人群、优缺点、购买前清单、客观免责声明</x:v>
      </x:c>
      <x:c r="H36" s="18" t="str">
        <x:v>不要硬塞产品、不要关键词堆砌、不要承诺不确定的效果</x:v>
      </x:c>
      <x:c r="I36" s="18" t="str">
        <x:v>/collections/flavored-disposable-vapes；锚文本用自然句/品类词/品牌词</x:v>
      </x:c>
      <x:c r="J36" s="18" t="str">
        <x:v>文中自然引导查看相关集合页，不要硬广</x:v>
      </x:c>
      <x:c r="K36" s="47" t="n">
        <x:v>71</x:v>
      </x:c>
    </x:row>
    <x:row r="37">
      <x:c r="A37" s="40" t="str">
        <x:v>what is the best vape</x:v>
      </x:c>
      <x:c r="B37" s="18" t="str">
        <x:v>博客C-对比评测</x:v>
      </x:c>
      <x:c r="C37" s="18" t="str">
        <x:v>commercial</x:v>
      </x:c>
      <x:c r="D37" s="18" t="str">
        <x:v>用户想知道 what is the best vape 里哪种选择更值得买、差异是什么、有没有替代方案。</x:v>
      </x:c>
      <x:c r="E37" s="18" t="str">
        <x:v>What Is The Best Vape: Best Options, Comparisons, and Buying Considerations</x:v>
      </x:c>
      <x:c r="F37" s="18" t="str">
        <x:v>1. 搜索者到底想比较什么；2. 评价标准；3. 主要选项对比；4. 适合/不适合人群；5. 购买前检查清单；6. 自然推荐相关集合页</x:v>
      </x:c>
      <x:c r="G37" s="18" t="str">
        <x:v>评价标准、对比维度、适合人群、优缺点、购买前清单、客观免责声明</x:v>
      </x:c>
      <x:c r="H37" s="18" t="str">
        <x:v>不要硬塞产品、不要关键词堆砌、不要承诺不确定的效果</x:v>
      </x:c>
      <x:c r="I37" s="18" t="str">
        <x:v>/collections/disposable-vapes；锚文本用自然句/品类词/品牌词</x:v>
      </x:c>
      <x:c r="J37" s="18" t="str">
        <x:v>文中自然引导查看相关集合页，不要硬广</x:v>
      </x:c>
      <x:c r="K37" s="47" t="n">
        <x:v>71</x:v>
      </x:c>
    </x:row>
    <x:row r="38">
      <x:c r="A38" s="40" t="str">
        <x:v>best tobacco flavor disposable vape</x:v>
      </x:c>
      <x:c r="B38" s="18" t="str">
        <x:v>博客C-对比评测</x:v>
      </x:c>
      <x:c r="C38" s="18" t="str">
        <x:v>commercial</x:v>
      </x:c>
      <x:c r="D38" s="18" t="str">
        <x:v>用户想知道 best tobacco flavor disposable vape 里哪种选择更值得买、差异是什么、有没有替代方案。</x:v>
      </x:c>
      <x:c r="E38" s="18" t="str">
        <x:v>Best Tobacco Flavor Disposable Vape: Best Options, Comparisons, and Buying Considerations</x:v>
      </x:c>
      <x:c r="F38" s="18" t="str">
        <x:v>1. 搜索者到底想比较什么；2. 评价标准；3. 主要选项对比；4. 适合/不适合人群；5. 购买前检查清单；6. 自然推荐相关集合页</x:v>
      </x:c>
      <x:c r="G38" s="18" t="str">
        <x:v>评价标准、对比维度、适合人群、优缺点、购买前清单、客观免责声明</x:v>
      </x:c>
      <x:c r="H38" s="18" t="str">
        <x:v>不要硬塞产品、不要关键词堆砌、不要承诺不确定的效果</x:v>
      </x:c>
      <x:c r="I38" s="18" t="str">
        <x:v>/collections/flavored-disposable-vapes；锚文本用自然句/品类词/品牌词</x:v>
      </x:c>
      <x:c r="J38" s="18" t="str">
        <x:v>文中自然引导查看相关集合页，不要硬广</x:v>
      </x:c>
      <x:c r="K38" s="47" t="n">
        <x:v>71</x:v>
      </x:c>
    </x:row>
    <x:row r="39">
      <x:c r="A39" s="40" t="str">
        <x:v>best vape starter kit</x:v>
      </x:c>
      <x:c r="B39" s="18" t="str">
        <x:v>博客C-对比评测</x:v>
      </x:c>
      <x:c r="C39" s="18" t="str">
        <x:v>commercial</x:v>
      </x:c>
      <x:c r="D39" s="18" t="str">
        <x:v>用户想知道 best vape starter kit 里哪种选择更值得买、差异是什么、有没有替代方案。</x:v>
      </x:c>
      <x:c r="E39" s="18" t="str">
        <x:v>Best Vape Starter Kit: Best Options, Comparisons, and Buying Considerations</x:v>
      </x:c>
      <x:c r="F39" s="18" t="str">
        <x:v>1. 搜索者到底想比较什么；2. 评价标准；3. 主要选项对比；4. 适合/不适合人群；5. 购买前检查清单；6. 自然推荐相关集合页</x:v>
      </x:c>
      <x:c r="G39" s="18" t="str">
        <x:v>评价标准、对比维度、适合人群、优缺点、购买前清单、客观免责声明</x:v>
      </x:c>
      <x:c r="H39" s="18" t="str">
        <x:v>不要硬塞产品、不要关键词堆砌、不要承诺不确定的效果</x:v>
      </x:c>
      <x:c r="I39" s="18" t="str">
        <x:v>/collections/disposable-vapes；锚文本用自然句/品类词/品牌词</x:v>
      </x:c>
      <x:c r="J39" s="18" t="str">
        <x:v>文中自然引导查看相关集合页，不要硬广</x:v>
      </x:c>
      <x:c r="K39" s="47" t="n">
        <x:v>71</x:v>
      </x:c>
    </x:row>
    <x:row r="40">
      <x:c r="A40" s="40" t="str">
        <x:v>best mint vape</x:v>
      </x:c>
      <x:c r="B40" s="18" t="str">
        <x:v>博客C-对比评测</x:v>
      </x:c>
      <x:c r="C40" s="18" t="str">
        <x:v>commercial</x:v>
      </x:c>
      <x:c r="D40" s="18" t="str">
        <x:v>用户想知道 best mint vape 里哪种选择更值得买、差异是什么、有没有替代方案。</x:v>
      </x:c>
      <x:c r="E40" s="18" t="str">
        <x:v>Best Mint Vape: Best Options, Comparisons, and Buying Considerations</x:v>
      </x:c>
      <x:c r="F40" s="18" t="str">
        <x:v>1. 搜索者到底想比较什么；2. 评价标准；3. 主要选项对比；4. 适合/不适合人群；5. 购买前检查清单；6. 自然推荐相关集合页</x:v>
      </x:c>
      <x:c r="G40" s="18" t="str">
        <x:v>评价标准、对比维度、适合人群、优缺点、购买前清单、客观免责声明</x:v>
      </x:c>
      <x:c r="H40" s="18" t="str">
        <x:v>不要硬塞产品、不要关键词堆砌、不要承诺不确定的效果</x:v>
      </x:c>
      <x:c r="I40" s="18" t="str">
        <x:v>/collections/disposable-vapes；锚文本用自然句/品类词/品牌词</x:v>
      </x:c>
      <x:c r="J40" s="18" t="str">
        <x:v>文中自然引导查看相关集合页，不要硬广</x:v>
      </x:c>
      <x:c r="K40" s="47" t="n">
        <x:v>71</x:v>
      </x:c>
    </x:row>
    <x:row r="41">
      <x:c r="A41" s="40" t="str">
        <x:v>best beginner vape kit</x:v>
      </x:c>
      <x:c r="B41" s="18" t="str">
        <x:v>博客C-对比评测</x:v>
      </x:c>
      <x:c r="C41" s="18" t="str">
        <x:v>commercial</x:v>
      </x:c>
      <x:c r="D41" s="18" t="str">
        <x:v>用户想知道 best beginner vape kit 里哪种选择更值得买、差异是什么、有没有替代方案。</x:v>
      </x:c>
      <x:c r="E41" s="18" t="str">
        <x:v>Best Beginner Vape Kit: Best Options, Comparisons, and Buying Considerations</x:v>
      </x:c>
      <x:c r="F41" s="18" t="str">
        <x:v>1. 搜索者到底想比较什么；2. 评价标准；3. 主要选项对比；4. 适合/不适合人群；5. 购买前检查清单；6. 自然推荐相关集合页</x:v>
      </x:c>
      <x:c r="G41" s="18" t="str">
        <x:v>评价标准、对比维度、适合人群、优缺点、购买前清单、客观免责声明</x:v>
      </x:c>
      <x:c r="H41" s="18" t="str">
        <x:v>不要硬塞产品、不要关键词堆砌、不要承诺不确定的效果</x:v>
      </x:c>
      <x:c r="I41" s="18" t="str">
        <x:v>/collections/disposable-vapes；锚文本用自然句/品类词/品牌词</x:v>
      </x:c>
      <x:c r="J41" s="18" t="str">
        <x:v>文中自然引导查看相关集合页，不要硬广</x:v>
      </x:c>
      <x:c r="K41" s="47" t="n">
        <x:v>71</x:v>
      </x:c>
    </x:row>
    <x:row r="42">
      <x:c r="A42" s="40" t="str">
        <x:v>best tobacco vape juice</x:v>
      </x:c>
      <x:c r="B42" s="18" t="str">
        <x:v>博客C-对比评测</x:v>
      </x:c>
      <x:c r="C42" s="18" t="str">
        <x:v>commercial</x:v>
      </x:c>
      <x:c r="D42" s="18" t="str">
        <x:v>用户想知道 best tobacco vape juice 里哪种选择更值得买、差异是什么、有没有替代方案。</x:v>
      </x:c>
      <x:c r="E42" s="18" t="str">
        <x:v>Best Tobacco Vape Juice: Best Options, Comparisons, and Buying Considerations</x:v>
      </x:c>
      <x:c r="F42" s="18" t="str">
        <x:v>1. 搜索者到底想比较什么；2. 评价标准；3. 主要选项对比；4. 适合/不适合人群；5. 购买前检查清单；6. 自然推荐相关集合页</x:v>
      </x:c>
      <x:c r="G42" s="18" t="str">
        <x:v>评价标准、对比维度、适合人群、优缺点、购买前清单、客观免责声明</x:v>
      </x:c>
      <x:c r="H42" s="18" t="str">
        <x:v>不要硬塞产品、不要关键词堆砌、不要承诺不确定的效果</x:v>
      </x:c>
      <x:c r="I42" s="18" t="str">
        <x:v>/collections/disposable-vapes；锚文本用自然句/品类词/品牌词</x:v>
      </x:c>
      <x:c r="J42" s="18" t="str">
        <x:v>文中自然引导查看相关集合页，不要硬广</x:v>
      </x:c>
      <x:c r="K42" s="47" t="n">
        <x:v>71</x:v>
      </x:c>
    </x:row>
    <x:row r="43">
      <x:c r="A43" s="40" t="str">
        <x:v>what is the best vape brand</x:v>
      </x:c>
      <x:c r="B43" s="18" t="str">
        <x:v>博客C-对比评测</x:v>
      </x:c>
      <x:c r="C43" s="18" t="str">
        <x:v>commercial</x:v>
      </x:c>
      <x:c r="D43" s="18" t="str">
        <x:v>用户想知道 what is the best vape brand 里哪种选择更值得买、差异是什么、有没有替代方案。</x:v>
      </x:c>
      <x:c r="E43" s="18" t="str">
        <x:v>What Is The Best Vape Brand: Best Options, Comparisons, and Buying Considerations</x:v>
      </x:c>
      <x:c r="F43" s="18" t="str">
        <x:v>1. 搜索者到底想比较什么；2. 评价标准；3. 主要选项对比；4. 适合/不适合人群；5. 购买前检查清单；6. 自然推荐相关集合页</x:v>
      </x:c>
      <x:c r="G43" s="18" t="str">
        <x:v>评价标准、对比维度、适合人群、优缺点、购买前清单、客观免责声明</x:v>
      </x:c>
      <x:c r="H43" s="18" t="str">
        <x:v>不要硬塞产品、不要关键词堆砌、不要承诺不确定的效果</x:v>
      </x:c>
      <x:c r="I43" s="18" t="str">
        <x:v>/collections/disposable-vapes；锚文本用自然句/品类词/品牌词</x:v>
      </x:c>
      <x:c r="J43" s="18" t="str">
        <x:v>文中自然引导查看相关集合页，不要硬广</x:v>
      </x:c>
      <x:c r="K43" s="47" t="n">
        <x:v>71</x:v>
      </x:c>
    </x:row>
    <x:row r="44">
      <x:c r="A44" s="40" t="str">
        <x:v>what is the best vape pen for beginners</x:v>
      </x:c>
      <x:c r="B44" s="18" t="str">
        <x:v>博客C-对比评测</x:v>
      </x:c>
      <x:c r="C44" s="18" t="str">
        <x:v>commercial</x:v>
      </x:c>
      <x:c r="D44" s="18" t="str">
        <x:v>用户想知道 what is the best vape pen for beginners 里哪种选择更值得买、差异是什么、有没有替代方案。</x:v>
      </x:c>
      <x:c r="E44" s="18" t="str">
        <x:v>What Is The Best Vape Pen For Beginners: Best Options, Comparisons, and Buying Considerations</x:v>
      </x:c>
      <x:c r="F44" s="18" t="str">
        <x:v>1. 搜索者到底想比较什么；2. 评价标准；3. 主要选项对比；4. 适合/不适合人群；5. 购买前检查清单；6. 自然推荐相关集合页</x:v>
      </x:c>
      <x:c r="G44" s="18" t="str">
        <x:v>评价标准、对比维度、适合人群、优缺点、购买前清单、客观免责声明</x:v>
      </x:c>
      <x:c r="H44" s="18" t="str">
        <x:v>不要硬塞产品、不要关键词堆砌、不要承诺不确定的效果</x:v>
      </x:c>
      <x:c r="I44" s="18" t="str">
        <x:v>/collections/disposable-vapes；锚文本用自然句/品类词/品牌词</x:v>
      </x:c>
      <x:c r="J44" s="18" t="str">
        <x:v>文中自然引导查看相关集合页，不要硬广</x:v>
      </x:c>
      <x:c r="K44" s="47" t="n">
        <x:v>71</x:v>
      </x:c>
    </x:row>
    <x:row r="45">
      <x:c r="A45" s="40" t="str">
        <x:v>foger vape reviews</x:v>
      </x:c>
      <x:c r="B45" s="18" t="str">
        <x:v>博客C-对比评测</x:v>
      </x:c>
      <x:c r="C45" s="18" t="str">
        <x:v>commercial</x:v>
      </x:c>
      <x:c r="D45" s="18" t="str">
        <x:v>用户想知道 foger vape reviews 里哪种选择更值得买、差异是什么、有没有替代方案。</x:v>
      </x:c>
      <x:c r="E45" s="18" t="str">
        <x:v>Foger Vape Reviews: Best Options, Comparisons, and Buying Considerations</x:v>
      </x:c>
      <x:c r="F45" s="18" t="str">
        <x:v>1. 搜索者到底想比较什么；2. 评价标准；3. 主要选项对比；4. 适合/不适合人群；5. 购买前检查清单；6. 自然推荐相关集合页</x:v>
      </x:c>
      <x:c r="G45" s="18" t="str">
        <x:v>评价标准、对比维度、适合人群、优缺点、购买前清单、客观免责声明</x:v>
      </x:c>
      <x:c r="H45" s="18" t="str">
        <x:v>不要硬塞产品、不要关键词堆砌、不要承诺不确定的效果</x:v>
      </x:c>
      <x:c r="I45" s="18" t="str">
        <x:v>/collections/disposable-vapes；锚文本用自然句/品类词/品牌词</x:v>
      </x:c>
      <x:c r="J45" s="18" t="str">
        <x:v>文中自然引导查看相关集合页，不要硬广</x:v>
      </x:c>
      <x:c r="K45" s="47" t="n">
        <x:v>71</x:v>
      </x:c>
    </x:row>
    <x:row r="46">
      <x:c r="A46" s="40" t="str">
        <x:v>best vape for flavour</x:v>
      </x:c>
      <x:c r="B46" s="18" t="str">
        <x:v>博客C-对比评测</x:v>
      </x:c>
      <x:c r="C46" s="18" t="str">
        <x:v>commercial</x:v>
      </x:c>
      <x:c r="D46" s="18" t="str">
        <x:v>用户想知道 best vape for flavour 里哪种选择更值得买、差异是什么、有没有替代方案。</x:v>
      </x:c>
      <x:c r="E46" s="18" t="str">
        <x:v>Best Vape For Flavour: Best Options, Comparisons, and Buying Considerations</x:v>
      </x:c>
      <x:c r="F46" s="18" t="str">
        <x:v>1. 搜索者到底想比较什么；2. 评价标准；3. 主要选项对比；4. 适合/不适合人群；5. 购买前检查清单；6. 自然推荐相关集合页</x:v>
      </x:c>
      <x:c r="G46" s="18" t="str">
        <x:v>评价标准、对比维度、适合人群、优缺点、购买前清单、客观免责声明</x:v>
      </x:c>
      <x:c r="H46" s="18" t="str">
        <x:v>不要硬塞产品、不要关键词堆砌、不要承诺不确定的效果</x:v>
      </x:c>
      <x:c r="I46" s="18" t="str">
        <x:v>/collections/disposable-vapes；锚文本用自然句/品类词/品牌词</x:v>
      </x:c>
      <x:c r="J46" s="18" t="str">
        <x:v>文中自然引导查看相关集合页，不要硬广</x:v>
      </x:c>
      <x:c r="K46" s="47" t="n">
        <x:v>71</x:v>
      </x:c>
    </x:row>
    <x:row r="47">
      <x:c r="A47" s="40" t="str">
        <x:v>best mint vapes</x:v>
      </x:c>
      <x:c r="B47" s="18" t="str">
        <x:v>博客C-对比评测</x:v>
      </x:c>
      <x:c r="C47" s="18" t="str">
        <x:v>commercial</x:v>
      </x:c>
      <x:c r="D47" s="18" t="str">
        <x:v>用户想知道 best mint vapes 里哪种选择更值得买、差异是什么、有没有替代方案。</x:v>
      </x:c>
      <x:c r="E47" s="18" t="str">
        <x:v>Best Mint Vapes: Best Options, Comparisons, and Buying Considerations</x:v>
      </x:c>
      <x:c r="F47" s="18" t="str">
        <x:v>1. 搜索者到底想比较什么；2. 评价标准；3. 主要选项对比；4. 适合/不适合人群；5. 购买前检查清单；6. 自然推荐相关集合页</x:v>
      </x:c>
      <x:c r="G47" s="18" t="str">
        <x:v>评价标准、对比维度、适合人群、优缺点、购买前清单、客观免责声明</x:v>
      </x:c>
      <x:c r="H47" s="18" t="str">
        <x:v>不要硬塞产品、不要关键词堆砌、不要承诺不确定的效果</x:v>
      </x:c>
      <x:c r="I47" s="18" t="str">
        <x:v>/collections/disposable-vapes；锚文本用自然句/品类词/品牌词</x:v>
      </x:c>
      <x:c r="J47" s="18" t="str">
        <x:v>文中自然引导查看相关集合页，不要硬广</x:v>
      </x:c>
      <x:c r="K47" s="47" t="n">
        <x:v>71</x:v>
      </x:c>
    </x:row>
    <x:row r="48">
      <x:c r="A48" s="40" t="str">
        <x:v>how to vape properly</x:v>
      </x:c>
      <x:c r="B48" s="18" t="str">
        <x:v>博客A-知识教程</x:v>
      </x:c>
      <x:c r="C48" s="18" t="str">
        <x:v>informational</x:v>
      </x:c>
      <x:c r="D48" s="18" t="str">
        <x:v>用户想先理解 how to vape properly 是什么、怎么用、有什么注意事项。</x:v>
      </x:c>
      <x:c r="E48" s="18" t="str">
        <x:v>How To Vape Properly: A Practical Guide and Common Questions</x:v>
      </x:c>
      <x:c r="F48" s="18" t="str">
        <x:v>1. 定义/背景；2. 工作原理或步骤；3. 常见问题；4. 风险与合规提醒；5. 何时需要进一步比较或选购</x:v>
      </x:c>
      <x:c r="G48" s="18" t="str">
        <x:v>定义、步骤/原理、FAQ、风险提示、必要的合规说明</x:v>
      </x:c>
      <x:c r="H48" s="18" t="str">
        <x:v>不要硬塞产品、不要关键词堆砌、不要承诺不确定的效果</x:v>
      </x:c>
      <x:c r="I48" s="18" t="str">
        <x:v>/collections/disposable-vapes；锚文本用自然句/品牌词</x:v>
      </x:c>
      <x:c r="J48" s="18" t="str">
        <x:v>只在读者下一步需要选购时放软CTA</x:v>
      </x:c>
      <x:c r="K48" s="47" t="n">
        <x:v>68</x:v>
      </x:c>
    </x:row>
    <x:row r="49">
      <x:c r="A49" s="40" t="str">
        <x:v>foger switch pro 30k disposable vape</x:v>
      </x:c>
      <x:c r="B49" s="18" t="str">
        <x:v>博客A-知识教程</x:v>
      </x:c>
      <x:c r="C49" s="18" t="str">
        <x:v>informational</x:v>
      </x:c>
      <x:c r="D49" s="18" t="str">
        <x:v>用户想先理解 foger switch pro 30k disposable vape 是什么、怎么用、有什么注意事项。</x:v>
      </x:c>
      <x:c r="E49" s="18" t="str">
        <x:v>Foger Switch Pro 30k Disposable Vape: A Practical Guide and Common Questions</x:v>
      </x:c>
      <x:c r="F49" s="18" t="str">
        <x:v>1. 定义/背景；2. 工作原理或步骤；3. 常见问题；4. 风险与合规提醒；5. 何时需要进一步比较或选购</x:v>
      </x:c>
      <x:c r="G49" s="18" t="str">
        <x:v>定义、步骤/原理、FAQ、风险提示、必要的合规说明</x:v>
      </x:c>
      <x:c r="H49" s="18" t="str">
        <x:v>不要硬塞产品、不要关键词堆砌、不要承诺不确定的效果</x:v>
      </x:c>
      <x:c r="I49" s="18" t="str">
        <x:v>/collections/disposable-vapes；锚文本用自然句/品牌词</x:v>
      </x:c>
      <x:c r="J49" s="18" t="str">
        <x:v>只在读者下一步需要选购时放软CTA</x:v>
      </x:c>
      <x:c r="K49" s="47" t="n">
        <x:v>68</x:v>
      </x:c>
    </x:row>
    <x:row r="50">
      <x:c r="A50" s="40" t="str">
        <x:v>how to hit a vape</x:v>
      </x:c>
      <x:c r="B50" s="18" t="str">
        <x:v>博客A-知识教程</x:v>
      </x:c>
      <x:c r="C50" s="18" t="str">
        <x:v>informational</x:v>
      </x:c>
      <x:c r="D50" s="18" t="str">
        <x:v>用户想先理解 how to hit a vape 是什么、怎么用、有什么注意事项。</x:v>
      </x:c>
      <x:c r="E50" s="18" t="str">
        <x:v>How To Hit A Vape: A Practical Guide and Common Questions</x:v>
      </x:c>
      <x:c r="F50" s="18" t="str">
        <x:v>1. 定义/背景；2. 工作原理或步骤；3. 常见问题；4. 风险与合规提醒；5. 何时需要进一步比较或选购</x:v>
      </x:c>
      <x:c r="G50" s="18" t="str">
        <x:v>定义、步骤/原理、FAQ、风险提示、必要的合规说明</x:v>
      </x:c>
      <x:c r="H50" s="18" t="str">
        <x:v>不要硬塞产品、不要关键词堆砌、不要承诺不确定的效果</x:v>
      </x:c>
      <x:c r="I50" s="18" t="str">
        <x:v>/collections/disposable-vapes；锚文本用自然句/品牌词</x:v>
      </x:c>
      <x:c r="J50" s="18" t="str">
        <x:v>只在读者下一步需要选购时放软CTA</x:v>
      </x:c>
      <x:c r="K50" s="47" t="n">
        <x:v>68</x:v>
      </x:c>
    </x:row>
    <x:row r="51">
      <x:c r="A51" s="40" t="str">
        <x:v>white gummy ice</x:v>
      </x:c>
      <x:c r="B51" s="18" t="str">
        <x:v>博客A-知识教程</x:v>
      </x:c>
      <x:c r="C51" s="18" t="str">
        <x:v>informational</x:v>
      </x:c>
      <x:c r="D51" s="18" t="str">
        <x:v>用户想先理解 white gummy ice 是什么、怎么用、有什么注意事项。</x:v>
      </x:c>
      <x:c r="E51" s="18" t="str">
        <x:v>White Gummy Ice: A Practical Guide and Common Questions</x:v>
      </x:c>
      <x:c r="F51" s="18" t="str">
        <x:v>1. 定义/背景；2. 工作原理或步骤；3. 常见问题；4. 风险与合规提醒；5. 何时需要进一步比较或选购</x:v>
      </x:c>
      <x:c r="G51" s="18" t="str">
        <x:v>定义、步骤/原理、FAQ、风险提示、必要的合规说明</x:v>
      </x:c>
      <x:c r="H51" s="18" t="str">
        <x:v>不要硬塞产品、不要关键词堆砌、不要承诺不确定的效果</x:v>
      </x:c>
      <x:c r="I51" s="18" t="str">
        <x:v>/collections/disposable-vapes；锚文本用自然句/品牌词</x:v>
      </x:c>
      <x:c r="J51" s="18" t="str">
        <x:v>只在读者下一步需要选购时放软CTA</x:v>
      </x:c>
      <x:c r="K51" s="47" t="n">
        <x:v>68</x:v>
      </x:c>
    </x:row>
    <x:row r="52">
      <x:c r="A52" s="40" t="str">
        <x:v>vapes made in usa</x:v>
      </x:c>
      <x:c r="B52" s="18" t="str">
        <x:v>博客A-知识教程</x:v>
      </x:c>
      <x:c r="C52" s="18" t="str">
        <x:v>informational</x:v>
      </x:c>
      <x:c r="D52" s="18" t="str">
        <x:v>用户想先理解 vapes made in usa 是什么、怎么用、有什么注意事项。</x:v>
      </x:c>
      <x:c r="E52" s="18" t="str">
        <x:v>Vapes Made In Usa: A Practical Guide and Common Questions</x:v>
      </x:c>
      <x:c r="F52" s="18" t="str">
        <x:v>1. 定义/背景；2. 工作原理或步骤；3. 常见问题；4. 风险与合规提醒；5. 何时需要进一步比较或选购</x:v>
      </x:c>
      <x:c r="G52" s="18" t="str">
        <x:v>定义、步骤/原理、FAQ、风险提示、必要的合规说明</x:v>
      </x:c>
      <x:c r="H52" s="18" t="str">
        <x:v>不要硬塞产品、不要关键词堆砌、不要承诺不确定的效果</x:v>
      </x:c>
      <x:c r="I52" s="18" t="str">
        <x:v>/collections/disposable-vapes；锚文本用自然句/品牌词</x:v>
      </x:c>
      <x:c r="J52" s="18" t="str">
        <x:v>只在读者下一步需要选购时放软CTA</x:v>
      </x:c>
      <x:c r="K52" s="47" t="n">
        <x:v>68</x:v>
      </x:c>
    </x:row>
    <x:row r="53">
      <x:c r="A53" s="40" t="str">
        <x:v>sour apple ice</x:v>
      </x:c>
      <x:c r="B53" s="18" t="str">
        <x:v>博客A-知识教程</x:v>
      </x:c>
      <x:c r="C53" s="18" t="str">
        <x:v>informational, commercial</x:v>
      </x:c>
      <x:c r="D53" s="18" t="str">
        <x:v>用户想先理解 sour apple ice 是什么、怎么用、有什么注意事项。</x:v>
      </x:c>
      <x:c r="E53" s="18" t="str">
        <x:v>Sour Apple Ice: A Practical Guide and Common Questions</x:v>
      </x:c>
      <x:c r="F53" s="18" t="str">
        <x:v>1. 定义/背景；2. 工作原理或步骤；3. 常见问题；4. 风险与合规提醒；5. 何时需要进一步比较或选购</x:v>
      </x:c>
      <x:c r="G53" s="18" t="str">
        <x:v>定义、步骤/原理、FAQ、风险提示、必要的合规说明</x:v>
      </x:c>
      <x:c r="H53" s="18" t="str">
        <x:v>不要硬塞产品、不要关键词堆砌、不要承诺不确定的效果</x:v>
      </x:c>
      <x:c r="I53" s="18" t="str">
        <x:v>/collections/disposable-vapes；锚文本用自然句/品牌词</x:v>
      </x:c>
      <x:c r="J53" s="18" t="str">
        <x:v>只在读者下一步需要选购时放软CTA</x:v>
      </x:c>
      <x:c r="K53" s="47" t="n">
        <x:v>68</x:v>
      </x:c>
    </x:row>
    <x:row r="54">
      <x:c r="A54" s="40" t="str">
        <x:v>makeup mirror with lights</x:v>
      </x:c>
      <x:c r="B54" s="18" t="str">
        <x:v>博客B-场景人群</x:v>
      </x:c>
      <x:c r="C54" s="18" t="str">
        <x:v>informational, commercial</x:v>
      </x:c>
      <x:c r="D54" s="18" t="str">
        <x:v>用户在具体场景下考虑 makeup mirror with lights，想知道怎么选更合适。</x:v>
      </x:c>
      <x:c r="E54" s="18" t="str">
        <x:v>Makeup Mirror With Lights: How to Choose the Right Option for Your Needs</x:v>
      </x:c>
      <x:c r="F54" s="18" t="str">
        <x:v>1. 场景/人群问题；2. 选择维度；3. 常见误区；4. 推荐判断标准；5. FAQ；6. 如果需要购买，链接到对应集合页</x:v>
      </x:c>
      <x:c r="G54" s="18" t="str">
        <x:v>使用场景、核心选择标准、常见误区、FAQ、自然内链到主站相关集合页</x:v>
      </x:c>
      <x:c r="H54" s="18" t="str">
        <x:v>不要写戒烟疗效、健康保证、医疗建议或购买诱导</x:v>
      </x:c>
      <x:c r="I54" s="18" t="str">
        <x:v>/collections/disposable-vapes；锚文本用自然句/品类词</x:v>
      </x:c>
      <x:c r="J54" s="18" t="str">
        <x:v>文中自然引导查看相关集合页，不要硬广</x:v>
      </x:c>
      <x:c r="K54" s="47" t="n">
        <x:v>67</x:v>
      </x:c>
    </x:row>
    <x:row r="55">
      <x:c r="A55" s="40" t="str">
        <x:v>refillable vapes</x:v>
      </x:c>
      <x:c r="B55" s="18" t="str">
        <x:v>博客B-场景人群</x:v>
      </x:c>
      <x:c r="C55" s="18" t="str">
        <x:v>informational</x:v>
      </x:c>
      <x:c r="D55" s="18" t="str">
        <x:v>用户在具体场景下考虑 refillable vapes，想知道怎么选更合适。</x:v>
      </x:c>
      <x:c r="E55" s="18" t="str">
        <x:v>Refillable Vapes: How to Choose the Right Option for Your Needs</x:v>
      </x:c>
      <x:c r="F55" s="18" t="str">
        <x:v>1. 场景/人群问题；2. 选择维度；3. 常见误区；4. 推荐判断标准；5. FAQ；6. 如果需要购买，链接到对应集合页</x:v>
      </x:c>
      <x:c r="G55" s="18" t="str">
        <x:v>使用场景、核心选择标准、常见误区、FAQ、自然内链到主站相关集合页</x:v>
      </x:c>
      <x:c r="H55" s="18" t="str">
        <x:v>不要写戒烟疗效、健康保证、医疗建议或购买诱导</x:v>
      </x:c>
      <x:c r="I55" s="18" t="str">
        <x:v>/collections/rechargeable-vapes；锚文本用自然句/品类词</x:v>
      </x:c>
      <x:c r="J55" s="18" t="str">
        <x:v>文中自然引导查看相关集合页，不要硬广</x:v>
      </x:c>
      <x:c r="K55" s="47" t="n">
        <x:v>67</x:v>
      </x:c>
    </x:row>
    <x:row r="56">
      <x:c r="A56" s="40" t="str">
        <x:v>reusable vape</x:v>
      </x:c>
      <x:c r="B56" s="18" t="str">
        <x:v>博客B-场景人群</x:v>
      </x:c>
      <x:c r="C56" s="18" t="str">
        <x:v>informational</x:v>
      </x:c>
      <x:c r="D56" s="18" t="str">
        <x:v>用户在具体场景下考虑 reusable vape，想知道怎么选更合适。</x:v>
      </x:c>
      <x:c r="E56" s="18" t="str">
        <x:v>Reusable Vape: How to Choose the Right Option for Your Needs</x:v>
      </x:c>
      <x:c r="F56" s="18" t="str">
        <x:v>1. 场景/人群问题；2. 选择维度；3. 常见误区；4. 推荐判断标准；5. FAQ；6. 如果需要购买，链接到对应集合页</x:v>
      </x:c>
      <x:c r="G56" s="18" t="str">
        <x:v>使用场景、核心选择标准、常见误区、FAQ、自然内链到主站相关集合页</x:v>
      </x:c>
      <x:c r="H56" s="18" t="str">
        <x:v>不要写戒烟疗效、健康保证、医疗建议或购买诱导</x:v>
      </x:c>
      <x:c r="I56" s="18" t="str">
        <x:v>/collections/rechargeable-vapes；锚文本用自然句/品类词</x:v>
      </x:c>
      <x:c r="J56" s="18" t="str">
        <x:v>文中自然引导查看相关集合页，不要硬广</x:v>
      </x:c>
      <x:c r="K56" s="47" t="n">
        <x:v>67</x:v>
      </x:c>
    </x:row>
    <x:row r="57">
      <x:c r="A57" s="40" t="str">
        <x:v>flavors of vapes</x:v>
      </x:c>
      <x:c r="B57" s="18" t="str">
        <x:v>博客B-场景人群</x:v>
      </x:c>
      <x:c r="C57" s="18" t="str">
        <x:v>informational</x:v>
      </x:c>
      <x:c r="D57" s="18" t="str">
        <x:v>用户在具体场景下考虑 flavors of vapes，想知道怎么选更合适。</x:v>
      </x:c>
      <x:c r="E57" s="18" t="str">
        <x:v>Flavors Of Vapes: How to Choose the Right Option for Your Needs</x:v>
      </x:c>
      <x:c r="F57" s="18" t="str">
        <x:v>1. 场景/人群问题；2. 选择维度；3. 常见误区；4. 推荐判断标准；5. FAQ；6. 如果需要购买，链接到对应集合页</x:v>
      </x:c>
      <x:c r="G57" s="18" t="str">
        <x:v>使用场景、核心选择标准、常见误区、FAQ、自然内链到主站相关集合页</x:v>
      </x:c>
      <x:c r="H57" s="18" t="str">
        <x:v>不要写戒烟疗效、健康保证、医疗建议或购买诱导</x:v>
      </x:c>
      <x:c r="I57" s="18" t="str">
        <x:v>/collections/flavored-disposable-vapes；锚文本用自然句/品类词</x:v>
      </x:c>
      <x:c r="J57" s="18" t="str">
        <x:v>文中自然引导查看相关集合页，不要硬广</x:v>
      </x:c>
      <x:c r="K57" s="47" t="n">
        <x:v>67</x:v>
      </x:c>
    </x:row>
    <x:row r="58">
      <x:c r="A58" s="40" t="str">
        <x:v>best for ecigs</x:v>
      </x:c>
      <x:c r="B58" s="18" t="str">
        <x:v>博客C-对比评测</x:v>
      </x:c>
      <x:c r="C58" s="18" t="str">
        <x:v>commercial</x:v>
      </x:c>
      <x:c r="D58" s="18" t="str">
        <x:v>用户想知道 best for ecigs 里哪种选择更值得买、差异是什么、有没有替代方案。</x:v>
      </x:c>
      <x:c r="E58" s="18" t="str">
        <x:v>Best For Ecigs: Best Options, Comparisons, and Buying Considerations</x:v>
      </x:c>
      <x:c r="F58" s="18" t="str">
        <x:v>1. 搜索者到底想比较什么；2. 评价标准；3. 主要选项对比；4. 适合/不适合人群；5. 购买前检查清单；6. 自然推荐相关集合页</x:v>
      </x:c>
      <x:c r="G58" s="18" t="str">
        <x:v>评价标准、对比维度、适合人群、优缺点、购买前清单、客观免责声明</x:v>
      </x:c>
      <x:c r="H58" s="18" t="str">
        <x:v>不要硬塞产品、不要关键词堆砌、不要承诺不确定的效果</x:v>
      </x:c>
      <x:c r="I58" s="18" t="str">
        <x:v>/collections/disposable-vapes；锚文本用自然句/品类词/品牌词</x:v>
      </x:c>
      <x:c r="J58" s="18" t="str">
        <x:v>文中自然引导查看相关集合页，不要硬广</x:v>
      </x:c>
      <x:c r="K58" s="47" t="n">
        <x:v>67</x:v>
      </x:c>
    </x:row>
    <x:row r="59">
      <x:c r="A59" s="40" t="str">
        <x:v>best raz vape flavors</x:v>
      </x:c>
      <x:c r="B59" s="18" t="str">
        <x:v>博客C-对比评测</x:v>
      </x:c>
      <x:c r="C59" s="18" t="str">
        <x:v>commercial</x:v>
      </x:c>
      <x:c r="D59" s="18" t="str">
        <x:v>用户想知道 best raz vape flavors 里哪种选择更值得买、差异是什么、有没有替代方案。</x:v>
      </x:c>
      <x:c r="E59" s="18" t="str">
        <x:v>Best Raz Vape Flavors: Best Options, Comparisons, and Buying Considerations</x:v>
      </x:c>
      <x:c r="F59" s="18" t="str">
        <x:v>1. 搜索者到底想比较什么；2. 评价标准；3. 主要选项对比；4. 适合/不适合人群；5. 购买前检查清单；6. 自然推荐相关集合页</x:v>
      </x:c>
      <x:c r="G59" s="18" t="str">
        <x:v>评价标准、对比维度、适合人群、优缺点、购买前清单、客观免责声明</x:v>
      </x:c>
      <x:c r="H59" s="18" t="str">
        <x:v>不要冒用商标，不要贬低竞品，不要做无法证明的比较</x:v>
      </x:c>
      <x:c r="I59" s="18" t="str">
        <x:v>/collections/disposable-vapes 或对应替代产品集合页；锚文本用自然句/品牌词/品类词</x:v>
      </x:c>
      <x:c r="J59" s="18" t="str">
        <x:v>只在读者下一步需要选购时放软CTA</x:v>
      </x:c>
      <x:c r="K59" s="47" t="n">
        <x:v>67</x:v>
      </x:c>
    </x:row>
    <x:row r="60">
      <x:c r="A60" s="40" t="str">
        <x:v>best vape pens</x:v>
      </x:c>
      <x:c r="B60" s="18" t="str">
        <x:v>博客C-对比评测</x:v>
      </x:c>
      <x:c r="C60" s="18" t="str">
        <x:v>commercial</x:v>
      </x:c>
      <x:c r="D60" s="18" t="str">
        <x:v>用户想知道 best vape pens 里哪种选择更值得买、差异是什么、有没有替代方案。</x:v>
      </x:c>
      <x:c r="E60" s="18" t="str">
        <x:v>Best Vape Pens: Best Options, Comparisons, and Buying Considerations</x:v>
      </x:c>
      <x:c r="F60" s="18" t="str">
        <x:v>1. 搜索者到底想比较什么；2. 评价标准；3. 主要选项对比；4. 适合/不适合人群；5. 购买前检查清单；6. 自然推荐相关集合页</x:v>
      </x:c>
      <x:c r="G60" s="18" t="str">
        <x:v>评价标准、对比维度、适合人群、优缺点、购买前清单、客观免责声明</x:v>
      </x:c>
      <x:c r="H60" s="18" t="str">
        <x:v>不要硬塞产品、不要关键词堆砌、不要承诺不确定的效果</x:v>
      </x:c>
      <x:c r="I60" s="18" t="str">
        <x:v>/collections/disposable-vapes；锚文本用自然句/品类词/品牌词</x:v>
      </x:c>
      <x:c r="J60" s="18" t="str">
        <x:v>文中自然引导查看相关集合页，不要硬广</x:v>
      </x:c>
      <x:c r="K60" s="47" t="n">
        <x:v>67</x:v>
      </x:c>
    </x:row>
    <x:row r="61">
      <x:c r="A61" s="40" t="str">
        <x:v>good vape flavors</x:v>
      </x:c>
      <x:c r="B61" s="18" t="str">
        <x:v>博客B-场景人群</x:v>
      </x:c>
      <x:c r="C61" s="18" t="str">
        <x:v>informational</x:v>
      </x:c>
      <x:c r="D61" s="18" t="str">
        <x:v>用户在具体场景下考虑 good vape flavors，想知道怎么选更合适。</x:v>
      </x:c>
      <x:c r="E61" s="18" t="str">
        <x:v>Good Vape Flavors: How to Choose the Right Option for Your Needs</x:v>
      </x:c>
      <x:c r="F61" s="18" t="str">
        <x:v>1. 场景/人群问题；2. 选择维度；3. 常见误区；4. 推荐判断标准；5. FAQ；6. 如果需要购买，链接到对应集合页</x:v>
      </x:c>
      <x:c r="G61" s="18" t="str">
        <x:v>使用场景、核心选择标准、常见误区、FAQ、自然内链到主站相关集合页</x:v>
      </x:c>
      <x:c r="H61" s="18" t="str">
        <x:v>不要写戒烟疗效、健康保证、医疗建议或购买诱导</x:v>
      </x:c>
      <x:c r="I61" s="18" t="str">
        <x:v>/collections/flavored-disposable-vapes；锚文本用自然句/品类词</x:v>
      </x:c>
      <x:c r="J61" s="18" t="str">
        <x:v>文中自然引导查看相关集合页，不要硬广</x:v>
      </x:c>
      <x:c r="K61" s="47" t="n">
        <x:v>67</x:v>
      </x:c>
    </x:row>
    <x:row r="62">
      <x:c r="A62" s="40" t="str">
        <x:v>vapor cigarette brands</x:v>
      </x:c>
      <x:c r="B62" s="18" t="str">
        <x:v>博客C-对比评测</x:v>
      </x:c>
      <x:c r="C62" s="18" t="str">
        <x:v>informational, commercial</x:v>
      </x:c>
      <x:c r="D62" s="18" t="str">
        <x:v>用户想知道 vapor cigarette brands 里哪种选择更值得买、差异是什么、有没有替代方案。</x:v>
      </x:c>
      <x:c r="E62" s="18" t="str">
        <x:v>Vapor Cigarette Brands: Best Options, Comparisons, and Buying Considerations</x:v>
      </x:c>
      <x:c r="F62" s="18" t="str">
        <x:v>1. 搜索者到底想比较什么；2. 评价标准；3. 主要选项对比；4. 适合/不适合人群；5. 购买前检查清单；6. 自然推荐相关集合页</x:v>
      </x:c>
      <x:c r="G62" s="18" t="str">
        <x:v>评价标准、对比维度、适合人群、优缺点、购买前清单、客观免责声明</x:v>
      </x:c>
      <x:c r="H62" s="18" t="str">
        <x:v>不要硬塞产品、不要关键词堆砌、不要承诺不确定的效果</x:v>
      </x:c>
      <x:c r="I62" s="18" t="str">
        <x:v>/collections/e-cigarettes；锚文本用自然句/品类词/品牌词</x:v>
      </x:c>
      <x:c r="J62" s="18" t="str">
        <x:v>文中自然引导查看相关集合页，不要硬广</x:v>
      </x:c>
      <x:c r="K62" s="47" t="n">
        <x:v>67</x:v>
      </x:c>
    </x:row>
    <x:row r="63">
      <x:c r="A63" s="40" t="str">
        <x:v>most popular vape flavors</x:v>
      </x:c>
      <x:c r="B63" s="18" t="str">
        <x:v>博客C-对比评测</x:v>
      </x:c>
      <x:c r="C63" s="18" t="str">
        <x:v>informational</x:v>
      </x:c>
      <x:c r="D63" s="18" t="str">
        <x:v>用户想知道 most popular vape flavors 里哪种选择更值得买、差异是什么、有没有替代方案。</x:v>
      </x:c>
      <x:c r="E63" s="18" t="str">
        <x:v>Most Popular Vape Flavors: Best Options, Comparisons, and Buying Considerations</x:v>
      </x:c>
      <x:c r="F63" s="18" t="str">
        <x:v>1. 搜索者到底想比较什么；2. 评价标准；3. 主要选项对比；4. 适合/不适合人群；5. 购买前检查清单；6. 自然推荐相关集合页</x:v>
      </x:c>
      <x:c r="G63" s="18" t="str">
        <x:v>评价标准、对比维度、适合人群、优缺点、购买前清单、客观免责声明</x:v>
      </x:c>
      <x:c r="H63" s="18" t="str">
        <x:v>不要硬塞产品、不要关键词堆砌、不要承诺不确定的效果</x:v>
      </x:c>
      <x:c r="I63" s="18" t="str">
        <x:v>/collections/flavored-disposable-vapes；锚文本用自然句/品类词/品牌词</x:v>
      </x:c>
      <x:c r="J63" s="18" t="str">
        <x:v>文中自然引导查看相关集合页，不要硬广</x:v>
      </x:c>
      <x:c r="K63" s="47" t="n">
        <x:v>67</x:v>
      </x:c>
    </x:row>
    <x:row r="64">
      <x:c r="A64" s="40" t="str">
        <x:v>best vape pod system</x:v>
      </x:c>
      <x:c r="B64" s="18" t="str">
        <x:v>博客C-对比评测</x:v>
      </x:c>
      <x:c r="C64" s="18" t="str">
        <x:v>commercial</x:v>
      </x:c>
      <x:c r="D64" s="18" t="str">
        <x:v>用户想知道 best vape pod system 里哪种选择更值得买、差异是什么、有没有替代方案。</x:v>
      </x:c>
      <x:c r="E64" s="18" t="str">
        <x:v>Best Vape Pod System: Best Options, Comparisons, and Buying Considerations</x:v>
      </x:c>
      <x:c r="F64" s="18" t="str">
        <x:v>1. 搜索者到底想比较什么；2. 评价标准；3. 主要选项对比；4. 适合/不适合人群；5. 购买前检查清单；6. 自然推荐相关集合页</x:v>
      </x:c>
      <x:c r="G64" s="18" t="str">
        <x:v>评价标准、对比维度、适合人群、优缺点、购买前清单、客观免责声明</x:v>
      </x:c>
      <x:c r="H64" s="18" t="str">
        <x:v>不要硬塞产品、不要关键词堆砌、不要承诺不确定的效果</x:v>
      </x:c>
      <x:c r="I64" s="18" t="str">
        <x:v>/collections/pod-kits；锚文本用自然句/品类词/品牌词</x:v>
      </x:c>
      <x:c r="J64" s="18" t="str">
        <x:v>文中自然引导查看相关集合页，不要硬广</x:v>
      </x:c>
      <x:c r="K64" s="47" t="n">
        <x:v>67</x:v>
      </x:c>
    </x:row>
    <x:row r="65">
      <x:c r="A65" s="40" t="str">
        <x:v>how to use a vape pen for first time</x:v>
      </x:c>
      <x:c r="B65" s="18" t="str">
        <x:v>博客B-场景人群</x:v>
      </x:c>
      <x:c r="C65" s="18" t="str">
        <x:v>informational</x:v>
      </x:c>
      <x:c r="D65" s="18" t="str">
        <x:v>用户在具体场景下考虑 how to use a vape pen for first time，想知道怎么选更合适。</x:v>
      </x:c>
      <x:c r="E65" s="18" t="str">
        <x:v>How To Use A Vape Pen For First Time: How to Choose the Right Option for Your Needs</x:v>
      </x:c>
      <x:c r="F65" s="18" t="str">
        <x:v>1. 场景/人群问题；2. 选择维度；3. 常见误区；4. 推荐判断标准；5. FAQ；6. 如果需要购买，链接到对应集合页</x:v>
      </x:c>
      <x:c r="G65" s="18" t="str">
        <x:v>使用场景、核心选择标准、常见误区、FAQ、自然内链到主站相关集合页</x:v>
      </x:c>
      <x:c r="H65" s="18" t="str">
        <x:v>不要写戒烟疗效、健康保证、医疗建议或购买诱导</x:v>
      </x:c>
      <x:c r="I65" s="18" t="str">
        <x:v>/collections/disposable-vapes；锚文本用自然句/品类词</x:v>
      </x:c>
      <x:c r="J65" s="18" t="str">
        <x:v>文中自然引导查看相关集合页，不要硬广</x:v>
      </x:c>
      <x:c r="K65" s="47" t="n">
        <x:v>67</x:v>
      </x:c>
    </x:row>
    <x:row r="66">
      <x:c r="A66" s="40" t="str">
        <x:v>best vape juice flavors</x:v>
      </x:c>
      <x:c r="B66" s="18" t="str">
        <x:v>博客C-对比评测</x:v>
      </x:c>
      <x:c r="C66" s="18" t="str">
        <x:v>commercial</x:v>
      </x:c>
      <x:c r="D66" s="18" t="str">
        <x:v>用户想知道 best vape juice flavors 里哪种选择更值得买、差异是什么、有没有替代方案。</x:v>
      </x:c>
      <x:c r="E66" s="18" t="str">
        <x:v>Best Vape Juice Flavors: Best Options, Comparisons, and Buying Considerations</x:v>
      </x:c>
      <x:c r="F66" s="18" t="str">
        <x:v>1. 搜索者到底想比较什么；2. 评价标准；3. 主要选项对比；4. 适合/不适合人群；5. 购买前检查清单；6. 自然推荐相关集合页</x:v>
      </x:c>
      <x:c r="G66" s="18" t="str">
        <x:v>评价标准、对比维度、适合人群、优缺点、购买前清单、客观免责声明</x:v>
      </x:c>
      <x:c r="H66" s="18" t="str">
        <x:v>不要硬塞产品、不要关键词堆砌、不要承诺不确定的效果</x:v>
      </x:c>
      <x:c r="I66" s="18" t="str">
        <x:v>/collections/flavored-disposable-vapes；锚文本用自然句/品类词/品牌词</x:v>
      </x:c>
      <x:c r="J66" s="18" t="str">
        <x:v>文中自然引导查看相关集合页，不要硬广</x:v>
      </x:c>
      <x:c r="K66" s="47" t="n">
        <x:v>67</x:v>
      </x:c>
    </x:row>
    <x:row r="67">
      <x:c r="A67" s="40" t="str">
        <x:v>types of vapes brands</x:v>
      </x:c>
      <x:c r="B67" s="18" t="str">
        <x:v>博客C-对比评测</x:v>
      </x:c>
      <x:c r="C67" s="18" t="str">
        <x:v>commercial</x:v>
      </x:c>
      <x:c r="D67" s="18" t="str">
        <x:v>用户想知道 types of vapes brands 里哪种选择更值得买、差异是什么、有没有替代方案。</x:v>
      </x:c>
      <x:c r="E67" s="18" t="str">
        <x:v>Types Of Vapes Brands: Best Options, Comparisons, and Buying Considerations</x:v>
      </x:c>
      <x:c r="F67" s="18" t="str">
        <x:v>1. 搜索者到底想比较什么；2. 评价标准；3. 主要选项对比；4. 适合/不适合人群；5. 购买前检查清单；6. 自然推荐相关集合页</x:v>
      </x:c>
      <x:c r="G67" s="18" t="str">
        <x:v>评价标准、对比维度、适合人群、优缺点、购买前清单、客观免责声明</x:v>
      </x:c>
      <x:c r="H67" s="18" t="str">
        <x:v>不要硬塞产品、不要关键词堆砌、不要承诺不确定的效果</x:v>
      </x:c>
      <x:c r="I67" s="18" t="str">
        <x:v>/collections/disposable-vapes；锚文本用自然句/品类词/品牌词</x:v>
      </x:c>
      <x:c r="J67" s="18" t="str">
        <x:v>文中自然引导查看相关集合页，不要硬广</x:v>
      </x:c>
      <x:c r="K67" s="47" t="n">
        <x:v>67</x:v>
      </x:c>
    </x:row>
    <x:row r="68">
      <x:c r="A68" s="40" t="str">
        <x:v>best vape flavours disposable</x:v>
      </x:c>
      <x:c r="B68" s="18" t="str">
        <x:v>博客C-对比评测</x:v>
      </x:c>
      <x:c r="C68" s="18" t="str">
        <x:v>commercial</x:v>
      </x:c>
      <x:c r="D68" s="18" t="str">
        <x:v>用户想知道 best vape flavours disposable 里哪种选择更值得买、差异是什么、有没有替代方案。</x:v>
      </x:c>
      <x:c r="E68" s="18" t="str">
        <x:v>Best Vape Flavours Disposable: Best Options, Comparisons, and Buying Considerations</x:v>
      </x:c>
      <x:c r="F68" s="18" t="str">
        <x:v>1. 搜索者到底想比较什么；2. 评价标准；3. 主要选项对比；4. 适合/不适合人群；5. 购买前检查清单；6. 自然推荐相关集合页</x:v>
      </x:c>
      <x:c r="G68" s="18" t="str">
        <x:v>评价标准、对比维度、适合人群、优缺点、购买前清单、客观免责声明</x:v>
      </x:c>
      <x:c r="H68" s="18" t="str">
        <x:v>不要硬塞产品、不要关键词堆砌、不要承诺不确定的效果</x:v>
      </x:c>
      <x:c r="I68" s="18" t="str">
        <x:v>/collections/disposable-vapes；锚文本用自然句/品类词/品牌词</x:v>
      </x:c>
      <x:c r="J68" s="18" t="str">
        <x:v>文中自然引导查看相关集合页，不要硬广</x:v>
      </x:c>
      <x:c r="K68" s="47" t="n">
        <x:v>67</x:v>
      </x:c>
    </x:row>
    <x:row r="69">
      <x:c r="A69" s="40" t="str">
        <x:v>long lasting vapes</x:v>
      </x:c>
      <x:c r="B69" s="18" t="str">
        <x:v>博客B-场景人群</x:v>
      </x:c>
      <x:c r="C69" s="18" t="str">
        <x:v>informational</x:v>
      </x:c>
      <x:c r="D69" s="18" t="str">
        <x:v>用户在具体场景下考虑 long lasting vapes，想知道怎么选更合适。</x:v>
      </x:c>
      <x:c r="E69" s="18" t="str">
        <x:v>Long Lasting Vapes: How to Choose the Right Option for Your Needs</x:v>
      </x:c>
      <x:c r="F69" s="18" t="str">
        <x:v>1. 场景/人群问题；2. 选择维度；3. 常见误区；4. 推荐判断标准；5. FAQ；6. 如果需要购买，链接到对应集合页</x:v>
      </x:c>
      <x:c r="G69" s="18" t="str">
        <x:v>使用场景、核心选择标准、常见误区、FAQ、自然内链到主站相关集合页</x:v>
      </x:c>
      <x:c r="H69" s="18" t="str">
        <x:v>不要写戒烟疗效、健康保证、医疗建议或购买诱导</x:v>
      </x:c>
      <x:c r="I69" s="18" t="str">
        <x:v>/collections/disposable-vapes；锚文本用自然句/品类词</x:v>
      </x:c>
      <x:c r="J69" s="18" t="str">
        <x:v>文中自然引导查看相关集合页，不要硬广</x:v>
      </x:c>
      <x:c r="K69" s="47" t="n">
        <x:v>67</x:v>
      </x:c>
    </x:row>
    <x:row r="70">
      <x:c r="A70" s="40" t="str">
        <x:v>top 10 disposable vape brands</x:v>
      </x:c>
      <x:c r="B70" s="18" t="str">
        <x:v>博客C-对比评测</x:v>
      </x:c>
      <x:c r="C70" s="18" t="str">
        <x:v>informational, commercial</x:v>
      </x:c>
      <x:c r="D70" s="18" t="str">
        <x:v>用户想知道 top 10 disposable vape brands 里哪种选择更值得买、差异是什么、有没有替代方案。</x:v>
      </x:c>
      <x:c r="E70" s="18" t="str">
        <x:v>Top 10 Disposable Vape Brands: Best Options, Comparisons, and Buying Considerations</x:v>
      </x:c>
      <x:c r="F70" s="18" t="str">
        <x:v>1. 搜索者到底想比较什么；2. 评价标准；3. 主要选项对比；4. 适合/不适合人群；5. 购买前检查清单；6. 自然推荐相关集合页</x:v>
      </x:c>
      <x:c r="G70" s="18" t="str">
        <x:v>评价标准、对比维度、适合人群、优缺点、购买前清单、客观免责声明</x:v>
      </x:c>
      <x:c r="H70" s="18" t="str">
        <x:v>不要硬塞产品、不要关键词堆砌、不要承诺不确定的效果</x:v>
      </x:c>
      <x:c r="I70" s="18" t="str">
        <x:v>/collections/disposable-vapes；锚文本用自然句/品类词/品牌词</x:v>
      </x:c>
      <x:c r="J70" s="18" t="str">
        <x:v>文中自然引导查看相关集合页，不要硬广</x:v>
      </x:c>
      <x:c r="K70" s="47" t="n">
        <x:v>67</x:v>
      </x:c>
    </x:row>
    <x:row r="71">
      <x:c r="A71" s="40" t="str">
        <x:v>famous vape brands in usa</x:v>
      </x:c>
      <x:c r="B71" s="18" t="str">
        <x:v>博客C-对比评测</x:v>
      </x:c>
      <x:c r="C71" s="18" t="str">
        <x:v>commercial</x:v>
      </x:c>
      <x:c r="D71" s="18" t="str">
        <x:v>用户想知道 famous vape brands in usa 里哪种选择更值得买、差异是什么、有没有替代方案。</x:v>
      </x:c>
      <x:c r="E71" s="18" t="str">
        <x:v>Famous Vape Brands In Usa: Best Options, Comparisons, and Buying Considerations</x:v>
      </x:c>
      <x:c r="F71" s="18" t="str">
        <x:v>1. 搜索者到底想比较什么；2. 评价标准；3. 主要选项对比；4. 适合/不适合人群；5. 购买前检查清单；6. 自然推荐相关集合页</x:v>
      </x:c>
      <x:c r="G71" s="18" t="str">
        <x:v>评价标准、对比维度、适合人群、优缺点、购买前清单、客观免责声明</x:v>
      </x:c>
      <x:c r="H71" s="18" t="str">
        <x:v>不要硬塞产品、不要关键词堆砌、不要承诺不确定的效果</x:v>
      </x:c>
      <x:c r="I71" s="18" t="str">
        <x:v>/collections/disposable-vapes；锚文本用自然句/品类词/品牌词</x:v>
      </x:c>
      <x:c r="J71" s="18" t="str">
        <x:v>文中自然引导查看相关集合页，不要硬广</x:v>
      </x:c>
      <x:c r="K71" s="47" t="n">
        <x:v>67</x:v>
      </x:c>
    </x:row>
    <x:row r="72">
      <x:c r="A72" s="40" t="str">
        <x:v>rl vape flavors</x:v>
      </x:c>
      <x:c r="B72" s="18" t="str">
        <x:v>博客B-场景人群</x:v>
      </x:c>
      <x:c r="C72" s="18" t="str">
        <x:v>informational</x:v>
      </x:c>
      <x:c r="D72" s="18" t="str">
        <x:v>用户在具体场景下考虑 rl vape flavors，想知道怎么选更合适。</x:v>
      </x:c>
      <x:c r="E72" s="18" t="str">
        <x:v>Rl Vape Flavors: How to Choose the Right Option for Your Needs</x:v>
      </x:c>
      <x:c r="F72" s="18" t="str">
        <x:v>1. 场景/人群问题；2. 选择维度；3. 常见误区；4. 推荐判断标准；5. FAQ；6. 如果需要购买，链接到对应集合页</x:v>
      </x:c>
      <x:c r="G72" s="18" t="str">
        <x:v>使用场景、核心选择标准、常见误区、FAQ、自然内链到主站相关集合页</x:v>
      </x:c>
      <x:c r="H72" s="18" t="str">
        <x:v>不要写戒烟疗效、健康保证、医疗建议或购买诱导</x:v>
      </x:c>
      <x:c r="I72" s="18" t="str">
        <x:v>/collections/flavored-disposable-vapes；锚文本用自然句/品类词</x:v>
      </x:c>
      <x:c r="J72" s="18" t="str">
        <x:v>文中自然引导查看相关集合页，不要硬广</x:v>
      </x:c>
      <x:c r="K72" s="47" t="n">
        <x:v>67</x:v>
      </x:c>
    </x:row>
    <x:row r="73">
      <x:c r="A73" s="40" t="str">
        <x:v>best vapor cigarette</x:v>
      </x:c>
      <x:c r="B73" s="18" t="str">
        <x:v>博客C-对比评测</x:v>
      </x:c>
      <x:c r="C73" s="18" t="str">
        <x:v>commercial</x:v>
      </x:c>
      <x:c r="D73" s="18" t="str">
        <x:v>用户想知道 best vapor cigarette 里哪种选择更值得买、差异是什么、有没有替代方案。</x:v>
      </x:c>
      <x:c r="E73" s="18" t="str">
        <x:v>Best Vapor Cigarette: Best Options, Comparisons, and Buying Considerations</x:v>
      </x:c>
      <x:c r="F73" s="18" t="str">
        <x:v>1. 搜索者到底想比较什么；2. 评价标准；3. 主要选项对比；4. 适合/不适合人群；5. 购买前检查清单；6. 自然推荐相关集合页</x:v>
      </x:c>
      <x:c r="G73" s="18" t="str">
        <x:v>评价标准、对比维度、适合人群、优缺点、购买前清单、客观免责声明</x:v>
      </x:c>
      <x:c r="H73" s="18" t="str">
        <x:v>不要硬塞产品、不要关键词堆砌、不要承诺不确定的效果</x:v>
      </x:c>
      <x:c r="I73" s="18" t="str">
        <x:v>/collections/e-cigarettes；锚文本用自然句/品类词/品牌词</x:v>
      </x:c>
      <x:c r="J73" s="18" t="str">
        <x:v>文中自然引导查看相关集合页，不要硬广</x:v>
      </x:c>
      <x:c r="K73" s="47" t="n">
        <x:v>67</x:v>
      </x:c>
    </x:row>
    <x:row r="74">
      <x:c r="A74" s="40" t="str">
        <x:v>dessert flavored disposable vapes</x:v>
      </x:c>
      <x:c r="B74" s="18" t="str">
        <x:v>博客B-场景人群</x:v>
      </x:c>
      <x:c r="C74" s="18" t="str">
        <x:v>informational</x:v>
      </x:c>
      <x:c r="D74" s="18" t="str">
        <x:v>用户在具体场景下考虑 dessert flavored disposable vapes，想知道怎么选更合适。</x:v>
      </x:c>
      <x:c r="E74" s="18" t="str">
        <x:v>Dessert Flavored Disposable Vapes: How to Choose the Right Option for Your Needs</x:v>
      </x:c>
      <x:c r="F74" s="18" t="str">
        <x:v>1. 场景/人群问题；2. 选择维度；3. 常见误区；4. 推荐判断标准；5. FAQ；6. 如果需要购买，链接到对应集合页</x:v>
      </x:c>
      <x:c r="G74" s="18" t="str">
        <x:v>使用场景、核心选择标准、常见误区、FAQ、自然内链到主站相关集合页</x:v>
      </x:c>
      <x:c r="H74" s="18" t="str">
        <x:v>不要写戒烟疗效、健康保证、医疗建议或购买诱导</x:v>
      </x:c>
      <x:c r="I74" s="18" t="str">
        <x:v>/collections/flavored-disposable-vapes；锚文本用自然句/品类词</x:v>
      </x:c>
      <x:c r="J74" s="18" t="str">
        <x:v>文中自然引导查看相关集合页，不要硬广</x:v>
      </x:c>
      <x:c r="K74" s="47" t="n">
        <x:v>67</x:v>
      </x:c>
    </x:row>
    <x:row r="75">
      <x:c r="A75" s="40" t="str">
        <x:v>best vaping devices</x:v>
      </x:c>
      <x:c r="B75" s="18" t="str">
        <x:v>博客C-对比评测</x:v>
      </x:c>
      <x:c r="C75" s="18" t="str">
        <x:v>commercial</x:v>
      </x:c>
      <x:c r="D75" s="18" t="str">
        <x:v>用户想知道 best vaping devices 里哪种选择更值得买、差异是什么、有没有替代方案。</x:v>
      </x:c>
      <x:c r="E75" s="18" t="str">
        <x:v>Best Vaping Devices: Best Options, Comparisons, and Buying Considerations</x:v>
      </x:c>
      <x:c r="F75" s="18" t="str">
        <x:v>1. 搜索者到底想比较什么；2. 评价标准；3. 主要选项对比；4. 适合/不适合人群；5. 购买前检查清单；6. 自然推荐相关集合页</x:v>
      </x:c>
      <x:c r="G75" s="18" t="str">
        <x:v>评价标准、对比维度、适合人群、优缺点、购买前清单、客观免责声明</x:v>
      </x:c>
      <x:c r="H75" s="18" t="str">
        <x:v>不要硬塞产品、不要关键词堆砌、不要承诺不确定的效果</x:v>
      </x:c>
      <x:c r="I75" s="18" t="str">
        <x:v>/collections/disposable-vapes；锚文本用自然句/品类词/品牌词</x:v>
      </x:c>
      <x:c r="J75" s="18" t="str">
        <x:v>文中自然引导查看相关集合页，不要硬广</x:v>
      </x:c>
      <x:c r="K75" s="47" t="n">
        <x:v>67</x:v>
      </x:c>
    </x:row>
    <x:row r="76">
      <x:c r="A76" s="40" t="str">
        <x:v>what are the best disposable vapes</x:v>
      </x:c>
      <x:c r="B76" s="18" t="str">
        <x:v>博客C-对比评测</x:v>
      </x:c>
      <x:c r="C76" s="18" t="str">
        <x:v>commercial</x:v>
      </x:c>
      <x:c r="D76" s="18" t="str">
        <x:v>用户想知道 what are the best disposable vapes 里哪种选择更值得买、差异是什么、有没有替代方案。</x:v>
      </x:c>
      <x:c r="E76" s="18" t="str">
        <x:v>What Are The Best Disposable Vapes: Best Options, Comparisons, and Buying Considerations</x:v>
      </x:c>
      <x:c r="F76" s="18" t="str">
        <x:v>1. 搜索者到底想比较什么；2. 评价标准；3. 主要选项对比；4. 适合/不适合人群；5. 购买前检查清单；6. 自然推荐相关集合页</x:v>
      </x:c>
      <x:c r="G76" s="18" t="str">
        <x:v>评价标准、对比维度、适合人群、优缺点、购买前清单、客观免责声明</x:v>
      </x:c>
      <x:c r="H76" s="18" t="str">
        <x:v>不要硬塞产品、不要关键词堆砌、不要承诺不确定的效果</x:v>
      </x:c>
      <x:c r="I76" s="18" t="str">
        <x:v>/collections/disposable-vapes；锚文本用自然句/品类词/品牌词</x:v>
      </x:c>
      <x:c r="J76" s="18" t="str">
        <x:v>文中自然引导查看相关集合页，不要硬广</x:v>
      </x:c>
      <x:c r="K76" s="47" t="n">
        <x:v>67</x:v>
      </x:c>
    </x:row>
    <x:row r="77">
      <x:c r="A77" s="40" t="str">
        <x:v>top rated vapes</x:v>
      </x:c>
      <x:c r="B77" s="18" t="str">
        <x:v>博客C-对比评测</x:v>
      </x:c>
      <x:c r="C77" s="18" t="str">
        <x:v>informational, commercial</x:v>
      </x:c>
      <x:c r="D77" s="18" t="str">
        <x:v>用户想知道 top rated vapes 里哪种选择更值得买、差异是什么、有没有替代方案。</x:v>
      </x:c>
      <x:c r="E77" s="18" t="str">
        <x:v>Top Rated Vapes: Best Options, Comparisons, and Buying Considerations</x:v>
      </x:c>
      <x:c r="F77" s="18" t="str">
        <x:v>1. 搜索者到底想比较什么；2. 评价标准；3. 主要选项对比；4. 适合/不适合人群；5. 购买前检查清单；6. 自然推荐相关集合页</x:v>
      </x:c>
      <x:c r="G77" s="18" t="str">
        <x:v>评价标准、对比维度、适合人群、优缺点、购买前清单、客观免责声明</x:v>
      </x:c>
      <x:c r="H77" s="18" t="str">
        <x:v>不要硬塞产品、不要关键词堆砌、不要承诺不确定的效果</x:v>
      </x:c>
      <x:c r="I77" s="18" t="str">
        <x:v>/collections/disposable-vapes；锚文本用自然句/品类词/品牌词</x:v>
      </x:c>
      <x:c r="J77" s="18" t="str">
        <x:v>文中自然引导查看相关集合页，不要硬广</x:v>
      </x:c>
      <x:c r="K77" s="47" t="n">
        <x:v>67</x:v>
      </x:c>
    </x:row>
    <x:row r="78">
      <x:c r="A78" s="40" t="str">
        <x:v>best tasting vapes</x:v>
      </x:c>
      <x:c r="B78" s="18" t="str">
        <x:v>博客C-对比评测</x:v>
      </x:c>
      <x:c r="C78" s="18" t="str">
        <x:v>commercial</x:v>
      </x:c>
      <x:c r="D78" s="18" t="str">
        <x:v>用户想知道 best tasting vapes 里哪种选择更值得买、差异是什么、有没有替代方案。</x:v>
      </x:c>
      <x:c r="E78" s="18" t="str">
        <x:v>Best Tasting Vapes: Best Options, Comparisons, and Buying Considerations</x:v>
      </x:c>
      <x:c r="F78" s="18" t="str">
        <x:v>1. 搜索者到底想比较什么；2. 评价标准；3. 主要选项对比；4. 适合/不适合人群；5. 购买前检查清单；6. 自然推荐相关集合页</x:v>
      </x:c>
      <x:c r="G78" s="18" t="str">
        <x:v>评价标准、对比维度、适合人群、优缺点、购买前清单、客观免责声明</x:v>
      </x:c>
      <x:c r="H78" s="18" t="str">
        <x:v>不要硬塞产品、不要关键词堆砌、不要承诺不确定的效果</x:v>
      </x:c>
      <x:c r="I78" s="18" t="str">
        <x:v>/collections/disposable-vapes；锚文本用自然句/品类词/品牌词</x:v>
      </x:c>
      <x:c r="J78" s="18" t="str">
        <x:v>文中自然引导查看相关集合页，不要硬广</x:v>
      </x:c>
      <x:c r="K78" s="47" t="n">
        <x:v>67</x:v>
      </x:c>
    </x:row>
    <x:row r="79">
      <x:c r="A79" s="40" t="str">
        <x:v>best flavored vapes</x:v>
      </x:c>
      <x:c r="B79" s="18" t="str">
        <x:v>博客C-对比评测</x:v>
      </x:c>
      <x:c r="C79" s="18" t="str">
        <x:v>commercial</x:v>
      </x:c>
      <x:c r="D79" s="18" t="str">
        <x:v>用户想知道 best flavored vapes 里哪种选择更值得买、差异是什么、有没有替代方案。</x:v>
      </x:c>
      <x:c r="E79" s="18" t="str">
        <x:v>Best Flavored Vapes: Best Options, Comparisons, and Buying Considerations</x:v>
      </x:c>
      <x:c r="F79" s="18" t="str">
        <x:v>1. 搜索者到底想比较什么；2. 评价标准；3. 主要选项对比；4. 适合/不适合人群；5. 购买前检查清单；6. 自然推荐相关集合页</x:v>
      </x:c>
      <x:c r="G79" s="18" t="str">
        <x:v>评价标准、对比维度、适合人群、优缺点、购买前清单、客观免责声明</x:v>
      </x:c>
      <x:c r="H79" s="18" t="str">
        <x:v>不要硬塞产品、不要关键词堆砌、不要承诺不确定的效果</x:v>
      </x:c>
      <x:c r="I79" s="18" t="str">
        <x:v>/collections/flavored-disposable-vapes；锚文本用自然句/品类词/品牌词</x:v>
      </x:c>
      <x:c r="J79" s="18" t="str">
        <x:v>文中自然引导查看相关集合页，不要硬广</x:v>
      </x:c>
      <x:c r="K79" s="47" t="n">
        <x:v>67</x:v>
      </x:c>
    </x:row>
    <x:row r="80">
      <x:c r="A80" s="40" t="str">
        <x:v>vape flavors fruity</x:v>
      </x:c>
      <x:c r="B80" s="18" t="str">
        <x:v>博客B-场景人群</x:v>
      </x:c>
      <x:c r="C80" s="18" t="str">
        <x:v>informational</x:v>
      </x:c>
      <x:c r="D80" s="18" t="str">
        <x:v>用户在具体场景下考虑 vape flavors fruity，想知道怎么选更合适。</x:v>
      </x:c>
      <x:c r="E80" s="18" t="str">
        <x:v>Vape Flavors Fruity: How to Choose the Right Option for Your Needs</x:v>
      </x:c>
      <x:c r="F80" s="18" t="str">
        <x:v>1. 场景/人群问题；2. 选择维度；3. 常见误区；4. 推荐判断标准；5. FAQ；6. 如果需要购买，链接到对应集合页</x:v>
      </x:c>
      <x:c r="G80" s="18" t="str">
        <x:v>使用场景、核心选择标准、常见误区、FAQ、自然内链到主站相关集合页</x:v>
      </x:c>
      <x:c r="H80" s="18" t="str">
        <x:v>不要写戒烟疗效、健康保证、医疗建议或购买诱导</x:v>
      </x:c>
      <x:c r="I80" s="18" t="str">
        <x:v>/collections/flavored-disposable-vapes；锚文本用自然句/品类词</x:v>
      </x:c>
      <x:c r="J80" s="18" t="str">
        <x:v>文中自然引导查看相关集合页，不要硬广</x:v>
      </x:c>
      <x:c r="K80" s="47" t="n">
        <x:v>67</x:v>
      </x:c>
    </x:row>
    <x:row r="81">
      <x:c r="A81" s="43" t="str">
        <x:v>different brands of vapes</x:v>
      </x:c>
      <x:c r="B81" s="21" t="str">
        <x:v>博客C-对比评测</x:v>
      </x:c>
      <x:c r="C81" s="21" t="str">
        <x:v>commercial</x:v>
      </x:c>
      <x:c r="D81" s="21" t="str">
        <x:v>用户想知道 different brands of vapes 里哪种选择更值得买、差异是什么、有没有替代方案。</x:v>
      </x:c>
      <x:c r="E81" s="21" t="str">
        <x:v>Different Brands Of Vapes: Best Options, Comparisons, and Buying Considerations</x:v>
      </x:c>
      <x:c r="F81" s="21" t="str">
        <x:v>1. 搜索者到底想比较什么；2. 评价标准；3. 主要选项对比；4. 适合/不适合人群；5. 购买前检查清单；6. 自然推荐相关集合页</x:v>
      </x:c>
      <x:c r="G81" s="21" t="str">
        <x:v>评价标准、对比维度、适合人群、优缺点、购买前清单、客观免责声明</x:v>
      </x:c>
      <x:c r="H81" s="21" t="str">
        <x:v>不要硬塞产品、不要关键词堆砌、不要承诺不确定的效果</x:v>
      </x:c>
      <x:c r="I81" s="21" t="str">
        <x:v>/collections/disposable-vapes；锚文本用自然句/品类词/品牌词</x:v>
      </x:c>
      <x:c r="J81" s="21" t="str">
        <x:v>文中自然引导查看相关集合页，不要硬广</x:v>
      </x:c>
      <x:c r="K81" s="48" t="n">
        <x:v>67</x:v>
      </x:c>
    </x:row>
  </x:sheetData>
  <x:pageMargins left="0.7" right="0.7" top="0.75" bottom="0.75" header="0.3" footer="0.3"/>
  <x:tableParts count="1">
    <x:tablePart xmlns:r="http://schemas.openxmlformats.org/officeDocument/2006/relationships" r:id="Rccc1f878a6ef4c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14" hidden="0" customWidth="1"/>
    <x:col min="8" max="8" width="70" hidden="0" customWidth="1"/>
  </x:cols>
  <x:sheetData>
    <x:row r="1">
      <x:c r="A1" s="60" t="str">
        <x:v>Exdivo 关键词分配仪表盘</x:v>
      </x:c>
      <x:c r="B1" s="6" t="str"/>
      <x:c r="C1" s="6" t="str"/>
      <x:c r="D1" s="6" t="str"/>
      <x:c r="E1" s="6" t="str"/>
      <x:c r="F1" s="6" t="str"/>
      <x:c r="G1" s="6" t="str"/>
      <x:c r="H1" s="7" t="str"/>
    </x:row>
    <x:row r="2">
      <x:c r="A2" s="34" t="str">
        <x:v>数据源</x:v>
      </x:c>
      <x:c r="B2" s="9" t="str">
        <x:v>D:\桌面\exdivo_com-US_-_keyword_strategy.xlsx</x:v>
      </x:c>
      <x:c r="C2" s="9" t="str"/>
      <x:c r="D2" s="9" t="str">
        <x:v>关键词总数</x:v>
      </x:c>
      <x:c r="E2" s="9" t="n">
        <x:f>COUNTA('关键词分站结果'!$C$2:$C$1267)</x:f>
        <x:v>1266</x:v>
      </x:c>
      <x:c r="F2" s="9" t="str"/>
      <x:c r="G2" s="9" t="str"/>
      <x:c r="H2" s="10" t="str"/>
    </x:row>
    <x:row r="3">
      <x:c r="A3" s="34" t="str">
        <x:v>口径</x:v>
      </x:c>
      <x:c r="B3" s="9" t="str">
        <x:v>按 Semrush 导出关键词 + 本表分站规则自动初筛；最终仍要人工看 Google SERP。</x:v>
      </x:c>
      <x:c r="C3" s="9" t="str"/>
      <x:c r="D3" s="9" t="str">
        <x:v>生成日期</x:v>
      </x:c>
      <x:c r="E3" s="61" t="n">
        <x:v>46202.27246150463</x:v>
      </x:c>
      <x:c r="F3" s="9" t="str"/>
      <x:c r="G3" s="9" t="str"/>
      <x:c r="H3" s="10" t="str"/>
    </x:row>
    <x:row r="4">
      <x:c r="A4" s="34" t="str"/>
      <x:c r="B4" s="9" t="str"/>
      <x:c r="C4" s="9" t="str"/>
      <x:c r="D4" s="9" t="str"/>
      <x:c r="E4" s="9" t="str"/>
      <x:c r="F4" s="9" t="str"/>
      <x:c r="G4" s="9" t="str"/>
      <x:c r="H4" s="10" t="str"/>
    </x:row>
    <x:row r="5">
      <x:c r="A5" s="62" t="str">
        <x:v>站点</x:v>
      </x:c>
      <x:c r="B5" s="63" t="str">
        <x:v>关键词数</x:v>
      </x:c>
      <x:c r="C5" s="63" t="str">
        <x:v>P0数</x:v>
      </x:c>
      <x:c r="D5" s="63" t="str">
        <x:v>P1数</x:v>
      </x:c>
      <x:c r="E5" s="63" t="str">
        <x:v>平均总分</x:v>
      </x:c>
      <x:c r="F5" s="63" t="str">
        <x:v>可导流数</x:v>
      </x:c>
      <x:c r="G5" s="63" t="str">
        <x:v>高风险数</x:v>
      </x:c>
      <x:c r="H5" s="64" t="str">
        <x:v>说明</x:v>
      </x:c>
    </x:row>
    <x:row r="6">
      <x:c r="A6" s="34" t="str">
        <x:v>主站</x:v>
      </x:c>
      <x:c r="B6" s="9" t="n">
        <x:f>COUNTIF('关键词分站结果'!$L$2:$L$1267,"主站")</x:f>
        <x:v>564</x:v>
      </x:c>
      <x:c r="C6" s="9" t="n">
        <x:f>COUNTIFS('关键词分站结果'!$L$2:$L$1267,"主站",'关键词分站结果'!$AA$2:$AA$1267,"P0 本周做")</x:f>
        <x:v>9</x:v>
      </x:c>
      <x:c r="D6" s="9" t="n">
        <x:f>COUNTIFS('关键词分站结果'!$L$2:$L$1267,"主站",'关键词分站结果'!$AA$2:$AA$1267,"P1 近期做")</x:f>
        <x:v>458</x:v>
      </x:c>
      <x:c r="E6" s="65" t="n">
        <x:f>IFERROR(AVERAGEIF('关键词分站结果'!$L$2:$L$1267,"主站",'关键词分站结果'!$Z$2:$Z$1267),0)</x:f>
        <x:v>63.3031914893617</x:v>
      </x:c>
      <x:c r="F6" s="38" t="n">
        <x:f>COUNTIFS('关键词分站结果'!$L$2:$L$1267,"主站",'关键词分站结果'!$P$2:$P$1267,"是")</x:f>
        <x:v>0</x:v>
      </x:c>
      <x:c r="G6" s="38" t="n">
        <x:f>COUNTIFS('关键词分站结果'!$L$2:$L$1267,"主站",'关键词分站结果'!$R$2:$R$1267,"*高风险*")</x:f>
        <x:v>0</x:v>
      </x:c>
      <x:c r="H6" s="10" t="str">
        <x:v>交易和品类页面优先，避免博客抢同一商业词。</x:v>
      </x:c>
    </x:row>
    <x:row r="7">
      <x:c r="A7" s="34" t="str">
        <x:v>博客A-知识教程</x:v>
      </x:c>
      <x:c r="B7" s="9" t="n">
        <x:f>COUNTIF('关键词分站结果'!$L$2:$L$1267,"博客A-知识教程")</x:f>
        <x:v>218</x:v>
      </x:c>
      <x:c r="C7" s="9" t="n">
        <x:f>COUNTIFS('关键词分站结果'!$L$2:$L$1267,"博客A-知识教程",'关键词分站结果'!$AA$2:$AA$1267,"P0 本周做")</x:f>
        <x:v>0</x:v>
      </x:c>
      <x:c r="D7" s="9" t="n">
        <x:f>COUNTIFS('关键词分站结果'!$L$2:$L$1267,"博客A-知识教程",'关键词分站结果'!$AA$2:$AA$1267,"P1 近期做")</x:f>
        <x:v>26</x:v>
      </x:c>
      <x:c r="E7" s="65" t="n">
        <x:f>IFERROR(AVERAGEIF('关键词分站结果'!$L$2:$L$1267,"博客A-知识教程",'关键词分站结果'!$Z$2:$Z$1267),0)</x:f>
        <x:v>49.42660550458716</x:v>
      </x:c>
      <x:c r="F7" s="38" t="n">
        <x:f>COUNTIFS('关键词分站结果'!$L$2:$L$1267,"博客A-知识教程",'关键词分站结果'!$P$2:$P$1267,"是")</x:f>
        <x:v>0</x:v>
      </x:c>
      <x:c r="G7" s="38" t="n">
        <x:f>COUNTIFS('关键词分站结果'!$L$2:$L$1267,"博客A-知识教程",'关键词分站结果'!$R$2:$R$1267,"*高风险*")</x:f>
        <x:v>0</x:v>
      </x:c>
      <x:c r="H7" s="10" t="str">
        <x:v>负责解释、教程、FAQ和合规科普，导流要克制。</x:v>
      </x:c>
    </x:row>
    <x:row r="8">
      <x:c r="A8" s="34" t="str">
        <x:v>博客B-场景人群</x:v>
      </x:c>
      <x:c r="B8" s="9" t="n">
        <x:f>COUNTIF('关键词分站结果'!$L$2:$L$1267,"博客B-场景人群")</x:f>
        <x:v>110</x:v>
      </x:c>
      <x:c r="C8" s="9" t="n">
        <x:f>COUNTIFS('关键词分站结果'!$L$2:$L$1267,"博客B-场景人群",'关键词分站结果'!$AA$2:$AA$1267,"P0 本周做")</x:f>
        <x:v>1</x:v>
      </x:c>
      <x:c r="D8" s="9" t="n">
        <x:f>COUNTIFS('关键词分站结果'!$L$2:$L$1267,"博客B-场景人群",'关键词分站结果'!$AA$2:$AA$1267,"P1 近期做")</x:f>
        <x:v>102</x:v>
      </x:c>
      <x:c r="E8" s="65" t="n">
        <x:f>IFERROR(AVERAGEIF('关键词分站结果'!$L$2:$L$1267,"博客B-场景人群",'关键词分站结果'!$Z$2:$Z$1267),0)</x:f>
        <x:v>62.263636363636365</x:v>
      </x:c>
      <x:c r="F8" s="38" t="n">
        <x:f>COUNTIFS('关键词分站结果'!$L$2:$L$1267,"博客B-场景人群",'关键词分站结果'!$P$2:$P$1267,"是")</x:f>
        <x:v>110</x:v>
      </x:c>
      <x:c r="G8" s="38" t="n">
        <x:f>COUNTIFS('关键词分站结果'!$L$2:$L$1267,"博客B-场景人群",'关键词分站结果'!$R$2:$R$1267,"*高风险*")</x:f>
        <x:v>0</x:v>
      </x:c>
      <x:c r="H8" s="10" t="str">
        <x:v>负责场景、人群、口味、尼古丁需求等长尾词。</x:v>
      </x:c>
    </x:row>
    <x:row r="9">
      <x:c r="A9" s="34" t="str">
        <x:v>博客C-对比评测</x:v>
      </x:c>
      <x:c r="B9" s="9" t="n">
        <x:f>COUNTIF('关键词分站结果'!$L$2:$L$1267,"博客C-对比评测")</x:f>
        <x:v>270</x:v>
      </x:c>
      <x:c r="C9" s="9" t="n">
        <x:f>COUNTIFS('关键词分站结果'!$L$2:$L$1267,"博客C-对比评测",'关键词分站结果'!$AA$2:$AA$1267,"P0 本周做")</x:f>
        <x:v>3</x:v>
      </x:c>
      <x:c r="D9" s="9" t="n">
        <x:f>COUNTIFS('关键词分站结果'!$L$2:$L$1267,"博客C-对比评测",'关键词分站结果'!$AA$2:$AA$1267,"P1 近期做")</x:f>
        <x:v>256</x:v>
      </x:c>
      <x:c r="E9" s="65" t="n">
        <x:f>IFERROR(AVERAGEIF('关键词分站结果'!$L$2:$L$1267,"博客C-对比评测",'关键词分站结果'!$Z$2:$Z$1267),0)</x:f>
        <x:v>65.31481481481481</x:v>
      </x:c>
      <x:c r="F9" s="38" t="n">
        <x:f>COUNTIFS('关键词分站结果'!$L$2:$L$1267,"博客C-对比评测",'关键词分站结果'!$P$2:$P$1267,"是")</x:f>
        <x:v>259</x:v>
      </x:c>
      <x:c r="G9" s="38" t="n">
        <x:f>COUNTIFS('关键词分站结果'!$L$2:$L$1267,"博客C-对比评测",'关键词分站结果'!$R$2:$R$1267,"*高风险*")</x:f>
        <x:v>0</x:v>
      </x:c>
      <x:c r="H9" s="10" t="str">
        <x:v>负责best/review/vs/alternative等临近购买前关键词。</x:v>
      </x:c>
    </x:row>
    <x:row r="10">
      <x:c r="A10" s="34" t="str">
        <x:v>暂不做</x:v>
      </x:c>
      <x:c r="B10" s="9" t="n">
        <x:f>COUNTIF('关键词分站结果'!$L$2:$L$1267,"暂不做")</x:f>
        <x:v>104</x:v>
      </x:c>
      <x:c r="C10" s="9" t="n">
        <x:f>COUNTIFS('关键词分站结果'!$L$2:$L$1267,"暂不做",'关键词分站结果'!$AA$2:$AA$1267,"P0 本周做")</x:f>
        <x:v>0</x:v>
      </x:c>
      <x:c r="D10" s="9" t="n">
        <x:f>COUNTIFS('关键词分站结果'!$L$2:$L$1267,"暂不做",'关键词分站结果'!$AA$2:$AA$1267,"P1 近期做")</x:f>
        <x:v>0</x:v>
      </x:c>
      <x:c r="E10" s="65" t="n">
        <x:f>IFERROR(AVERAGEIF('关键词分站结果'!$L$2:$L$1267,"暂不做",'关键词分站结果'!$Z$2:$Z$1267),0)</x:f>
        <x:v>19.307692307692307</x:v>
      </x:c>
      <x:c r="F10" s="38" t="n">
        <x:f>COUNTIFS('关键词分站结果'!$L$2:$L$1267,"暂不做",'关键词分站结果'!$P$2:$P$1267,"是")</x:f>
        <x:v>0</x:v>
      </x:c>
      <x:c r="G10" s="38" t="n">
        <x:f>COUNTIFS('关键词分站结果'!$L$2:$L$1267,"暂不做",'关键词分站结果'!$R$2:$R$1267,"*高风险*")</x:f>
        <x:v>0</x:v>
      </x:c>
      <x:c r="H10" s="10" t="str">
        <x:v>弱相关、高风险、本地错配或纯竞品品牌词，先不排期。</x:v>
      </x:c>
    </x:row>
    <x:row r="11">
      <x:c r="A11" s="34" t="str"/>
      <x:c r="B11" s="9" t="str"/>
      <x:c r="C11" s="9" t="str"/>
      <x:c r="D11" s="9" t="str"/>
      <x:c r="E11" s="9" t="str"/>
      <x:c r="F11" s="9" t="str"/>
      <x:c r="G11" s="9" t="str"/>
      <x:c r="H11" s="10" t="str"/>
    </x:row>
    <x:row r="12">
      <x:c r="A12" s="34" t="str">
        <x:v>优先级</x:v>
      </x:c>
      <x:c r="B12" s="9" t="str">
        <x:v>关键词数</x:v>
      </x:c>
      <x:c r="C12" s="9" t="str"/>
      <x:c r="D12" s="9" t="str"/>
      <x:c r="E12" s="9" t="str"/>
      <x:c r="F12" s="9" t="str"/>
      <x:c r="G12" s="9" t="str"/>
      <x:c r="H12" s="10" t="str"/>
    </x:row>
    <x:row r="13">
      <x:c r="A13" s="66" t="str">
        <x:v>P0 本周做</x:v>
      </x:c>
      <x:c r="B13" s="67" t="n">
        <x:f>COUNTIF('关键词分站结果'!$AA$2:$AA$1267,"P0 本周做")</x:f>
        <x:v>13</x:v>
      </x:c>
      <x:c r="C13" s="9" t="str"/>
      <x:c r="D13" s="9" t="str"/>
      <x:c r="E13" s="9" t="str"/>
      <x:c r="F13" s="9" t="str"/>
      <x:c r="G13" s="9" t="str"/>
      <x:c r="H13" s="10" t="str"/>
    </x:row>
    <x:row r="14">
      <x:c r="A14" s="34" t="str">
        <x:v>P1 近期做</x:v>
      </x:c>
      <x:c r="B14" s="9" t="n">
        <x:f>COUNTIF('关键词分站结果'!$AA$2:$AA$1267,"P1 近期做")</x:f>
        <x:v>842</x:v>
      </x:c>
      <x:c r="C14" s="9" t="str"/>
      <x:c r="D14" s="9" t="str"/>
      <x:c r="E14" s="9" t="str"/>
      <x:c r="F14" s="9" t="str"/>
      <x:c r="G14" s="9" t="str"/>
      <x:c r="H14" s="10" t="str"/>
    </x:row>
    <x:row r="15">
      <x:c r="A15" s="34" t="str">
        <x:v>P2 备选</x:v>
      </x:c>
      <x:c r="B15" s="9" t="n">
        <x:f>COUNTIF('关键词分站结果'!$AA$2:$AA$1267,"P2 备选")</x:f>
        <x:v>256</x:v>
      </x:c>
      <x:c r="C15" s="9" t="str"/>
      <x:c r="D15" s="9" t="str"/>
      <x:c r="E15" s="9" t="str"/>
      <x:c r="F15" s="9" t="str"/>
      <x:c r="G15" s="9" t="str"/>
      <x:c r="H15" s="10" t="str"/>
    </x:row>
    <x:row r="16">
      <x:c r="A16" s="34" t="str">
        <x:v>P3 暂缓</x:v>
      </x:c>
      <x:c r="B16" s="9" t="n">
        <x:f>COUNTIF('关键词分站结果'!$AA$2:$AA$1267,"P3 暂缓")</x:f>
        <x:v>155</x:v>
      </x:c>
      <x:c r="C16" s="9" t="str"/>
      <x:c r="D16" s="9" t="str"/>
      <x:c r="E16" s="9" t="str"/>
      <x:c r="F16" s="9" t="str"/>
      <x:c r="G16" s="9" t="str"/>
      <x:c r="H16" s="10" t="str"/>
    </x:row>
    <x:row r="17">
      <x:c r="A17" s="34" t="str"/>
      <x:c r="B17" s="9" t="str"/>
      <x:c r="C17" s="9" t="str"/>
      <x:c r="D17" s="9" t="str"/>
      <x:c r="E17" s="9" t="str"/>
      <x:c r="F17" s="9" t="str"/>
      <x:c r="G17" s="9" t="str"/>
      <x:c r="H17" s="10" t="str"/>
    </x:row>
    <x:row r="18">
      <x:c r="A18" s="68" t="str">
        <x:v>下一步建议：先做主站 P0/P1 交易页，再做博客C临近购买词，博客B补场景词，博客A做知识和合规内容。合规/健康/未成年人相关词，不要直接商业导流。</x:v>
      </x:c>
      <x:c r="B18" s="12" t="str"/>
      <x:c r="C18" s="12" t="str"/>
      <x:c r="D18" s="12" t="str"/>
      <x:c r="E18" s="12" t="str"/>
      <x:c r="F18" s="12" t="str"/>
      <x:c r="G18" s="12" t="str"/>
      <x:c r="H18" s="13" t="str"/>
    </x:row>
  </x:sheetData>
  <x:mergeCells>
    <x:mergeCell ref="A1:H1"/>
    <x:mergeCell ref="A18:H18"/>
  </x:mergeCells>
  <x:pageMargins left="0.7" right="0.7" top="0.75" bottom="0.75" header="0.3" footer="0.3"/>
</x:worksheet>
</file>