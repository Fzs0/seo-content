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f66012ef4d41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e8b30db512a74ef4"/>
    <x:sheet xmlns:r="http://schemas.openxmlformats.org/officeDocument/2006/relationships" name="站点定位" sheetId="2" r:id="Rc1f09798b8864840"/>
    <x:sheet xmlns:r="http://schemas.openxmlformats.org/officeDocument/2006/relationships" name="分配规则" sheetId="3" r:id="R2543622ffdf246cd"/>
    <x:sheet xmlns:r="http://schemas.openxmlformats.org/officeDocument/2006/relationships" name="关键词分站表" sheetId="4" r:id="R2650a457609a43ea"/>
    <x:sheet xmlns:r="http://schemas.openxmlformats.org/officeDocument/2006/relationships" name="外链导流规则" sheetId="5" r:id="Reb22d53eafbc44cc"/>
    <x:sheet xmlns:r="http://schemas.openxmlformats.org/officeDocument/2006/relationships" name="内容日历" sheetId="6" r:id="R84e11230e5cf46a2"/>
    <x:sheet xmlns:r="http://schemas.openxmlformats.org/officeDocument/2006/relationships" name="仪表盘" sheetId="7" r:id="R7b842ad2f40842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0"/>
    <x:numFmt numFmtId="202" formatCode="0"/>
    <x:numFmt numFmtId="203" formatCode="0.0"/>
    <x:numFmt numFmtId="204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sz val="11"/>
      <x:color rgb="FF15231B"/>
      <x:name val="Carlito"/>
    </x:font>
    <x:font>
      <x:b/>
      <x:sz val="11"/>
      <x:color rgb="FF15231B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14E3A"/>
      </x:patternFill>
    </x:fill>
    <x:fill>
      <x:patternFill patternType="solid">
        <x:fgColor rgb="FFDDEFE5"/>
      </x:patternFill>
    </x:fill>
    <x:fill>
      <x:patternFill patternType="solid">
        <x:fgColor rgb="FFFFF1C9"/>
      </x:patternFill>
    </x:fill>
    <x:fill>
      <x:patternFill patternType="solid">
        <x:fgColor rgb="FFF4FAF6"/>
      </x:patternFill>
    </x:fill>
  </x:fills>
  <x:borders count="10">
    <x:border/>
    <x:border>
      <x:right style="thin">
        <x:color rgb="FFE4E7EC"/>
      </x:right>
      <x:bottom style="thin">
        <x:color rgb="FFE4E7EC"/>
      </x:bottom>
    </x:border>
    <x:border>
      <x:left style="thin">
        <x:color rgb="FFE4E7EC"/>
      </x:left>
      <x:right style="thin">
        <x:color rgb="FFE4E7EC"/>
      </x:right>
      <x:bottom style="thin">
        <x:color rgb="FFE4E7EC"/>
      </x:bottom>
    </x:border>
    <x:border>
      <x:left style="thin">
        <x:color rgb="FFE4E7EC"/>
      </x:left>
      <x:bottom style="thin">
        <x:color rgb="FFE4E7EC"/>
      </x:bottom>
    </x:border>
    <x:border>
      <x:right style="thin">
        <x:color rgb="FFE4E7EC"/>
      </x:right>
      <x:top style="thin">
        <x:color rgb="FFE4E7EC"/>
      </x:top>
      <x:bottom style="thin">
        <x:color rgb="FFE4E7EC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  <x:border>
      <x:left style="thin">
        <x:color rgb="FFE4E7EC"/>
      </x:left>
      <x:top style="thin">
        <x:color rgb="FFE4E7EC"/>
      </x:top>
      <x:bottom style="thin">
        <x:color rgb="FFE4E7EC"/>
      </x:bottom>
    </x:border>
    <x:border>
      <x:right style="thin">
        <x:color rgb="FFE4E7EC"/>
      </x:right>
      <x:top style="thin">
        <x:color rgb="FFE4E7EC"/>
      </x:top>
    </x:border>
    <x:border>
      <x:left style="thin">
        <x:color rgb="FFE4E7EC"/>
      </x:left>
      <x:right style="thin">
        <x:color rgb="FFE4E7EC"/>
      </x:right>
      <x:top style="thin">
        <x:color rgb="FFE4E7EC"/>
      </x:top>
    </x:border>
    <x:border>
      <x:left style="thin">
        <x:color rgb="FFE4E7EC"/>
      </x:left>
      <x:top style="thin">
        <x:color rgb="FFE4E7EC"/>
      </x:top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0" fontId="0" fillId="5" borderId="7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3" borderId="4" xfId="0" applyNumberFormat="1" applyFont="1" applyFill="1" applyBorder="1" applyAlignment="1">
      <x:alignment vertical="top" wrapText="1"/>
    </x:xf>
    <x:xf numFmtId="0" fontId="0" fillId="3" borderId="7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3" fillId="3" borderId="4" xfId="0" applyNumberFormat="1" applyFont="1" applyFill="1" applyBorder="1" applyAlignment="1">
      <x:alignment vertical="top" wrapText="1"/>
    </x:xf>
    <x:xf numFmtId="0" fontId="3" fillId="3" borderId="7" xfId="0" applyNumberFormat="1" applyFont="1" applyFill="1" applyBorder="1" applyAlignment="1">
      <x:alignment vertical="top" wrapText="1"/>
    </x:xf>
    <x:xf numFmtId="200" fontId="0" fillId="5" borderId="2" xfId="0" applyNumberFormat="1" applyFont="1" applyFill="1" applyBorder="1" applyAlignment="1">
      <x:alignment vertical="top" wrapText="1"/>
    </x:xf>
    <x:xf numFmtId="200" fontId="0" fillId="5" borderId="5" xfId="0" applyNumberFormat="1" applyFont="1" applyFill="1" applyBorder="1" applyAlignment="1">
      <x:alignment vertical="top" wrapText="1"/>
    </x:xf>
    <x:xf numFmtId="200" fontId="0" fillId="5" borderId="8" xfId="0" applyNumberFormat="1" applyFont="1" applyFill="1" applyBorder="1" applyAlignment="1">
      <x:alignment vertical="top" wrapText="1"/>
    </x:xf>
    <x:xf numFmtId="201" fontId="0" fillId="5" borderId="2" xfId="0" applyNumberFormat="1" applyFont="1" applyFill="1" applyBorder="1" applyAlignment="1">
      <x:alignment vertical="top" wrapText="1"/>
    </x:xf>
    <x:xf numFmtId="201" fontId="0" fillId="5" borderId="5" xfId="0" applyNumberFormat="1" applyFont="1" applyFill="1" applyBorder="1" applyAlignment="1">
      <x:alignment vertical="top" wrapText="1"/>
    </x:xf>
    <x:xf numFmtId="201" fontId="0" fillId="5" borderId="8" xfId="0" applyNumberFormat="1" applyFont="1" applyFill="1" applyBorder="1" applyAlignment="1">
      <x:alignment vertical="top" wrapText="1"/>
    </x:xf>
    <x:xf numFmtId="202" fontId="0" fillId="5" borderId="2" xfId="0" applyNumberFormat="1" applyFont="1" applyFill="1" applyBorder="1" applyAlignment="1">
      <x:alignment vertical="top" wrapText="1"/>
    </x:xf>
    <x:xf numFmtId="202" fontId="0" fillId="5" borderId="5" xfId="0" applyNumberFormat="1" applyFont="1" applyFill="1" applyBorder="1" applyAlignment="1">
      <x:alignment vertical="top" wrapText="1"/>
    </x:xf>
    <x:xf numFmtId="202" fontId="0" fillId="5" borderId="8" xfId="0" applyNumberFormat="1" applyFont="1" applyFill="1" applyBorder="1" applyAlignment="1">
      <x:alignment vertical="top" wrapText="1"/>
    </x:xf>
    <x:xf numFmtId="203" fontId="0" fillId="5" borderId="2" xfId="0" applyNumberFormat="1" applyFont="1" applyFill="1" applyBorder="1" applyAlignment="1">
      <x:alignment vertical="top" wrapText="1"/>
    </x:xf>
    <x:xf numFmtId="203" fontId="0" fillId="5" borderId="5" xfId="0" applyNumberFormat="1" applyFont="1" applyFill="1" applyBorder="1" applyAlignment="1">
      <x:alignment vertical="top" wrapText="1"/>
    </x:xf>
    <x:xf numFmtId="203" fontId="0" fillId="5" borderId="8" xfId="0" applyNumberFormat="1" applyFont="1" applyFill="1" applyBorder="1" applyAlignment="1">
      <x:alignment vertical="top" wrapText="1"/>
    </x:xf>
    <x:xf numFmtId="204" fontId="0" fillId="5" borderId="2" xfId="0" applyNumberFormat="1" applyFont="1" applyFill="1" applyBorder="1" applyAlignment="1">
      <x:alignment vertical="top" wrapText="1"/>
    </x:xf>
    <x:xf numFmtId="204" fontId="0" fillId="5" borderId="5" xfId="0" applyNumberFormat="1" applyFont="1" applyFill="1" applyBorder="1" applyAlignment="1">
      <x:alignment vertical="top" wrapText="1"/>
    </x:xf>
    <x:xf numFmtId="204" fontId="0" fillId="5" borderId="8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33b7d7484e4376" /><Relationship Type="http://schemas.openxmlformats.org/officeDocument/2006/relationships/theme" Target="/xl/theme/theme1.xml" Id="R6f96fac8634e41f3" /><Relationship Type="http://schemas.openxmlformats.org/officeDocument/2006/relationships/sharedStrings" Target="/xl/sharedStrings.xml" Id="R30e6e1d1a75f4f12" /><Relationship Type="http://schemas.openxmlformats.org/officeDocument/2006/relationships/worksheet" Target="/xl/worksheets/sheet1.xml" Id="Re8b30db512a74ef4" /><Relationship Type="http://schemas.openxmlformats.org/officeDocument/2006/relationships/worksheet" Target="/xl/worksheets/sheet2.xml" Id="Rc1f09798b8864840" /><Relationship Type="http://schemas.openxmlformats.org/officeDocument/2006/relationships/worksheet" Target="/xl/worksheets/sheet3.xml" Id="R2543622ffdf246cd" /><Relationship Type="http://schemas.openxmlformats.org/officeDocument/2006/relationships/worksheet" Target="/xl/worksheets/sheet4.xml" Id="R2650a457609a43ea" /><Relationship Type="http://schemas.openxmlformats.org/officeDocument/2006/relationships/worksheet" Target="/xl/worksheets/sheet5.xml" Id="Reb22d53eafbc44cc" /><Relationship Type="http://schemas.openxmlformats.org/officeDocument/2006/relationships/worksheet" Target="/xl/worksheets/sheet6.xml" Id="R84e11230e5cf46a2" /><Relationship Type="http://schemas.openxmlformats.org/officeDocument/2006/relationships/worksheet" Target="/xl/worksheets/sheet7.xml" Id="R7b842ad2f40842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34" hidden="0" customWidth="1"/>
    <x:col min="4" max="4" width="30" hidden="0" customWidth="1"/>
    <x:col min="5" max="5" width="28" hidden="0" customWidth="1"/>
    <x:col min="6" max="6" width="28" hidden="0" customWidth="1"/>
    <x:col min="7" max="7" width="28" hidden="0" customWidth="1"/>
    <x:col min="8" max="8" width="24" hidden="0" customWidth="1"/>
  </x:cols>
  <x:sheetData>
    <x:row r="1">
      <x:c r="A1" s="64" t="str">
        <x:v>主站 + 3个博客站关键词分配模板</x:v>
      </x:c>
      <x:c r="B1" s="64" t="str">
        <x:v>主站 + 3个博客站关键词分配模板</x:v>
      </x:c>
      <x:c r="C1" s="64" t="str">
        <x:v>主站 + 3个博客站关键词分配模板</x:v>
      </x:c>
      <x:c r="D1" s="64" t="str">
        <x:v>主站 + 3个博客站关键词分配模板</x:v>
      </x:c>
      <x:c r="E1" s="64" t="str">
        <x:v>主站 + 3个博客站关键词分配模板</x:v>
      </x:c>
      <x:c r="F1" s="64" t="str">
        <x:v>主站 + 3个博客站关键词分配模板</x:v>
      </x:c>
      <x:c r="G1" s="64" t="str">
        <x:v>主站 + 3个博客站关键词分配模板</x:v>
      </x:c>
      <x:c r="H1" s="64" t="str">
        <x:v>主站 + 3个博客站关键词分配模板</x:v>
      </x:c>
    </x:row>
    <x:row r="2">
      <x:c r="A2" s="65" t="str">
        <x:v>目标：让每个关键词只有一个主攻站点和主攻URL，避免站点之间互抢，同时控制外链风险。</x:v>
      </x:c>
      <x:c r="B2" s="65" t="str">
        <x:v>目标：让每个关键词只有一个主攻站点和主攻URL，避免站点之间互抢，同时控制外链风险。</x:v>
      </x:c>
      <x:c r="C2" s="65" t="str">
        <x:v>目标：让每个关键词只有一个主攻站点和主攻URL，避免站点之间互抢，同时控制外链风险。</x:v>
      </x:c>
      <x:c r="D2" s="65" t="str">
        <x:v>目标：让每个关键词只有一个主攻站点和主攻URL，避免站点之间互抢，同时控制外链风险。</x:v>
      </x:c>
      <x:c r="E2" s="65" t="str">
        <x:v>目标：让每个关键词只有一个主攻站点和主攻URL，避免站点之间互抢，同时控制外链风险。</x:v>
      </x:c>
      <x:c r="F2" s="65" t="str">
        <x:v>目标：让每个关键词只有一个主攻站点和主攻URL，避免站点之间互抢，同时控制外链风险。</x:v>
      </x:c>
      <x:c r="G2" s="65" t="str">
        <x:v>目标：让每个关键词只有一个主攻站点和主攻URL，避免站点之间互抢，同时控制外链风险。</x:v>
      </x:c>
      <x:c r="H2" s="65" t="str">
        <x:v>目标：让每个关键词只有一个主攻站点和主攻URL，避免站点之间互抢，同时控制外链风险。</x:v>
      </x:c>
    </x:row>
    <x:row r="3">
      <x:c r="A3" s="66"/>
      <x:c r="B3" s="66"/>
      <x:c r="C3" s="66"/>
      <x:c r="D3" s="66"/>
      <x:c r="E3" s="66"/>
      <x:c r="F3" s="66"/>
      <x:c r="G3" s="66"/>
      <x:c r="H3" s="66"/>
    </x:row>
    <x:row r="4">
      <x:c r="A4" s="67" t="str">
        <x:v>核心原则：不要为了外链而建站。每个博客站都必须有独立主题、独立用户价值、独立内容角度；链接主站只能是自然导流，不要每篇文章机械插入商业锚文本。</x:v>
      </x:c>
      <x:c r="B4" s="67" t="str">
        <x:v>核心原则：不要为了外链而建站。每个博客站都必须有独立主题、独立用户价值、独立内容角度；链接主站只能是自然导流，不要每篇文章机械插入商业锚文本。</x:v>
      </x:c>
      <x:c r="C4" s="67" t="str">
        <x:v>核心原则：不要为了外链而建站。每个博客站都必须有独立主题、独立用户价值、独立内容角度；链接主站只能是自然导流，不要每篇文章机械插入商业锚文本。</x:v>
      </x:c>
      <x:c r="D4" s="67" t="str">
        <x:v>核心原则：不要为了外链而建站。每个博客站都必须有独立主题、独立用户价值、独立内容角度；链接主站只能是自然导流，不要每篇文章机械插入商业锚文本。</x:v>
      </x:c>
      <x:c r="E4" s="67" t="str">
        <x:v>核心原则：不要为了外链而建站。每个博客站都必须有独立主题、独立用户价值、独立内容角度；链接主站只能是自然导流，不要每篇文章机械插入商业锚文本。</x:v>
      </x:c>
      <x:c r="F4" s="67" t="str">
        <x:v>核心原则：不要为了外链而建站。每个博客站都必须有独立主题、独立用户价值、独立内容角度；链接主站只能是自然导流，不要每篇文章机械插入商业锚文本。</x:v>
      </x:c>
      <x:c r="G4" s="67" t="str">
        <x:v>核心原则：不要为了外链而建站。每个博客站都必须有独立主题、独立用户价值、独立内容角度；链接主站只能是自然导流，不要每篇文章机械插入商业锚文本。</x:v>
      </x:c>
      <x:c r="H4" s="67" t="str">
        <x:v>核心原则：不要为了外链而建站。每个博客站都必须有独立主题、独立用户价值、独立内容角度；链接主站只能是自然导流，不要每篇文章机械插入商业锚文本。</x:v>
      </x:c>
    </x:row>
    <x:row r="5">
      <x:c r="A5" s="66"/>
      <x:c r="B5" s="66"/>
      <x:c r="C5" s="66"/>
      <x:c r="D5" s="66"/>
      <x:c r="E5" s="66"/>
      <x:c r="F5" s="66"/>
      <x:c r="G5" s="66"/>
      <x:c r="H5" s="66"/>
    </x:row>
    <x:row r="6">
      <x:c r="A6" s="68" t="str">
        <x:v>步骤</x:v>
      </x:c>
      <x:c r="B6" s="68" t="str">
        <x:v>要做什么</x:v>
      </x:c>
      <x:c r="C6" s="68" t="str">
        <x:v>判断标准</x:v>
      </x:c>
      <x:c r="D6" s="68" t="str">
        <x:v>输出结果</x:v>
      </x:c>
      <x:c r="E6" s="68" t="str">
        <x:v>主站做什么</x:v>
      </x:c>
      <x:c r="F6" s="68" t="str">
        <x:v>博客站做什么</x:v>
      </x:c>
      <x:c r="G6" s="68" t="str">
        <x:v>风险控制</x:v>
      </x:c>
      <x:c r="H6" s="68" t="str">
        <x:v>备注</x:v>
      </x:c>
    </x:row>
    <x:row r="7">
      <x:c r="A7" s="45" t="str">
        <x:v>1. 定站点角色</x:v>
      </x:c>
      <x:c r="B7" s="34" t="str">
        <x:v>先在「站点定位」定义主站和3个博客站</x:v>
      </x:c>
      <x:c r="C7" s="34" t="str">
        <x:v>每个站必须有不同人群/意图/内容角度</x:v>
      </x:c>
      <x:c r="D7" s="34" t="str">
        <x:v>站点矩阵定位</x:v>
      </x:c>
      <x:c r="E7" s="34" t="str">
        <x:v>承接成交词</x:v>
      </x:c>
      <x:c r="F7" s="34" t="str">
        <x:v>承接知识/场景/对比词</x:v>
      </x:c>
      <x:c r="G7" s="34" t="str">
        <x:v>不要四个站都写同一类内容</x:v>
      </x:c>
      <x:c r="H7" s="35" t="str"/>
    </x:row>
    <x:row r="8">
      <x:c r="A8" s="46" t="str">
        <x:v>2. 导入关键词</x:v>
      </x:c>
      <x:c r="B8" s="37" t="str">
        <x:v>从 Semrush/GSC/竞品导出关键词</x:v>
      </x:c>
      <x:c r="C8" s="37" t="str">
        <x:v>保留 Volume、CPC、KD、Intent、SERP 类型</x:v>
      </x:c>
      <x:c r="D8" s="37" t="str">
        <x:v>关键词池</x:v>
      </x:c>
      <x:c r="E8" s="37" t="str">
        <x:v>保留交易词和品牌词</x:v>
      </x:c>
      <x:c r="F8" s="37" t="str">
        <x:v>保留信息词、场景词、对比词</x:v>
      </x:c>
      <x:c r="G8" s="37" t="str">
        <x:v>不要只看搜索量</x:v>
      </x:c>
      <x:c r="H8" s="38" t="str"/>
    </x:row>
    <x:row r="9">
      <x:c r="A9" s="46" t="str">
        <x:v>3. 分配主攻站点</x:v>
      </x:c>
      <x:c r="B9" s="37" t="str">
        <x:v>每个关键词只选择一个主攻站点</x:v>
      </x:c>
      <x:c r="C9" s="37" t="str">
        <x:v>主站=成交；博客A=知识教程；博客B=人群场景；博客C=对比评测</x:v>
      </x:c>
      <x:c r="D9" s="37" t="str">
        <x:v>主攻站点</x:v>
      </x:c>
      <x:c r="E9" s="37" t="str">
        <x:v>避免被博客抢成交词</x:v>
      </x:c>
      <x:c r="F9" s="37" t="str">
        <x:v>避免博客之间抢词</x:v>
      </x:c>
      <x:c r="G9" s="37" t="str">
        <x:v>同一关键词不能多个站主攻</x:v>
      </x:c>
      <x:c r="H9" s="38" t="str"/>
    </x:row>
    <x:row r="10">
      <x:c r="A10" s="46" t="str">
        <x:v>4. 指定主攻URL</x:v>
      </x:c>
      <x:c r="B10" s="37" t="str">
        <x:v>给每个关键词指定唯一URL</x:v>
      </x:c>
      <x:c r="C10" s="37" t="str">
        <x:v>URL 未定时先写建议URL</x:v>
      </x:c>
      <x:c r="D10" s="37" t="str">
        <x:v>主攻URL</x:v>
      </x:c>
      <x:c r="E10" s="37" t="str">
        <x:v>分类页/集合页/商品页</x:v>
      </x:c>
      <x:c r="F10" s="37" t="str">
        <x:v>文章URL</x:v>
      </x:c>
      <x:c r="G10" s="37" t="str">
        <x:v>无URL则不进入生产</x:v>
      </x:c>
      <x:c r="H10" s="38" t="str"/>
    </x:row>
    <x:row r="11">
      <x:c r="A11" s="46" t="str">
        <x:v>5. 判断是否外链</x:v>
      </x:c>
      <x:c r="B11" s="37" t="str">
        <x:v>只在高度相关时链接主站</x:v>
      </x:c>
      <x:c r="C11" s="37" t="str">
        <x:v>链接目的必须是帮助用户下一步决策</x:v>
      </x:c>
      <x:c r="D11" s="37" t="str">
        <x:v>是否允许链接主站</x:v>
      </x:c>
      <x:c r="E11" s="37" t="str">
        <x:v>被自然提及</x:v>
      </x:c>
      <x:c r="F11" s="37" t="str">
        <x:v>自然导流</x:v>
      </x:c>
      <x:c r="G11" s="37" t="str">
        <x:v>少用精确匹配商业锚文本</x:v>
      </x:c>
      <x:c r="H11" s="38" t="str"/>
    </x:row>
    <x:row r="12">
      <x:c r="A12" s="46" t="str">
        <x:v>6. 内容排期</x:v>
      </x:c>
      <x:c r="B12" s="37" t="str">
        <x:v>P0/P1 进入内容日历</x:v>
      </x:c>
      <x:c r="C12" s="37" t="str">
        <x:v>一个站点先打透一个主题簇</x:v>
      </x:c>
      <x:c r="D12" s="37" t="str">
        <x:v>发布计划</x:v>
      </x:c>
      <x:c r="E12" s="37" t="str">
        <x:v>更新商业页</x:v>
      </x:c>
      <x:c r="F12" s="37" t="str">
        <x:v>发布支持内容</x:v>
      </x:c>
      <x:c r="G12" s="37" t="str">
        <x:v>不要所有站同日大量发同类文</x:v>
      </x:c>
      <x:c r="H12" s="38" t="str"/>
    </x:row>
    <x:row r="13">
      <x:c r="A13" s="46" t="str">
        <x:v>7. 复盘冲突</x:v>
      </x:c>
      <x:c r="B13" s="37" t="str">
        <x:v>看 GSC/Semrush 排名 URL</x:v>
      </x:c>
      <x:c r="C13" s="37" t="str">
        <x:v>如果多个站抢同词，保留最合适页面</x:v>
      </x:c>
      <x:c r="D13" s="37" t="str">
        <x:v>更新/合并/改内链</x:v>
      </x:c>
      <x:c r="E13" s="37" t="str">
        <x:v>主站优先保留商业词</x:v>
      </x:c>
      <x:c r="F13" s="37" t="str">
        <x:v>博客改长尾角度</x:v>
      </x:c>
      <x:c r="G13" s="37" t="str">
        <x:v>防止关键词内耗</x:v>
      </x:c>
      <x:c r="H13" s="38" t="str"/>
    </x:row>
    <x:row r="14">
      <x:c r="A14" s="47" t="str">
        <x:v>8. 风险检查</x:v>
      </x:c>
      <x:c r="B14" s="40" t="str">
        <x:v>定期检查外链比例和锚文本</x:v>
      </x:c>
      <x:c r="C14" s="40" t="str">
        <x:v>外链应自然、多样、少量</x:v>
      </x:c>
      <x:c r="D14" s="40" t="str">
        <x:v>风险等级</x:v>
      </x:c>
      <x:c r="E14" s="40" t="str">
        <x:v>承接转化</x:v>
      </x:c>
      <x:c r="F14" s="40" t="str">
        <x:v>提供真实内容价值</x:v>
      </x:c>
      <x:c r="G14" s="40" t="str">
        <x:v>避免PBN化</x:v>
      </x:c>
      <x:c r="H14" s="41" t="str"/>
    </x:row>
  </x:sheetData>
  <x:mergeCells>
    <x:mergeCell ref="A1:H1"/>
    <x:mergeCell ref="A2:H2"/>
    <x:mergeCell ref="A4:H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26" hidden="0" customWidth="1"/>
    <x:col min="4" max="4" width="28" hidden="0" customWidth="1"/>
    <x:col min="5" max="5" width="30" hidden="0" customWidth="1"/>
    <x:col min="6" max="6" width="30" hidden="0" customWidth="1"/>
    <x:col min="7" max="7" width="30" hidden="0" customWidth="1"/>
    <x:col min="8" max="8" width="24" hidden="0" customWidth="1"/>
  </x:cols>
  <x:sheetData>
    <x:row r="1">
      <x:c r="A1" s="64" t="str">
        <x:v>站点定位与分词边界</x:v>
      </x:c>
      <x:c r="B1" s="64" t="str">
        <x:v>站点定位与分词边界</x:v>
      </x:c>
      <x:c r="C1" s="64" t="str">
        <x:v>站点定位与分词边界</x:v>
      </x:c>
      <x:c r="D1" s="64" t="str">
        <x:v>站点定位与分词边界</x:v>
      </x:c>
      <x:c r="E1" s="64" t="str">
        <x:v>站点定位与分词边界</x:v>
      </x:c>
      <x:c r="F1" s="64" t="str">
        <x:v>站点定位与分词边界</x:v>
      </x:c>
      <x:c r="G1" s="64" t="str">
        <x:v>站点定位与分词边界</x:v>
      </x:c>
      <x:c r="H1" s="64" t="str">
        <x:v>站点定位与分词边界</x:v>
      </x:c>
    </x:row>
    <x:row r="2">
      <x:c r="A2" s="65" t="str">
        <x:v>先定义每个站的角色，后面分词才不会互抢。你可以把示例替换成自己的真实域名。</x:v>
      </x:c>
      <x:c r="B2" s="65" t="str">
        <x:v>先定义每个站的角色，后面分词才不会互抢。你可以把示例替换成自己的真实域名。</x:v>
      </x:c>
      <x:c r="C2" s="65" t="str">
        <x:v>先定义每个站的角色，后面分词才不会互抢。你可以把示例替换成自己的真实域名。</x:v>
      </x:c>
      <x:c r="D2" s="65" t="str">
        <x:v>先定义每个站的角色，后面分词才不会互抢。你可以把示例替换成自己的真实域名。</x:v>
      </x:c>
      <x:c r="E2" s="65" t="str">
        <x:v>先定义每个站的角色，后面分词才不会互抢。你可以把示例替换成自己的真实域名。</x:v>
      </x:c>
      <x:c r="F2" s="65" t="str">
        <x:v>先定义每个站的角色，后面分词才不会互抢。你可以把示例替换成自己的真实域名。</x:v>
      </x:c>
      <x:c r="G2" s="65" t="str">
        <x:v>先定义每个站的角色，后面分词才不会互抢。你可以把示例替换成自己的真实域名。</x:v>
      </x:c>
      <x:c r="H2" s="65" t="str">
        <x:v>先定义每个站的角色，后面分词才不会互抢。你可以把示例替换成自己的真实域名。</x:v>
      </x:c>
    </x:row>
    <x:row r="3">
      <x:c r="A3" s="66"/>
      <x:c r="B3" s="66"/>
      <x:c r="C3" s="66"/>
      <x:c r="D3" s="66"/>
      <x:c r="E3" s="66"/>
      <x:c r="F3" s="66"/>
      <x:c r="G3" s="66"/>
      <x:c r="H3" s="66"/>
    </x:row>
    <x:row r="4">
      <x:c r="A4" s="68" t="str">
        <x:v>站点</x:v>
      </x:c>
      <x:c r="B4" s="68" t="str">
        <x:v>定位</x:v>
      </x:c>
      <x:c r="C4" s="68" t="str">
        <x:v>主攻搜索意图</x:v>
      </x:c>
      <x:c r="D4" s="68" t="str">
        <x:v>适合关键词</x:v>
      </x:c>
      <x:c r="E4" s="68" t="str">
        <x:v>不适合关键词</x:v>
      </x:c>
      <x:c r="F4" s="68" t="str">
        <x:v>推荐页面类型</x:v>
      </x:c>
      <x:c r="G4" s="68" t="str">
        <x:v>链接主站规则</x:v>
      </x:c>
      <x:c r="H4" s="68" t="str">
        <x:v>备注</x:v>
      </x:c>
    </x:row>
    <x:row r="5">
      <x:c r="A5" s="45" t="str">
        <x:v>主站</x:v>
      </x:c>
      <x:c r="B5" s="34" t="str">
        <x:v>品牌/商城/成交站</x:v>
      </x:c>
      <x:c r="C5" s="34" t="str">
        <x:v>Transactional + 高商业Commercial</x:v>
      </x:c>
      <x:c r="D5" s="34" t="str">
        <x:v>buy, sale, price, shop, product, collection, brand</x:v>
      </x:c>
      <x:c r="E5" s="34" t="str">
        <x:v>泛知识词、百科定义词</x:v>
      </x:c>
      <x:c r="F5" s="34" t="str">
        <x:v>分类页/集合页/商品页/核心购买指南</x:v>
      </x:c>
      <x:c r="G5" s="34" t="str">
        <x:v>主站不需要反链自己；承接其他站自然导流</x:v>
      </x:c>
      <x:c r="H5" s="35" t="str">
        <x:v>成交优先</x:v>
      </x:c>
    </x:row>
    <x:row r="6">
      <x:c r="A6" s="46" t="str">
        <x:v>博客站A</x:v>
      </x:c>
      <x:c r="B6" s="37" t="str">
        <x:v>知识教程站</x:v>
      </x:c>
      <x:c r="C6" s="37" t="str">
        <x:v>Informational</x:v>
      </x:c>
      <x:c r="D6" s="37" t="str">
        <x:v>what is, how to, care, guide, benefits</x:v>
      </x:c>
      <x:c r="E6" s="37" t="str">
        <x:v>强交易词、品牌词</x:v>
      </x:c>
      <x:c r="F6" s="37" t="str">
        <x:v>教程文/百科解释/FAQ/护理指南</x:v>
      </x:c>
      <x:c r="G6" s="37" t="str">
        <x:v>只在用户需要下一步购买时链接主站</x:v>
      </x:c>
      <x:c r="H6" s="38" t="str">
        <x:v>负责教育</x:v>
      </x:c>
    </x:row>
    <x:row r="7">
      <x:c r="A7" s="46" t="str">
        <x:v>博客站B</x:v>
      </x:c>
      <x:c r="B7" s="37" t="str">
        <x:v>人群场景站</x:v>
      </x:c>
      <x:c r="C7" s="37" t="str">
        <x:v>Informational + Commercial Investigation</x:v>
      </x:c>
      <x:c r="D7" s="37" t="str">
        <x:v>for curly hair, for acne, for gifts, problem, use case</x:v>
      </x:c>
      <x:c r="E7" s="37" t="str">
        <x:v>纯交易词、泛定义词</x:v>
      </x:c>
      <x:c r="F7" s="37" t="str">
        <x:v>场景解决方案/人群指南/问题解决文</x:v>
      </x:c>
      <x:c r="G7" s="37" t="str">
        <x:v>链接到对应集合页或商品页</x:v>
      </x:c>
      <x:c r="H7" s="38" t="str">
        <x:v>负责场景</x:v>
      </x:c>
    </x:row>
    <x:row r="8">
      <x:c r="A8" s="46" t="str">
        <x:v>博客站C</x:v>
      </x:c>
      <x:c r="B8" s="37" t="str">
        <x:v>对比评测站</x:v>
      </x:c>
      <x:c r="C8" s="37" t="str">
        <x:v>Commercial Investigation</x:v>
      </x:c>
      <x:c r="D8" s="37" t="str">
        <x:v>best, vs, alternative, comparison, review, checklist</x:v>
      </x:c>
      <x:c r="E8" s="37" t="str">
        <x:v>品牌导航词、售后教程词</x:v>
      </x:c>
      <x:c r="F8" s="37" t="str">
        <x:v>对比文/榜单/评测/替代方案</x:v>
      </x:c>
      <x:c r="G8" s="37" t="str">
        <x:v>链接到主站购买页时必须自然披露/自然表达</x:v>
      </x:c>
      <x:c r="H8" s="38" t="str">
        <x:v>负责决策</x:v>
      </x:c>
    </x:row>
    <x:row r="9">
      <x:c r="A9" s="47" t="str">
        <x:v>暂不做</x:v>
      </x:c>
      <x:c r="B9" s="40" t="str">
        <x:v>低价值或高风险词</x:v>
      </x:c>
      <x:c r="C9" s="40" t="str">
        <x:v>不匹配</x:v>
      </x:c>
      <x:c r="D9" s="40" t="str">
        <x:v>弱相关、超高难度、无商业路径、重复意图</x:v>
      </x:c>
      <x:c r="E9" s="40" t="str">
        <x:v>无</x:v>
      </x:c>
      <x:c r="F9" s="40" t="str">
        <x:v>不建页面</x:v>
      </x:c>
      <x:c r="G9" s="40" t="str">
        <x:v>不链接</x:v>
      </x:c>
      <x:c r="H9" s="41" t="str">
        <x:v>进入观察池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6" hidden="0" customWidth="1"/>
    <x:col min="3" max="3" width="24" hidden="0" customWidth="1"/>
    <x:col min="4" max="4" width="30" hidden="0" customWidth="1"/>
    <x:col min="5" max="5" width="30" hidden="0" customWidth="1"/>
    <x:col min="6" max="6" width="24" hidden="0" customWidth="1"/>
    <x:col min="7" max="7" width="28" hidden="0" customWidth="1"/>
    <x:col min="8" max="8" width="24" hidden="0" customWidth="1"/>
  </x:cols>
  <x:sheetData>
    <x:row r="1">
      <x:c r="A1" s="64" t="str">
        <x:v>关键词分站规则</x:v>
      </x:c>
      <x:c r="B1" s="64" t="str">
        <x:v>关键词分站规则</x:v>
      </x:c>
      <x:c r="C1" s="64" t="str">
        <x:v>关键词分站规则</x:v>
      </x:c>
      <x:c r="D1" s="64" t="str">
        <x:v>关键词分站规则</x:v>
      </x:c>
      <x:c r="E1" s="64" t="str">
        <x:v>关键词分站规则</x:v>
      </x:c>
      <x:c r="F1" s="64" t="str">
        <x:v>关键词分站规则</x:v>
      </x:c>
      <x:c r="G1" s="64" t="str">
        <x:v>关键词分站规则</x:v>
      </x:c>
      <x:c r="H1" s="64" t="str">
        <x:v>关键词分站规则</x:v>
      </x:c>
    </x:row>
    <x:row r="2">
      <x:c r="A2" s="65" t="str">
        <x:v>按搜索意图、SERP获胜类型、商业价值和站点角色来决定关键词归属。</x:v>
      </x:c>
      <x:c r="B2" s="65" t="str">
        <x:v>按搜索意图、SERP获胜类型、商业价值和站点角色来决定关键词归属。</x:v>
      </x:c>
      <x:c r="C2" s="65" t="str">
        <x:v>按搜索意图、SERP获胜类型、商业价值和站点角色来决定关键词归属。</x:v>
      </x:c>
      <x:c r="D2" s="65" t="str">
        <x:v>按搜索意图、SERP获胜类型、商业价值和站点角色来决定关键词归属。</x:v>
      </x:c>
      <x:c r="E2" s="65" t="str">
        <x:v>按搜索意图、SERP获胜类型、商业价值和站点角色来决定关键词归属。</x:v>
      </x:c>
      <x:c r="F2" s="65" t="str">
        <x:v>按搜索意图、SERP获胜类型、商业价值和站点角色来决定关键词归属。</x:v>
      </x:c>
      <x:c r="G2" s="65" t="str">
        <x:v>按搜索意图、SERP获胜类型、商业价值和站点角色来决定关键词归属。</x:v>
      </x:c>
      <x:c r="H2" s="65" t="str">
        <x:v>按搜索意图、SERP获胜类型、商业价值和站点角色来决定关键词归属。</x:v>
      </x:c>
    </x:row>
    <x:row r="3">
      <x:c r="A3" s="66"/>
      <x:c r="B3" s="66"/>
      <x:c r="C3" s="66"/>
      <x:c r="D3" s="66"/>
      <x:c r="E3" s="66"/>
      <x:c r="F3" s="66"/>
      <x:c r="G3" s="66"/>
      <x:c r="H3" s="66"/>
    </x:row>
    <x:row r="4">
      <x:c r="A4" s="68" t="str">
        <x:v>关键词/SERP信号</x:v>
      </x:c>
      <x:c r="B4" s="68" t="str">
        <x:v>搜索意图</x:v>
      </x:c>
      <x:c r="C4" s="68" t="str">
        <x:v>推荐站点</x:v>
      </x:c>
      <x:c r="D4" s="68" t="str">
        <x:v>推荐页面类型</x:v>
      </x:c>
      <x:c r="E4" s="68" t="str">
        <x:v>是否链接主站</x:v>
      </x:c>
      <x:c r="F4" s="68" t="str">
        <x:v>锚文本建议</x:v>
      </x:c>
      <x:c r="G4" s="68" t="str">
        <x:v>风险提示</x:v>
      </x:c>
      <x:c r="H4" s="68" t="str">
        <x:v>示例</x:v>
      </x:c>
    </x:row>
    <x:row r="5">
      <x:c r="A5" s="33" t="str">
        <x:v>buy / sale / price / shop</x:v>
      </x:c>
      <x:c r="B5" s="34" t="str">
        <x:v>Transactional</x:v>
      </x:c>
      <x:c r="C5" s="34" t="str">
        <x:v>主站</x:v>
      </x:c>
      <x:c r="D5" s="34" t="str">
        <x:v>分类页/集合页/商品页</x:v>
      </x:c>
      <x:c r="E5" s="34" t="str">
        <x:v>不适用</x:v>
      </x:c>
      <x:c r="F5" s="34" t="str">
        <x:v>不适用</x:v>
      </x:c>
      <x:c r="G5" s="34" t="str">
        <x:v>不要给博客站抢成交词</x:v>
      </x:c>
      <x:c r="H5" s="35" t="str">
        <x:v>buy silk pillowcase</x:v>
      </x:c>
    </x:row>
    <x:row r="6">
      <x:c r="A6" s="36" t="str">
        <x:v>best / top / recommended</x:v>
      </x:c>
      <x:c r="B6" s="37" t="str">
        <x:v>Commercial</x:v>
      </x:c>
      <x:c r="C6" s="37" t="str">
        <x:v>博客站C</x:v>
      </x:c>
      <x:c r="D6" s="37" t="str">
        <x:v>榜单/购买指南</x:v>
      </x:c>
      <x:c r="E6" s="37" t="str">
        <x:v>可链接</x:v>
      </x:c>
      <x:c r="F6" s="37" t="str">
        <x:v>品牌词/集合页自然短语</x:v>
      </x:c>
      <x:c r="G6" s="37" t="str">
        <x:v>避免每篇都精确匹配锚文本</x:v>
      </x:c>
      <x:c r="H6" s="38" t="str">
        <x:v>best silk pillowcase for hair</x:v>
      </x:c>
    </x:row>
    <x:row r="7">
      <x:c r="A7" s="36" t="str">
        <x:v>vs / comparison / alternative</x:v>
      </x:c>
      <x:c r="B7" s="37" t="str">
        <x:v>Commercial</x:v>
      </x:c>
      <x:c r="C7" s="37" t="str">
        <x:v>博客站C</x:v>
      </x:c>
      <x:c r="D7" s="37" t="str">
        <x:v>对比文</x:v>
      </x:c>
      <x:c r="E7" s="37" t="str">
        <x:v>可链接</x:v>
      </x:c>
      <x:c r="F7" s="37" t="str">
        <x:v>see product options / 品牌名</x:v>
      </x:c>
      <x:c r="G7" s="37" t="str">
        <x:v>要有真实比较价值</x:v>
      </x:c>
      <x:c r="H7" s="38" t="str">
        <x:v>silk vs satin pillowcase</x:v>
      </x:c>
    </x:row>
    <x:row r="8">
      <x:c r="A8" s="36" t="str">
        <x:v>for + user group</x:v>
      </x:c>
      <x:c r="B8" s="37" t="str">
        <x:v>Mixed</x:v>
      </x:c>
      <x:c r="C8" s="37" t="str">
        <x:v>博客站B</x:v>
      </x:c>
      <x:c r="D8" s="37" t="str">
        <x:v>人群场景文</x:v>
      </x:c>
      <x:c r="E8" s="37" t="str">
        <x:v>可链接</x:v>
      </x:c>
      <x:c r="F8" s="37" t="str">
        <x:v>相关集合页自然短语</x:v>
      </x:c>
      <x:c r="G8" s="37" t="str">
        <x:v>不要与博客C的best词重复</x:v>
      </x:c>
      <x:c r="H8" s="38" t="str">
        <x:v>silk pillowcase for curly hair</x:v>
      </x:c>
    </x:row>
    <x:row r="9">
      <x:c r="A9" s="36" t="str">
        <x:v>problem / pain point</x:v>
      </x:c>
      <x:c r="B9" s="37" t="str">
        <x:v>Informational</x:v>
      </x:c>
      <x:c r="C9" s="37" t="str">
        <x:v>博客站B</x:v>
      </x:c>
      <x:c r="D9" s="37" t="str">
        <x:v>问题解决文</x:v>
      </x:c>
      <x:c r="E9" s="37" t="str">
        <x:v>可链接</x:v>
      </x:c>
      <x:c r="F9" s="37" t="str">
        <x:v>低门槛CTA</x:v>
      </x:c>
      <x:c r="G9" s="37" t="str">
        <x:v>避免夸大功效</x:v>
      </x:c>
      <x:c r="H9" s="38" t="str">
        <x:v>pillowcase for frizzy hair</x:v>
      </x:c>
    </x:row>
    <x:row r="10">
      <x:c r="A10" s="36" t="str">
        <x:v>how to / care / clean / use</x:v>
      </x:c>
      <x:c r="B10" s="37" t="str">
        <x:v>Informational</x:v>
      </x:c>
      <x:c r="C10" s="37" t="str">
        <x:v>博客站A</x:v>
      </x:c>
      <x:c r="D10" s="37" t="str">
        <x:v>教程文/护理指南</x:v>
      </x:c>
      <x:c r="E10" s="37" t="str">
        <x:v>少量链接</x:v>
      </x:c>
      <x:c r="F10" s="37" t="str">
        <x:v>product care guide / 裸链</x:v>
      </x:c>
      <x:c r="G10" s="37" t="str">
        <x:v>不要硬塞购买链接</x:v>
      </x:c>
      <x:c r="H10" s="38" t="str">
        <x:v>how to wash silk pillowcase</x:v>
      </x:c>
    </x:row>
    <x:row r="11">
      <x:c r="A11" s="36" t="str">
        <x:v>what is / benefits / guide</x:v>
      </x:c>
      <x:c r="B11" s="37" t="str">
        <x:v>Informational</x:v>
      </x:c>
      <x:c r="C11" s="37" t="str">
        <x:v>博客站A</x:v>
      </x:c>
      <x:c r="D11" s="37" t="str">
        <x:v>知识文/价值解释</x:v>
      </x:c>
      <x:c r="E11" s="37" t="str">
        <x:v>少量链接</x:v>
      </x:c>
      <x:c r="F11" s="37" t="str">
        <x:v>learn more / 品牌名</x:v>
      </x:c>
      <x:c r="G11" s="37" t="str">
        <x:v>泛定义词要谨慎</x:v>
      </x:c>
      <x:c r="H11" s="38" t="str">
        <x:v>what is mulberry silk</x:v>
      </x:c>
    </x:row>
    <x:row r="12">
      <x:c r="A12" s="36" t="str">
        <x:v>brand name / coupon</x:v>
      </x:c>
      <x:c r="B12" s="37" t="str">
        <x:v>Navigational</x:v>
      </x:c>
      <x:c r="C12" s="37" t="str">
        <x:v>主站</x:v>
      </x:c>
      <x:c r="D12" s="37" t="str">
        <x:v>品牌页/优惠页</x:v>
      </x:c>
      <x:c r="E12" s="37" t="str">
        <x:v>不适用</x:v>
      </x:c>
      <x:c r="F12" s="37" t="str">
        <x:v>不适用</x:v>
      </x:c>
      <x:c r="G12" s="37" t="str">
        <x:v>博客站不要截流品牌词</x:v>
      </x:c>
      <x:c r="H12" s="38" t="str">
        <x:v>yourbrand silk pillowcase</x:v>
      </x:c>
    </x:row>
    <x:row r="13">
      <x:c r="A13" s="36" t="str">
        <x:v>论坛/百科大站占满SERP</x:v>
      </x:c>
      <x:c r="B13" s="37" t="str">
        <x:v>High Difficulty</x:v>
      </x:c>
      <x:c r="C13" s="37" t="str">
        <x:v>暂不做</x:v>
      </x:c>
      <x:c r="D13" s="37" t="str">
        <x:v>观察/拆长尾</x:v>
      </x:c>
      <x:c r="E13" s="37" t="str">
        <x:v>否</x:v>
      </x:c>
      <x:c r="F13" s="37" t="str">
        <x:v>否</x:v>
      </x:c>
      <x:c r="G13" s="37" t="str">
        <x:v>小站不要硬冲</x:v>
      </x:c>
      <x:c r="H13" s="38" t="str">
        <x:v>what is silk</x:v>
      </x:c>
    </x:row>
    <x:row r="14">
      <x:c r="A14" s="39" t="str">
        <x:v>同一词多个站都想写</x:v>
      </x:c>
      <x:c r="B14" s="40" t="str">
        <x:v>Conflict</x:v>
      </x:c>
      <x:c r="C14" s="40" t="str">
        <x:v>只保留一个主攻站点</x:v>
      </x:c>
      <x:c r="D14" s="40" t="str">
        <x:v>重新拆分长尾</x:v>
      </x:c>
      <x:c r="E14" s="40" t="str">
        <x:v>按需要</x:v>
      </x:c>
      <x:c r="F14" s="40" t="str">
        <x:v>多样化</x:v>
      </x:c>
      <x:c r="G14" s="40" t="str">
        <x:v>避免站群内耗</x:v>
      </x:c>
      <x:c r="H14" s="41" t="str">
        <x:v>silk pillowcase benefits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3" max="3" width="18" hidden="0" customWidth="1"/>
    <x:col min="4" max="4" width="11" hidden="0" customWidth="1"/>
    <x:col min="5" max="5" width="9" hidden="0" customWidth="1"/>
    <x:col min="6" max="6" width="9" hidden="0" customWidth="1"/>
    <x:col min="7" max="7" width="14" hidden="0" customWidth="1"/>
    <x:col min="8" max="8" width="18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6" hidden="0" customWidth="1"/>
    <x:col min="15" max="15" width="16" hidden="0" customWidth="1"/>
    <x:col min="16" max="16" width="16" hidden="0" customWidth="1"/>
    <x:col min="17" max="17" width="18" hidden="0" customWidth="1"/>
    <x:col min="18" max="18" width="18" hidden="0" customWidth="1"/>
    <x:col min="19" max="19" width="34" hidden="0" customWidth="1"/>
    <x:col min="20" max="20" width="34" hidden="0" customWidth="1"/>
    <x:col min="21" max="21" width="16" hidden="0" customWidth="1"/>
    <x:col min="22" max="22" width="20" hidden="0" customWidth="1"/>
    <x:col min="23" max="23" width="14" hidden="0" customWidth="1"/>
    <x:col min="24" max="24" width="30" hidden="0" customWidth="1"/>
    <x:col min="25" max="25" width="18" hidden="0" customWidth="1"/>
    <x:col min="26" max="26" width="30" hidden="0" customWidth="1"/>
    <x:col min="27" max="27" width="3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  <x:col min="34" max="34" width="24" hidden="0" customWidth="1"/>
  </x:cols>
  <x:sheetData>
    <x:row r="1">
      <x:c r="A1" s="64" t="str">
        <x:v>关键词分站与内容规划表</x:v>
      </x:c>
      <x:c r="B1" s="64" t="str">
        <x:v>关键词分站与内容规划表</x:v>
      </x:c>
      <x:c r="C1" s="64" t="str">
        <x:v>关键词分站与内容规划表</x:v>
      </x:c>
      <x:c r="D1" s="64" t="str">
        <x:v>关键词分站与内容规划表</x:v>
      </x:c>
      <x:c r="E1" s="64" t="str">
        <x:v>关键词分站与内容规划表</x:v>
      </x:c>
      <x:c r="F1" s="64" t="str">
        <x:v>关键词分站与内容规划表</x:v>
      </x:c>
      <x:c r="G1" s="64" t="str">
        <x:v>关键词分站与内容规划表</x:v>
      </x:c>
      <x:c r="H1" s="64" t="str">
        <x:v>关键词分站与内容规划表</x:v>
      </x:c>
      <x:c r="I1" s="64" t="str">
        <x:v>关键词分站与内容规划表</x:v>
      </x:c>
      <x:c r="J1" s="64" t="str">
        <x:v>关键词分站与内容规划表</x:v>
      </x:c>
      <x:c r="K1" s="64" t="str">
        <x:v>关键词分站与内容规划表</x:v>
      </x:c>
      <x:c r="L1" s="64" t="str">
        <x:v>关键词分站与内容规划表</x:v>
      </x:c>
      <x:c r="M1" s="64" t="str">
        <x:v>关键词分站与内容规划表</x:v>
      </x:c>
      <x:c r="N1" s="64" t="str">
        <x:v>关键词分站与内容规划表</x:v>
      </x:c>
      <x:c r="O1" s="64" t="str">
        <x:v>关键词分站与内容规划表</x:v>
      </x:c>
      <x:c r="P1" s="64" t="str">
        <x:v>关键词分站与内容规划表</x:v>
      </x:c>
      <x:c r="Q1" s="64" t="str">
        <x:v>关键词分站与内容规划表</x:v>
      </x:c>
      <x:c r="R1" s="64" t="str">
        <x:v>关键词分站与内容规划表</x:v>
      </x:c>
      <x:c r="S1" s="64" t="str">
        <x:v>关键词分站与内容规划表</x:v>
      </x:c>
      <x:c r="T1" s="64" t="str">
        <x:v>关键词分站与内容规划表</x:v>
      </x:c>
      <x:c r="U1" s="64" t="str">
        <x:v>关键词分站与内容规划表</x:v>
      </x:c>
      <x:c r="V1" s="64" t="str">
        <x:v>关键词分站与内容规划表</x:v>
      </x:c>
      <x:c r="W1" s="64" t="str">
        <x:v>关键词分站与内容规划表</x:v>
      </x:c>
      <x:c r="X1" s="64" t="str">
        <x:v>关键词分站与内容规划表</x:v>
      </x:c>
      <x:c r="Y1" s="64" t="str">
        <x:v>关键词分站与内容规划表</x:v>
      </x:c>
      <x:c r="Z1" s="64" t="str">
        <x:v>关键词分站与内容规划表</x:v>
      </x:c>
      <x:c r="AA1" s="64" t="str">
        <x:v>关键词分站与内容规划表</x:v>
      </x:c>
      <x:c r="AB1" s="64" t="str">
        <x:v>关键词分站与内容规划表</x:v>
      </x:c>
      <x:c r="AC1" s="64" t="str">
        <x:v>关键词分站与内容规划表</x:v>
      </x:c>
      <x:c r="AD1" s="64" t="str">
        <x:v>关键词分站与内容规划表</x:v>
      </x:c>
      <x:c r="AE1" s="64" t="str">
        <x:v>关键词分站与内容规划表</x:v>
      </x:c>
      <x:c r="AF1" s="64" t="str">
        <x:v>关键词分站与内容规划表</x:v>
      </x:c>
      <x:c r="AG1" s="64" t="str">
        <x:v>关键词分站与内容规划表</x:v>
      </x:c>
      <x:c r="AH1" s="64" t="str">
        <x:v>关键词分站与内容规划表</x:v>
      </x:c>
    </x:row>
    <x:row r="2">
      <x:c r="A2" s="65" t="str">
        <x:v>把 Semrush 关键词粘进来后，按规则选择主攻站点、目标URL、内容类型和外链策略。</x:v>
      </x:c>
      <x:c r="B2" s="65" t="str">
        <x:v>把 Semrush 关键词粘进来后，按规则选择主攻站点、目标URL、内容类型和外链策略。</x:v>
      </x:c>
      <x:c r="C2" s="65" t="str">
        <x:v>把 Semrush 关键词粘进来后，按规则选择主攻站点、目标URL、内容类型和外链策略。</x:v>
      </x:c>
      <x:c r="D2" s="65" t="str">
        <x:v>把 Semrush 关键词粘进来后，按规则选择主攻站点、目标URL、内容类型和外链策略。</x:v>
      </x:c>
      <x:c r="E2" s="65" t="str">
        <x:v>把 Semrush 关键词粘进来后，按规则选择主攻站点、目标URL、内容类型和外链策略。</x:v>
      </x:c>
      <x:c r="F2" s="65" t="str">
        <x:v>把 Semrush 关键词粘进来后，按规则选择主攻站点、目标URL、内容类型和外链策略。</x:v>
      </x:c>
      <x:c r="G2" s="65" t="str">
        <x:v>把 Semrush 关键词粘进来后，按规则选择主攻站点、目标URL、内容类型和外链策略。</x:v>
      </x:c>
      <x:c r="H2" s="65" t="str">
        <x:v>把 Semrush 关键词粘进来后，按规则选择主攻站点、目标URL、内容类型和外链策略。</x:v>
      </x:c>
      <x:c r="I2" s="66"/>
      <x:c r="J2" s="66"/>
      <x:c r="K2" s="66"/>
      <x:c r="L2" s="66"/>
      <x:c r="M2" s="66"/>
      <x:c r="N2" s="66"/>
      <x:c r="O2" s="66"/>
      <x:c r="P2" s="66"/>
      <x:c r="Q2" s="66"/>
      <x:c r="R2" s="66"/>
      <x:c r="S2" s="66"/>
      <x:c r="T2" s="66"/>
      <x:c r="U2" s="66"/>
      <x:c r="V2" s="66"/>
      <x:c r="W2" s="66"/>
      <x:c r="X2" s="66"/>
      <x:c r="Y2" s="66"/>
      <x:c r="Z2" s="66"/>
      <x:c r="AA2" s="66"/>
      <x:c r="AB2" s="66"/>
      <x:c r="AC2" s="66"/>
      <x:c r="AD2" s="66"/>
      <x:c r="AE2" s="66"/>
      <x:c r="AF2" s="66"/>
      <x:c r="AG2" s="66"/>
      <x:c r="AH2" s="66"/>
    </x:row>
    <x:row r="3">
      <x:c r="A3" s="68" t="str">
        <x:v>关键词</x:v>
      </x:c>
      <x:c r="B3" s="68" t="str">
        <x:v>中文含义/备注</x:v>
      </x:c>
      <x:c r="C3" s="68" t="str">
        <x:v>主题簇</x:v>
      </x:c>
      <x:c r="D3" s="68" t="str">
        <x:v>搜索量</x:v>
      </x:c>
      <x:c r="E3" s="68" t="str">
        <x:v>CPC</x:v>
      </x:c>
      <x:c r="F3" s="68" t="str">
        <x:v>KD</x:v>
      </x:c>
      <x:c r="G3" s="68" t="str">
        <x:v>Semrush意图</x:v>
      </x:c>
      <x:c r="H3" s="68" t="str">
        <x:v>SERP获胜类型</x:v>
      </x:c>
      <x:c r="I3" s="68" t="str">
        <x:v>商业价值(1-5)</x:v>
      </x:c>
      <x:c r="J3" s="68" t="str">
        <x:v>产品相关度(1-5)</x:v>
      </x:c>
      <x:c r="K3" s="68" t="str">
        <x:v>内容深度(1-5)</x:v>
      </x:c>
      <x:c r="L3" s="68" t="str">
        <x:v>站点适配(1-5)</x:v>
      </x:c>
      <x:c r="M3" s="68" t="str">
        <x:v>竞争风险(1-5)</x:v>
      </x:c>
      <x:c r="N3" s="68" t="str">
        <x:v>推荐站点</x:v>
      </x:c>
      <x:c r="O3" s="68" t="str">
        <x:v>人工确认站点</x:v>
      </x:c>
      <x:c r="P3" s="68" t="str">
        <x:v>最终主攻站点</x:v>
      </x:c>
      <x:c r="Q3" s="68" t="str">
        <x:v>推荐页面类型</x:v>
      </x:c>
      <x:c r="R3" s="68" t="str">
        <x:v>文章类型</x:v>
      </x:c>
      <x:c r="S3" s="68" t="str">
        <x:v>主攻URL</x:v>
      </x:c>
      <x:c r="T3" s="68" t="str">
        <x:v>父级商业页URL</x:v>
      </x:c>
      <x:c r="U3" s="68" t="str">
        <x:v>是否允许链接主站</x:v>
      </x:c>
      <x:c r="V3" s="68" t="str">
        <x:v>推荐锚文本类型</x:v>
      </x:c>
      <x:c r="W3" s="68" t="str">
        <x:v>链接频率</x:v>
      </x:c>
      <x:c r="X3" s="68" t="str">
        <x:v>内容角度</x:v>
      </x:c>
      <x:c r="Y3" s="68" t="str">
        <x:v>冲突组</x:v>
      </x:c>
      <x:c r="Z3" s="68" t="str">
        <x:v>已有排名URL</x:v>
      </x:c>
      <x:c r="AA3" s="68" t="str">
        <x:v>备注</x:v>
      </x:c>
      <x:c r="AB3" s="68" t="str">
        <x:v>需求分</x:v>
      </x:c>
      <x:c r="AC3" s="68" t="str">
        <x:v>商业分</x:v>
      </x:c>
      <x:c r="AD3" s="68" t="str">
        <x:v>适配分</x:v>
      </x:c>
      <x:c r="AE3" s="68" t="str">
        <x:v>风险扣分</x:v>
      </x:c>
      <x:c r="AF3" s="68" t="str">
        <x:v>总分</x:v>
      </x:c>
      <x:c r="AG3" s="68" t="str">
        <x:v>优先级</x:v>
      </x:c>
      <x:c r="AH3" s="68" t="str">
        <x:v>推荐动作</x:v>
      </x:c>
    </x:row>
    <x:row r="4">
      <x:c r="A4" s="33" t="str">
        <x:v>buy silk pillowcase</x:v>
      </x:c>
      <x:c r="B4" s="34" t="str">
        <x:v>购买词</x:v>
      </x:c>
      <x:c r="C4" s="34" t="str">
        <x:v>silk pillowcase</x:v>
      </x:c>
      <x:c r="D4" s="48" t="n">
        <x:v>1300</x:v>
      </x:c>
      <x:c r="E4" s="51" t="n">
        <x:v>2.4</x:v>
      </x:c>
      <x:c r="F4" s="54" t="n">
        <x:v>45</x:v>
      </x:c>
      <x:c r="G4" s="54" t="str">
        <x:v>Transactional</x:v>
      </x:c>
      <x:c r="H4" s="54" t="str">
        <x:v>商品/分类页</x:v>
      </x:c>
      <x:c r="I4" s="54" t="n">
        <x:v>5</x:v>
      </x:c>
      <x:c r="J4" s="54" t="n">
        <x:v>5</x:v>
      </x:c>
      <x:c r="K4" s="54" t="n">
        <x:v>3</x:v>
      </x:c>
      <x:c r="L4" s="54" t="n">
        <x:v>5</x:v>
      </x:c>
      <x:c r="M4" s="54" t="n">
        <x:v>1</x:v>
      </x:c>
      <x:c r="N4" s="34" t="str">
        <x:f>IF($A4="","",IF(OR($G4="Transactional",$H4="商品/分类页",$H4="集合页",$H4="品牌页"),"主站",IF(OR($H4="博客/榜单",$H4="博客/对比",$G4="Commercial"),"博客站C-对比评测",IF($H4="博客/场景","博客站B-人群场景",IF(OR($H4="教程/FAQ",$H4="博客/指南",$G4="Informational"),"博客站A-知识教程","暂不做")))))</x:f>
        <x:v>主站</x:v>
      </x:c>
      <x:c r="O4" s="34" t="str"/>
      <x:c r="P4" s="34" t="str">
        <x:f>IF($A4="","",IF($O4&lt;&gt;"",$O4,$N4))</x:f>
        <x:v>主站</x:v>
      </x:c>
      <x:c r="Q4" s="34" t="str">
        <x:f>IF($A4="","",IF($P4="主站","分类页/集合页/商品页",IF($P4="博客站C-对比评测",IF($H4="博客/对比","对比文","购买指南"),IF($P4="博客站B-人群场景","场景解决方案",IF($P4="博客站A-知识教程",IF($H4="教程/FAQ","教程文","价值解释文"),"暂不做")))))</x:f>
        <x:v>分类页/集合页/商品页</x:v>
      </x:c>
      <x:c r="R4" s="34" t="str">
        <x:f>IF($A4="","",IF($Q4="分类页/集合页/商品页","不写文章",IF($Q4="暂不做","暂不做",$Q4)))</x:f>
        <x:v>不写文章</x:v>
      </x:c>
      <x:c r="S4" s="34" t="str">
        <x:v>/collections/silk-pillowcases</x:v>
      </x:c>
      <x:c r="T4" s="34" t="str">
        <x:v>/collections/silk-pillowcases</x:v>
      </x:c>
      <x:c r="U4" s="34" t="str">
        <x:v>否</x:v>
      </x:c>
      <x:c r="V4" s="34" t="str">
        <x:v>不适用</x:v>
      </x:c>
      <x:c r="W4" s="34" t="str">
        <x:v>不适用</x:v>
      </x:c>
      <x:c r="X4" s="34" t="str">
        <x:v>主站成交页</x:v>
      </x:c>
      <x:c r="Y4" s="34" t="str">
        <x:v>silk-pillowcase-buy</x:v>
      </x:c>
      <x:c r="Z4" s="34" t="str"/>
      <x:c r="AA4" s="34" t="str"/>
      <x:c r="AB4" s="57" t="n">
        <x:f>IF($A4="","",IF($D4&gt;=1000,15,IF($D4&gt;=300,12,IF($D4&gt;=100,9,IF($D4&gt;0,5,0)))))</x:f>
        <x:v>15</x:v>
      </x:c>
      <x:c r="AC4" s="57" t="n">
        <x:f>IF($A4="","",(($I4+$J4)/10)*25)</x:f>
        <x:v>25</x:v>
      </x:c>
      <x:c r="AD4" s="57" t="n">
        <x:f>IF($A4="","",(($K4+$L4)/10)*25)</x:f>
        <x:v>20</x:v>
      </x:c>
      <x:c r="AE4" s="57" t="n">
        <x:f>IF($A4="","",$M4*5)</x:f>
        <x:v>5</x:v>
      </x:c>
      <x:c r="AF4" s="57" t="n">
        <x:f>IF($A4="","",MAX(0,AB4+AC4+AD4-AE4))</x:f>
        <x:v>55</x:v>
      </x:c>
      <x:c r="AG4" s="34" t="str">
        <x:f>IF($A4="","",IF(AF4&gt;=70,"P0",IF(AF4&gt;=55,"P1",IF(AF4&gt;=40,"P2","P3"))))</x:f>
        <x:v>P1</x:v>
      </x:c>
      <x:c r="AH4" s="35" t="str">
        <x:f>IF($A4="","",IF(AG4="P0","立即规划",IF(AG4="P1","进入本批内容日历",IF(AG4="P2","观察/做FAQ或长尾","暂不做或合并"))))</x:f>
        <x:v>进入本批内容日历</x:v>
      </x:c>
    </x:row>
    <x:row r="5">
      <x:c r="A5" s="36" t="str">
        <x:v>best silk pillowcase for hair</x:v>
      </x:c>
      <x:c r="B5" s="37" t="str">
        <x:v>榜单/导购</x:v>
      </x:c>
      <x:c r="C5" s="37" t="str">
        <x:v>silk pillowcase</x:v>
      </x:c>
      <x:c r="D5" s="49" t="n">
        <x:v>2400</x:v>
      </x:c>
      <x:c r="E5" s="52" t="n">
        <x:v>1.8</x:v>
      </x:c>
      <x:c r="F5" s="55" t="n">
        <x:v>38</x:v>
      </x:c>
      <x:c r="G5" s="55" t="str">
        <x:v>Commercial</x:v>
      </x:c>
      <x:c r="H5" s="55" t="str">
        <x:v>博客/榜单</x:v>
      </x:c>
      <x:c r="I5" s="55" t="n">
        <x:v>5</x:v>
      </x:c>
      <x:c r="J5" s="55" t="n">
        <x:v>5</x:v>
      </x:c>
      <x:c r="K5" s="55" t="n">
        <x:v>5</x:v>
      </x:c>
      <x:c r="L5" s="55" t="n">
        <x:v>5</x:v>
      </x:c>
      <x:c r="M5" s="55" t="n">
        <x:v>2</x:v>
      </x:c>
      <x:c r="N5" s="37" t="str">
        <x:f>IF($A5="","",IF(OR($G5="Transactional",$H5="商品/分类页",$H5="集合页",$H5="品牌页"),"主站",IF(OR($H5="博客/榜单",$H5="博客/对比",$G5="Commercial"),"博客站C-对比评测",IF($H5="博客/场景","博客站B-人群场景",IF(OR($H5="教程/FAQ",$H5="博客/指南",$G5="Informational"),"博客站A-知识教程","暂不做")))))</x:f>
        <x:v>博客站C-对比评测</x:v>
      </x:c>
      <x:c r="O5" s="37" t="str"/>
      <x:c r="P5" s="37" t="str">
        <x:f>IF($A5="","",IF($O5&lt;&gt;"",$O5,$N5))</x:f>
        <x:v>博客站C-对比评测</x:v>
      </x:c>
      <x:c r="Q5" s="37" t="str">
        <x:f>IF($A5="","",IF($P5="主站","分类页/集合页/商品页",IF($P5="博客站C-对比评测",IF($H5="博客/对比","对比文","购买指南"),IF($P5="博客站B-人群场景","场景解决方案",IF($P5="博客站A-知识教程",IF($H5="教程/FAQ","教程文","价值解释文"),"暂不做")))))</x:f>
        <x:v>购买指南</x:v>
      </x:c>
      <x:c r="R5" s="37" t="str">
        <x:f>IF($A5="","",IF($Q5="分类页/集合页/商品页","不写文章",IF($Q5="暂不做","暂不做",$Q5)))</x:f>
        <x:v>购买指南</x:v>
      </x:c>
      <x:c r="S5" s="37" t="str">
        <x:v>/blog/best-silk-pillowcase-for-hair</x:v>
      </x:c>
      <x:c r="T5" s="37" t="str">
        <x:v>/collections/silk-pillowcases</x:v>
      </x:c>
      <x:c r="U5" s="37" t="str">
        <x:v>是</x:v>
      </x:c>
      <x:c r="V5" s="37" t="str">
        <x:v>品牌词/自然短语</x:v>
      </x:c>
      <x:c r="W5" s="37" t="str">
        <x:v>1-2次/篇</x:v>
      </x:c>
      <x:c r="X5" s="37" t="str">
        <x:v>按头发类型推荐</x:v>
      </x:c>
      <x:c r="Y5" s="37" t="str">
        <x:v>silk-pillowcase-best</x:v>
      </x:c>
      <x:c r="Z5" s="37" t="str"/>
      <x:c r="AA5" s="37" t="str"/>
      <x:c r="AB5" s="58" t="n">
        <x:f>IF($A5="","",IF($D5&gt;=1000,15,IF($D5&gt;=300,12,IF($D5&gt;=100,9,IF($D5&gt;0,5,0)))))</x:f>
        <x:v>15</x:v>
      </x:c>
      <x:c r="AC5" s="58" t="n">
        <x:f>IF($A5="","",(($I5+$J5)/10)*25)</x:f>
        <x:v>25</x:v>
      </x:c>
      <x:c r="AD5" s="58" t="n">
        <x:f>IF($A5="","",(($K5+$L5)/10)*25)</x:f>
        <x:v>25</x:v>
      </x:c>
      <x:c r="AE5" s="58" t="n">
        <x:f>IF($A5="","",$M5*5)</x:f>
        <x:v>10</x:v>
      </x:c>
      <x:c r="AF5" s="58" t="n">
        <x:f>IF($A5="","",MAX(0,AB5+AC5+AD5-AE5))</x:f>
        <x:v>55</x:v>
      </x:c>
      <x:c r="AG5" s="37" t="str">
        <x:f>IF($A5="","",IF(AF5&gt;=70,"P0",IF(AF5&gt;=55,"P1",IF(AF5&gt;=40,"P2","P3"))))</x:f>
        <x:v>P1</x:v>
      </x:c>
      <x:c r="AH5" s="38" t="str">
        <x:f>IF($A5="","",IF(AG5="P0","立即规划",IF(AG5="P1","进入本批内容日历",IF(AG5="P2","观察/做FAQ或长尾","暂不做或合并"))))</x:f>
        <x:v>进入本批内容日历</x:v>
      </x:c>
    </x:row>
    <x:row r="6">
      <x:c r="A6" s="36" t="str">
        <x:v>silk pillowcase vs satin</x:v>
      </x:c>
      <x:c r="B6" s="37" t="str">
        <x:v>对比词</x:v>
      </x:c>
      <x:c r="C6" s="37" t="str">
        <x:v>silk pillowcase</x:v>
      </x:c>
      <x:c r="D6" s="49" t="n">
        <x:v>1900</x:v>
      </x:c>
      <x:c r="E6" s="52" t="n">
        <x:v>1.2</x:v>
      </x:c>
      <x:c r="F6" s="55" t="n">
        <x:v>32</x:v>
      </x:c>
      <x:c r="G6" s="55" t="str">
        <x:v>Commercial</x:v>
      </x:c>
      <x:c r="H6" s="55" t="str">
        <x:v>博客/对比</x:v>
      </x:c>
      <x:c r="I6" s="55" t="n">
        <x:v>4</x:v>
      </x:c>
      <x:c r="J6" s="55" t="n">
        <x:v>5</x:v>
      </x:c>
      <x:c r="K6" s="55" t="n">
        <x:v>5</x:v>
      </x:c>
      <x:c r="L6" s="55" t="n">
        <x:v>5</x:v>
      </x:c>
      <x:c r="M6" s="55" t="n">
        <x:v>2</x:v>
      </x:c>
      <x:c r="N6" s="37" t="str">
        <x:f>IF($A6="","",IF(OR($G6="Transactional",$H6="商品/分类页",$H6="集合页",$H6="品牌页"),"主站",IF(OR($H6="博客/榜单",$H6="博客/对比",$G6="Commercial"),"博客站C-对比评测",IF($H6="博客/场景","博客站B-人群场景",IF(OR($H6="教程/FAQ",$H6="博客/指南",$G6="Informational"),"博客站A-知识教程","暂不做")))))</x:f>
        <x:v>博客站C-对比评测</x:v>
      </x:c>
      <x:c r="O6" s="37" t="str"/>
      <x:c r="P6" s="37" t="str">
        <x:f>IF($A6="","",IF($O6&lt;&gt;"",$O6,$N6))</x:f>
        <x:v>博客站C-对比评测</x:v>
      </x:c>
      <x:c r="Q6" s="37" t="str">
        <x:f>IF($A6="","",IF($P6="主站","分类页/集合页/商品页",IF($P6="博客站C-对比评测",IF($H6="博客/对比","对比文","购买指南"),IF($P6="博客站B-人群场景","场景解决方案",IF($P6="博客站A-知识教程",IF($H6="教程/FAQ","教程文","价值解释文"),"暂不做")))))</x:f>
        <x:v>对比文</x:v>
      </x:c>
      <x:c r="R6" s="37" t="str">
        <x:f>IF($A6="","",IF($Q6="分类页/集合页/商品页","不写文章",IF($Q6="暂不做","暂不做",$Q6)))</x:f>
        <x:v>对比文</x:v>
      </x:c>
      <x:c r="S6" s="37" t="str">
        <x:v>/blog/silk-vs-satin-pillowcase</x:v>
      </x:c>
      <x:c r="T6" s="37" t="str">
        <x:v>/collections/silk-pillowcases</x:v>
      </x:c>
      <x:c r="U6" s="37" t="str">
        <x:v>是</x:v>
      </x:c>
      <x:c r="V6" s="37" t="str">
        <x:v>自然短语</x:v>
      </x:c>
      <x:c r="W6" s="37" t="str">
        <x:v>1-2次/篇</x:v>
      </x:c>
      <x:c r="X6" s="37" t="str">
        <x:v>差异+适合人群+购买建议</x:v>
      </x:c>
      <x:c r="Y6" s="37" t="str">
        <x:v>silk-vs-satin</x:v>
      </x:c>
      <x:c r="Z6" s="37" t="str"/>
      <x:c r="AA6" s="37" t="str"/>
      <x:c r="AB6" s="58" t="n">
        <x:f>IF($A6="","",IF($D6&gt;=1000,15,IF($D6&gt;=300,12,IF($D6&gt;=100,9,IF($D6&gt;0,5,0)))))</x:f>
        <x:v>15</x:v>
      </x:c>
      <x:c r="AC6" s="58" t="n">
        <x:f>IF($A6="","",(($I6+$J6)/10)*25)</x:f>
        <x:v>22.5</x:v>
      </x:c>
      <x:c r="AD6" s="58" t="n">
        <x:f>IF($A6="","",(($K6+$L6)/10)*25)</x:f>
        <x:v>25</x:v>
      </x:c>
      <x:c r="AE6" s="58" t="n">
        <x:f>IF($A6="","",$M6*5)</x:f>
        <x:v>10</x:v>
      </x:c>
      <x:c r="AF6" s="58" t="n">
        <x:f>IF($A6="","",MAX(0,AB6+AC6+AD6-AE6))</x:f>
        <x:v>52.5</x:v>
      </x:c>
      <x:c r="AG6" s="37" t="str">
        <x:f>IF($A6="","",IF(AF6&gt;=70,"P0",IF(AF6&gt;=55,"P1",IF(AF6&gt;=40,"P2","P3"))))</x:f>
        <x:v>P2</x:v>
      </x:c>
      <x:c r="AH6" s="38" t="str">
        <x:f>IF($A6="","",IF(AG6="P0","立即规划",IF(AG6="P1","进入本批内容日历",IF(AG6="P2","观察/做FAQ或长尾","暂不做或合并"))))</x:f>
        <x:v>观察/做FAQ或长尾</x:v>
      </x:c>
    </x:row>
    <x:row r="7">
      <x:c r="A7" s="36" t="str">
        <x:v>how to wash silk pillowcase</x:v>
      </x:c>
      <x:c r="B7" s="37" t="str">
        <x:v>护理教程</x:v>
      </x:c>
      <x:c r="C7" s="37" t="str">
        <x:v>silk care</x:v>
      </x:c>
      <x:c r="D7" s="49" t="n">
        <x:v>1600</x:v>
      </x:c>
      <x:c r="E7" s="52" t="n">
        <x:v>0.7</x:v>
      </x:c>
      <x:c r="F7" s="55" t="n">
        <x:v>28</x:v>
      </x:c>
      <x:c r="G7" s="55" t="str">
        <x:v>Informational</x:v>
      </x:c>
      <x:c r="H7" s="55" t="str">
        <x:v>教程/FAQ</x:v>
      </x:c>
      <x:c r="I7" s="55" t="n">
        <x:v>3</x:v>
      </x:c>
      <x:c r="J7" s="55" t="n">
        <x:v>4</x:v>
      </x:c>
      <x:c r="K7" s="55" t="n">
        <x:v>5</x:v>
      </x:c>
      <x:c r="L7" s="55" t="n">
        <x:v>5</x:v>
      </x:c>
      <x:c r="M7" s="55" t="n">
        <x:v>1</x:v>
      </x:c>
      <x:c r="N7" s="37" t="str">
        <x:f>IF($A7="","",IF(OR($G7="Transactional",$H7="商品/分类页",$H7="集合页",$H7="品牌页"),"主站",IF(OR($H7="博客/榜单",$H7="博客/对比",$G7="Commercial"),"博客站C-对比评测",IF($H7="博客/场景","博客站B-人群场景",IF(OR($H7="教程/FAQ",$H7="博客/指南",$G7="Informational"),"博客站A-知识教程","暂不做")))))</x:f>
        <x:v>博客站A-知识教程</x:v>
      </x:c>
      <x:c r="O7" s="37" t="str"/>
      <x:c r="P7" s="37" t="str">
        <x:f>IF($A7="","",IF($O7&lt;&gt;"",$O7,$N7))</x:f>
        <x:v>博客站A-知识教程</x:v>
      </x:c>
      <x:c r="Q7" s="37" t="str">
        <x:f>IF($A7="","",IF($P7="主站","分类页/集合页/商品页",IF($P7="博客站C-对比评测",IF($H7="博客/对比","对比文","购买指南"),IF($P7="博客站B-人群场景","场景解决方案",IF($P7="博客站A-知识教程",IF($H7="教程/FAQ","教程文","价值解释文"),"暂不做")))))</x:f>
        <x:v>教程文</x:v>
      </x:c>
      <x:c r="R7" s="37" t="str">
        <x:f>IF($A7="","",IF($Q7="分类页/集合页/商品页","不写文章",IF($Q7="暂不做","暂不做",$Q7)))</x:f>
        <x:v>教程文</x:v>
      </x:c>
      <x:c r="S7" s="37" t="str">
        <x:v>/blog/how-to-wash-silk-pillowcase</x:v>
      </x:c>
      <x:c r="T7" s="37" t="str">
        <x:v>/products/mulberry-silk-pillowcase</x:v>
      </x:c>
      <x:c r="U7" s="37" t="str">
        <x:v>少量</x:v>
      </x:c>
      <x:c r="V7" s="37" t="str">
        <x:v>裸链/品牌词</x:v>
      </x:c>
      <x:c r="W7" s="37" t="str">
        <x:v>0-1次/篇</x:v>
      </x:c>
      <x:c r="X7" s="37" t="str">
        <x:v>护理步骤+注意事项</x:v>
      </x:c>
      <x:c r="Y7" s="37" t="str">
        <x:v>silk-care</x:v>
      </x:c>
      <x:c r="Z7" s="37" t="str"/>
      <x:c r="AA7" s="37" t="str"/>
      <x:c r="AB7" s="58" t="n">
        <x:f>IF($A7="","",IF($D7&gt;=1000,15,IF($D7&gt;=300,12,IF($D7&gt;=100,9,IF($D7&gt;0,5,0)))))</x:f>
        <x:v>15</x:v>
      </x:c>
      <x:c r="AC7" s="58" t="n">
        <x:f>IF($A7="","",(($I7+$J7)/10)*25)</x:f>
        <x:v>17.5</x:v>
      </x:c>
      <x:c r="AD7" s="58" t="n">
        <x:f>IF($A7="","",(($K7+$L7)/10)*25)</x:f>
        <x:v>25</x:v>
      </x:c>
      <x:c r="AE7" s="58" t="n">
        <x:f>IF($A7="","",$M7*5)</x:f>
        <x:v>5</x:v>
      </x:c>
      <x:c r="AF7" s="58" t="n">
        <x:f>IF($A7="","",MAX(0,AB7+AC7+AD7-AE7))</x:f>
        <x:v>52.5</x:v>
      </x:c>
      <x:c r="AG7" s="37" t="str">
        <x:f>IF($A7="","",IF(AF7&gt;=70,"P0",IF(AF7&gt;=55,"P1",IF(AF7&gt;=40,"P2","P3"))))</x:f>
        <x:v>P2</x:v>
      </x:c>
      <x:c r="AH7" s="38" t="str">
        <x:f>IF($A7="","",IF(AG7="P0","立即规划",IF(AG7="P1","进入本批内容日历",IF(AG7="P2","观察/做FAQ或长尾","暂不做或合并"))))</x:f>
        <x:v>观察/做FAQ或长尾</x:v>
      </x:c>
    </x:row>
    <x:row r="8">
      <x:c r="A8" s="36" t="str">
        <x:v>silk pillowcase for curly hair</x:v>
      </x:c>
      <x:c r="B8" s="37" t="str">
        <x:v>人群场景</x:v>
      </x:c>
      <x:c r="C8" s="37" t="str">
        <x:v>curly hair</x:v>
      </x:c>
      <x:c r="D8" s="49" t="n">
        <x:v>590</x:v>
      </x:c>
      <x:c r="E8" s="52" t="n">
        <x:v>1.4</x:v>
      </x:c>
      <x:c r="F8" s="55" t="n">
        <x:v>31</x:v>
      </x:c>
      <x:c r="G8" s="55" t="str">
        <x:v>Mixed</x:v>
      </x:c>
      <x:c r="H8" s="55" t="str">
        <x:v>博客/场景</x:v>
      </x:c>
      <x:c r="I8" s="55" t="n">
        <x:v>5</x:v>
      </x:c>
      <x:c r="J8" s="55" t="n">
        <x:v>5</x:v>
      </x:c>
      <x:c r="K8" s="55" t="n">
        <x:v>5</x:v>
      </x:c>
      <x:c r="L8" s="55" t="n">
        <x:v>5</x:v>
      </x:c>
      <x:c r="M8" s="55" t="n">
        <x:v>2</x:v>
      </x:c>
      <x:c r="N8" s="37" t="str">
        <x:f>IF($A8="","",IF(OR($G8="Transactional",$H8="商品/分类页",$H8="集合页",$H8="品牌页"),"主站",IF(OR($H8="博客/榜单",$H8="博客/对比",$G8="Commercial"),"博客站C-对比评测",IF($H8="博客/场景","博客站B-人群场景",IF(OR($H8="教程/FAQ",$H8="博客/指南",$G8="Informational"),"博客站A-知识教程","暂不做")))))</x:f>
        <x:v>博客站B-人群场景</x:v>
      </x:c>
      <x:c r="O8" s="37" t="str"/>
      <x:c r="P8" s="37" t="str">
        <x:f>IF($A8="","",IF($O8&lt;&gt;"",$O8,$N8))</x:f>
        <x:v>博客站B-人群场景</x:v>
      </x:c>
      <x:c r="Q8" s="37" t="str">
        <x:f>IF($A8="","",IF($P8="主站","分类页/集合页/商品页",IF($P8="博客站C-对比评测",IF($H8="博客/对比","对比文","购买指南"),IF($P8="博客站B-人群场景","场景解决方案",IF($P8="博客站A-知识教程",IF($H8="教程/FAQ","教程文","价值解释文"),"暂不做")))))</x:f>
        <x:v>场景解决方案</x:v>
      </x:c>
      <x:c r="R8" s="37" t="str">
        <x:f>IF($A8="","",IF($Q8="分类页/集合页/商品页","不写文章",IF($Q8="暂不做","暂不做",$Q8)))</x:f>
        <x:v>场景解决方案</x:v>
      </x:c>
      <x:c r="S8" s="37" t="str">
        <x:v>/blog/silk-pillowcase-for-curly-hair</x:v>
      </x:c>
      <x:c r="T8" s="37" t="str">
        <x:v>/collections/silk-pillowcases</x:v>
      </x:c>
      <x:c r="U8" s="37" t="str">
        <x:v>是</x:v>
      </x:c>
      <x:c r="V8" s="37" t="str">
        <x:v>相关集合页短语</x:v>
      </x:c>
      <x:c r="W8" s="37" t="str">
        <x:v>1次/篇</x:v>
      </x:c>
      <x:c r="X8" s="37" t="str">
        <x:v>卷发人群痛点解决</x:v>
      </x:c>
      <x:c r="Y8" s="37" t="str">
        <x:v>curly-hair</x:v>
      </x:c>
      <x:c r="Z8" s="37" t="str"/>
      <x:c r="AA8" s="37" t="str"/>
      <x:c r="AB8" s="58" t="n">
        <x:f>IF($A8="","",IF($D8&gt;=1000,15,IF($D8&gt;=300,12,IF($D8&gt;=100,9,IF($D8&gt;0,5,0)))))</x:f>
        <x:v>12</x:v>
      </x:c>
      <x:c r="AC8" s="58" t="n">
        <x:f>IF($A8="","",(($I8+$J8)/10)*25)</x:f>
        <x:v>25</x:v>
      </x:c>
      <x:c r="AD8" s="58" t="n">
        <x:f>IF($A8="","",(($K8+$L8)/10)*25)</x:f>
        <x:v>25</x:v>
      </x:c>
      <x:c r="AE8" s="58" t="n">
        <x:f>IF($A8="","",$M8*5)</x:f>
        <x:v>10</x:v>
      </x:c>
      <x:c r="AF8" s="58" t="n">
        <x:f>IF($A8="","",MAX(0,AB8+AC8+AD8-AE8))</x:f>
        <x:v>52</x:v>
      </x:c>
      <x:c r="AG8" s="37" t="str">
        <x:f>IF($A8="","",IF(AF8&gt;=70,"P0",IF(AF8&gt;=55,"P1",IF(AF8&gt;=40,"P2","P3"))))</x:f>
        <x:v>P2</x:v>
      </x:c>
      <x:c r="AH8" s="38" t="str">
        <x:f>IF($A8="","",IF(AG8="P0","立即规划",IF(AG8="P1","进入本批内容日历",IF(AG8="P2","观察/做FAQ或长尾","暂不做或合并"))))</x:f>
        <x:v>观察/做FAQ或长尾</x:v>
      </x:c>
    </x:row>
    <x:row r="9">
      <x:c r="A9" s="36" t="str">
        <x:v>mulberry silk benefits</x:v>
      </x:c>
      <x:c r="B9" s="37" t="str">
        <x:v>价值解释</x:v>
      </x:c>
      <x:c r="C9" s="37" t="str">
        <x:v>mulberry silk</x:v>
      </x:c>
      <x:c r="D9" s="49" t="n">
        <x:v>720</x:v>
      </x:c>
      <x:c r="E9" s="52" t="n">
        <x:v>0.9</x:v>
      </x:c>
      <x:c r="F9" s="55" t="n">
        <x:v>35</x:v>
      </x:c>
      <x:c r="G9" s="55" t="str">
        <x:v>Informational</x:v>
      </x:c>
      <x:c r="H9" s="55" t="str">
        <x:v>博客/指南</x:v>
      </x:c>
      <x:c r="I9" s="55" t="n">
        <x:v>3</x:v>
      </x:c>
      <x:c r="J9" s="55" t="n">
        <x:v>4</x:v>
      </x:c>
      <x:c r="K9" s="55" t="n">
        <x:v>4</x:v>
      </x:c>
      <x:c r="L9" s="55" t="n">
        <x:v>4</x:v>
      </x:c>
      <x:c r="M9" s="55" t="n">
        <x:v>2</x:v>
      </x:c>
      <x:c r="N9" s="37" t="str">
        <x:f>IF($A9="","",IF(OR($G9="Transactional",$H9="商品/分类页",$H9="集合页",$H9="品牌页"),"主站",IF(OR($H9="博客/榜单",$H9="博客/对比",$G9="Commercial"),"博客站C-对比评测",IF($H9="博客/场景","博客站B-人群场景",IF(OR($H9="教程/FAQ",$H9="博客/指南",$G9="Informational"),"博客站A-知识教程","暂不做")))))</x:f>
        <x:v>博客站A-知识教程</x:v>
      </x:c>
      <x:c r="O9" s="37" t="str"/>
      <x:c r="P9" s="37" t="str">
        <x:f>IF($A9="","",IF($O9&lt;&gt;"",$O9,$N9))</x:f>
        <x:v>博客站A-知识教程</x:v>
      </x:c>
      <x:c r="Q9" s="37" t="str">
        <x:f>IF($A9="","",IF($P9="主站","分类页/集合页/商品页",IF($P9="博客站C-对比评测",IF($H9="博客/对比","对比文","购买指南"),IF($P9="博客站B-人群场景","场景解决方案",IF($P9="博客站A-知识教程",IF($H9="教程/FAQ","教程文","价值解释文"),"暂不做")))))</x:f>
        <x:v>价值解释文</x:v>
      </x:c>
      <x:c r="R9" s="37" t="str">
        <x:f>IF($A9="","",IF($Q9="分类页/集合页/商品页","不写文章",IF($Q9="暂不做","暂不做",$Q9)))</x:f>
        <x:v>价值解释文</x:v>
      </x:c>
      <x:c r="S9" s="37" t="str">
        <x:v>/blog/mulberry-silk-benefits</x:v>
      </x:c>
      <x:c r="T9" s="37" t="str">
        <x:v>/collections/mulberry-silk</x:v>
      </x:c>
      <x:c r="U9" s="37" t="str">
        <x:v>少量</x:v>
      </x:c>
      <x:c r="V9" s="37" t="str">
        <x:v>learn more/品牌词</x:v>
      </x:c>
      <x:c r="W9" s="37" t="str">
        <x:v>0-1次/篇</x:v>
      </x:c>
      <x:c r="X9" s="37" t="str">
        <x:v>材质教育</x:v>
      </x:c>
      <x:c r="Y9" s="37" t="str">
        <x:v>mulberry-silk-info</x:v>
      </x:c>
      <x:c r="Z9" s="37" t="str"/>
      <x:c r="AA9" s="37" t="str"/>
      <x:c r="AB9" s="58" t="n">
        <x:f>IF($A9="","",IF($D9&gt;=1000,15,IF($D9&gt;=300,12,IF($D9&gt;=100,9,IF($D9&gt;0,5,0)))))</x:f>
        <x:v>12</x:v>
      </x:c>
      <x:c r="AC9" s="58" t="n">
        <x:f>IF($A9="","",(($I9+$J9)/10)*25)</x:f>
        <x:v>17.5</x:v>
      </x:c>
      <x:c r="AD9" s="58" t="n">
        <x:f>IF($A9="","",(($K9+$L9)/10)*25)</x:f>
        <x:v>20</x:v>
      </x:c>
      <x:c r="AE9" s="58" t="n">
        <x:f>IF($A9="","",$M9*5)</x:f>
        <x:v>10</x:v>
      </x:c>
      <x:c r="AF9" s="58" t="n">
        <x:f>IF($A9="","",MAX(0,AB9+AC9+AD9-AE9))</x:f>
        <x:v>39.5</x:v>
      </x:c>
      <x:c r="AG9" s="37" t="str">
        <x:f>IF($A9="","",IF(AF9&gt;=70,"P0",IF(AF9&gt;=55,"P1",IF(AF9&gt;=40,"P2","P3"))))</x:f>
        <x:v>P3</x:v>
      </x:c>
      <x:c r="AH9" s="38" t="str">
        <x:f>IF($A9="","",IF(AG9="P0","立即规划",IF(AG9="P1","进入本批内容日历",IF(AG9="P2","观察/做FAQ或长尾","暂不做或合并"))))</x:f>
        <x:v>暂不做或合并</x:v>
      </x:c>
    </x:row>
    <x:row r="10">
      <x:c r="A10" s="36" t="str">
        <x:v>silk pillowcase coupon</x:v>
      </x:c>
      <x:c r="B10" s="37" t="str">
        <x:v>优惠/品牌截流</x:v>
      </x:c>
      <x:c r="C10" s="37" t="str">
        <x:v>silk pillowcase</x:v>
      </x:c>
      <x:c r="D10" s="49" t="n">
        <x:v>300</x:v>
      </x:c>
      <x:c r="E10" s="52" t="n">
        <x:v>2.1</x:v>
      </x:c>
      <x:c r="F10" s="55" t="n">
        <x:v>44</x:v>
      </x:c>
      <x:c r="G10" s="55" t="str">
        <x:v>Transactional</x:v>
      </x:c>
      <x:c r="H10" s="55" t="str">
        <x:v>优惠页/品牌页</x:v>
      </x:c>
      <x:c r="I10" s="55" t="n">
        <x:v>4</x:v>
      </x:c>
      <x:c r="J10" s="55" t="n">
        <x:v>5</x:v>
      </x:c>
      <x:c r="K10" s="55" t="n">
        <x:v>2</x:v>
      </x:c>
      <x:c r="L10" s="55" t="n">
        <x:v>5</x:v>
      </x:c>
      <x:c r="M10" s="55" t="n">
        <x:v>1</x:v>
      </x:c>
      <x:c r="N10" s="37" t="str">
        <x:f>IF($A10="","",IF(OR($G10="Transactional",$H10="商品/分类页",$H10="集合页",$H10="品牌页"),"主站",IF(OR($H10="博客/榜单",$H10="博客/对比",$G10="Commercial"),"博客站C-对比评测",IF($H10="博客/场景","博客站B-人群场景",IF(OR($H10="教程/FAQ",$H10="博客/指南",$G10="Informational"),"博客站A-知识教程","暂不做")))))</x:f>
        <x:v>主站</x:v>
      </x:c>
      <x:c r="O10" s="37" t="str"/>
      <x:c r="P10" s="37" t="str">
        <x:f>IF($A10="","",IF($O10&lt;&gt;"",$O10,$N10))</x:f>
        <x:v>主站</x:v>
      </x:c>
      <x:c r="Q10" s="37" t="str">
        <x:f>IF($A10="","",IF($P10="主站","分类页/集合页/商品页",IF($P10="博客站C-对比评测",IF($H10="博客/对比","对比文","购买指南"),IF($P10="博客站B-人群场景","场景解决方案",IF($P10="博客站A-知识教程",IF($H10="教程/FAQ","教程文","价值解释文"),"暂不做")))))</x:f>
        <x:v>分类页/集合页/商品页</x:v>
      </x:c>
      <x:c r="R10" s="37" t="str">
        <x:f>IF($A10="","",IF($Q10="分类页/集合页/商品页","不写文章",IF($Q10="暂不做","暂不做",$Q10)))</x:f>
        <x:v>不写文章</x:v>
      </x:c>
      <x:c r="S10" s="37" t="str">
        <x:v>/pages/offers</x:v>
      </x:c>
      <x:c r="T10" s="37" t="str">
        <x:v>/pages/offers</x:v>
      </x:c>
      <x:c r="U10" s="37" t="str">
        <x:v>否</x:v>
      </x:c>
      <x:c r="V10" s="37" t="str">
        <x:v>不适用</x:v>
      </x:c>
      <x:c r="W10" s="37" t="str">
        <x:v>不适用</x:v>
      </x:c>
      <x:c r="X10" s="37" t="str">
        <x:v>主站优惠页</x:v>
      </x:c>
      <x:c r="Y10" s="37" t="str">
        <x:v>coupon</x:v>
      </x:c>
      <x:c r="Z10" s="37" t="str"/>
      <x:c r="AA10" s="37" t="str"/>
      <x:c r="AB10" s="58" t="n">
        <x:f>IF($A10="","",IF($D10&gt;=1000,15,IF($D10&gt;=300,12,IF($D10&gt;=100,9,IF($D10&gt;0,5,0)))))</x:f>
        <x:v>12</x:v>
      </x:c>
      <x:c r="AC10" s="58" t="n">
        <x:f>IF($A10="","",(($I10+$J10)/10)*25)</x:f>
        <x:v>22.5</x:v>
      </x:c>
      <x:c r="AD10" s="58" t="n">
        <x:f>IF($A10="","",(($K10+$L10)/10)*25)</x:f>
        <x:v>17.5</x:v>
      </x:c>
      <x:c r="AE10" s="58" t="n">
        <x:f>IF($A10="","",$M10*5)</x:f>
        <x:v>5</x:v>
      </x:c>
      <x:c r="AF10" s="58" t="n">
        <x:f>IF($A10="","",MAX(0,AB10+AC10+AD10-AE10))</x:f>
        <x:v>47</x:v>
      </x:c>
      <x:c r="AG10" s="37" t="str">
        <x:f>IF($A10="","",IF(AF10&gt;=70,"P0",IF(AF10&gt;=55,"P1",IF(AF10&gt;=40,"P2","P3"))))</x:f>
        <x:v>P2</x:v>
      </x:c>
      <x:c r="AH10" s="38" t="str">
        <x:f>IF($A10="","",IF(AG10="P0","立即规划",IF(AG10="P1","进入本批内容日历",IF(AG10="P2","观察/做FAQ或长尾","暂不做或合并"))))</x:f>
        <x:v>观察/做FAQ或长尾</x:v>
      </x:c>
    </x:row>
    <x:row r="11">
      <x:c r="A11" s="36" t="str">
        <x:v>what is silk</x:v>
      </x:c>
      <x:c r="B11" s="37" t="str">
        <x:v>泛定义词</x:v>
      </x:c>
      <x:c r="C11" s="37" t="str">
        <x:v>silk basics</x:v>
      </x:c>
      <x:c r="D11" s="49" t="n">
        <x:v>5400</x:v>
      </x:c>
      <x:c r="E11" s="52" t="n">
        <x:v>0.2</x:v>
      </x:c>
      <x:c r="F11" s="55" t="n">
        <x:v>78</x:v>
      </x:c>
      <x:c r="G11" s="55" t="str">
        <x:v>Informational</x:v>
      </x:c>
      <x:c r="H11" s="55" t="str">
        <x:v>百科/大站</x:v>
      </x:c>
      <x:c r="I11" s="55" t="n">
        <x:v>1</x:v>
      </x:c>
      <x:c r="J11" s="55" t="n">
        <x:v>2</x:v>
      </x:c>
      <x:c r="K11" s="55" t="n">
        <x:v>2</x:v>
      </x:c>
      <x:c r="L11" s="55" t="n">
        <x:v>2</x:v>
      </x:c>
      <x:c r="M11" s="55" t="n">
        <x:v>5</x:v>
      </x:c>
      <x:c r="N11" s="37" t="str">
        <x:f>IF($A11="","",IF(OR($G11="Transactional",$H11="商品/分类页",$H11="集合页",$H11="品牌页"),"主站",IF(OR($H11="博客/榜单",$H11="博客/对比",$G11="Commercial"),"博客站C-对比评测",IF($H11="博客/场景","博客站B-人群场景",IF(OR($H11="教程/FAQ",$H11="博客/指南",$G11="Informational"),"博客站A-知识教程","暂不做")))))</x:f>
        <x:v>博客站A-知识教程</x:v>
      </x:c>
      <x:c r="O11" s="37" t="str"/>
      <x:c r="P11" s="37" t="str">
        <x:f>IF($A11="","",IF($O11&lt;&gt;"",$O11,$N11))</x:f>
        <x:v>博客站A-知识教程</x:v>
      </x:c>
      <x:c r="Q11" s="37" t="str">
        <x:f>IF($A11="","",IF($P11="主站","分类页/集合页/商品页",IF($P11="博客站C-对比评测",IF($H11="博客/对比","对比文","购买指南"),IF($P11="博客站B-人群场景","场景解决方案",IF($P11="博客站A-知识教程",IF($H11="教程/FAQ","教程文","价值解释文"),"暂不做")))))</x:f>
        <x:v>价值解释文</x:v>
      </x:c>
      <x:c r="R11" s="37" t="str">
        <x:f>IF($A11="","",IF($Q11="分类页/集合页/商品页","不写文章",IF($Q11="暂不做","暂不做",$Q11)))</x:f>
        <x:v>价值解释文</x:v>
      </x:c>
      <x:c r="S11" s="37" t="str"/>
      <x:c r="T11" s="37" t="str"/>
      <x:c r="U11" s="37" t="str">
        <x:v>否</x:v>
      </x:c>
      <x:c r="V11" s="37" t="str">
        <x:v>不适用</x:v>
      </x:c>
      <x:c r="W11" s="37" t="str">
        <x:v>不适用</x:v>
      </x:c>
      <x:c r="X11" s="37" t="str">
        <x:v>暂不做或拆长尾</x:v>
      </x:c>
      <x:c r="Y11" s="37" t="str">
        <x:v>silk-definition</x:v>
      </x:c>
      <x:c r="Z11" s="37" t="str"/>
      <x:c r="AA11" s="37" t="str"/>
      <x:c r="AB11" s="58" t="n">
        <x:f>IF($A11="","",IF($D11&gt;=1000,15,IF($D11&gt;=300,12,IF($D11&gt;=100,9,IF($D11&gt;0,5,0)))))</x:f>
        <x:v>15</x:v>
      </x:c>
      <x:c r="AC11" s="58" t="n">
        <x:f>IF($A11="","",(($I11+$J11)/10)*25)</x:f>
        <x:v>7.5</x:v>
      </x:c>
      <x:c r="AD11" s="58" t="n">
        <x:f>IF($A11="","",(($K11+$L11)/10)*25)</x:f>
        <x:v>10</x:v>
      </x:c>
      <x:c r="AE11" s="58" t="n">
        <x:f>IF($A11="","",$M11*5)</x:f>
        <x:v>25</x:v>
      </x:c>
      <x:c r="AF11" s="58" t="n">
        <x:f>IF($A11="","",MAX(0,AB11+AC11+AD11-AE11))</x:f>
        <x:v>7.5</x:v>
      </x:c>
      <x:c r="AG11" s="37" t="str">
        <x:f>IF($A11="","",IF(AF11&gt;=70,"P0",IF(AF11&gt;=55,"P1",IF(AF11&gt;=40,"P2","P3"))))</x:f>
        <x:v>P3</x:v>
      </x:c>
      <x:c r="AH11" s="38" t="str">
        <x:f>IF($A11="","",IF(AG11="P0","立即规划",IF(AG11="P1","进入本批内容日历",IF(AG11="P2","观察/做FAQ或长尾","暂不做或合并"))))</x:f>
        <x:v>暂不做或合并</x:v>
      </x:c>
    </x:row>
    <x:row r="12">
      <x:c r="A12" s="36"/>
      <x:c r="B12" s="37"/>
      <x:c r="C12" s="37"/>
      <x:c r="D12" s="49"/>
      <x:c r="E12" s="52"/>
      <x:c r="F12" s="55"/>
      <x:c r="G12" s="55"/>
      <x:c r="H12" s="55"/>
      <x:c r="I12" s="55"/>
      <x:c r="J12" s="55"/>
      <x:c r="K12" s="55"/>
      <x:c r="L12" s="55"/>
      <x:c r="M12" s="55"/>
      <x:c r="N12" s="37" t="str">
        <x:f>IF($A12="","",IF(OR($G12="Transactional",$H12="商品/分类页",$H12="集合页",$H12="品牌页"),"主站",IF(OR($H12="博客/榜单",$H12="博客/对比",$G12="Commercial"),"博客站C-对比评测",IF($H12="博客/场景","博客站B-人群场景",IF(OR($H12="教程/FAQ",$H12="博客/指南",$G12="Informational"),"博客站A-知识教程","暂不做")))))</x:f>
      </x:c>
      <x:c r="O12" s="37"/>
      <x:c r="P12" s="37" t="str">
        <x:f>IF($A12="","",IF($O12&lt;&gt;"",$O12,$N12))</x:f>
      </x:c>
      <x:c r="Q12" s="37" t="str">
        <x:f>IF($A12="","",IF($P12="主站","分类页/集合页/商品页",IF($P12="博客站C-对比评测",IF($H12="博客/对比","对比文","购买指南"),IF($P12="博客站B-人群场景","场景解决方案",IF($P12="博客站A-知识教程",IF($H12="教程/FAQ","教程文","价值解释文"),"暂不做")))))</x:f>
      </x:c>
      <x:c r="R12" s="37" t="str">
        <x:f>IF($A12="","",IF($Q12="分类页/集合页/商品页","不写文章",IF($Q12="暂不做","暂不做",$Q12)))</x:f>
      </x:c>
      <x:c r="S12" s="37"/>
      <x:c r="T12" s="37"/>
      <x:c r="U12" s="37"/>
      <x:c r="V12" s="37"/>
      <x:c r="W12" s="37"/>
      <x:c r="X12" s="37"/>
      <x:c r="Y12" s="37"/>
      <x:c r="Z12" s="37"/>
      <x:c r="AA12" s="37"/>
      <x:c r="AB12" s="58" t="str">
        <x:f>IF($A12="","",IF($D12&gt;=1000,15,IF($D12&gt;=300,12,IF($D12&gt;=100,9,IF($D12&gt;0,5,0)))))</x:f>
      </x:c>
      <x:c r="AC12" s="58" t="str">
        <x:f>IF($A12="","",(($I12+$J12)/10)*25)</x:f>
      </x:c>
      <x:c r="AD12" s="58" t="str">
        <x:f>IF($A12="","",(($K12+$L12)/10)*25)</x:f>
      </x:c>
      <x:c r="AE12" s="58" t="str">
        <x:f>IF($A12="","",$M12*5)</x:f>
      </x:c>
      <x:c r="AF12" s="58" t="str">
        <x:f>IF($A12="","",MAX(0,AB12+AC12+AD12-AE12))</x:f>
      </x:c>
      <x:c r="AG12" s="37" t="str">
        <x:f>IF($A12="","",IF(AF12&gt;=70,"P0",IF(AF12&gt;=55,"P1",IF(AF12&gt;=40,"P2","P3"))))</x:f>
      </x:c>
      <x:c r="AH12" s="38" t="str">
        <x:f>IF($A12="","",IF(AG12="P0","立即规划",IF(AG12="P1","进入本批内容日历",IF(AG12="P2","观察/做FAQ或长尾","暂不做或合并"))))</x:f>
      </x:c>
    </x:row>
    <x:row r="13">
      <x:c r="A13" s="36"/>
      <x:c r="B13" s="37"/>
      <x:c r="C13" s="37"/>
      <x:c r="D13" s="49"/>
      <x:c r="E13" s="52"/>
      <x:c r="F13" s="55"/>
      <x:c r="G13" s="55"/>
      <x:c r="H13" s="55"/>
      <x:c r="I13" s="55"/>
      <x:c r="J13" s="55"/>
      <x:c r="K13" s="55"/>
      <x:c r="L13" s="55"/>
      <x:c r="M13" s="55"/>
      <x:c r="N13" s="37" t="str">
        <x:f>IF($A13="","",IF(OR($G13="Transactional",$H13="商品/分类页",$H13="集合页",$H13="品牌页"),"主站",IF(OR($H13="博客/榜单",$H13="博客/对比",$G13="Commercial"),"博客站C-对比评测",IF($H13="博客/场景","博客站B-人群场景",IF(OR($H13="教程/FAQ",$H13="博客/指南",$G13="Informational"),"博客站A-知识教程","暂不做")))))</x:f>
      </x:c>
      <x:c r="O13" s="37"/>
      <x:c r="P13" s="37" t="str">
        <x:f>IF($A13="","",IF($O13&lt;&gt;"",$O13,$N13))</x:f>
      </x:c>
      <x:c r="Q13" s="37" t="str">
        <x:f>IF($A13="","",IF($P13="主站","分类页/集合页/商品页",IF($P13="博客站C-对比评测",IF($H13="博客/对比","对比文","购买指南"),IF($P13="博客站B-人群场景","场景解决方案",IF($P13="博客站A-知识教程",IF($H13="教程/FAQ","教程文","价值解释文"),"暂不做")))))</x:f>
      </x:c>
      <x:c r="R13" s="37" t="str">
        <x:f>IF($A13="","",IF($Q13="分类页/集合页/商品页","不写文章",IF($Q13="暂不做","暂不做",$Q13)))</x:f>
      </x:c>
      <x:c r="S13" s="37"/>
      <x:c r="T13" s="37"/>
      <x:c r="U13" s="37"/>
      <x:c r="V13" s="37"/>
      <x:c r="W13" s="37"/>
      <x:c r="X13" s="37"/>
      <x:c r="Y13" s="37"/>
      <x:c r="Z13" s="37"/>
      <x:c r="AA13" s="37"/>
      <x:c r="AB13" s="58" t="str">
        <x:f>IF($A13="","",IF($D13&gt;=1000,15,IF($D13&gt;=300,12,IF($D13&gt;=100,9,IF($D13&gt;0,5,0)))))</x:f>
      </x:c>
      <x:c r="AC13" s="58" t="str">
        <x:f>IF($A13="","",(($I13+$J13)/10)*25)</x:f>
      </x:c>
      <x:c r="AD13" s="58" t="str">
        <x:f>IF($A13="","",(($K13+$L13)/10)*25)</x:f>
      </x:c>
      <x:c r="AE13" s="58" t="str">
        <x:f>IF($A13="","",$M13*5)</x:f>
      </x:c>
      <x:c r="AF13" s="58" t="str">
        <x:f>IF($A13="","",MAX(0,AB13+AC13+AD13-AE13))</x:f>
      </x:c>
      <x:c r="AG13" s="37" t="str">
        <x:f>IF($A13="","",IF(AF13&gt;=70,"P0",IF(AF13&gt;=55,"P1",IF(AF13&gt;=40,"P2","P3"))))</x:f>
      </x:c>
      <x:c r="AH13" s="38" t="str">
        <x:f>IF($A13="","",IF(AG13="P0","立即规划",IF(AG13="P1","进入本批内容日历",IF(AG13="P2","观察/做FAQ或长尾","暂不做或合并"))))</x:f>
      </x:c>
    </x:row>
    <x:row r="14">
      <x:c r="A14" s="36"/>
      <x:c r="B14" s="37"/>
      <x:c r="C14" s="37"/>
      <x:c r="D14" s="49"/>
      <x:c r="E14" s="52"/>
      <x:c r="F14" s="55"/>
      <x:c r="G14" s="55"/>
      <x:c r="H14" s="55"/>
      <x:c r="I14" s="55"/>
      <x:c r="J14" s="55"/>
      <x:c r="K14" s="55"/>
      <x:c r="L14" s="55"/>
      <x:c r="M14" s="55"/>
      <x:c r="N14" s="37" t="str">
        <x:f>IF($A14="","",IF(OR($G14="Transactional",$H14="商品/分类页",$H14="集合页",$H14="品牌页"),"主站",IF(OR($H14="博客/榜单",$H14="博客/对比",$G14="Commercial"),"博客站C-对比评测",IF($H14="博客/场景","博客站B-人群场景",IF(OR($H14="教程/FAQ",$H14="博客/指南",$G14="Informational"),"博客站A-知识教程","暂不做")))))</x:f>
      </x:c>
      <x:c r="O14" s="37"/>
      <x:c r="P14" s="37" t="str">
        <x:f>IF($A14="","",IF($O14&lt;&gt;"",$O14,$N14))</x:f>
      </x:c>
      <x:c r="Q14" s="37" t="str">
        <x:f>IF($A14="","",IF($P14="主站","分类页/集合页/商品页",IF($P14="博客站C-对比评测",IF($H14="博客/对比","对比文","购买指南"),IF($P14="博客站B-人群场景","场景解决方案",IF($P14="博客站A-知识教程",IF($H14="教程/FAQ","教程文","价值解释文"),"暂不做")))))</x:f>
      </x:c>
      <x:c r="R14" s="37" t="str">
        <x:f>IF($A14="","",IF($Q14="分类页/集合页/商品页","不写文章",IF($Q14="暂不做","暂不做",$Q14)))</x:f>
      </x:c>
      <x:c r="S14" s="37"/>
      <x:c r="T14" s="37"/>
      <x:c r="U14" s="37"/>
      <x:c r="V14" s="37"/>
      <x:c r="W14" s="37"/>
      <x:c r="X14" s="37"/>
      <x:c r="Y14" s="37"/>
      <x:c r="Z14" s="37"/>
      <x:c r="AA14" s="37"/>
      <x:c r="AB14" s="58" t="str">
        <x:f>IF($A14="","",IF($D14&gt;=1000,15,IF($D14&gt;=300,12,IF($D14&gt;=100,9,IF($D14&gt;0,5,0)))))</x:f>
      </x:c>
      <x:c r="AC14" s="58" t="str">
        <x:f>IF($A14="","",(($I14+$J14)/10)*25)</x:f>
      </x:c>
      <x:c r="AD14" s="58" t="str">
        <x:f>IF($A14="","",(($K14+$L14)/10)*25)</x:f>
      </x:c>
      <x:c r="AE14" s="58" t="str">
        <x:f>IF($A14="","",$M14*5)</x:f>
      </x:c>
      <x:c r="AF14" s="58" t="str">
        <x:f>IF($A14="","",MAX(0,AB14+AC14+AD14-AE14))</x:f>
      </x:c>
      <x:c r="AG14" s="37" t="str">
        <x:f>IF($A14="","",IF(AF14&gt;=70,"P0",IF(AF14&gt;=55,"P1",IF(AF14&gt;=40,"P2","P3"))))</x:f>
      </x:c>
      <x:c r="AH14" s="38" t="str">
        <x:f>IF($A14="","",IF(AG14="P0","立即规划",IF(AG14="P1","进入本批内容日历",IF(AG14="P2","观察/做FAQ或长尾","暂不做或合并"))))</x:f>
      </x:c>
    </x:row>
    <x:row r="15">
      <x:c r="A15" s="36"/>
      <x:c r="B15" s="37"/>
      <x:c r="C15" s="37"/>
      <x:c r="D15" s="49"/>
      <x:c r="E15" s="52"/>
      <x:c r="F15" s="55"/>
      <x:c r="G15" s="55"/>
      <x:c r="H15" s="55"/>
      <x:c r="I15" s="55"/>
      <x:c r="J15" s="55"/>
      <x:c r="K15" s="55"/>
      <x:c r="L15" s="55"/>
      <x:c r="M15" s="55"/>
      <x:c r="N15" s="37" t="str">
        <x:f>IF($A15="","",IF(OR($G15="Transactional",$H15="商品/分类页",$H15="集合页",$H15="品牌页"),"主站",IF(OR($H15="博客/榜单",$H15="博客/对比",$G15="Commercial"),"博客站C-对比评测",IF($H15="博客/场景","博客站B-人群场景",IF(OR($H15="教程/FAQ",$H15="博客/指南",$G15="Informational"),"博客站A-知识教程","暂不做")))))</x:f>
      </x:c>
      <x:c r="O15" s="37"/>
      <x:c r="P15" s="37" t="str">
        <x:f>IF($A15="","",IF($O15&lt;&gt;"",$O15,$N15))</x:f>
      </x:c>
      <x:c r="Q15" s="37" t="str">
        <x:f>IF($A15="","",IF($P15="主站","分类页/集合页/商品页",IF($P15="博客站C-对比评测",IF($H15="博客/对比","对比文","购买指南"),IF($P15="博客站B-人群场景","场景解决方案",IF($P15="博客站A-知识教程",IF($H15="教程/FAQ","教程文","价值解释文"),"暂不做")))))</x:f>
      </x:c>
      <x:c r="R15" s="37" t="str">
        <x:f>IF($A15="","",IF($Q15="分类页/集合页/商品页","不写文章",IF($Q15="暂不做","暂不做",$Q15)))</x:f>
      </x:c>
      <x:c r="S15" s="37"/>
      <x:c r="T15" s="37"/>
      <x:c r="U15" s="37"/>
      <x:c r="V15" s="37"/>
      <x:c r="W15" s="37"/>
      <x:c r="X15" s="37"/>
      <x:c r="Y15" s="37"/>
      <x:c r="Z15" s="37"/>
      <x:c r="AA15" s="37"/>
      <x:c r="AB15" s="58" t="str">
        <x:f>IF($A15="","",IF($D15&gt;=1000,15,IF($D15&gt;=300,12,IF($D15&gt;=100,9,IF($D15&gt;0,5,0)))))</x:f>
      </x:c>
      <x:c r="AC15" s="58" t="str">
        <x:f>IF($A15="","",(($I15+$J15)/10)*25)</x:f>
      </x:c>
      <x:c r="AD15" s="58" t="str">
        <x:f>IF($A15="","",(($K15+$L15)/10)*25)</x:f>
      </x:c>
      <x:c r="AE15" s="58" t="str">
        <x:f>IF($A15="","",$M15*5)</x:f>
      </x:c>
      <x:c r="AF15" s="58" t="str">
        <x:f>IF($A15="","",MAX(0,AB15+AC15+AD15-AE15))</x:f>
      </x:c>
      <x:c r="AG15" s="37" t="str">
        <x:f>IF($A15="","",IF(AF15&gt;=70,"P0",IF(AF15&gt;=55,"P1",IF(AF15&gt;=40,"P2","P3"))))</x:f>
      </x:c>
      <x:c r="AH15" s="38" t="str">
        <x:f>IF($A15="","",IF(AG15="P0","立即规划",IF(AG15="P1","进入本批内容日历",IF(AG15="P2","观察/做FAQ或长尾","暂不做或合并"))))</x:f>
      </x:c>
    </x:row>
    <x:row r="16">
      <x:c r="A16" s="36"/>
      <x:c r="B16" s="37"/>
      <x:c r="C16" s="37"/>
      <x:c r="D16" s="49"/>
      <x:c r="E16" s="52"/>
      <x:c r="F16" s="55"/>
      <x:c r="G16" s="55"/>
      <x:c r="H16" s="55"/>
      <x:c r="I16" s="55"/>
      <x:c r="J16" s="55"/>
      <x:c r="K16" s="55"/>
      <x:c r="L16" s="55"/>
      <x:c r="M16" s="55"/>
      <x:c r="N16" s="37" t="str">
        <x:f>IF($A16="","",IF(OR($G16="Transactional",$H16="商品/分类页",$H16="集合页",$H16="品牌页"),"主站",IF(OR($H16="博客/榜单",$H16="博客/对比",$G16="Commercial"),"博客站C-对比评测",IF($H16="博客/场景","博客站B-人群场景",IF(OR($H16="教程/FAQ",$H16="博客/指南",$G16="Informational"),"博客站A-知识教程","暂不做")))))</x:f>
      </x:c>
      <x:c r="O16" s="37"/>
      <x:c r="P16" s="37" t="str">
        <x:f>IF($A16="","",IF($O16&lt;&gt;"",$O16,$N16))</x:f>
      </x:c>
      <x:c r="Q16" s="37" t="str">
        <x:f>IF($A16="","",IF($P16="主站","分类页/集合页/商品页",IF($P16="博客站C-对比评测",IF($H16="博客/对比","对比文","购买指南"),IF($P16="博客站B-人群场景","场景解决方案",IF($P16="博客站A-知识教程",IF($H16="教程/FAQ","教程文","价值解释文"),"暂不做")))))</x:f>
      </x:c>
      <x:c r="R16" s="37" t="str">
        <x:f>IF($A16="","",IF($Q16="分类页/集合页/商品页","不写文章",IF($Q16="暂不做","暂不做",$Q16)))</x:f>
      </x:c>
      <x:c r="S16" s="37"/>
      <x:c r="T16" s="37"/>
      <x:c r="U16" s="37"/>
      <x:c r="V16" s="37"/>
      <x:c r="W16" s="37"/>
      <x:c r="X16" s="37"/>
      <x:c r="Y16" s="37"/>
      <x:c r="Z16" s="37"/>
      <x:c r="AA16" s="37"/>
      <x:c r="AB16" s="58" t="str">
        <x:f>IF($A16="","",IF($D16&gt;=1000,15,IF($D16&gt;=300,12,IF($D16&gt;=100,9,IF($D16&gt;0,5,0)))))</x:f>
      </x:c>
      <x:c r="AC16" s="58" t="str">
        <x:f>IF($A16="","",(($I16+$J16)/10)*25)</x:f>
      </x:c>
      <x:c r="AD16" s="58" t="str">
        <x:f>IF($A16="","",(($K16+$L16)/10)*25)</x:f>
      </x:c>
      <x:c r="AE16" s="58" t="str">
        <x:f>IF($A16="","",$M16*5)</x:f>
      </x:c>
      <x:c r="AF16" s="58" t="str">
        <x:f>IF($A16="","",MAX(0,AB16+AC16+AD16-AE16))</x:f>
      </x:c>
      <x:c r="AG16" s="37" t="str">
        <x:f>IF($A16="","",IF(AF16&gt;=70,"P0",IF(AF16&gt;=55,"P1",IF(AF16&gt;=40,"P2","P3"))))</x:f>
      </x:c>
      <x:c r="AH16" s="38" t="str">
        <x:f>IF($A16="","",IF(AG16="P0","立即规划",IF(AG16="P1","进入本批内容日历",IF(AG16="P2","观察/做FAQ或长尾","暂不做或合并"))))</x:f>
      </x:c>
    </x:row>
    <x:row r="17">
      <x:c r="A17" s="36"/>
      <x:c r="B17" s="37"/>
      <x:c r="C17" s="37"/>
      <x:c r="D17" s="49"/>
      <x:c r="E17" s="52"/>
      <x:c r="F17" s="55"/>
      <x:c r="G17" s="55"/>
      <x:c r="H17" s="55"/>
      <x:c r="I17" s="55"/>
      <x:c r="J17" s="55"/>
      <x:c r="K17" s="55"/>
      <x:c r="L17" s="55"/>
      <x:c r="M17" s="55"/>
      <x:c r="N17" s="37" t="str">
        <x:f>IF($A17="","",IF(OR($G17="Transactional",$H17="商品/分类页",$H17="集合页",$H17="品牌页"),"主站",IF(OR($H17="博客/榜单",$H17="博客/对比",$G17="Commercial"),"博客站C-对比评测",IF($H17="博客/场景","博客站B-人群场景",IF(OR($H17="教程/FAQ",$H17="博客/指南",$G17="Informational"),"博客站A-知识教程","暂不做")))))</x:f>
      </x:c>
      <x:c r="O17" s="37"/>
      <x:c r="P17" s="37" t="str">
        <x:f>IF($A17="","",IF($O17&lt;&gt;"",$O17,$N17))</x:f>
      </x:c>
      <x:c r="Q17" s="37" t="str">
        <x:f>IF($A17="","",IF($P17="主站","分类页/集合页/商品页",IF($P17="博客站C-对比评测",IF($H17="博客/对比","对比文","购买指南"),IF($P17="博客站B-人群场景","场景解决方案",IF($P17="博客站A-知识教程",IF($H17="教程/FAQ","教程文","价值解释文"),"暂不做")))))</x:f>
      </x:c>
      <x:c r="R17" s="37" t="str">
        <x:f>IF($A17="","",IF($Q17="分类页/集合页/商品页","不写文章",IF($Q17="暂不做","暂不做",$Q17)))</x:f>
      </x:c>
      <x:c r="S17" s="37"/>
      <x:c r="T17" s="37"/>
      <x:c r="U17" s="37"/>
      <x:c r="V17" s="37"/>
      <x:c r="W17" s="37"/>
      <x:c r="X17" s="37"/>
      <x:c r="Y17" s="37"/>
      <x:c r="Z17" s="37"/>
      <x:c r="AA17" s="37"/>
      <x:c r="AB17" s="58" t="str">
        <x:f>IF($A17="","",IF($D17&gt;=1000,15,IF($D17&gt;=300,12,IF($D17&gt;=100,9,IF($D17&gt;0,5,0)))))</x:f>
      </x:c>
      <x:c r="AC17" s="58" t="str">
        <x:f>IF($A17="","",(($I17+$J17)/10)*25)</x:f>
      </x:c>
      <x:c r="AD17" s="58" t="str">
        <x:f>IF($A17="","",(($K17+$L17)/10)*25)</x:f>
      </x:c>
      <x:c r="AE17" s="58" t="str">
        <x:f>IF($A17="","",$M17*5)</x:f>
      </x:c>
      <x:c r="AF17" s="58" t="str">
        <x:f>IF($A17="","",MAX(0,AB17+AC17+AD17-AE17))</x:f>
      </x:c>
      <x:c r="AG17" s="37" t="str">
        <x:f>IF($A17="","",IF(AF17&gt;=70,"P0",IF(AF17&gt;=55,"P1",IF(AF17&gt;=40,"P2","P3"))))</x:f>
      </x:c>
      <x:c r="AH17" s="38" t="str">
        <x:f>IF($A17="","",IF(AG17="P0","立即规划",IF(AG17="P1","进入本批内容日历",IF(AG17="P2","观察/做FAQ或长尾","暂不做或合并"))))</x:f>
      </x:c>
    </x:row>
    <x:row r="18">
      <x:c r="A18" s="36"/>
      <x:c r="B18" s="37"/>
      <x:c r="C18" s="37"/>
      <x:c r="D18" s="49"/>
      <x:c r="E18" s="52"/>
      <x:c r="F18" s="55"/>
      <x:c r="G18" s="55"/>
      <x:c r="H18" s="55"/>
      <x:c r="I18" s="55"/>
      <x:c r="J18" s="55"/>
      <x:c r="K18" s="55"/>
      <x:c r="L18" s="55"/>
      <x:c r="M18" s="55"/>
      <x:c r="N18" s="37" t="str">
        <x:f>IF($A18="","",IF(OR($G18="Transactional",$H18="商品/分类页",$H18="集合页",$H18="品牌页"),"主站",IF(OR($H18="博客/榜单",$H18="博客/对比",$G18="Commercial"),"博客站C-对比评测",IF($H18="博客/场景","博客站B-人群场景",IF(OR($H18="教程/FAQ",$H18="博客/指南",$G18="Informational"),"博客站A-知识教程","暂不做")))))</x:f>
      </x:c>
      <x:c r="O18" s="37"/>
      <x:c r="P18" s="37" t="str">
        <x:f>IF($A18="","",IF($O18&lt;&gt;"",$O18,$N18))</x:f>
      </x:c>
      <x:c r="Q18" s="37" t="str">
        <x:f>IF($A18="","",IF($P18="主站","分类页/集合页/商品页",IF($P18="博客站C-对比评测",IF($H18="博客/对比","对比文","购买指南"),IF($P18="博客站B-人群场景","场景解决方案",IF($P18="博客站A-知识教程",IF($H18="教程/FAQ","教程文","价值解释文"),"暂不做")))))</x:f>
      </x:c>
      <x:c r="R18" s="37" t="str">
        <x:f>IF($A18="","",IF($Q18="分类页/集合页/商品页","不写文章",IF($Q18="暂不做","暂不做",$Q18)))</x:f>
      </x:c>
      <x:c r="S18" s="37"/>
      <x:c r="T18" s="37"/>
      <x:c r="U18" s="37"/>
      <x:c r="V18" s="37"/>
      <x:c r="W18" s="37"/>
      <x:c r="X18" s="37"/>
      <x:c r="Y18" s="37"/>
      <x:c r="Z18" s="37"/>
      <x:c r="AA18" s="37"/>
      <x:c r="AB18" s="58" t="str">
        <x:f>IF($A18="","",IF($D18&gt;=1000,15,IF($D18&gt;=300,12,IF($D18&gt;=100,9,IF($D18&gt;0,5,0)))))</x:f>
      </x:c>
      <x:c r="AC18" s="58" t="str">
        <x:f>IF($A18="","",(($I18+$J18)/10)*25)</x:f>
      </x:c>
      <x:c r="AD18" s="58" t="str">
        <x:f>IF($A18="","",(($K18+$L18)/10)*25)</x:f>
      </x:c>
      <x:c r="AE18" s="58" t="str">
        <x:f>IF($A18="","",$M18*5)</x:f>
      </x:c>
      <x:c r="AF18" s="58" t="str">
        <x:f>IF($A18="","",MAX(0,AB18+AC18+AD18-AE18))</x:f>
      </x:c>
      <x:c r="AG18" s="37" t="str">
        <x:f>IF($A18="","",IF(AF18&gt;=70,"P0",IF(AF18&gt;=55,"P1",IF(AF18&gt;=40,"P2","P3"))))</x:f>
      </x:c>
      <x:c r="AH18" s="38" t="str">
        <x:f>IF($A18="","",IF(AG18="P0","立即规划",IF(AG18="P1","进入本批内容日历",IF(AG18="P2","观察/做FAQ或长尾","暂不做或合并"))))</x:f>
      </x:c>
    </x:row>
    <x:row r="19">
      <x:c r="A19" s="36"/>
      <x:c r="B19" s="37"/>
      <x:c r="C19" s="37"/>
      <x:c r="D19" s="49"/>
      <x:c r="E19" s="52"/>
      <x:c r="F19" s="55"/>
      <x:c r="G19" s="55"/>
      <x:c r="H19" s="55"/>
      <x:c r="I19" s="55"/>
      <x:c r="J19" s="55"/>
      <x:c r="K19" s="55"/>
      <x:c r="L19" s="55"/>
      <x:c r="M19" s="55"/>
      <x:c r="N19" s="37" t="str">
        <x:f>IF($A19="","",IF(OR($G19="Transactional",$H19="商品/分类页",$H19="集合页",$H19="品牌页"),"主站",IF(OR($H19="博客/榜单",$H19="博客/对比",$G19="Commercial"),"博客站C-对比评测",IF($H19="博客/场景","博客站B-人群场景",IF(OR($H19="教程/FAQ",$H19="博客/指南",$G19="Informational"),"博客站A-知识教程","暂不做")))))</x:f>
      </x:c>
      <x:c r="O19" s="37"/>
      <x:c r="P19" s="37" t="str">
        <x:f>IF($A19="","",IF($O19&lt;&gt;"",$O19,$N19))</x:f>
      </x:c>
      <x:c r="Q19" s="37" t="str">
        <x:f>IF($A19="","",IF($P19="主站","分类页/集合页/商品页",IF($P19="博客站C-对比评测",IF($H19="博客/对比","对比文","购买指南"),IF($P19="博客站B-人群场景","场景解决方案",IF($P19="博客站A-知识教程",IF($H19="教程/FAQ","教程文","价值解释文"),"暂不做")))))</x:f>
      </x:c>
      <x:c r="R19" s="37" t="str">
        <x:f>IF($A19="","",IF($Q19="分类页/集合页/商品页","不写文章",IF($Q19="暂不做","暂不做",$Q19)))</x:f>
      </x:c>
      <x:c r="S19" s="37"/>
      <x:c r="T19" s="37"/>
      <x:c r="U19" s="37"/>
      <x:c r="V19" s="37"/>
      <x:c r="W19" s="37"/>
      <x:c r="X19" s="37"/>
      <x:c r="Y19" s="37"/>
      <x:c r="Z19" s="37"/>
      <x:c r="AA19" s="37"/>
      <x:c r="AB19" s="58" t="str">
        <x:f>IF($A19="","",IF($D19&gt;=1000,15,IF($D19&gt;=300,12,IF($D19&gt;=100,9,IF($D19&gt;0,5,0)))))</x:f>
      </x:c>
      <x:c r="AC19" s="58" t="str">
        <x:f>IF($A19="","",(($I19+$J19)/10)*25)</x:f>
      </x:c>
      <x:c r="AD19" s="58" t="str">
        <x:f>IF($A19="","",(($K19+$L19)/10)*25)</x:f>
      </x:c>
      <x:c r="AE19" s="58" t="str">
        <x:f>IF($A19="","",$M19*5)</x:f>
      </x:c>
      <x:c r="AF19" s="58" t="str">
        <x:f>IF($A19="","",MAX(0,AB19+AC19+AD19-AE19))</x:f>
      </x:c>
      <x:c r="AG19" s="37" t="str">
        <x:f>IF($A19="","",IF(AF19&gt;=70,"P0",IF(AF19&gt;=55,"P1",IF(AF19&gt;=40,"P2","P3"))))</x:f>
      </x:c>
      <x:c r="AH19" s="38" t="str">
        <x:f>IF($A19="","",IF(AG19="P0","立即规划",IF(AG19="P1","进入本批内容日历",IF(AG19="P2","观察/做FAQ或长尾","暂不做或合并"))))</x:f>
      </x:c>
    </x:row>
    <x:row r="20">
      <x:c r="A20" s="36"/>
      <x:c r="B20" s="37"/>
      <x:c r="C20" s="37"/>
      <x:c r="D20" s="49"/>
      <x:c r="E20" s="52"/>
      <x:c r="F20" s="55"/>
      <x:c r="G20" s="55"/>
      <x:c r="H20" s="55"/>
      <x:c r="I20" s="55"/>
      <x:c r="J20" s="55"/>
      <x:c r="K20" s="55"/>
      <x:c r="L20" s="55"/>
      <x:c r="M20" s="55"/>
      <x:c r="N20" s="37" t="str">
        <x:f>IF($A20="","",IF(OR($G20="Transactional",$H20="商品/分类页",$H20="集合页",$H20="品牌页"),"主站",IF(OR($H20="博客/榜单",$H20="博客/对比",$G20="Commercial"),"博客站C-对比评测",IF($H20="博客/场景","博客站B-人群场景",IF(OR($H20="教程/FAQ",$H20="博客/指南",$G20="Informational"),"博客站A-知识教程","暂不做")))))</x:f>
      </x:c>
      <x:c r="O20" s="37"/>
      <x:c r="P20" s="37" t="str">
        <x:f>IF($A20="","",IF($O20&lt;&gt;"",$O20,$N20))</x:f>
      </x:c>
      <x:c r="Q20" s="37" t="str">
        <x:f>IF($A20="","",IF($P20="主站","分类页/集合页/商品页",IF($P20="博客站C-对比评测",IF($H20="博客/对比","对比文","购买指南"),IF($P20="博客站B-人群场景","场景解决方案",IF($P20="博客站A-知识教程",IF($H20="教程/FAQ","教程文","价值解释文"),"暂不做")))))</x:f>
      </x:c>
      <x:c r="R20" s="37" t="str">
        <x:f>IF($A20="","",IF($Q20="分类页/集合页/商品页","不写文章",IF($Q20="暂不做","暂不做",$Q20)))</x:f>
      </x:c>
      <x:c r="S20" s="37"/>
      <x:c r="T20" s="37"/>
      <x:c r="U20" s="37"/>
      <x:c r="V20" s="37"/>
      <x:c r="W20" s="37"/>
      <x:c r="X20" s="37"/>
      <x:c r="Y20" s="37"/>
      <x:c r="Z20" s="37"/>
      <x:c r="AA20" s="37"/>
      <x:c r="AB20" s="58" t="str">
        <x:f>IF($A20="","",IF($D20&gt;=1000,15,IF($D20&gt;=300,12,IF($D20&gt;=100,9,IF($D20&gt;0,5,0)))))</x:f>
      </x:c>
      <x:c r="AC20" s="58" t="str">
        <x:f>IF($A20="","",(($I20+$J20)/10)*25)</x:f>
      </x:c>
      <x:c r="AD20" s="58" t="str">
        <x:f>IF($A20="","",(($K20+$L20)/10)*25)</x:f>
      </x:c>
      <x:c r="AE20" s="58" t="str">
        <x:f>IF($A20="","",$M20*5)</x:f>
      </x:c>
      <x:c r="AF20" s="58" t="str">
        <x:f>IF($A20="","",MAX(0,AB20+AC20+AD20-AE20))</x:f>
      </x:c>
      <x:c r="AG20" s="37" t="str">
        <x:f>IF($A20="","",IF(AF20&gt;=70,"P0",IF(AF20&gt;=55,"P1",IF(AF20&gt;=40,"P2","P3"))))</x:f>
      </x:c>
      <x:c r="AH20" s="38" t="str">
        <x:f>IF($A20="","",IF(AG20="P0","立即规划",IF(AG20="P1","进入本批内容日历",IF(AG20="P2","观察/做FAQ或长尾","暂不做或合并"))))</x:f>
      </x:c>
    </x:row>
    <x:row r="21">
      <x:c r="A21" s="36"/>
      <x:c r="B21" s="37"/>
      <x:c r="C21" s="37"/>
      <x:c r="D21" s="49"/>
      <x:c r="E21" s="52"/>
      <x:c r="F21" s="55"/>
      <x:c r="G21" s="55"/>
      <x:c r="H21" s="55"/>
      <x:c r="I21" s="55"/>
      <x:c r="J21" s="55"/>
      <x:c r="K21" s="55"/>
      <x:c r="L21" s="55"/>
      <x:c r="M21" s="55"/>
      <x:c r="N21" s="37" t="str">
        <x:f>IF($A21="","",IF(OR($G21="Transactional",$H21="商品/分类页",$H21="集合页",$H21="品牌页"),"主站",IF(OR($H21="博客/榜单",$H21="博客/对比",$G21="Commercial"),"博客站C-对比评测",IF($H21="博客/场景","博客站B-人群场景",IF(OR($H21="教程/FAQ",$H21="博客/指南",$G21="Informational"),"博客站A-知识教程","暂不做")))))</x:f>
      </x:c>
      <x:c r="O21" s="37"/>
      <x:c r="P21" s="37" t="str">
        <x:f>IF($A21="","",IF($O21&lt;&gt;"",$O21,$N21))</x:f>
      </x:c>
      <x:c r="Q21" s="37" t="str">
        <x:f>IF($A21="","",IF($P21="主站","分类页/集合页/商品页",IF($P21="博客站C-对比评测",IF($H21="博客/对比","对比文","购买指南"),IF($P21="博客站B-人群场景","场景解决方案",IF($P21="博客站A-知识教程",IF($H21="教程/FAQ","教程文","价值解释文"),"暂不做")))))</x:f>
      </x:c>
      <x:c r="R21" s="37" t="str">
        <x:f>IF($A21="","",IF($Q21="分类页/集合页/商品页","不写文章",IF($Q21="暂不做","暂不做",$Q21)))</x:f>
      </x:c>
      <x:c r="S21" s="37"/>
      <x:c r="T21" s="37"/>
      <x:c r="U21" s="37"/>
      <x:c r="V21" s="37"/>
      <x:c r="W21" s="37"/>
      <x:c r="X21" s="37"/>
      <x:c r="Y21" s="37"/>
      <x:c r="Z21" s="37"/>
      <x:c r="AA21" s="37"/>
      <x:c r="AB21" s="58" t="str">
        <x:f>IF($A21="","",IF($D21&gt;=1000,15,IF($D21&gt;=300,12,IF($D21&gt;=100,9,IF($D21&gt;0,5,0)))))</x:f>
      </x:c>
      <x:c r="AC21" s="58" t="str">
        <x:f>IF($A21="","",(($I21+$J21)/10)*25)</x:f>
      </x:c>
      <x:c r="AD21" s="58" t="str">
        <x:f>IF($A21="","",(($K21+$L21)/10)*25)</x:f>
      </x:c>
      <x:c r="AE21" s="58" t="str">
        <x:f>IF($A21="","",$M21*5)</x:f>
      </x:c>
      <x:c r="AF21" s="58" t="str">
        <x:f>IF($A21="","",MAX(0,AB21+AC21+AD21-AE21))</x:f>
      </x:c>
      <x:c r="AG21" s="37" t="str">
        <x:f>IF($A21="","",IF(AF21&gt;=70,"P0",IF(AF21&gt;=55,"P1",IF(AF21&gt;=40,"P2","P3"))))</x:f>
      </x:c>
      <x:c r="AH21" s="38" t="str">
        <x:f>IF($A21="","",IF(AG21="P0","立即规划",IF(AG21="P1","进入本批内容日历",IF(AG21="P2","观察/做FAQ或长尾","暂不做或合并"))))</x:f>
      </x:c>
    </x:row>
    <x:row r="22">
      <x:c r="A22" s="36"/>
      <x:c r="B22" s="37"/>
      <x:c r="C22" s="37"/>
      <x:c r="D22" s="49"/>
      <x:c r="E22" s="52"/>
      <x:c r="F22" s="55"/>
      <x:c r="G22" s="55"/>
      <x:c r="H22" s="55"/>
      <x:c r="I22" s="55"/>
      <x:c r="J22" s="55"/>
      <x:c r="K22" s="55"/>
      <x:c r="L22" s="55"/>
      <x:c r="M22" s="55"/>
      <x:c r="N22" s="37" t="str">
        <x:f>IF($A22="","",IF(OR($G22="Transactional",$H22="商品/分类页",$H22="集合页",$H22="品牌页"),"主站",IF(OR($H22="博客/榜单",$H22="博客/对比",$G22="Commercial"),"博客站C-对比评测",IF($H22="博客/场景","博客站B-人群场景",IF(OR($H22="教程/FAQ",$H22="博客/指南",$G22="Informational"),"博客站A-知识教程","暂不做")))))</x:f>
      </x:c>
      <x:c r="O22" s="37"/>
      <x:c r="P22" s="37" t="str">
        <x:f>IF($A22="","",IF($O22&lt;&gt;"",$O22,$N22))</x:f>
      </x:c>
      <x:c r="Q22" s="37" t="str">
        <x:f>IF($A22="","",IF($P22="主站","分类页/集合页/商品页",IF($P22="博客站C-对比评测",IF($H22="博客/对比","对比文","购买指南"),IF($P22="博客站B-人群场景","场景解决方案",IF($P22="博客站A-知识教程",IF($H22="教程/FAQ","教程文","价值解释文"),"暂不做")))))</x:f>
      </x:c>
      <x:c r="R22" s="37" t="str">
        <x:f>IF($A22="","",IF($Q22="分类页/集合页/商品页","不写文章",IF($Q22="暂不做","暂不做",$Q22)))</x:f>
      </x:c>
      <x:c r="S22" s="37"/>
      <x:c r="T22" s="37"/>
      <x:c r="U22" s="37"/>
      <x:c r="V22" s="37"/>
      <x:c r="W22" s="37"/>
      <x:c r="X22" s="37"/>
      <x:c r="Y22" s="37"/>
      <x:c r="Z22" s="37"/>
      <x:c r="AA22" s="37"/>
      <x:c r="AB22" s="58" t="str">
        <x:f>IF($A22="","",IF($D22&gt;=1000,15,IF($D22&gt;=300,12,IF($D22&gt;=100,9,IF($D22&gt;0,5,0)))))</x:f>
      </x:c>
      <x:c r="AC22" s="58" t="str">
        <x:f>IF($A22="","",(($I22+$J22)/10)*25)</x:f>
      </x:c>
      <x:c r="AD22" s="58" t="str">
        <x:f>IF($A22="","",(($K22+$L22)/10)*25)</x:f>
      </x:c>
      <x:c r="AE22" s="58" t="str">
        <x:f>IF($A22="","",$M22*5)</x:f>
      </x:c>
      <x:c r="AF22" s="58" t="str">
        <x:f>IF($A22="","",MAX(0,AB22+AC22+AD22-AE22))</x:f>
      </x:c>
      <x:c r="AG22" s="37" t="str">
        <x:f>IF($A22="","",IF(AF22&gt;=70,"P0",IF(AF22&gt;=55,"P1",IF(AF22&gt;=40,"P2","P3"))))</x:f>
      </x:c>
      <x:c r="AH22" s="38" t="str">
        <x:f>IF($A22="","",IF(AG22="P0","立即规划",IF(AG22="P1","进入本批内容日历",IF(AG22="P2","观察/做FAQ或长尾","暂不做或合并"))))</x:f>
      </x:c>
    </x:row>
    <x:row r="23">
      <x:c r="A23" s="36"/>
      <x:c r="B23" s="37"/>
      <x:c r="C23" s="37"/>
      <x:c r="D23" s="49"/>
      <x:c r="E23" s="52"/>
      <x:c r="F23" s="55"/>
      <x:c r="G23" s="55"/>
      <x:c r="H23" s="55"/>
      <x:c r="I23" s="55"/>
      <x:c r="J23" s="55"/>
      <x:c r="K23" s="55"/>
      <x:c r="L23" s="55"/>
      <x:c r="M23" s="55"/>
      <x:c r="N23" s="37" t="str">
        <x:f>IF($A23="","",IF(OR($G23="Transactional",$H23="商品/分类页",$H23="集合页",$H23="品牌页"),"主站",IF(OR($H23="博客/榜单",$H23="博客/对比",$G23="Commercial"),"博客站C-对比评测",IF($H23="博客/场景","博客站B-人群场景",IF(OR($H23="教程/FAQ",$H23="博客/指南",$G23="Informational"),"博客站A-知识教程","暂不做")))))</x:f>
      </x:c>
      <x:c r="O23" s="37"/>
      <x:c r="P23" s="37" t="str">
        <x:f>IF($A23="","",IF($O23&lt;&gt;"",$O23,$N23))</x:f>
      </x:c>
      <x:c r="Q23" s="37" t="str">
        <x:f>IF($A23="","",IF($P23="主站","分类页/集合页/商品页",IF($P23="博客站C-对比评测",IF($H23="博客/对比","对比文","购买指南"),IF($P23="博客站B-人群场景","场景解决方案",IF($P23="博客站A-知识教程",IF($H23="教程/FAQ","教程文","价值解释文"),"暂不做")))))</x:f>
      </x:c>
      <x:c r="R23" s="37" t="str">
        <x:f>IF($A23="","",IF($Q23="分类页/集合页/商品页","不写文章",IF($Q23="暂不做","暂不做",$Q23)))</x:f>
      </x:c>
      <x:c r="S23" s="37"/>
      <x:c r="T23" s="37"/>
      <x:c r="U23" s="37"/>
      <x:c r="V23" s="37"/>
      <x:c r="W23" s="37"/>
      <x:c r="X23" s="37"/>
      <x:c r="Y23" s="37"/>
      <x:c r="Z23" s="37"/>
      <x:c r="AA23" s="37"/>
      <x:c r="AB23" s="58" t="str">
        <x:f>IF($A23="","",IF($D23&gt;=1000,15,IF($D23&gt;=300,12,IF($D23&gt;=100,9,IF($D23&gt;0,5,0)))))</x:f>
      </x:c>
      <x:c r="AC23" s="58" t="str">
        <x:f>IF($A23="","",(($I23+$J23)/10)*25)</x:f>
      </x:c>
      <x:c r="AD23" s="58" t="str">
        <x:f>IF($A23="","",(($K23+$L23)/10)*25)</x:f>
      </x:c>
      <x:c r="AE23" s="58" t="str">
        <x:f>IF($A23="","",$M23*5)</x:f>
      </x:c>
      <x:c r="AF23" s="58" t="str">
        <x:f>IF($A23="","",MAX(0,AB23+AC23+AD23-AE23))</x:f>
      </x:c>
      <x:c r="AG23" s="37" t="str">
        <x:f>IF($A23="","",IF(AF23&gt;=70,"P0",IF(AF23&gt;=55,"P1",IF(AF23&gt;=40,"P2","P3"))))</x:f>
      </x:c>
      <x:c r="AH23" s="38" t="str">
        <x:f>IF($A23="","",IF(AG23="P0","立即规划",IF(AG23="P1","进入本批内容日历",IF(AG23="P2","观察/做FAQ或长尾","暂不做或合并"))))</x:f>
      </x:c>
    </x:row>
    <x:row r="24">
      <x:c r="A24" s="36"/>
      <x:c r="B24" s="37"/>
      <x:c r="C24" s="37"/>
      <x:c r="D24" s="49"/>
      <x:c r="E24" s="52"/>
      <x:c r="F24" s="55"/>
      <x:c r="G24" s="55"/>
      <x:c r="H24" s="55"/>
      <x:c r="I24" s="55"/>
      <x:c r="J24" s="55"/>
      <x:c r="K24" s="55"/>
      <x:c r="L24" s="55"/>
      <x:c r="M24" s="55"/>
      <x:c r="N24" s="37" t="str">
        <x:f>IF($A24="","",IF(OR($G24="Transactional",$H24="商品/分类页",$H24="集合页",$H24="品牌页"),"主站",IF(OR($H24="博客/榜单",$H24="博客/对比",$G24="Commercial"),"博客站C-对比评测",IF($H24="博客/场景","博客站B-人群场景",IF(OR($H24="教程/FAQ",$H24="博客/指南",$G24="Informational"),"博客站A-知识教程","暂不做")))))</x:f>
      </x:c>
      <x:c r="O24" s="37"/>
      <x:c r="P24" s="37" t="str">
        <x:f>IF($A24="","",IF($O24&lt;&gt;"",$O24,$N24))</x:f>
      </x:c>
      <x:c r="Q24" s="37" t="str">
        <x:f>IF($A24="","",IF($P24="主站","分类页/集合页/商品页",IF($P24="博客站C-对比评测",IF($H24="博客/对比","对比文","购买指南"),IF($P24="博客站B-人群场景","场景解决方案",IF($P24="博客站A-知识教程",IF($H24="教程/FAQ","教程文","价值解释文"),"暂不做")))))</x:f>
      </x:c>
      <x:c r="R24" s="37" t="str">
        <x:f>IF($A24="","",IF($Q24="分类页/集合页/商品页","不写文章",IF($Q24="暂不做","暂不做",$Q24)))</x:f>
      </x:c>
      <x:c r="S24" s="37"/>
      <x:c r="T24" s="37"/>
      <x:c r="U24" s="37"/>
      <x:c r="V24" s="37"/>
      <x:c r="W24" s="37"/>
      <x:c r="X24" s="37"/>
      <x:c r="Y24" s="37"/>
      <x:c r="Z24" s="37"/>
      <x:c r="AA24" s="37"/>
      <x:c r="AB24" s="58" t="str">
        <x:f>IF($A24="","",IF($D24&gt;=1000,15,IF($D24&gt;=300,12,IF($D24&gt;=100,9,IF($D24&gt;0,5,0)))))</x:f>
      </x:c>
      <x:c r="AC24" s="58" t="str">
        <x:f>IF($A24="","",(($I24+$J24)/10)*25)</x:f>
      </x:c>
      <x:c r="AD24" s="58" t="str">
        <x:f>IF($A24="","",(($K24+$L24)/10)*25)</x:f>
      </x:c>
      <x:c r="AE24" s="58" t="str">
        <x:f>IF($A24="","",$M24*5)</x:f>
      </x:c>
      <x:c r="AF24" s="58" t="str">
        <x:f>IF($A24="","",MAX(0,AB24+AC24+AD24-AE24))</x:f>
      </x:c>
      <x:c r="AG24" s="37" t="str">
        <x:f>IF($A24="","",IF(AF24&gt;=70,"P0",IF(AF24&gt;=55,"P1",IF(AF24&gt;=40,"P2","P3"))))</x:f>
      </x:c>
      <x:c r="AH24" s="38" t="str">
        <x:f>IF($A24="","",IF(AG24="P0","立即规划",IF(AG24="P1","进入本批内容日历",IF(AG24="P2","观察/做FAQ或长尾","暂不做或合并"))))</x:f>
      </x:c>
    </x:row>
    <x:row r="25">
      <x:c r="A25" s="36"/>
      <x:c r="B25" s="37"/>
      <x:c r="C25" s="37"/>
      <x:c r="D25" s="49"/>
      <x:c r="E25" s="52"/>
      <x:c r="F25" s="55"/>
      <x:c r="G25" s="55"/>
      <x:c r="H25" s="55"/>
      <x:c r="I25" s="55"/>
      <x:c r="J25" s="55"/>
      <x:c r="K25" s="55"/>
      <x:c r="L25" s="55"/>
      <x:c r="M25" s="55"/>
      <x:c r="N25" s="37" t="str">
        <x:f>IF($A25="","",IF(OR($G25="Transactional",$H25="商品/分类页",$H25="集合页",$H25="品牌页"),"主站",IF(OR($H25="博客/榜单",$H25="博客/对比",$G25="Commercial"),"博客站C-对比评测",IF($H25="博客/场景","博客站B-人群场景",IF(OR($H25="教程/FAQ",$H25="博客/指南",$G25="Informational"),"博客站A-知识教程","暂不做")))))</x:f>
      </x:c>
      <x:c r="O25" s="37"/>
      <x:c r="P25" s="37" t="str">
        <x:f>IF($A25="","",IF($O25&lt;&gt;"",$O25,$N25))</x:f>
      </x:c>
      <x:c r="Q25" s="37" t="str">
        <x:f>IF($A25="","",IF($P25="主站","分类页/集合页/商品页",IF($P25="博客站C-对比评测",IF($H25="博客/对比","对比文","购买指南"),IF($P25="博客站B-人群场景","场景解决方案",IF($P25="博客站A-知识教程",IF($H25="教程/FAQ","教程文","价值解释文"),"暂不做")))))</x:f>
      </x:c>
      <x:c r="R25" s="37" t="str">
        <x:f>IF($A25="","",IF($Q25="分类页/集合页/商品页","不写文章",IF($Q25="暂不做","暂不做",$Q25)))</x:f>
      </x:c>
      <x:c r="S25" s="37"/>
      <x:c r="T25" s="37"/>
      <x:c r="U25" s="37"/>
      <x:c r="V25" s="37"/>
      <x:c r="W25" s="37"/>
      <x:c r="X25" s="37"/>
      <x:c r="Y25" s="37"/>
      <x:c r="Z25" s="37"/>
      <x:c r="AA25" s="37"/>
      <x:c r="AB25" s="58" t="str">
        <x:f>IF($A25="","",IF($D25&gt;=1000,15,IF($D25&gt;=300,12,IF($D25&gt;=100,9,IF($D25&gt;0,5,0)))))</x:f>
      </x:c>
      <x:c r="AC25" s="58" t="str">
        <x:f>IF($A25="","",(($I25+$J25)/10)*25)</x:f>
      </x:c>
      <x:c r="AD25" s="58" t="str">
        <x:f>IF($A25="","",(($K25+$L25)/10)*25)</x:f>
      </x:c>
      <x:c r="AE25" s="58" t="str">
        <x:f>IF($A25="","",$M25*5)</x:f>
      </x:c>
      <x:c r="AF25" s="58" t="str">
        <x:f>IF($A25="","",MAX(0,AB25+AC25+AD25-AE25))</x:f>
      </x:c>
      <x:c r="AG25" s="37" t="str">
        <x:f>IF($A25="","",IF(AF25&gt;=70,"P0",IF(AF25&gt;=55,"P1",IF(AF25&gt;=40,"P2","P3"))))</x:f>
      </x:c>
      <x:c r="AH25" s="38" t="str">
        <x:f>IF($A25="","",IF(AG25="P0","立即规划",IF(AG25="P1","进入本批内容日历",IF(AG25="P2","观察/做FAQ或长尾","暂不做或合并"))))</x:f>
      </x:c>
    </x:row>
    <x:row r="26">
      <x:c r="A26" s="36"/>
      <x:c r="B26" s="37"/>
      <x:c r="C26" s="37"/>
      <x:c r="D26" s="49"/>
      <x:c r="E26" s="52"/>
      <x:c r="F26" s="55"/>
      <x:c r="G26" s="55"/>
      <x:c r="H26" s="55"/>
      <x:c r="I26" s="55"/>
      <x:c r="J26" s="55"/>
      <x:c r="K26" s="55"/>
      <x:c r="L26" s="55"/>
      <x:c r="M26" s="55"/>
      <x:c r="N26" s="37" t="str">
        <x:f>IF($A26="","",IF(OR($G26="Transactional",$H26="商品/分类页",$H26="集合页",$H26="品牌页"),"主站",IF(OR($H26="博客/榜单",$H26="博客/对比",$G26="Commercial"),"博客站C-对比评测",IF($H26="博客/场景","博客站B-人群场景",IF(OR($H26="教程/FAQ",$H26="博客/指南",$G26="Informational"),"博客站A-知识教程","暂不做")))))</x:f>
      </x:c>
      <x:c r="O26" s="37"/>
      <x:c r="P26" s="37" t="str">
        <x:f>IF($A26="","",IF($O26&lt;&gt;"",$O26,$N26))</x:f>
      </x:c>
      <x:c r="Q26" s="37" t="str">
        <x:f>IF($A26="","",IF($P26="主站","分类页/集合页/商品页",IF($P26="博客站C-对比评测",IF($H26="博客/对比","对比文","购买指南"),IF($P26="博客站B-人群场景","场景解决方案",IF($P26="博客站A-知识教程",IF($H26="教程/FAQ","教程文","价值解释文"),"暂不做")))))</x:f>
      </x:c>
      <x:c r="R26" s="37" t="str">
        <x:f>IF($A26="","",IF($Q26="分类页/集合页/商品页","不写文章",IF($Q26="暂不做","暂不做",$Q26)))</x:f>
      </x:c>
      <x:c r="S26" s="37"/>
      <x:c r="T26" s="37"/>
      <x:c r="U26" s="37"/>
      <x:c r="V26" s="37"/>
      <x:c r="W26" s="37"/>
      <x:c r="X26" s="37"/>
      <x:c r="Y26" s="37"/>
      <x:c r="Z26" s="37"/>
      <x:c r="AA26" s="37"/>
      <x:c r="AB26" s="58" t="str">
        <x:f>IF($A26="","",IF($D26&gt;=1000,15,IF($D26&gt;=300,12,IF($D26&gt;=100,9,IF($D26&gt;0,5,0)))))</x:f>
      </x:c>
      <x:c r="AC26" s="58" t="str">
        <x:f>IF($A26="","",(($I26+$J26)/10)*25)</x:f>
      </x:c>
      <x:c r="AD26" s="58" t="str">
        <x:f>IF($A26="","",(($K26+$L26)/10)*25)</x:f>
      </x:c>
      <x:c r="AE26" s="58" t="str">
        <x:f>IF($A26="","",$M26*5)</x:f>
      </x:c>
      <x:c r="AF26" s="58" t="str">
        <x:f>IF($A26="","",MAX(0,AB26+AC26+AD26-AE26))</x:f>
      </x:c>
      <x:c r="AG26" s="37" t="str">
        <x:f>IF($A26="","",IF(AF26&gt;=70,"P0",IF(AF26&gt;=55,"P1",IF(AF26&gt;=40,"P2","P3"))))</x:f>
      </x:c>
      <x:c r="AH26" s="38" t="str">
        <x:f>IF($A26="","",IF(AG26="P0","立即规划",IF(AG26="P1","进入本批内容日历",IF(AG26="P2","观察/做FAQ或长尾","暂不做或合并"))))</x:f>
      </x:c>
    </x:row>
    <x:row r="27">
      <x:c r="A27" s="36"/>
      <x:c r="B27" s="37"/>
      <x:c r="C27" s="37"/>
      <x:c r="D27" s="49"/>
      <x:c r="E27" s="52"/>
      <x:c r="F27" s="55"/>
      <x:c r="G27" s="55"/>
      <x:c r="H27" s="55"/>
      <x:c r="I27" s="55"/>
      <x:c r="J27" s="55"/>
      <x:c r="K27" s="55"/>
      <x:c r="L27" s="55"/>
      <x:c r="M27" s="55"/>
      <x:c r="N27" s="37" t="str">
        <x:f>IF($A27="","",IF(OR($G27="Transactional",$H27="商品/分类页",$H27="集合页",$H27="品牌页"),"主站",IF(OR($H27="博客/榜单",$H27="博客/对比",$G27="Commercial"),"博客站C-对比评测",IF($H27="博客/场景","博客站B-人群场景",IF(OR($H27="教程/FAQ",$H27="博客/指南",$G27="Informational"),"博客站A-知识教程","暂不做")))))</x:f>
      </x:c>
      <x:c r="O27" s="37"/>
      <x:c r="P27" s="37" t="str">
        <x:f>IF($A27="","",IF($O27&lt;&gt;"",$O27,$N27))</x:f>
      </x:c>
      <x:c r="Q27" s="37" t="str">
        <x:f>IF($A27="","",IF($P27="主站","分类页/集合页/商品页",IF($P27="博客站C-对比评测",IF($H27="博客/对比","对比文","购买指南"),IF($P27="博客站B-人群场景","场景解决方案",IF($P27="博客站A-知识教程",IF($H27="教程/FAQ","教程文","价值解释文"),"暂不做")))))</x:f>
      </x:c>
      <x:c r="R27" s="37" t="str">
        <x:f>IF($A27="","",IF($Q27="分类页/集合页/商品页","不写文章",IF($Q27="暂不做","暂不做",$Q27)))</x:f>
      </x:c>
      <x:c r="S27" s="37"/>
      <x:c r="T27" s="37"/>
      <x:c r="U27" s="37"/>
      <x:c r="V27" s="37"/>
      <x:c r="W27" s="37"/>
      <x:c r="X27" s="37"/>
      <x:c r="Y27" s="37"/>
      <x:c r="Z27" s="37"/>
      <x:c r="AA27" s="37"/>
      <x:c r="AB27" s="58" t="str">
        <x:f>IF($A27="","",IF($D27&gt;=1000,15,IF($D27&gt;=300,12,IF($D27&gt;=100,9,IF($D27&gt;0,5,0)))))</x:f>
      </x:c>
      <x:c r="AC27" s="58" t="str">
        <x:f>IF($A27="","",(($I27+$J27)/10)*25)</x:f>
      </x:c>
      <x:c r="AD27" s="58" t="str">
        <x:f>IF($A27="","",(($K27+$L27)/10)*25)</x:f>
      </x:c>
      <x:c r="AE27" s="58" t="str">
        <x:f>IF($A27="","",$M27*5)</x:f>
      </x:c>
      <x:c r="AF27" s="58" t="str">
        <x:f>IF($A27="","",MAX(0,AB27+AC27+AD27-AE27))</x:f>
      </x:c>
      <x:c r="AG27" s="37" t="str">
        <x:f>IF($A27="","",IF(AF27&gt;=70,"P0",IF(AF27&gt;=55,"P1",IF(AF27&gt;=40,"P2","P3"))))</x:f>
      </x:c>
      <x:c r="AH27" s="38" t="str">
        <x:f>IF($A27="","",IF(AG27="P0","立即规划",IF(AG27="P1","进入本批内容日历",IF(AG27="P2","观察/做FAQ或长尾","暂不做或合并"))))</x:f>
      </x:c>
    </x:row>
    <x:row r="28">
      <x:c r="A28" s="36"/>
      <x:c r="B28" s="37"/>
      <x:c r="C28" s="37"/>
      <x:c r="D28" s="49"/>
      <x:c r="E28" s="52"/>
      <x:c r="F28" s="55"/>
      <x:c r="G28" s="55"/>
      <x:c r="H28" s="55"/>
      <x:c r="I28" s="55"/>
      <x:c r="J28" s="55"/>
      <x:c r="K28" s="55"/>
      <x:c r="L28" s="55"/>
      <x:c r="M28" s="55"/>
      <x:c r="N28" s="37" t="str">
        <x:f>IF($A28="","",IF(OR($G28="Transactional",$H28="商品/分类页",$H28="集合页",$H28="品牌页"),"主站",IF(OR($H28="博客/榜单",$H28="博客/对比",$G28="Commercial"),"博客站C-对比评测",IF($H28="博客/场景","博客站B-人群场景",IF(OR($H28="教程/FAQ",$H28="博客/指南",$G28="Informational"),"博客站A-知识教程","暂不做")))))</x:f>
      </x:c>
      <x:c r="O28" s="37"/>
      <x:c r="P28" s="37" t="str">
        <x:f>IF($A28="","",IF($O28&lt;&gt;"",$O28,$N28))</x:f>
      </x:c>
      <x:c r="Q28" s="37" t="str">
        <x:f>IF($A28="","",IF($P28="主站","分类页/集合页/商品页",IF($P28="博客站C-对比评测",IF($H28="博客/对比","对比文","购买指南"),IF($P28="博客站B-人群场景","场景解决方案",IF($P28="博客站A-知识教程",IF($H28="教程/FAQ","教程文","价值解释文"),"暂不做")))))</x:f>
      </x:c>
      <x:c r="R28" s="37" t="str">
        <x:f>IF($A28="","",IF($Q28="分类页/集合页/商品页","不写文章",IF($Q28="暂不做","暂不做",$Q28)))</x:f>
      </x:c>
      <x:c r="S28" s="37"/>
      <x:c r="T28" s="37"/>
      <x:c r="U28" s="37"/>
      <x:c r="V28" s="37"/>
      <x:c r="W28" s="37"/>
      <x:c r="X28" s="37"/>
      <x:c r="Y28" s="37"/>
      <x:c r="Z28" s="37"/>
      <x:c r="AA28" s="37"/>
      <x:c r="AB28" s="58" t="str">
        <x:f>IF($A28="","",IF($D28&gt;=1000,15,IF($D28&gt;=300,12,IF($D28&gt;=100,9,IF($D28&gt;0,5,0)))))</x:f>
      </x:c>
      <x:c r="AC28" s="58" t="str">
        <x:f>IF($A28="","",(($I28+$J28)/10)*25)</x:f>
      </x:c>
      <x:c r="AD28" s="58" t="str">
        <x:f>IF($A28="","",(($K28+$L28)/10)*25)</x:f>
      </x:c>
      <x:c r="AE28" s="58" t="str">
        <x:f>IF($A28="","",$M28*5)</x:f>
      </x:c>
      <x:c r="AF28" s="58" t="str">
        <x:f>IF($A28="","",MAX(0,AB28+AC28+AD28-AE28))</x:f>
      </x:c>
      <x:c r="AG28" s="37" t="str">
        <x:f>IF($A28="","",IF(AF28&gt;=70,"P0",IF(AF28&gt;=55,"P1",IF(AF28&gt;=40,"P2","P3"))))</x:f>
      </x:c>
      <x:c r="AH28" s="38" t="str">
        <x:f>IF($A28="","",IF(AG28="P0","立即规划",IF(AG28="P1","进入本批内容日历",IF(AG28="P2","观察/做FAQ或长尾","暂不做或合并"))))</x:f>
      </x:c>
    </x:row>
    <x:row r="29">
      <x:c r="A29" s="36"/>
      <x:c r="B29" s="37"/>
      <x:c r="C29" s="37"/>
      <x:c r="D29" s="49"/>
      <x:c r="E29" s="52"/>
      <x:c r="F29" s="55"/>
      <x:c r="G29" s="55"/>
      <x:c r="H29" s="55"/>
      <x:c r="I29" s="55"/>
      <x:c r="J29" s="55"/>
      <x:c r="K29" s="55"/>
      <x:c r="L29" s="55"/>
      <x:c r="M29" s="55"/>
      <x:c r="N29" s="37" t="str">
        <x:f>IF($A29="","",IF(OR($G29="Transactional",$H29="商品/分类页",$H29="集合页",$H29="品牌页"),"主站",IF(OR($H29="博客/榜单",$H29="博客/对比",$G29="Commercial"),"博客站C-对比评测",IF($H29="博客/场景","博客站B-人群场景",IF(OR($H29="教程/FAQ",$H29="博客/指南",$G29="Informational"),"博客站A-知识教程","暂不做")))))</x:f>
      </x:c>
      <x:c r="O29" s="37"/>
      <x:c r="P29" s="37" t="str">
        <x:f>IF($A29="","",IF($O29&lt;&gt;"",$O29,$N29))</x:f>
      </x:c>
      <x:c r="Q29" s="37" t="str">
        <x:f>IF($A29="","",IF($P29="主站","分类页/集合页/商品页",IF($P29="博客站C-对比评测",IF($H29="博客/对比","对比文","购买指南"),IF($P29="博客站B-人群场景","场景解决方案",IF($P29="博客站A-知识教程",IF($H29="教程/FAQ","教程文","价值解释文"),"暂不做")))))</x:f>
      </x:c>
      <x:c r="R29" s="37" t="str">
        <x:f>IF($A29="","",IF($Q29="分类页/集合页/商品页","不写文章",IF($Q29="暂不做","暂不做",$Q29)))</x:f>
      </x:c>
      <x:c r="S29" s="37"/>
      <x:c r="T29" s="37"/>
      <x:c r="U29" s="37"/>
      <x:c r="V29" s="37"/>
      <x:c r="W29" s="37"/>
      <x:c r="X29" s="37"/>
      <x:c r="Y29" s="37"/>
      <x:c r="Z29" s="37"/>
      <x:c r="AA29" s="37"/>
      <x:c r="AB29" s="58" t="str">
        <x:f>IF($A29="","",IF($D29&gt;=1000,15,IF($D29&gt;=300,12,IF($D29&gt;=100,9,IF($D29&gt;0,5,0)))))</x:f>
      </x:c>
      <x:c r="AC29" s="58" t="str">
        <x:f>IF($A29="","",(($I29+$J29)/10)*25)</x:f>
      </x:c>
      <x:c r="AD29" s="58" t="str">
        <x:f>IF($A29="","",(($K29+$L29)/10)*25)</x:f>
      </x:c>
      <x:c r="AE29" s="58" t="str">
        <x:f>IF($A29="","",$M29*5)</x:f>
      </x:c>
      <x:c r="AF29" s="58" t="str">
        <x:f>IF($A29="","",MAX(0,AB29+AC29+AD29-AE29))</x:f>
      </x:c>
      <x:c r="AG29" s="37" t="str">
        <x:f>IF($A29="","",IF(AF29&gt;=70,"P0",IF(AF29&gt;=55,"P1",IF(AF29&gt;=40,"P2","P3"))))</x:f>
      </x:c>
      <x:c r="AH29" s="38" t="str">
        <x:f>IF($A29="","",IF(AG29="P0","立即规划",IF(AG29="P1","进入本批内容日历",IF(AG29="P2","观察/做FAQ或长尾","暂不做或合并"))))</x:f>
      </x:c>
    </x:row>
    <x:row r="30">
      <x:c r="A30" s="36"/>
      <x:c r="B30" s="37"/>
      <x:c r="C30" s="37"/>
      <x:c r="D30" s="49"/>
      <x:c r="E30" s="52"/>
      <x:c r="F30" s="55"/>
      <x:c r="G30" s="55"/>
      <x:c r="H30" s="55"/>
      <x:c r="I30" s="55"/>
      <x:c r="J30" s="55"/>
      <x:c r="K30" s="55"/>
      <x:c r="L30" s="55"/>
      <x:c r="M30" s="55"/>
      <x:c r="N30" s="37" t="str">
        <x:f>IF($A30="","",IF(OR($G30="Transactional",$H30="商品/分类页",$H30="集合页",$H30="品牌页"),"主站",IF(OR($H30="博客/榜单",$H30="博客/对比",$G30="Commercial"),"博客站C-对比评测",IF($H30="博客/场景","博客站B-人群场景",IF(OR($H30="教程/FAQ",$H30="博客/指南",$G30="Informational"),"博客站A-知识教程","暂不做")))))</x:f>
      </x:c>
      <x:c r="O30" s="37"/>
      <x:c r="P30" s="37" t="str">
        <x:f>IF($A30="","",IF($O30&lt;&gt;"",$O30,$N30))</x:f>
      </x:c>
      <x:c r="Q30" s="37" t="str">
        <x:f>IF($A30="","",IF($P30="主站","分类页/集合页/商品页",IF($P30="博客站C-对比评测",IF($H30="博客/对比","对比文","购买指南"),IF($P30="博客站B-人群场景","场景解决方案",IF($P30="博客站A-知识教程",IF($H30="教程/FAQ","教程文","价值解释文"),"暂不做")))))</x:f>
      </x:c>
      <x:c r="R30" s="37" t="str">
        <x:f>IF($A30="","",IF($Q30="分类页/集合页/商品页","不写文章",IF($Q30="暂不做","暂不做",$Q30)))</x:f>
      </x:c>
      <x:c r="S30" s="37"/>
      <x:c r="T30" s="37"/>
      <x:c r="U30" s="37"/>
      <x:c r="V30" s="37"/>
      <x:c r="W30" s="37"/>
      <x:c r="X30" s="37"/>
      <x:c r="Y30" s="37"/>
      <x:c r="Z30" s="37"/>
      <x:c r="AA30" s="37"/>
      <x:c r="AB30" s="58" t="str">
        <x:f>IF($A30="","",IF($D30&gt;=1000,15,IF($D30&gt;=300,12,IF($D30&gt;=100,9,IF($D30&gt;0,5,0)))))</x:f>
      </x:c>
      <x:c r="AC30" s="58" t="str">
        <x:f>IF($A30="","",(($I30+$J30)/10)*25)</x:f>
      </x:c>
      <x:c r="AD30" s="58" t="str">
        <x:f>IF($A30="","",(($K30+$L30)/10)*25)</x:f>
      </x:c>
      <x:c r="AE30" s="58" t="str">
        <x:f>IF($A30="","",$M30*5)</x:f>
      </x:c>
      <x:c r="AF30" s="58" t="str">
        <x:f>IF($A30="","",MAX(0,AB30+AC30+AD30-AE30))</x:f>
      </x:c>
      <x:c r="AG30" s="37" t="str">
        <x:f>IF($A30="","",IF(AF30&gt;=70,"P0",IF(AF30&gt;=55,"P1",IF(AF30&gt;=40,"P2","P3"))))</x:f>
      </x:c>
      <x:c r="AH30" s="38" t="str">
        <x:f>IF($A30="","",IF(AG30="P0","立即规划",IF(AG30="P1","进入本批内容日历",IF(AG30="P2","观察/做FAQ或长尾","暂不做或合并"))))</x:f>
      </x:c>
    </x:row>
    <x:row r="31">
      <x:c r="A31" s="36"/>
      <x:c r="B31" s="37"/>
      <x:c r="C31" s="37"/>
      <x:c r="D31" s="49"/>
      <x:c r="E31" s="52"/>
      <x:c r="F31" s="55"/>
      <x:c r="G31" s="55"/>
      <x:c r="H31" s="55"/>
      <x:c r="I31" s="55"/>
      <x:c r="J31" s="55"/>
      <x:c r="K31" s="55"/>
      <x:c r="L31" s="55"/>
      <x:c r="M31" s="55"/>
      <x:c r="N31" s="37" t="str">
        <x:f>IF($A31="","",IF(OR($G31="Transactional",$H31="商品/分类页",$H31="集合页",$H31="品牌页"),"主站",IF(OR($H31="博客/榜单",$H31="博客/对比",$G31="Commercial"),"博客站C-对比评测",IF($H31="博客/场景","博客站B-人群场景",IF(OR($H31="教程/FAQ",$H31="博客/指南",$G31="Informational"),"博客站A-知识教程","暂不做")))))</x:f>
      </x:c>
      <x:c r="O31" s="37"/>
      <x:c r="P31" s="37" t="str">
        <x:f>IF($A31="","",IF($O31&lt;&gt;"",$O31,$N31))</x:f>
      </x:c>
      <x:c r="Q31" s="37" t="str">
        <x:f>IF($A31="","",IF($P31="主站","分类页/集合页/商品页",IF($P31="博客站C-对比评测",IF($H31="博客/对比","对比文","购买指南"),IF($P31="博客站B-人群场景","场景解决方案",IF($P31="博客站A-知识教程",IF($H31="教程/FAQ","教程文","价值解释文"),"暂不做")))))</x:f>
      </x:c>
      <x:c r="R31" s="37" t="str">
        <x:f>IF($A31="","",IF($Q31="分类页/集合页/商品页","不写文章",IF($Q31="暂不做","暂不做",$Q31)))</x:f>
      </x:c>
      <x:c r="S31" s="37"/>
      <x:c r="T31" s="37"/>
      <x:c r="U31" s="37"/>
      <x:c r="V31" s="37"/>
      <x:c r="W31" s="37"/>
      <x:c r="X31" s="37"/>
      <x:c r="Y31" s="37"/>
      <x:c r="Z31" s="37"/>
      <x:c r="AA31" s="37"/>
      <x:c r="AB31" s="58" t="str">
        <x:f>IF($A31="","",IF($D31&gt;=1000,15,IF($D31&gt;=300,12,IF($D31&gt;=100,9,IF($D31&gt;0,5,0)))))</x:f>
      </x:c>
      <x:c r="AC31" s="58" t="str">
        <x:f>IF($A31="","",(($I31+$J31)/10)*25)</x:f>
      </x:c>
      <x:c r="AD31" s="58" t="str">
        <x:f>IF($A31="","",(($K31+$L31)/10)*25)</x:f>
      </x:c>
      <x:c r="AE31" s="58" t="str">
        <x:f>IF($A31="","",$M31*5)</x:f>
      </x:c>
      <x:c r="AF31" s="58" t="str">
        <x:f>IF($A31="","",MAX(0,AB31+AC31+AD31-AE31))</x:f>
      </x:c>
      <x:c r="AG31" s="37" t="str">
        <x:f>IF($A31="","",IF(AF31&gt;=70,"P0",IF(AF31&gt;=55,"P1",IF(AF31&gt;=40,"P2","P3"))))</x:f>
      </x:c>
      <x:c r="AH31" s="38" t="str">
        <x:f>IF($A31="","",IF(AG31="P0","立即规划",IF(AG31="P1","进入本批内容日历",IF(AG31="P2","观察/做FAQ或长尾","暂不做或合并"))))</x:f>
      </x:c>
    </x:row>
    <x:row r="32">
      <x:c r="A32" s="36"/>
      <x:c r="B32" s="37"/>
      <x:c r="C32" s="37"/>
      <x:c r="D32" s="49"/>
      <x:c r="E32" s="52"/>
      <x:c r="F32" s="55"/>
      <x:c r="G32" s="55"/>
      <x:c r="H32" s="55"/>
      <x:c r="I32" s="55"/>
      <x:c r="J32" s="55"/>
      <x:c r="K32" s="55"/>
      <x:c r="L32" s="55"/>
      <x:c r="M32" s="55"/>
      <x:c r="N32" s="37" t="str">
        <x:f>IF($A32="","",IF(OR($G32="Transactional",$H32="商品/分类页",$H32="集合页",$H32="品牌页"),"主站",IF(OR($H32="博客/榜单",$H32="博客/对比",$G32="Commercial"),"博客站C-对比评测",IF($H32="博客/场景","博客站B-人群场景",IF(OR($H32="教程/FAQ",$H32="博客/指南",$G32="Informational"),"博客站A-知识教程","暂不做")))))</x:f>
      </x:c>
      <x:c r="O32" s="37"/>
      <x:c r="P32" s="37" t="str">
        <x:f>IF($A32="","",IF($O32&lt;&gt;"",$O32,$N32))</x:f>
      </x:c>
      <x:c r="Q32" s="37" t="str">
        <x:f>IF($A32="","",IF($P32="主站","分类页/集合页/商品页",IF($P32="博客站C-对比评测",IF($H32="博客/对比","对比文","购买指南"),IF($P32="博客站B-人群场景","场景解决方案",IF($P32="博客站A-知识教程",IF($H32="教程/FAQ","教程文","价值解释文"),"暂不做")))))</x:f>
      </x:c>
      <x:c r="R32" s="37" t="str">
        <x:f>IF($A32="","",IF($Q32="分类页/集合页/商品页","不写文章",IF($Q32="暂不做","暂不做",$Q32)))</x:f>
      </x:c>
      <x:c r="S32" s="37"/>
      <x:c r="T32" s="37"/>
      <x:c r="U32" s="37"/>
      <x:c r="V32" s="37"/>
      <x:c r="W32" s="37"/>
      <x:c r="X32" s="37"/>
      <x:c r="Y32" s="37"/>
      <x:c r="Z32" s="37"/>
      <x:c r="AA32" s="37"/>
      <x:c r="AB32" s="58" t="str">
        <x:f>IF($A32="","",IF($D32&gt;=1000,15,IF($D32&gt;=300,12,IF($D32&gt;=100,9,IF($D32&gt;0,5,0)))))</x:f>
      </x:c>
      <x:c r="AC32" s="58" t="str">
        <x:f>IF($A32="","",(($I32+$J32)/10)*25)</x:f>
      </x:c>
      <x:c r="AD32" s="58" t="str">
        <x:f>IF($A32="","",(($K32+$L32)/10)*25)</x:f>
      </x:c>
      <x:c r="AE32" s="58" t="str">
        <x:f>IF($A32="","",$M32*5)</x:f>
      </x:c>
      <x:c r="AF32" s="58" t="str">
        <x:f>IF($A32="","",MAX(0,AB32+AC32+AD32-AE32))</x:f>
      </x:c>
      <x:c r="AG32" s="37" t="str">
        <x:f>IF($A32="","",IF(AF32&gt;=70,"P0",IF(AF32&gt;=55,"P1",IF(AF32&gt;=40,"P2","P3"))))</x:f>
      </x:c>
      <x:c r="AH32" s="38" t="str">
        <x:f>IF($A32="","",IF(AG32="P0","立即规划",IF(AG32="P1","进入本批内容日历",IF(AG32="P2","观察/做FAQ或长尾","暂不做或合并"))))</x:f>
      </x:c>
    </x:row>
    <x:row r="33">
      <x:c r="A33" s="36"/>
      <x:c r="B33" s="37"/>
      <x:c r="C33" s="37"/>
      <x:c r="D33" s="49"/>
      <x:c r="E33" s="52"/>
      <x:c r="F33" s="55"/>
      <x:c r="G33" s="55"/>
      <x:c r="H33" s="55"/>
      <x:c r="I33" s="55"/>
      <x:c r="J33" s="55"/>
      <x:c r="K33" s="55"/>
      <x:c r="L33" s="55"/>
      <x:c r="M33" s="55"/>
      <x:c r="N33" s="37" t="str">
        <x:f>IF($A33="","",IF(OR($G33="Transactional",$H33="商品/分类页",$H33="集合页",$H33="品牌页"),"主站",IF(OR($H33="博客/榜单",$H33="博客/对比",$G33="Commercial"),"博客站C-对比评测",IF($H33="博客/场景","博客站B-人群场景",IF(OR($H33="教程/FAQ",$H33="博客/指南",$G33="Informational"),"博客站A-知识教程","暂不做")))))</x:f>
      </x:c>
      <x:c r="O33" s="37"/>
      <x:c r="P33" s="37" t="str">
        <x:f>IF($A33="","",IF($O33&lt;&gt;"",$O33,$N33))</x:f>
      </x:c>
      <x:c r="Q33" s="37" t="str">
        <x:f>IF($A33="","",IF($P33="主站","分类页/集合页/商品页",IF($P33="博客站C-对比评测",IF($H33="博客/对比","对比文","购买指南"),IF($P33="博客站B-人群场景","场景解决方案",IF($P33="博客站A-知识教程",IF($H33="教程/FAQ","教程文","价值解释文"),"暂不做")))))</x:f>
      </x:c>
      <x:c r="R33" s="37" t="str">
        <x:f>IF($A33="","",IF($Q33="分类页/集合页/商品页","不写文章",IF($Q33="暂不做","暂不做",$Q33)))</x:f>
      </x:c>
      <x:c r="S33" s="37"/>
      <x:c r="T33" s="37"/>
      <x:c r="U33" s="37"/>
      <x:c r="V33" s="37"/>
      <x:c r="W33" s="37"/>
      <x:c r="X33" s="37"/>
      <x:c r="Y33" s="37"/>
      <x:c r="Z33" s="37"/>
      <x:c r="AA33" s="37"/>
      <x:c r="AB33" s="58" t="str">
        <x:f>IF($A33="","",IF($D33&gt;=1000,15,IF($D33&gt;=300,12,IF($D33&gt;=100,9,IF($D33&gt;0,5,0)))))</x:f>
      </x:c>
      <x:c r="AC33" s="58" t="str">
        <x:f>IF($A33="","",(($I33+$J33)/10)*25)</x:f>
      </x:c>
      <x:c r="AD33" s="58" t="str">
        <x:f>IF($A33="","",(($K33+$L33)/10)*25)</x:f>
      </x:c>
      <x:c r="AE33" s="58" t="str">
        <x:f>IF($A33="","",$M33*5)</x:f>
      </x:c>
      <x:c r="AF33" s="58" t="str">
        <x:f>IF($A33="","",MAX(0,AB33+AC33+AD33-AE33))</x:f>
      </x:c>
      <x:c r="AG33" s="37" t="str">
        <x:f>IF($A33="","",IF(AF33&gt;=70,"P0",IF(AF33&gt;=55,"P1",IF(AF33&gt;=40,"P2","P3"))))</x:f>
      </x:c>
      <x:c r="AH33" s="38" t="str">
        <x:f>IF($A33="","",IF(AG33="P0","立即规划",IF(AG33="P1","进入本批内容日历",IF(AG33="P2","观察/做FAQ或长尾","暂不做或合并"))))</x:f>
      </x:c>
    </x:row>
    <x:row r="34">
      <x:c r="A34" s="36"/>
      <x:c r="B34" s="37"/>
      <x:c r="C34" s="37"/>
      <x:c r="D34" s="49"/>
      <x:c r="E34" s="52"/>
      <x:c r="F34" s="55"/>
      <x:c r="G34" s="55"/>
      <x:c r="H34" s="55"/>
      <x:c r="I34" s="55"/>
      <x:c r="J34" s="55"/>
      <x:c r="K34" s="55"/>
      <x:c r="L34" s="55"/>
      <x:c r="M34" s="55"/>
      <x:c r="N34" s="37" t="str">
        <x:f>IF($A34="","",IF(OR($G34="Transactional",$H34="商品/分类页",$H34="集合页",$H34="品牌页"),"主站",IF(OR($H34="博客/榜单",$H34="博客/对比",$G34="Commercial"),"博客站C-对比评测",IF($H34="博客/场景","博客站B-人群场景",IF(OR($H34="教程/FAQ",$H34="博客/指南",$G34="Informational"),"博客站A-知识教程","暂不做")))))</x:f>
      </x:c>
      <x:c r="O34" s="37"/>
      <x:c r="P34" s="37" t="str">
        <x:f>IF($A34="","",IF($O34&lt;&gt;"",$O34,$N34))</x:f>
      </x:c>
      <x:c r="Q34" s="37" t="str">
        <x:f>IF($A34="","",IF($P34="主站","分类页/集合页/商品页",IF($P34="博客站C-对比评测",IF($H34="博客/对比","对比文","购买指南"),IF($P34="博客站B-人群场景","场景解决方案",IF($P34="博客站A-知识教程",IF($H34="教程/FAQ","教程文","价值解释文"),"暂不做")))))</x:f>
      </x:c>
      <x:c r="R34" s="37" t="str">
        <x:f>IF($A34="","",IF($Q34="分类页/集合页/商品页","不写文章",IF($Q34="暂不做","暂不做",$Q34)))</x:f>
      </x:c>
      <x:c r="S34" s="37"/>
      <x:c r="T34" s="37"/>
      <x:c r="U34" s="37"/>
      <x:c r="V34" s="37"/>
      <x:c r="W34" s="37"/>
      <x:c r="X34" s="37"/>
      <x:c r="Y34" s="37"/>
      <x:c r="Z34" s="37"/>
      <x:c r="AA34" s="37"/>
      <x:c r="AB34" s="58" t="str">
        <x:f>IF($A34="","",IF($D34&gt;=1000,15,IF($D34&gt;=300,12,IF($D34&gt;=100,9,IF($D34&gt;0,5,0)))))</x:f>
      </x:c>
      <x:c r="AC34" s="58" t="str">
        <x:f>IF($A34="","",(($I34+$J34)/10)*25)</x:f>
      </x:c>
      <x:c r="AD34" s="58" t="str">
        <x:f>IF($A34="","",(($K34+$L34)/10)*25)</x:f>
      </x:c>
      <x:c r="AE34" s="58" t="str">
        <x:f>IF($A34="","",$M34*5)</x:f>
      </x:c>
      <x:c r="AF34" s="58" t="str">
        <x:f>IF($A34="","",MAX(0,AB34+AC34+AD34-AE34))</x:f>
      </x:c>
      <x:c r="AG34" s="37" t="str">
        <x:f>IF($A34="","",IF(AF34&gt;=70,"P0",IF(AF34&gt;=55,"P1",IF(AF34&gt;=40,"P2","P3"))))</x:f>
      </x:c>
      <x:c r="AH34" s="38" t="str">
        <x:f>IF($A34="","",IF(AG34="P0","立即规划",IF(AG34="P1","进入本批内容日历",IF(AG34="P2","观察/做FAQ或长尾","暂不做或合并"))))</x:f>
      </x:c>
    </x:row>
    <x:row r="35">
      <x:c r="A35" s="36"/>
      <x:c r="B35" s="37"/>
      <x:c r="C35" s="37"/>
      <x:c r="D35" s="49"/>
      <x:c r="E35" s="52"/>
      <x:c r="F35" s="55"/>
      <x:c r="G35" s="55"/>
      <x:c r="H35" s="55"/>
      <x:c r="I35" s="55"/>
      <x:c r="J35" s="55"/>
      <x:c r="K35" s="55"/>
      <x:c r="L35" s="55"/>
      <x:c r="M35" s="55"/>
      <x:c r="N35" s="37" t="str">
        <x:f>IF($A35="","",IF(OR($G35="Transactional",$H35="商品/分类页",$H35="集合页",$H35="品牌页"),"主站",IF(OR($H35="博客/榜单",$H35="博客/对比",$G35="Commercial"),"博客站C-对比评测",IF($H35="博客/场景","博客站B-人群场景",IF(OR($H35="教程/FAQ",$H35="博客/指南",$G35="Informational"),"博客站A-知识教程","暂不做")))))</x:f>
      </x:c>
      <x:c r="O35" s="37"/>
      <x:c r="P35" s="37" t="str">
        <x:f>IF($A35="","",IF($O35&lt;&gt;"",$O35,$N35))</x:f>
      </x:c>
      <x:c r="Q35" s="37" t="str">
        <x:f>IF($A35="","",IF($P35="主站","分类页/集合页/商品页",IF($P35="博客站C-对比评测",IF($H35="博客/对比","对比文","购买指南"),IF($P35="博客站B-人群场景","场景解决方案",IF($P35="博客站A-知识教程",IF($H35="教程/FAQ","教程文","价值解释文"),"暂不做")))))</x:f>
      </x:c>
      <x:c r="R35" s="37" t="str">
        <x:f>IF($A35="","",IF($Q35="分类页/集合页/商品页","不写文章",IF($Q35="暂不做","暂不做",$Q35)))</x:f>
      </x:c>
      <x:c r="S35" s="37"/>
      <x:c r="T35" s="37"/>
      <x:c r="U35" s="37"/>
      <x:c r="V35" s="37"/>
      <x:c r="W35" s="37"/>
      <x:c r="X35" s="37"/>
      <x:c r="Y35" s="37"/>
      <x:c r="Z35" s="37"/>
      <x:c r="AA35" s="37"/>
      <x:c r="AB35" s="58" t="str">
        <x:f>IF($A35="","",IF($D35&gt;=1000,15,IF($D35&gt;=300,12,IF($D35&gt;=100,9,IF($D35&gt;0,5,0)))))</x:f>
      </x:c>
      <x:c r="AC35" s="58" t="str">
        <x:f>IF($A35="","",(($I35+$J35)/10)*25)</x:f>
      </x:c>
      <x:c r="AD35" s="58" t="str">
        <x:f>IF($A35="","",(($K35+$L35)/10)*25)</x:f>
      </x:c>
      <x:c r="AE35" s="58" t="str">
        <x:f>IF($A35="","",$M35*5)</x:f>
      </x:c>
      <x:c r="AF35" s="58" t="str">
        <x:f>IF($A35="","",MAX(0,AB35+AC35+AD35-AE35))</x:f>
      </x:c>
      <x:c r="AG35" s="37" t="str">
        <x:f>IF($A35="","",IF(AF35&gt;=70,"P0",IF(AF35&gt;=55,"P1",IF(AF35&gt;=40,"P2","P3"))))</x:f>
      </x:c>
      <x:c r="AH35" s="38" t="str">
        <x:f>IF($A35="","",IF(AG35="P0","立即规划",IF(AG35="P1","进入本批内容日历",IF(AG35="P2","观察/做FAQ或长尾","暂不做或合并"))))</x:f>
      </x:c>
    </x:row>
    <x:row r="36">
      <x:c r="A36" s="36"/>
      <x:c r="B36" s="37"/>
      <x:c r="C36" s="37"/>
      <x:c r="D36" s="49"/>
      <x:c r="E36" s="52"/>
      <x:c r="F36" s="55"/>
      <x:c r="G36" s="55"/>
      <x:c r="H36" s="55"/>
      <x:c r="I36" s="55"/>
      <x:c r="J36" s="55"/>
      <x:c r="K36" s="55"/>
      <x:c r="L36" s="55"/>
      <x:c r="M36" s="55"/>
      <x:c r="N36" s="37" t="str">
        <x:f>IF($A36="","",IF(OR($G36="Transactional",$H36="商品/分类页",$H36="集合页",$H36="品牌页"),"主站",IF(OR($H36="博客/榜单",$H36="博客/对比",$G36="Commercial"),"博客站C-对比评测",IF($H36="博客/场景","博客站B-人群场景",IF(OR($H36="教程/FAQ",$H36="博客/指南",$G36="Informational"),"博客站A-知识教程","暂不做")))))</x:f>
      </x:c>
      <x:c r="O36" s="37"/>
      <x:c r="P36" s="37" t="str">
        <x:f>IF($A36="","",IF($O36&lt;&gt;"",$O36,$N36))</x:f>
      </x:c>
      <x:c r="Q36" s="37" t="str">
        <x:f>IF($A36="","",IF($P36="主站","分类页/集合页/商品页",IF($P36="博客站C-对比评测",IF($H36="博客/对比","对比文","购买指南"),IF($P36="博客站B-人群场景","场景解决方案",IF($P36="博客站A-知识教程",IF($H36="教程/FAQ","教程文","价值解释文"),"暂不做")))))</x:f>
      </x:c>
      <x:c r="R36" s="37" t="str">
        <x:f>IF($A36="","",IF($Q36="分类页/集合页/商品页","不写文章",IF($Q36="暂不做","暂不做",$Q36)))</x:f>
      </x:c>
      <x:c r="S36" s="37"/>
      <x:c r="T36" s="37"/>
      <x:c r="U36" s="37"/>
      <x:c r="V36" s="37"/>
      <x:c r="W36" s="37"/>
      <x:c r="X36" s="37"/>
      <x:c r="Y36" s="37"/>
      <x:c r="Z36" s="37"/>
      <x:c r="AA36" s="37"/>
      <x:c r="AB36" s="58" t="str">
        <x:f>IF($A36="","",IF($D36&gt;=1000,15,IF($D36&gt;=300,12,IF($D36&gt;=100,9,IF($D36&gt;0,5,0)))))</x:f>
      </x:c>
      <x:c r="AC36" s="58" t="str">
        <x:f>IF($A36="","",(($I36+$J36)/10)*25)</x:f>
      </x:c>
      <x:c r="AD36" s="58" t="str">
        <x:f>IF($A36="","",(($K36+$L36)/10)*25)</x:f>
      </x:c>
      <x:c r="AE36" s="58" t="str">
        <x:f>IF($A36="","",$M36*5)</x:f>
      </x:c>
      <x:c r="AF36" s="58" t="str">
        <x:f>IF($A36="","",MAX(0,AB36+AC36+AD36-AE36))</x:f>
      </x:c>
      <x:c r="AG36" s="37" t="str">
        <x:f>IF($A36="","",IF(AF36&gt;=70,"P0",IF(AF36&gt;=55,"P1",IF(AF36&gt;=40,"P2","P3"))))</x:f>
      </x:c>
      <x:c r="AH36" s="38" t="str">
        <x:f>IF($A36="","",IF(AG36="P0","立即规划",IF(AG36="P1","进入本批内容日历",IF(AG36="P2","观察/做FAQ或长尾","暂不做或合并"))))</x:f>
      </x:c>
    </x:row>
    <x:row r="37">
      <x:c r="A37" s="36"/>
      <x:c r="B37" s="37"/>
      <x:c r="C37" s="37"/>
      <x:c r="D37" s="49"/>
      <x:c r="E37" s="52"/>
      <x:c r="F37" s="55"/>
      <x:c r="G37" s="55"/>
      <x:c r="H37" s="55"/>
      <x:c r="I37" s="55"/>
      <x:c r="J37" s="55"/>
      <x:c r="K37" s="55"/>
      <x:c r="L37" s="55"/>
      <x:c r="M37" s="55"/>
      <x:c r="N37" s="37" t="str">
        <x:f>IF($A37="","",IF(OR($G37="Transactional",$H37="商品/分类页",$H37="集合页",$H37="品牌页"),"主站",IF(OR($H37="博客/榜单",$H37="博客/对比",$G37="Commercial"),"博客站C-对比评测",IF($H37="博客/场景","博客站B-人群场景",IF(OR($H37="教程/FAQ",$H37="博客/指南",$G37="Informational"),"博客站A-知识教程","暂不做")))))</x:f>
      </x:c>
      <x:c r="O37" s="37"/>
      <x:c r="P37" s="37" t="str">
        <x:f>IF($A37="","",IF($O37&lt;&gt;"",$O37,$N37))</x:f>
      </x:c>
      <x:c r="Q37" s="37" t="str">
        <x:f>IF($A37="","",IF($P37="主站","分类页/集合页/商品页",IF($P37="博客站C-对比评测",IF($H37="博客/对比","对比文","购买指南"),IF($P37="博客站B-人群场景","场景解决方案",IF($P37="博客站A-知识教程",IF($H37="教程/FAQ","教程文","价值解释文"),"暂不做")))))</x:f>
      </x:c>
      <x:c r="R37" s="37" t="str">
        <x:f>IF($A37="","",IF($Q37="分类页/集合页/商品页","不写文章",IF($Q37="暂不做","暂不做",$Q37)))</x:f>
      </x:c>
      <x:c r="S37" s="37"/>
      <x:c r="T37" s="37"/>
      <x:c r="U37" s="37"/>
      <x:c r="V37" s="37"/>
      <x:c r="W37" s="37"/>
      <x:c r="X37" s="37"/>
      <x:c r="Y37" s="37"/>
      <x:c r="Z37" s="37"/>
      <x:c r="AA37" s="37"/>
      <x:c r="AB37" s="58" t="str">
        <x:f>IF($A37="","",IF($D37&gt;=1000,15,IF($D37&gt;=300,12,IF($D37&gt;=100,9,IF($D37&gt;0,5,0)))))</x:f>
      </x:c>
      <x:c r="AC37" s="58" t="str">
        <x:f>IF($A37="","",(($I37+$J37)/10)*25)</x:f>
      </x:c>
      <x:c r="AD37" s="58" t="str">
        <x:f>IF($A37="","",(($K37+$L37)/10)*25)</x:f>
      </x:c>
      <x:c r="AE37" s="58" t="str">
        <x:f>IF($A37="","",$M37*5)</x:f>
      </x:c>
      <x:c r="AF37" s="58" t="str">
        <x:f>IF($A37="","",MAX(0,AB37+AC37+AD37-AE37))</x:f>
      </x:c>
      <x:c r="AG37" s="37" t="str">
        <x:f>IF($A37="","",IF(AF37&gt;=70,"P0",IF(AF37&gt;=55,"P1",IF(AF37&gt;=40,"P2","P3"))))</x:f>
      </x:c>
      <x:c r="AH37" s="38" t="str">
        <x:f>IF($A37="","",IF(AG37="P0","立即规划",IF(AG37="P1","进入本批内容日历",IF(AG37="P2","观察/做FAQ或长尾","暂不做或合并"))))</x:f>
      </x:c>
    </x:row>
    <x:row r="38">
      <x:c r="A38" s="36"/>
      <x:c r="B38" s="37"/>
      <x:c r="C38" s="37"/>
      <x:c r="D38" s="49"/>
      <x:c r="E38" s="52"/>
      <x:c r="F38" s="55"/>
      <x:c r="G38" s="55"/>
      <x:c r="H38" s="55"/>
      <x:c r="I38" s="55"/>
      <x:c r="J38" s="55"/>
      <x:c r="K38" s="55"/>
      <x:c r="L38" s="55"/>
      <x:c r="M38" s="55"/>
      <x:c r="N38" s="37" t="str">
        <x:f>IF($A38="","",IF(OR($G38="Transactional",$H38="商品/分类页",$H38="集合页",$H38="品牌页"),"主站",IF(OR($H38="博客/榜单",$H38="博客/对比",$G38="Commercial"),"博客站C-对比评测",IF($H38="博客/场景","博客站B-人群场景",IF(OR($H38="教程/FAQ",$H38="博客/指南",$G38="Informational"),"博客站A-知识教程","暂不做")))))</x:f>
      </x:c>
      <x:c r="O38" s="37"/>
      <x:c r="P38" s="37" t="str">
        <x:f>IF($A38="","",IF($O38&lt;&gt;"",$O38,$N38))</x:f>
      </x:c>
      <x:c r="Q38" s="37" t="str">
        <x:f>IF($A38="","",IF($P38="主站","分类页/集合页/商品页",IF($P38="博客站C-对比评测",IF($H38="博客/对比","对比文","购买指南"),IF($P38="博客站B-人群场景","场景解决方案",IF($P38="博客站A-知识教程",IF($H38="教程/FAQ","教程文","价值解释文"),"暂不做")))))</x:f>
      </x:c>
      <x:c r="R38" s="37" t="str">
        <x:f>IF($A38="","",IF($Q38="分类页/集合页/商品页","不写文章",IF($Q38="暂不做","暂不做",$Q38)))</x:f>
      </x:c>
      <x:c r="S38" s="37"/>
      <x:c r="T38" s="37"/>
      <x:c r="U38" s="37"/>
      <x:c r="V38" s="37"/>
      <x:c r="W38" s="37"/>
      <x:c r="X38" s="37"/>
      <x:c r="Y38" s="37"/>
      <x:c r="Z38" s="37"/>
      <x:c r="AA38" s="37"/>
      <x:c r="AB38" s="58" t="str">
        <x:f>IF($A38="","",IF($D38&gt;=1000,15,IF($D38&gt;=300,12,IF($D38&gt;=100,9,IF($D38&gt;0,5,0)))))</x:f>
      </x:c>
      <x:c r="AC38" s="58" t="str">
        <x:f>IF($A38="","",(($I38+$J38)/10)*25)</x:f>
      </x:c>
      <x:c r="AD38" s="58" t="str">
        <x:f>IF($A38="","",(($K38+$L38)/10)*25)</x:f>
      </x:c>
      <x:c r="AE38" s="58" t="str">
        <x:f>IF($A38="","",$M38*5)</x:f>
      </x:c>
      <x:c r="AF38" s="58" t="str">
        <x:f>IF($A38="","",MAX(0,AB38+AC38+AD38-AE38))</x:f>
      </x:c>
      <x:c r="AG38" s="37" t="str">
        <x:f>IF($A38="","",IF(AF38&gt;=70,"P0",IF(AF38&gt;=55,"P1",IF(AF38&gt;=40,"P2","P3"))))</x:f>
      </x:c>
      <x:c r="AH38" s="38" t="str">
        <x:f>IF($A38="","",IF(AG38="P0","立即规划",IF(AG38="P1","进入本批内容日历",IF(AG38="P2","观察/做FAQ或长尾","暂不做或合并"))))</x:f>
      </x:c>
    </x:row>
    <x:row r="39">
      <x:c r="A39" s="36"/>
      <x:c r="B39" s="37"/>
      <x:c r="C39" s="37"/>
      <x:c r="D39" s="49"/>
      <x:c r="E39" s="52"/>
      <x:c r="F39" s="55"/>
      <x:c r="G39" s="55"/>
      <x:c r="H39" s="55"/>
      <x:c r="I39" s="55"/>
      <x:c r="J39" s="55"/>
      <x:c r="K39" s="55"/>
      <x:c r="L39" s="55"/>
      <x:c r="M39" s="55"/>
      <x:c r="N39" s="37" t="str">
        <x:f>IF($A39="","",IF(OR($G39="Transactional",$H39="商品/分类页",$H39="集合页",$H39="品牌页"),"主站",IF(OR($H39="博客/榜单",$H39="博客/对比",$G39="Commercial"),"博客站C-对比评测",IF($H39="博客/场景","博客站B-人群场景",IF(OR($H39="教程/FAQ",$H39="博客/指南",$G39="Informational"),"博客站A-知识教程","暂不做")))))</x:f>
      </x:c>
      <x:c r="O39" s="37"/>
      <x:c r="P39" s="37" t="str">
        <x:f>IF($A39="","",IF($O39&lt;&gt;"",$O39,$N39))</x:f>
      </x:c>
      <x:c r="Q39" s="37" t="str">
        <x:f>IF($A39="","",IF($P39="主站","分类页/集合页/商品页",IF($P39="博客站C-对比评测",IF($H39="博客/对比","对比文","购买指南"),IF($P39="博客站B-人群场景","场景解决方案",IF($P39="博客站A-知识教程",IF($H39="教程/FAQ","教程文","价值解释文"),"暂不做")))))</x:f>
      </x:c>
      <x:c r="R39" s="37" t="str">
        <x:f>IF($A39="","",IF($Q39="分类页/集合页/商品页","不写文章",IF($Q39="暂不做","暂不做",$Q39)))</x:f>
      </x:c>
      <x:c r="S39" s="37"/>
      <x:c r="T39" s="37"/>
      <x:c r="U39" s="37"/>
      <x:c r="V39" s="37"/>
      <x:c r="W39" s="37"/>
      <x:c r="X39" s="37"/>
      <x:c r="Y39" s="37"/>
      <x:c r="Z39" s="37"/>
      <x:c r="AA39" s="37"/>
      <x:c r="AB39" s="58" t="str">
        <x:f>IF($A39="","",IF($D39&gt;=1000,15,IF($D39&gt;=300,12,IF($D39&gt;=100,9,IF($D39&gt;0,5,0)))))</x:f>
      </x:c>
      <x:c r="AC39" s="58" t="str">
        <x:f>IF($A39="","",(($I39+$J39)/10)*25)</x:f>
      </x:c>
      <x:c r="AD39" s="58" t="str">
        <x:f>IF($A39="","",(($K39+$L39)/10)*25)</x:f>
      </x:c>
      <x:c r="AE39" s="58" t="str">
        <x:f>IF($A39="","",$M39*5)</x:f>
      </x:c>
      <x:c r="AF39" s="58" t="str">
        <x:f>IF($A39="","",MAX(0,AB39+AC39+AD39-AE39))</x:f>
      </x:c>
      <x:c r="AG39" s="37" t="str">
        <x:f>IF($A39="","",IF(AF39&gt;=70,"P0",IF(AF39&gt;=55,"P1",IF(AF39&gt;=40,"P2","P3"))))</x:f>
      </x:c>
      <x:c r="AH39" s="38" t="str">
        <x:f>IF($A39="","",IF(AG39="P0","立即规划",IF(AG39="P1","进入本批内容日历",IF(AG39="P2","观察/做FAQ或长尾","暂不做或合并"))))</x:f>
      </x:c>
    </x:row>
    <x:row r="40">
      <x:c r="A40" s="36"/>
      <x:c r="B40" s="37"/>
      <x:c r="C40" s="37"/>
      <x:c r="D40" s="49"/>
      <x:c r="E40" s="52"/>
      <x:c r="F40" s="55"/>
      <x:c r="G40" s="55"/>
      <x:c r="H40" s="55"/>
      <x:c r="I40" s="55"/>
      <x:c r="J40" s="55"/>
      <x:c r="K40" s="55"/>
      <x:c r="L40" s="55"/>
      <x:c r="M40" s="55"/>
      <x:c r="N40" s="37" t="str">
        <x:f>IF($A40="","",IF(OR($G40="Transactional",$H40="商品/分类页",$H40="集合页",$H40="品牌页"),"主站",IF(OR($H40="博客/榜单",$H40="博客/对比",$G40="Commercial"),"博客站C-对比评测",IF($H40="博客/场景","博客站B-人群场景",IF(OR($H40="教程/FAQ",$H40="博客/指南",$G40="Informational"),"博客站A-知识教程","暂不做")))))</x:f>
      </x:c>
      <x:c r="O40" s="37"/>
      <x:c r="P40" s="37" t="str">
        <x:f>IF($A40="","",IF($O40&lt;&gt;"",$O40,$N40))</x:f>
      </x:c>
      <x:c r="Q40" s="37" t="str">
        <x:f>IF($A40="","",IF($P40="主站","分类页/集合页/商品页",IF($P40="博客站C-对比评测",IF($H40="博客/对比","对比文","购买指南"),IF($P40="博客站B-人群场景","场景解决方案",IF($P40="博客站A-知识教程",IF($H40="教程/FAQ","教程文","价值解释文"),"暂不做")))))</x:f>
      </x:c>
      <x:c r="R40" s="37" t="str">
        <x:f>IF($A40="","",IF($Q40="分类页/集合页/商品页","不写文章",IF($Q40="暂不做","暂不做",$Q40)))</x:f>
      </x:c>
      <x:c r="S40" s="37"/>
      <x:c r="T40" s="37"/>
      <x:c r="U40" s="37"/>
      <x:c r="V40" s="37"/>
      <x:c r="W40" s="37"/>
      <x:c r="X40" s="37"/>
      <x:c r="Y40" s="37"/>
      <x:c r="Z40" s="37"/>
      <x:c r="AA40" s="37"/>
      <x:c r="AB40" s="58" t="str">
        <x:f>IF($A40="","",IF($D40&gt;=1000,15,IF($D40&gt;=300,12,IF($D40&gt;=100,9,IF($D40&gt;0,5,0)))))</x:f>
      </x:c>
      <x:c r="AC40" s="58" t="str">
        <x:f>IF($A40="","",(($I40+$J40)/10)*25)</x:f>
      </x:c>
      <x:c r="AD40" s="58" t="str">
        <x:f>IF($A40="","",(($K40+$L40)/10)*25)</x:f>
      </x:c>
      <x:c r="AE40" s="58" t="str">
        <x:f>IF($A40="","",$M40*5)</x:f>
      </x:c>
      <x:c r="AF40" s="58" t="str">
        <x:f>IF($A40="","",MAX(0,AB40+AC40+AD40-AE40))</x:f>
      </x:c>
      <x:c r="AG40" s="37" t="str">
        <x:f>IF($A40="","",IF(AF40&gt;=70,"P0",IF(AF40&gt;=55,"P1",IF(AF40&gt;=40,"P2","P3"))))</x:f>
      </x:c>
      <x:c r="AH40" s="38" t="str">
        <x:f>IF($A40="","",IF(AG40="P0","立即规划",IF(AG40="P1","进入本批内容日历",IF(AG40="P2","观察/做FAQ或长尾","暂不做或合并"))))</x:f>
      </x:c>
    </x:row>
    <x:row r="41">
      <x:c r="A41" s="36"/>
      <x:c r="B41" s="37"/>
      <x:c r="C41" s="37"/>
      <x:c r="D41" s="49"/>
      <x:c r="E41" s="52"/>
      <x:c r="F41" s="55"/>
      <x:c r="G41" s="55"/>
      <x:c r="H41" s="55"/>
      <x:c r="I41" s="55"/>
      <x:c r="J41" s="55"/>
      <x:c r="K41" s="55"/>
      <x:c r="L41" s="55"/>
      <x:c r="M41" s="55"/>
      <x:c r="N41" s="37" t="str">
        <x:f>IF($A41="","",IF(OR($G41="Transactional",$H41="商品/分类页",$H41="集合页",$H41="品牌页"),"主站",IF(OR($H41="博客/榜单",$H41="博客/对比",$G41="Commercial"),"博客站C-对比评测",IF($H41="博客/场景","博客站B-人群场景",IF(OR($H41="教程/FAQ",$H41="博客/指南",$G41="Informational"),"博客站A-知识教程","暂不做")))))</x:f>
      </x:c>
      <x:c r="O41" s="37"/>
      <x:c r="P41" s="37" t="str">
        <x:f>IF($A41="","",IF($O41&lt;&gt;"",$O41,$N41))</x:f>
      </x:c>
      <x:c r="Q41" s="37" t="str">
        <x:f>IF($A41="","",IF($P41="主站","分类页/集合页/商品页",IF($P41="博客站C-对比评测",IF($H41="博客/对比","对比文","购买指南"),IF($P41="博客站B-人群场景","场景解决方案",IF($P41="博客站A-知识教程",IF($H41="教程/FAQ","教程文","价值解释文"),"暂不做")))))</x:f>
      </x:c>
      <x:c r="R41" s="37" t="str">
        <x:f>IF($A41="","",IF($Q41="分类页/集合页/商品页","不写文章",IF($Q41="暂不做","暂不做",$Q41)))</x:f>
      </x:c>
      <x:c r="S41" s="37"/>
      <x:c r="T41" s="37"/>
      <x:c r="U41" s="37"/>
      <x:c r="V41" s="37"/>
      <x:c r="W41" s="37"/>
      <x:c r="X41" s="37"/>
      <x:c r="Y41" s="37"/>
      <x:c r="Z41" s="37"/>
      <x:c r="AA41" s="37"/>
      <x:c r="AB41" s="58" t="str">
        <x:f>IF($A41="","",IF($D41&gt;=1000,15,IF($D41&gt;=300,12,IF($D41&gt;=100,9,IF($D41&gt;0,5,0)))))</x:f>
      </x:c>
      <x:c r="AC41" s="58" t="str">
        <x:f>IF($A41="","",(($I41+$J41)/10)*25)</x:f>
      </x:c>
      <x:c r="AD41" s="58" t="str">
        <x:f>IF($A41="","",(($K41+$L41)/10)*25)</x:f>
      </x:c>
      <x:c r="AE41" s="58" t="str">
        <x:f>IF($A41="","",$M41*5)</x:f>
      </x:c>
      <x:c r="AF41" s="58" t="str">
        <x:f>IF($A41="","",MAX(0,AB41+AC41+AD41-AE41))</x:f>
      </x:c>
      <x:c r="AG41" s="37" t="str">
        <x:f>IF($A41="","",IF(AF41&gt;=70,"P0",IF(AF41&gt;=55,"P1",IF(AF41&gt;=40,"P2","P3"))))</x:f>
      </x:c>
      <x:c r="AH41" s="38" t="str">
        <x:f>IF($A41="","",IF(AG41="P0","立即规划",IF(AG41="P1","进入本批内容日历",IF(AG41="P2","观察/做FAQ或长尾","暂不做或合并"))))</x:f>
      </x:c>
    </x:row>
    <x:row r="42">
      <x:c r="A42" s="36"/>
      <x:c r="B42" s="37"/>
      <x:c r="C42" s="37"/>
      <x:c r="D42" s="49"/>
      <x:c r="E42" s="52"/>
      <x:c r="F42" s="55"/>
      <x:c r="G42" s="55"/>
      <x:c r="H42" s="55"/>
      <x:c r="I42" s="55"/>
      <x:c r="J42" s="55"/>
      <x:c r="K42" s="55"/>
      <x:c r="L42" s="55"/>
      <x:c r="M42" s="55"/>
      <x:c r="N42" s="37" t="str">
        <x:f>IF($A42="","",IF(OR($G42="Transactional",$H42="商品/分类页",$H42="集合页",$H42="品牌页"),"主站",IF(OR($H42="博客/榜单",$H42="博客/对比",$G42="Commercial"),"博客站C-对比评测",IF($H42="博客/场景","博客站B-人群场景",IF(OR($H42="教程/FAQ",$H42="博客/指南",$G42="Informational"),"博客站A-知识教程","暂不做")))))</x:f>
      </x:c>
      <x:c r="O42" s="37"/>
      <x:c r="P42" s="37" t="str">
        <x:f>IF($A42="","",IF($O42&lt;&gt;"",$O42,$N42))</x:f>
      </x:c>
      <x:c r="Q42" s="37" t="str">
        <x:f>IF($A42="","",IF($P42="主站","分类页/集合页/商品页",IF($P42="博客站C-对比评测",IF($H42="博客/对比","对比文","购买指南"),IF($P42="博客站B-人群场景","场景解决方案",IF($P42="博客站A-知识教程",IF($H42="教程/FAQ","教程文","价值解释文"),"暂不做")))))</x:f>
      </x:c>
      <x:c r="R42" s="37" t="str">
        <x:f>IF($A42="","",IF($Q42="分类页/集合页/商品页","不写文章",IF($Q42="暂不做","暂不做",$Q42)))</x:f>
      </x:c>
      <x:c r="S42" s="37"/>
      <x:c r="T42" s="37"/>
      <x:c r="U42" s="37"/>
      <x:c r="V42" s="37"/>
      <x:c r="W42" s="37"/>
      <x:c r="X42" s="37"/>
      <x:c r="Y42" s="37"/>
      <x:c r="Z42" s="37"/>
      <x:c r="AA42" s="37"/>
      <x:c r="AB42" s="58" t="str">
        <x:f>IF($A42="","",IF($D42&gt;=1000,15,IF($D42&gt;=300,12,IF($D42&gt;=100,9,IF($D42&gt;0,5,0)))))</x:f>
      </x:c>
      <x:c r="AC42" s="58" t="str">
        <x:f>IF($A42="","",(($I42+$J42)/10)*25)</x:f>
      </x:c>
      <x:c r="AD42" s="58" t="str">
        <x:f>IF($A42="","",(($K42+$L42)/10)*25)</x:f>
      </x:c>
      <x:c r="AE42" s="58" t="str">
        <x:f>IF($A42="","",$M42*5)</x:f>
      </x:c>
      <x:c r="AF42" s="58" t="str">
        <x:f>IF($A42="","",MAX(0,AB42+AC42+AD42-AE42))</x:f>
      </x:c>
      <x:c r="AG42" s="37" t="str">
        <x:f>IF($A42="","",IF(AF42&gt;=70,"P0",IF(AF42&gt;=55,"P1",IF(AF42&gt;=40,"P2","P3"))))</x:f>
      </x:c>
      <x:c r="AH42" s="38" t="str">
        <x:f>IF($A42="","",IF(AG42="P0","立即规划",IF(AG42="P1","进入本批内容日历",IF(AG42="P2","观察/做FAQ或长尾","暂不做或合并"))))</x:f>
      </x:c>
    </x:row>
    <x:row r="43">
      <x:c r="A43" s="36"/>
      <x:c r="B43" s="37"/>
      <x:c r="C43" s="37"/>
      <x:c r="D43" s="49"/>
      <x:c r="E43" s="52"/>
      <x:c r="F43" s="55"/>
      <x:c r="G43" s="55"/>
      <x:c r="H43" s="55"/>
      <x:c r="I43" s="55"/>
      <x:c r="J43" s="55"/>
      <x:c r="K43" s="55"/>
      <x:c r="L43" s="55"/>
      <x:c r="M43" s="55"/>
      <x:c r="N43" s="37" t="str">
        <x:f>IF($A43="","",IF(OR($G43="Transactional",$H43="商品/分类页",$H43="集合页",$H43="品牌页"),"主站",IF(OR($H43="博客/榜单",$H43="博客/对比",$G43="Commercial"),"博客站C-对比评测",IF($H43="博客/场景","博客站B-人群场景",IF(OR($H43="教程/FAQ",$H43="博客/指南",$G43="Informational"),"博客站A-知识教程","暂不做")))))</x:f>
      </x:c>
      <x:c r="O43" s="37"/>
      <x:c r="P43" s="37" t="str">
        <x:f>IF($A43="","",IF($O43&lt;&gt;"",$O43,$N43))</x:f>
      </x:c>
      <x:c r="Q43" s="37" t="str">
        <x:f>IF($A43="","",IF($P43="主站","分类页/集合页/商品页",IF($P43="博客站C-对比评测",IF($H43="博客/对比","对比文","购买指南"),IF($P43="博客站B-人群场景","场景解决方案",IF($P43="博客站A-知识教程",IF($H43="教程/FAQ","教程文","价值解释文"),"暂不做")))))</x:f>
      </x:c>
      <x:c r="R43" s="37" t="str">
        <x:f>IF($A43="","",IF($Q43="分类页/集合页/商品页","不写文章",IF($Q43="暂不做","暂不做",$Q43)))</x:f>
      </x:c>
      <x:c r="S43" s="37"/>
      <x:c r="T43" s="37"/>
      <x:c r="U43" s="37"/>
      <x:c r="V43" s="37"/>
      <x:c r="W43" s="37"/>
      <x:c r="X43" s="37"/>
      <x:c r="Y43" s="37"/>
      <x:c r="Z43" s="37"/>
      <x:c r="AA43" s="37"/>
      <x:c r="AB43" s="58" t="str">
        <x:f>IF($A43="","",IF($D43&gt;=1000,15,IF($D43&gt;=300,12,IF($D43&gt;=100,9,IF($D43&gt;0,5,0)))))</x:f>
      </x:c>
      <x:c r="AC43" s="58" t="str">
        <x:f>IF($A43="","",(($I43+$J43)/10)*25)</x:f>
      </x:c>
      <x:c r="AD43" s="58" t="str">
        <x:f>IF($A43="","",(($K43+$L43)/10)*25)</x:f>
      </x:c>
      <x:c r="AE43" s="58" t="str">
        <x:f>IF($A43="","",$M43*5)</x:f>
      </x:c>
      <x:c r="AF43" s="58" t="str">
        <x:f>IF($A43="","",MAX(0,AB43+AC43+AD43-AE43))</x:f>
      </x:c>
      <x:c r="AG43" s="37" t="str">
        <x:f>IF($A43="","",IF(AF43&gt;=70,"P0",IF(AF43&gt;=55,"P1",IF(AF43&gt;=40,"P2","P3"))))</x:f>
      </x:c>
      <x:c r="AH43" s="38" t="str">
        <x:f>IF($A43="","",IF(AG43="P0","立即规划",IF(AG43="P1","进入本批内容日历",IF(AG43="P2","观察/做FAQ或长尾","暂不做或合并"))))</x:f>
      </x:c>
    </x:row>
    <x:row r="44">
      <x:c r="A44" s="36"/>
      <x:c r="B44" s="37"/>
      <x:c r="C44" s="37"/>
      <x:c r="D44" s="49"/>
      <x:c r="E44" s="52"/>
      <x:c r="F44" s="55"/>
      <x:c r="G44" s="55"/>
      <x:c r="H44" s="55"/>
      <x:c r="I44" s="55"/>
      <x:c r="J44" s="55"/>
      <x:c r="K44" s="55"/>
      <x:c r="L44" s="55"/>
      <x:c r="M44" s="55"/>
      <x:c r="N44" s="37" t="str">
        <x:f>IF($A44="","",IF(OR($G44="Transactional",$H44="商品/分类页",$H44="集合页",$H44="品牌页"),"主站",IF(OR($H44="博客/榜单",$H44="博客/对比",$G44="Commercial"),"博客站C-对比评测",IF($H44="博客/场景","博客站B-人群场景",IF(OR($H44="教程/FAQ",$H44="博客/指南",$G44="Informational"),"博客站A-知识教程","暂不做")))))</x:f>
      </x:c>
      <x:c r="O44" s="37"/>
      <x:c r="P44" s="37" t="str">
        <x:f>IF($A44="","",IF($O44&lt;&gt;"",$O44,$N44))</x:f>
      </x:c>
      <x:c r="Q44" s="37" t="str">
        <x:f>IF($A44="","",IF($P44="主站","分类页/集合页/商品页",IF($P44="博客站C-对比评测",IF($H44="博客/对比","对比文","购买指南"),IF($P44="博客站B-人群场景","场景解决方案",IF($P44="博客站A-知识教程",IF($H44="教程/FAQ","教程文","价值解释文"),"暂不做")))))</x:f>
      </x:c>
      <x:c r="R44" s="37" t="str">
        <x:f>IF($A44="","",IF($Q44="分类页/集合页/商品页","不写文章",IF($Q44="暂不做","暂不做",$Q44)))</x:f>
      </x:c>
      <x:c r="S44" s="37"/>
      <x:c r="T44" s="37"/>
      <x:c r="U44" s="37"/>
      <x:c r="V44" s="37"/>
      <x:c r="W44" s="37"/>
      <x:c r="X44" s="37"/>
      <x:c r="Y44" s="37"/>
      <x:c r="Z44" s="37"/>
      <x:c r="AA44" s="37"/>
      <x:c r="AB44" s="58" t="str">
        <x:f>IF($A44="","",IF($D44&gt;=1000,15,IF($D44&gt;=300,12,IF($D44&gt;=100,9,IF($D44&gt;0,5,0)))))</x:f>
      </x:c>
      <x:c r="AC44" s="58" t="str">
        <x:f>IF($A44="","",(($I44+$J44)/10)*25)</x:f>
      </x:c>
      <x:c r="AD44" s="58" t="str">
        <x:f>IF($A44="","",(($K44+$L44)/10)*25)</x:f>
      </x:c>
      <x:c r="AE44" s="58" t="str">
        <x:f>IF($A44="","",$M44*5)</x:f>
      </x:c>
      <x:c r="AF44" s="58" t="str">
        <x:f>IF($A44="","",MAX(0,AB44+AC44+AD44-AE44))</x:f>
      </x:c>
      <x:c r="AG44" s="37" t="str">
        <x:f>IF($A44="","",IF(AF44&gt;=70,"P0",IF(AF44&gt;=55,"P1",IF(AF44&gt;=40,"P2","P3"))))</x:f>
      </x:c>
      <x:c r="AH44" s="38" t="str">
        <x:f>IF($A44="","",IF(AG44="P0","立即规划",IF(AG44="P1","进入本批内容日历",IF(AG44="P2","观察/做FAQ或长尾","暂不做或合并"))))</x:f>
      </x:c>
    </x:row>
    <x:row r="45">
      <x:c r="A45" s="36"/>
      <x:c r="B45" s="37"/>
      <x:c r="C45" s="37"/>
      <x:c r="D45" s="49"/>
      <x:c r="E45" s="52"/>
      <x:c r="F45" s="55"/>
      <x:c r="G45" s="55"/>
      <x:c r="H45" s="55"/>
      <x:c r="I45" s="55"/>
      <x:c r="J45" s="55"/>
      <x:c r="K45" s="55"/>
      <x:c r="L45" s="55"/>
      <x:c r="M45" s="55"/>
      <x:c r="N45" s="37" t="str">
        <x:f>IF($A45="","",IF(OR($G45="Transactional",$H45="商品/分类页",$H45="集合页",$H45="品牌页"),"主站",IF(OR($H45="博客/榜单",$H45="博客/对比",$G45="Commercial"),"博客站C-对比评测",IF($H45="博客/场景","博客站B-人群场景",IF(OR($H45="教程/FAQ",$H45="博客/指南",$G45="Informational"),"博客站A-知识教程","暂不做")))))</x:f>
      </x:c>
      <x:c r="O45" s="37"/>
      <x:c r="P45" s="37" t="str">
        <x:f>IF($A45="","",IF($O45&lt;&gt;"",$O45,$N45))</x:f>
      </x:c>
      <x:c r="Q45" s="37" t="str">
        <x:f>IF($A45="","",IF($P45="主站","分类页/集合页/商品页",IF($P45="博客站C-对比评测",IF($H45="博客/对比","对比文","购买指南"),IF($P45="博客站B-人群场景","场景解决方案",IF($P45="博客站A-知识教程",IF($H45="教程/FAQ","教程文","价值解释文"),"暂不做")))))</x:f>
      </x:c>
      <x:c r="R45" s="37" t="str">
        <x:f>IF($A45="","",IF($Q45="分类页/集合页/商品页","不写文章",IF($Q45="暂不做","暂不做",$Q45)))</x:f>
      </x:c>
      <x:c r="S45" s="37"/>
      <x:c r="T45" s="37"/>
      <x:c r="U45" s="37"/>
      <x:c r="V45" s="37"/>
      <x:c r="W45" s="37"/>
      <x:c r="X45" s="37"/>
      <x:c r="Y45" s="37"/>
      <x:c r="Z45" s="37"/>
      <x:c r="AA45" s="37"/>
      <x:c r="AB45" s="58" t="str">
        <x:f>IF($A45="","",IF($D45&gt;=1000,15,IF($D45&gt;=300,12,IF($D45&gt;=100,9,IF($D45&gt;0,5,0)))))</x:f>
      </x:c>
      <x:c r="AC45" s="58" t="str">
        <x:f>IF($A45="","",(($I45+$J45)/10)*25)</x:f>
      </x:c>
      <x:c r="AD45" s="58" t="str">
        <x:f>IF($A45="","",(($K45+$L45)/10)*25)</x:f>
      </x:c>
      <x:c r="AE45" s="58" t="str">
        <x:f>IF($A45="","",$M45*5)</x:f>
      </x:c>
      <x:c r="AF45" s="58" t="str">
        <x:f>IF($A45="","",MAX(0,AB45+AC45+AD45-AE45))</x:f>
      </x:c>
      <x:c r="AG45" s="37" t="str">
        <x:f>IF($A45="","",IF(AF45&gt;=70,"P0",IF(AF45&gt;=55,"P1",IF(AF45&gt;=40,"P2","P3"))))</x:f>
      </x:c>
      <x:c r="AH45" s="38" t="str">
        <x:f>IF($A45="","",IF(AG45="P0","立即规划",IF(AG45="P1","进入本批内容日历",IF(AG45="P2","观察/做FAQ或长尾","暂不做或合并"))))</x:f>
      </x:c>
    </x:row>
    <x:row r="46">
      <x:c r="A46" s="36"/>
      <x:c r="B46" s="37"/>
      <x:c r="C46" s="37"/>
      <x:c r="D46" s="49"/>
      <x:c r="E46" s="52"/>
      <x:c r="F46" s="55"/>
      <x:c r="G46" s="55"/>
      <x:c r="H46" s="55"/>
      <x:c r="I46" s="55"/>
      <x:c r="J46" s="55"/>
      <x:c r="K46" s="55"/>
      <x:c r="L46" s="55"/>
      <x:c r="M46" s="55"/>
      <x:c r="N46" s="37" t="str">
        <x:f>IF($A46="","",IF(OR($G46="Transactional",$H46="商品/分类页",$H46="集合页",$H46="品牌页"),"主站",IF(OR($H46="博客/榜单",$H46="博客/对比",$G46="Commercial"),"博客站C-对比评测",IF($H46="博客/场景","博客站B-人群场景",IF(OR($H46="教程/FAQ",$H46="博客/指南",$G46="Informational"),"博客站A-知识教程","暂不做")))))</x:f>
      </x:c>
      <x:c r="O46" s="37"/>
      <x:c r="P46" s="37" t="str">
        <x:f>IF($A46="","",IF($O46&lt;&gt;"",$O46,$N46))</x:f>
      </x:c>
      <x:c r="Q46" s="37" t="str">
        <x:f>IF($A46="","",IF($P46="主站","分类页/集合页/商品页",IF($P46="博客站C-对比评测",IF($H46="博客/对比","对比文","购买指南"),IF($P46="博客站B-人群场景","场景解决方案",IF($P46="博客站A-知识教程",IF($H46="教程/FAQ","教程文","价值解释文"),"暂不做")))))</x:f>
      </x:c>
      <x:c r="R46" s="37" t="str">
        <x:f>IF($A46="","",IF($Q46="分类页/集合页/商品页","不写文章",IF($Q46="暂不做","暂不做",$Q46)))</x:f>
      </x:c>
      <x:c r="S46" s="37"/>
      <x:c r="T46" s="37"/>
      <x:c r="U46" s="37"/>
      <x:c r="V46" s="37"/>
      <x:c r="W46" s="37"/>
      <x:c r="X46" s="37"/>
      <x:c r="Y46" s="37"/>
      <x:c r="Z46" s="37"/>
      <x:c r="AA46" s="37"/>
      <x:c r="AB46" s="58" t="str">
        <x:f>IF($A46="","",IF($D46&gt;=1000,15,IF($D46&gt;=300,12,IF($D46&gt;=100,9,IF($D46&gt;0,5,0)))))</x:f>
      </x:c>
      <x:c r="AC46" s="58" t="str">
        <x:f>IF($A46="","",(($I46+$J46)/10)*25)</x:f>
      </x:c>
      <x:c r="AD46" s="58" t="str">
        <x:f>IF($A46="","",(($K46+$L46)/10)*25)</x:f>
      </x:c>
      <x:c r="AE46" s="58" t="str">
        <x:f>IF($A46="","",$M46*5)</x:f>
      </x:c>
      <x:c r="AF46" s="58" t="str">
        <x:f>IF($A46="","",MAX(0,AB46+AC46+AD46-AE46))</x:f>
      </x:c>
      <x:c r="AG46" s="37" t="str">
        <x:f>IF($A46="","",IF(AF46&gt;=70,"P0",IF(AF46&gt;=55,"P1",IF(AF46&gt;=40,"P2","P3"))))</x:f>
      </x:c>
      <x:c r="AH46" s="38" t="str">
        <x:f>IF($A46="","",IF(AG46="P0","立即规划",IF(AG46="P1","进入本批内容日历",IF(AG46="P2","观察/做FAQ或长尾","暂不做或合并"))))</x:f>
      </x:c>
    </x:row>
    <x:row r="47">
      <x:c r="A47" s="36"/>
      <x:c r="B47" s="37"/>
      <x:c r="C47" s="37"/>
      <x:c r="D47" s="49"/>
      <x:c r="E47" s="52"/>
      <x:c r="F47" s="55"/>
      <x:c r="G47" s="55"/>
      <x:c r="H47" s="55"/>
      <x:c r="I47" s="55"/>
      <x:c r="J47" s="55"/>
      <x:c r="K47" s="55"/>
      <x:c r="L47" s="55"/>
      <x:c r="M47" s="55"/>
      <x:c r="N47" s="37" t="str">
        <x:f>IF($A47="","",IF(OR($G47="Transactional",$H47="商品/分类页",$H47="集合页",$H47="品牌页"),"主站",IF(OR($H47="博客/榜单",$H47="博客/对比",$G47="Commercial"),"博客站C-对比评测",IF($H47="博客/场景","博客站B-人群场景",IF(OR($H47="教程/FAQ",$H47="博客/指南",$G47="Informational"),"博客站A-知识教程","暂不做")))))</x:f>
      </x:c>
      <x:c r="O47" s="37"/>
      <x:c r="P47" s="37" t="str">
        <x:f>IF($A47="","",IF($O47&lt;&gt;"",$O47,$N47))</x:f>
      </x:c>
      <x:c r="Q47" s="37" t="str">
        <x:f>IF($A47="","",IF($P47="主站","分类页/集合页/商品页",IF($P47="博客站C-对比评测",IF($H47="博客/对比","对比文","购买指南"),IF($P47="博客站B-人群场景","场景解决方案",IF($P47="博客站A-知识教程",IF($H47="教程/FAQ","教程文","价值解释文"),"暂不做")))))</x:f>
      </x:c>
      <x:c r="R47" s="37" t="str">
        <x:f>IF($A47="","",IF($Q47="分类页/集合页/商品页","不写文章",IF($Q47="暂不做","暂不做",$Q47)))</x:f>
      </x:c>
      <x:c r="S47" s="37"/>
      <x:c r="T47" s="37"/>
      <x:c r="U47" s="37"/>
      <x:c r="V47" s="37"/>
      <x:c r="W47" s="37"/>
      <x:c r="X47" s="37"/>
      <x:c r="Y47" s="37"/>
      <x:c r="Z47" s="37"/>
      <x:c r="AA47" s="37"/>
      <x:c r="AB47" s="58" t="str">
        <x:f>IF($A47="","",IF($D47&gt;=1000,15,IF($D47&gt;=300,12,IF($D47&gt;=100,9,IF($D47&gt;0,5,0)))))</x:f>
      </x:c>
      <x:c r="AC47" s="58" t="str">
        <x:f>IF($A47="","",(($I47+$J47)/10)*25)</x:f>
      </x:c>
      <x:c r="AD47" s="58" t="str">
        <x:f>IF($A47="","",(($K47+$L47)/10)*25)</x:f>
      </x:c>
      <x:c r="AE47" s="58" t="str">
        <x:f>IF($A47="","",$M47*5)</x:f>
      </x:c>
      <x:c r="AF47" s="58" t="str">
        <x:f>IF($A47="","",MAX(0,AB47+AC47+AD47-AE47))</x:f>
      </x:c>
      <x:c r="AG47" s="37" t="str">
        <x:f>IF($A47="","",IF(AF47&gt;=70,"P0",IF(AF47&gt;=55,"P1",IF(AF47&gt;=40,"P2","P3"))))</x:f>
      </x:c>
      <x:c r="AH47" s="38" t="str">
        <x:f>IF($A47="","",IF(AG47="P0","立即规划",IF(AG47="P1","进入本批内容日历",IF(AG47="P2","观察/做FAQ或长尾","暂不做或合并"))))</x:f>
      </x:c>
    </x:row>
    <x:row r="48">
      <x:c r="A48" s="36"/>
      <x:c r="B48" s="37"/>
      <x:c r="C48" s="37"/>
      <x:c r="D48" s="49"/>
      <x:c r="E48" s="52"/>
      <x:c r="F48" s="55"/>
      <x:c r="G48" s="55"/>
      <x:c r="H48" s="55"/>
      <x:c r="I48" s="55"/>
      <x:c r="J48" s="55"/>
      <x:c r="K48" s="55"/>
      <x:c r="L48" s="55"/>
      <x:c r="M48" s="55"/>
      <x:c r="N48" s="37" t="str">
        <x:f>IF($A48="","",IF(OR($G48="Transactional",$H48="商品/分类页",$H48="集合页",$H48="品牌页"),"主站",IF(OR($H48="博客/榜单",$H48="博客/对比",$G48="Commercial"),"博客站C-对比评测",IF($H48="博客/场景","博客站B-人群场景",IF(OR($H48="教程/FAQ",$H48="博客/指南",$G48="Informational"),"博客站A-知识教程","暂不做")))))</x:f>
      </x:c>
      <x:c r="O48" s="37"/>
      <x:c r="P48" s="37" t="str">
        <x:f>IF($A48="","",IF($O48&lt;&gt;"",$O48,$N48))</x:f>
      </x:c>
      <x:c r="Q48" s="37" t="str">
        <x:f>IF($A48="","",IF($P48="主站","分类页/集合页/商品页",IF($P48="博客站C-对比评测",IF($H48="博客/对比","对比文","购买指南"),IF($P48="博客站B-人群场景","场景解决方案",IF($P48="博客站A-知识教程",IF($H48="教程/FAQ","教程文","价值解释文"),"暂不做")))))</x:f>
      </x:c>
      <x:c r="R48" s="37" t="str">
        <x:f>IF($A48="","",IF($Q48="分类页/集合页/商品页","不写文章",IF($Q48="暂不做","暂不做",$Q48)))</x:f>
      </x:c>
      <x:c r="S48" s="37"/>
      <x:c r="T48" s="37"/>
      <x:c r="U48" s="37"/>
      <x:c r="V48" s="37"/>
      <x:c r="W48" s="37"/>
      <x:c r="X48" s="37"/>
      <x:c r="Y48" s="37"/>
      <x:c r="Z48" s="37"/>
      <x:c r="AA48" s="37"/>
      <x:c r="AB48" s="58" t="str">
        <x:f>IF($A48="","",IF($D48&gt;=1000,15,IF($D48&gt;=300,12,IF($D48&gt;=100,9,IF($D48&gt;0,5,0)))))</x:f>
      </x:c>
      <x:c r="AC48" s="58" t="str">
        <x:f>IF($A48="","",(($I48+$J48)/10)*25)</x:f>
      </x:c>
      <x:c r="AD48" s="58" t="str">
        <x:f>IF($A48="","",(($K48+$L48)/10)*25)</x:f>
      </x:c>
      <x:c r="AE48" s="58" t="str">
        <x:f>IF($A48="","",$M48*5)</x:f>
      </x:c>
      <x:c r="AF48" s="58" t="str">
        <x:f>IF($A48="","",MAX(0,AB48+AC48+AD48-AE48))</x:f>
      </x:c>
      <x:c r="AG48" s="37" t="str">
        <x:f>IF($A48="","",IF(AF48&gt;=70,"P0",IF(AF48&gt;=55,"P1",IF(AF48&gt;=40,"P2","P3"))))</x:f>
      </x:c>
      <x:c r="AH48" s="38" t="str">
        <x:f>IF($A48="","",IF(AG48="P0","立即规划",IF(AG48="P1","进入本批内容日历",IF(AG48="P2","观察/做FAQ或长尾","暂不做或合并"))))</x:f>
      </x:c>
    </x:row>
    <x:row r="49">
      <x:c r="A49" s="36"/>
      <x:c r="B49" s="37"/>
      <x:c r="C49" s="37"/>
      <x:c r="D49" s="49"/>
      <x:c r="E49" s="52"/>
      <x:c r="F49" s="55"/>
      <x:c r="G49" s="55"/>
      <x:c r="H49" s="55"/>
      <x:c r="I49" s="55"/>
      <x:c r="J49" s="55"/>
      <x:c r="K49" s="55"/>
      <x:c r="L49" s="55"/>
      <x:c r="M49" s="55"/>
      <x:c r="N49" s="37" t="str">
        <x:f>IF($A49="","",IF(OR($G49="Transactional",$H49="商品/分类页",$H49="集合页",$H49="品牌页"),"主站",IF(OR($H49="博客/榜单",$H49="博客/对比",$G49="Commercial"),"博客站C-对比评测",IF($H49="博客/场景","博客站B-人群场景",IF(OR($H49="教程/FAQ",$H49="博客/指南",$G49="Informational"),"博客站A-知识教程","暂不做")))))</x:f>
      </x:c>
      <x:c r="O49" s="37"/>
      <x:c r="P49" s="37" t="str">
        <x:f>IF($A49="","",IF($O49&lt;&gt;"",$O49,$N49))</x:f>
      </x:c>
      <x:c r="Q49" s="37" t="str">
        <x:f>IF($A49="","",IF($P49="主站","分类页/集合页/商品页",IF($P49="博客站C-对比评测",IF($H49="博客/对比","对比文","购买指南"),IF($P49="博客站B-人群场景","场景解决方案",IF($P49="博客站A-知识教程",IF($H49="教程/FAQ","教程文","价值解释文"),"暂不做")))))</x:f>
      </x:c>
      <x:c r="R49" s="37" t="str">
        <x:f>IF($A49="","",IF($Q49="分类页/集合页/商品页","不写文章",IF($Q49="暂不做","暂不做",$Q49)))</x:f>
      </x:c>
      <x:c r="S49" s="37"/>
      <x:c r="T49" s="37"/>
      <x:c r="U49" s="37"/>
      <x:c r="V49" s="37"/>
      <x:c r="W49" s="37"/>
      <x:c r="X49" s="37"/>
      <x:c r="Y49" s="37"/>
      <x:c r="Z49" s="37"/>
      <x:c r="AA49" s="37"/>
      <x:c r="AB49" s="58" t="str">
        <x:f>IF($A49="","",IF($D49&gt;=1000,15,IF($D49&gt;=300,12,IF($D49&gt;=100,9,IF($D49&gt;0,5,0)))))</x:f>
      </x:c>
      <x:c r="AC49" s="58" t="str">
        <x:f>IF($A49="","",(($I49+$J49)/10)*25)</x:f>
      </x:c>
      <x:c r="AD49" s="58" t="str">
        <x:f>IF($A49="","",(($K49+$L49)/10)*25)</x:f>
      </x:c>
      <x:c r="AE49" s="58" t="str">
        <x:f>IF($A49="","",$M49*5)</x:f>
      </x:c>
      <x:c r="AF49" s="58" t="str">
        <x:f>IF($A49="","",MAX(0,AB49+AC49+AD49-AE49))</x:f>
      </x:c>
      <x:c r="AG49" s="37" t="str">
        <x:f>IF($A49="","",IF(AF49&gt;=70,"P0",IF(AF49&gt;=55,"P1",IF(AF49&gt;=40,"P2","P3"))))</x:f>
      </x:c>
      <x:c r="AH49" s="38" t="str">
        <x:f>IF($A49="","",IF(AG49="P0","立即规划",IF(AG49="P1","进入本批内容日历",IF(AG49="P2","观察/做FAQ或长尾","暂不做或合并"))))</x:f>
      </x:c>
    </x:row>
    <x:row r="50">
      <x:c r="A50" s="36"/>
      <x:c r="B50" s="37"/>
      <x:c r="C50" s="37"/>
      <x:c r="D50" s="49"/>
      <x:c r="E50" s="52"/>
      <x:c r="F50" s="55"/>
      <x:c r="G50" s="55"/>
      <x:c r="H50" s="55"/>
      <x:c r="I50" s="55"/>
      <x:c r="J50" s="55"/>
      <x:c r="K50" s="55"/>
      <x:c r="L50" s="55"/>
      <x:c r="M50" s="55"/>
      <x:c r="N50" s="37" t="str">
        <x:f>IF($A50="","",IF(OR($G50="Transactional",$H50="商品/分类页",$H50="集合页",$H50="品牌页"),"主站",IF(OR($H50="博客/榜单",$H50="博客/对比",$G50="Commercial"),"博客站C-对比评测",IF($H50="博客/场景","博客站B-人群场景",IF(OR($H50="教程/FAQ",$H50="博客/指南",$G50="Informational"),"博客站A-知识教程","暂不做")))))</x:f>
      </x:c>
      <x:c r="O50" s="37"/>
      <x:c r="P50" s="37" t="str">
        <x:f>IF($A50="","",IF($O50&lt;&gt;"",$O50,$N50))</x:f>
      </x:c>
      <x:c r="Q50" s="37" t="str">
        <x:f>IF($A50="","",IF($P50="主站","分类页/集合页/商品页",IF($P50="博客站C-对比评测",IF($H50="博客/对比","对比文","购买指南"),IF($P50="博客站B-人群场景","场景解决方案",IF($P50="博客站A-知识教程",IF($H50="教程/FAQ","教程文","价值解释文"),"暂不做")))))</x:f>
      </x:c>
      <x:c r="R50" s="37" t="str">
        <x:f>IF($A50="","",IF($Q50="分类页/集合页/商品页","不写文章",IF($Q50="暂不做","暂不做",$Q50)))</x:f>
      </x:c>
      <x:c r="S50" s="37"/>
      <x:c r="T50" s="37"/>
      <x:c r="U50" s="37"/>
      <x:c r="V50" s="37"/>
      <x:c r="W50" s="37"/>
      <x:c r="X50" s="37"/>
      <x:c r="Y50" s="37"/>
      <x:c r="Z50" s="37"/>
      <x:c r="AA50" s="37"/>
      <x:c r="AB50" s="58" t="str">
        <x:f>IF($A50="","",IF($D50&gt;=1000,15,IF($D50&gt;=300,12,IF($D50&gt;=100,9,IF($D50&gt;0,5,0)))))</x:f>
      </x:c>
      <x:c r="AC50" s="58" t="str">
        <x:f>IF($A50="","",(($I50+$J50)/10)*25)</x:f>
      </x:c>
      <x:c r="AD50" s="58" t="str">
        <x:f>IF($A50="","",(($K50+$L50)/10)*25)</x:f>
      </x:c>
      <x:c r="AE50" s="58" t="str">
        <x:f>IF($A50="","",$M50*5)</x:f>
      </x:c>
      <x:c r="AF50" s="58" t="str">
        <x:f>IF($A50="","",MAX(0,AB50+AC50+AD50-AE50))</x:f>
      </x:c>
      <x:c r="AG50" s="37" t="str">
        <x:f>IF($A50="","",IF(AF50&gt;=70,"P0",IF(AF50&gt;=55,"P1",IF(AF50&gt;=40,"P2","P3"))))</x:f>
      </x:c>
      <x:c r="AH50" s="38" t="str">
        <x:f>IF($A50="","",IF(AG50="P0","立即规划",IF(AG50="P1","进入本批内容日历",IF(AG50="P2","观察/做FAQ或长尾","暂不做或合并"))))</x:f>
      </x:c>
    </x:row>
    <x:row r="51">
      <x:c r="A51" s="36"/>
      <x:c r="B51" s="37"/>
      <x:c r="C51" s="37"/>
      <x:c r="D51" s="49"/>
      <x:c r="E51" s="52"/>
      <x:c r="F51" s="55"/>
      <x:c r="G51" s="55"/>
      <x:c r="H51" s="55"/>
      <x:c r="I51" s="55"/>
      <x:c r="J51" s="55"/>
      <x:c r="K51" s="55"/>
      <x:c r="L51" s="55"/>
      <x:c r="M51" s="55"/>
      <x:c r="N51" s="37" t="str">
        <x:f>IF($A51="","",IF(OR($G51="Transactional",$H51="商品/分类页",$H51="集合页",$H51="品牌页"),"主站",IF(OR($H51="博客/榜单",$H51="博客/对比",$G51="Commercial"),"博客站C-对比评测",IF($H51="博客/场景","博客站B-人群场景",IF(OR($H51="教程/FAQ",$H51="博客/指南",$G51="Informational"),"博客站A-知识教程","暂不做")))))</x:f>
      </x:c>
      <x:c r="O51" s="37"/>
      <x:c r="P51" s="37" t="str">
        <x:f>IF($A51="","",IF($O51&lt;&gt;"",$O51,$N51))</x:f>
      </x:c>
      <x:c r="Q51" s="37" t="str">
        <x:f>IF($A51="","",IF($P51="主站","分类页/集合页/商品页",IF($P51="博客站C-对比评测",IF($H51="博客/对比","对比文","购买指南"),IF($P51="博客站B-人群场景","场景解决方案",IF($P51="博客站A-知识教程",IF($H51="教程/FAQ","教程文","价值解释文"),"暂不做")))))</x:f>
      </x:c>
      <x:c r="R51" s="37" t="str">
        <x:f>IF($A51="","",IF($Q51="分类页/集合页/商品页","不写文章",IF($Q51="暂不做","暂不做",$Q51)))</x:f>
      </x:c>
      <x:c r="S51" s="37"/>
      <x:c r="T51" s="37"/>
      <x:c r="U51" s="37"/>
      <x:c r="V51" s="37"/>
      <x:c r="W51" s="37"/>
      <x:c r="X51" s="37"/>
      <x:c r="Y51" s="37"/>
      <x:c r="Z51" s="37"/>
      <x:c r="AA51" s="37"/>
      <x:c r="AB51" s="58" t="str">
        <x:f>IF($A51="","",IF($D51&gt;=1000,15,IF($D51&gt;=300,12,IF($D51&gt;=100,9,IF($D51&gt;0,5,0)))))</x:f>
      </x:c>
      <x:c r="AC51" s="58" t="str">
        <x:f>IF($A51="","",(($I51+$J51)/10)*25)</x:f>
      </x:c>
      <x:c r="AD51" s="58" t="str">
        <x:f>IF($A51="","",(($K51+$L51)/10)*25)</x:f>
      </x:c>
      <x:c r="AE51" s="58" t="str">
        <x:f>IF($A51="","",$M51*5)</x:f>
      </x:c>
      <x:c r="AF51" s="58" t="str">
        <x:f>IF($A51="","",MAX(0,AB51+AC51+AD51-AE51))</x:f>
      </x:c>
      <x:c r="AG51" s="37" t="str">
        <x:f>IF($A51="","",IF(AF51&gt;=70,"P0",IF(AF51&gt;=55,"P1",IF(AF51&gt;=40,"P2","P3"))))</x:f>
      </x:c>
      <x:c r="AH51" s="38" t="str">
        <x:f>IF($A51="","",IF(AG51="P0","立即规划",IF(AG51="P1","进入本批内容日历",IF(AG51="P2","观察/做FAQ或长尾","暂不做或合并"))))</x:f>
      </x:c>
    </x:row>
    <x:row r="52">
      <x:c r="A52" s="36"/>
      <x:c r="B52" s="37"/>
      <x:c r="C52" s="37"/>
      <x:c r="D52" s="49"/>
      <x:c r="E52" s="52"/>
      <x:c r="F52" s="55"/>
      <x:c r="G52" s="55"/>
      <x:c r="H52" s="55"/>
      <x:c r="I52" s="55"/>
      <x:c r="J52" s="55"/>
      <x:c r="K52" s="55"/>
      <x:c r="L52" s="55"/>
      <x:c r="M52" s="55"/>
      <x:c r="N52" s="37" t="str">
        <x:f>IF($A52="","",IF(OR($G52="Transactional",$H52="商品/分类页",$H52="集合页",$H52="品牌页"),"主站",IF(OR($H52="博客/榜单",$H52="博客/对比",$G52="Commercial"),"博客站C-对比评测",IF($H52="博客/场景","博客站B-人群场景",IF(OR($H52="教程/FAQ",$H52="博客/指南",$G52="Informational"),"博客站A-知识教程","暂不做")))))</x:f>
      </x:c>
      <x:c r="O52" s="37"/>
      <x:c r="P52" s="37" t="str">
        <x:f>IF($A52="","",IF($O52&lt;&gt;"",$O52,$N52))</x:f>
      </x:c>
      <x:c r="Q52" s="37" t="str">
        <x:f>IF($A52="","",IF($P52="主站","分类页/集合页/商品页",IF($P52="博客站C-对比评测",IF($H52="博客/对比","对比文","购买指南"),IF($P52="博客站B-人群场景","场景解决方案",IF($P52="博客站A-知识教程",IF($H52="教程/FAQ","教程文","价值解释文"),"暂不做")))))</x:f>
      </x:c>
      <x:c r="R52" s="37" t="str">
        <x:f>IF($A52="","",IF($Q52="分类页/集合页/商品页","不写文章",IF($Q52="暂不做","暂不做",$Q52)))</x:f>
      </x:c>
      <x:c r="S52" s="37"/>
      <x:c r="T52" s="37"/>
      <x:c r="U52" s="37"/>
      <x:c r="V52" s="37"/>
      <x:c r="W52" s="37"/>
      <x:c r="X52" s="37"/>
      <x:c r="Y52" s="37"/>
      <x:c r="Z52" s="37"/>
      <x:c r="AA52" s="37"/>
      <x:c r="AB52" s="58" t="str">
        <x:f>IF($A52="","",IF($D52&gt;=1000,15,IF($D52&gt;=300,12,IF($D52&gt;=100,9,IF($D52&gt;0,5,0)))))</x:f>
      </x:c>
      <x:c r="AC52" s="58" t="str">
        <x:f>IF($A52="","",(($I52+$J52)/10)*25)</x:f>
      </x:c>
      <x:c r="AD52" s="58" t="str">
        <x:f>IF($A52="","",(($K52+$L52)/10)*25)</x:f>
      </x:c>
      <x:c r="AE52" s="58" t="str">
        <x:f>IF($A52="","",$M52*5)</x:f>
      </x:c>
      <x:c r="AF52" s="58" t="str">
        <x:f>IF($A52="","",MAX(0,AB52+AC52+AD52-AE52))</x:f>
      </x:c>
      <x:c r="AG52" s="37" t="str">
        <x:f>IF($A52="","",IF(AF52&gt;=70,"P0",IF(AF52&gt;=55,"P1",IF(AF52&gt;=40,"P2","P3"))))</x:f>
      </x:c>
      <x:c r="AH52" s="38" t="str">
        <x:f>IF($A52="","",IF(AG52="P0","立即规划",IF(AG52="P1","进入本批内容日历",IF(AG52="P2","观察/做FAQ或长尾","暂不做或合并"))))</x:f>
      </x:c>
    </x:row>
    <x:row r="53">
      <x:c r="A53" s="36"/>
      <x:c r="B53" s="37"/>
      <x:c r="C53" s="37"/>
      <x:c r="D53" s="49"/>
      <x:c r="E53" s="52"/>
      <x:c r="F53" s="55"/>
      <x:c r="G53" s="55"/>
      <x:c r="H53" s="55"/>
      <x:c r="I53" s="55"/>
      <x:c r="J53" s="55"/>
      <x:c r="K53" s="55"/>
      <x:c r="L53" s="55"/>
      <x:c r="M53" s="55"/>
      <x:c r="N53" s="37" t="str">
        <x:f>IF($A53="","",IF(OR($G53="Transactional",$H53="商品/分类页",$H53="集合页",$H53="品牌页"),"主站",IF(OR($H53="博客/榜单",$H53="博客/对比",$G53="Commercial"),"博客站C-对比评测",IF($H53="博客/场景","博客站B-人群场景",IF(OR($H53="教程/FAQ",$H53="博客/指南",$G53="Informational"),"博客站A-知识教程","暂不做")))))</x:f>
      </x:c>
      <x:c r="O53" s="37"/>
      <x:c r="P53" s="37" t="str">
        <x:f>IF($A53="","",IF($O53&lt;&gt;"",$O53,$N53))</x:f>
      </x:c>
      <x:c r="Q53" s="37" t="str">
        <x:f>IF($A53="","",IF($P53="主站","分类页/集合页/商品页",IF($P53="博客站C-对比评测",IF($H53="博客/对比","对比文","购买指南"),IF($P53="博客站B-人群场景","场景解决方案",IF($P53="博客站A-知识教程",IF($H53="教程/FAQ","教程文","价值解释文"),"暂不做")))))</x:f>
      </x:c>
      <x:c r="R53" s="37" t="str">
        <x:f>IF($A53="","",IF($Q53="分类页/集合页/商品页","不写文章",IF($Q53="暂不做","暂不做",$Q53)))</x:f>
      </x:c>
      <x:c r="S53" s="37"/>
      <x:c r="T53" s="37"/>
      <x:c r="U53" s="37"/>
      <x:c r="V53" s="37"/>
      <x:c r="W53" s="37"/>
      <x:c r="X53" s="37"/>
      <x:c r="Y53" s="37"/>
      <x:c r="Z53" s="37"/>
      <x:c r="AA53" s="37"/>
      <x:c r="AB53" s="58" t="str">
        <x:f>IF($A53="","",IF($D53&gt;=1000,15,IF($D53&gt;=300,12,IF($D53&gt;=100,9,IF($D53&gt;0,5,0)))))</x:f>
      </x:c>
      <x:c r="AC53" s="58" t="str">
        <x:f>IF($A53="","",(($I53+$J53)/10)*25)</x:f>
      </x:c>
      <x:c r="AD53" s="58" t="str">
        <x:f>IF($A53="","",(($K53+$L53)/10)*25)</x:f>
      </x:c>
      <x:c r="AE53" s="58" t="str">
        <x:f>IF($A53="","",$M53*5)</x:f>
      </x:c>
      <x:c r="AF53" s="58" t="str">
        <x:f>IF($A53="","",MAX(0,AB53+AC53+AD53-AE53))</x:f>
      </x:c>
      <x:c r="AG53" s="37" t="str">
        <x:f>IF($A53="","",IF(AF53&gt;=70,"P0",IF(AF53&gt;=55,"P1",IF(AF53&gt;=40,"P2","P3"))))</x:f>
      </x:c>
      <x:c r="AH53" s="38" t="str">
        <x:f>IF($A53="","",IF(AG53="P0","立即规划",IF(AG53="P1","进入本批内容日历",IF(AG53="P2","观察/做FAQ或长尾","暂不做或合并"))))</x:f>
      </x:c>
    </x:row>
    <x:row r="54">
      <x:c r="A54" s="36"/>
      <x:c r="B54" s="37"/>
      <x:c r="C54" s="37"/>
      <x:c r="D54" s="49"/>
      <x:c r="E54" s="52"/>
      <x:c r="F54" s="55"/>
      <x:c r="G54" s="55"/>
      <x:c r="H54" s="55"/>
      <x:c r="I54" s="55"/>
      <x:c r="J54" s="55"/>
      <x:c r="K54" s="55"/>
      <x:c r="L54" s="55"/>
      <x:c r="M54" s="55"/>
      <x:c r="N54" s="37" t="str">
        <x:f>IF($A54="","",IF(OR($G54="Transactional",$H54="商品/分类页",$H54="集合页",$H54="品牌页"),"主站",IF(OR($H54="博客/榜单",$H54="博客/对比",$G54="Commercial"),"博客站C-对比评测",IF($H54="博客/场景","博客站B-人群场景",IF(OR($H54="教程/FAQ",$H54="博客/指南",$G54="Informational"),"博客站A-知识教程","暂不做")))))</x:f>
      </x:c>
      <x:c r="O54" s="37"/>
      <x:c r="P54" s="37" t="str">
        <x:f>IF($A54="","",IF($O54&lt;&gt;"",$O54,$N54))</x:f>
      </x:c>
      <x:c r="Q54" s="37" t="str">
        <x:f>IF($A54="","",IF($P54="主站","分类页/集合页/商品页",IF($P54="博客站C-对比评测",IF($H54="博客/对比","对比文","购买指南"),IF($P54="博客站B-人群场景","场景解决方案",IF($P54="博客站A-知识教程",IF($H54="教程/FAQ","教程文","价值解释文"),"暂不做")))))</x:f>
      </x:c>
      <x:c r="R54" s="37" t="str">
        <x:f>IF($A54="","",IF($Q54="分类页/集合页/商品页","不写文章",IF($Q54="暂不做","暂不做",$Q54)))</x:f>
      </x:c>
      <x:c r="S54" s="37"/>
      <x:c r="T54" s="37"/>
      <x:c r="U54" s="37"/>
      <x:c r="V54" s="37"/>
      <x:c r="W54" s="37"/>
      <x:c r="X54" s="37"/>
      <x:c r="Y54" s="37"/>
      <x:c r="Z54" s="37"/>
      <x:c r="AA54" s="37"/>
      <x:c r="AB54" s="58" t="str">
        <x:f>IF($A54="","",IF($D54&gt;=1000,15,IF($D54&gt;=300,12,IF($D54&gt;=100,9,IF($D54&gt;0,5,0)))))</x:f>
      </x:c>
      <x:c r="AC54" s="58" t="str">
        <x:f>IF($A54="","",(($I54+$J54)/10)*25)</x:f>
      </x:c>
      <x:c r="AD54" s="58" t="str">
        <x:f>IF($A54="","",(($K54+$L54)/10)*25)</x:f>
      </x:c>
      <x:c r="AE54" s="58" t="str">
        <x:f>IF($A54="","",$M54*5)</x:f>
      </x:c>
      <x:c r="AF54" s="58" t="str">
        <x:f>IF($A54="","",MAX(0,AB54+AC54+AD54-AE54))</x:f>
      </x:c>
      <x:c r="AG54" s="37" t="str">
        <x:f>IF($A54="","",IF(AF54&gt;=70,"P0",IF(AF54&gt;=55,"P1",IF(AF54&gt;=40,"P2","P3"))))</x:f>
      </x:c>
      <x:c r="AH54" s="38" t="str">
        <x:f>IF($A54="","",IF(AG54="P0","立即规划",IF(AG54="P1","进入本批内容日历",IF(AG54="P2","观察/做FAQ或长尾","暂不做或合并"))))</x:f>
      </x:c>
    </x:row>
    <x:row r="55">
      <x:c r="A55" s="36"/>
      <x:c r="B55" s="37"/>
      <x:c r="C55" s="37"/>
      <x:c r="D55" s="49"/>
      <x:c r="E55" s="52"/>
      <x:c r="F55" s="55"/>
      <x:c r="G55" s="55"/>
      <x:c r="H55" s="55"/>
      <x:c r="I55" s="55"/>
      <x:c r="J55" s="55"/>
      <x:c r="K55" s="55"/>
      <x:c r="L55" s="55"/>
      <x:c r="M55" s="55"/>
      <x:c r="N55" s="37" t="str">
        <x:f>IF($A55="","",IF(OR($G55="Transactional",$H55="商品/分类页",$H55="集合页",$H55="品牌页"),"主站",IF(OR($H55="博客/榜单",$H55="博客/对比",$G55="Commercial"),"博客站C-对比评测",IF($H55="博客/场景","博客站B-人群场景",IF(OR($H55="教程/FAQ",$H55="博客/指南",$G55="Informational"),"博客站A-知识教程","暂不做")))))</x:f>
      </x:c>
      <x:c r="O55" s="37"/>
      <x:c r="P55" s="37" t="str">
        <x:f>IF($A55="","",IF($O55&lt;&gt;"",$O55,$N55))</x:f>
      </x:c>
      <x:c r="Q55" s="37" t="str">
        <x:f>IF($A55="","",IF($P55="主站","分类页/集合页/商品页",IF($P55="博客站C-对比评测",IF($H55="博客/对比","对比文","购买指南"),IF($P55="博客站B-人群场景","场景解决方案",IF($P55="博客站A-知识教程",IF($H55="教程/FAQ","教程文","价值解释文"),"暂不做")))))</x:f>
      </x:c>
      <x:c r="R55" s="37" t="str">
        <x:f>IF($A55="","",IF($Q55="分类页/集合页/商品页","不写文章",IF($Q55="暂不做","暂不做",$Q55)))</x:f>
      </x:c>
      <x:c r="S55" s="37"/>
      <x:c r="T55" s="37"/>
      <x:c r="U55" s="37"/>
      <x:c r="V55" s="37"/>
      <x:c r="W55" s="37"/>
      <x:c r="X55" s="37"/>
      <x:c r="Y55" s="37"/>
      <x:c r="Z55" s="37"/>
      <x:c r="AA55" s="37"/>
      <x:c r="AB55" s="58" t="str">
        <x:f>IF($A55="","",IF($D55&gt;=1000,15,IF($D55&gt;=300,12,IF($D55&gt;=100,9,IF($D55&gt;0,5,0)))))</x:f>
      </x:c>
      <x:c r="AC55" s="58" t="str">
        <x:f>IF($A55="","",(($I55+$J55)/10)*25)</x:f>
      </x:c>
      <x:c r="AD55" s="58" t="str">
        <x:f>IF($A55="","",(($K55+$L55)/10)*25)</x:f>
      </x:c>
      <x:c r="AE55" s="58" t="str">
        <x:f>IF($A55="","",$M55*5)</x:f>
      </x:c>
      <x:c r="AF55" s="58" t="str">
        <x:f>IF($A55="","",MAX(0,AB55+AC55+AD55-AE55))</x:f>
      </x:c>
      <x:c r="AG55" s="37" t="str">
        <x:f>IF($A55="","",IF(AF55&gt;=70,"P0",IF(AF55&gt;=55,"P1",IF(AF55&gt;=40,"P2","P3"))))</x:f>
      </x:c>
      <x:c r="AH55" s="38" t="str">
        <x:f>IF($A55="","",IF(AG55="P0","立即规划",IF(AG55="P1","进入本批内容日历",IF(AG55="P2","观察/做FAQ或长尾","暂不做或合并"))))</x:f>
      </x:c>
    </x:row>
    <x:row r="56">
      <x:c r="A56" s="36"/>
      <x:c r="B56" s="37"/>
      <x:c r="C56" s="37"/>
      <x:c r="D56" s="49"/>
      <x:c r="E56" s="52"/>
      <x:c r="F56" s="55"/>
      <x:c r="G56" s="55"/>
      <x:c r="H56" s="55"/>
      <x:c r="I56" s="55"/>
      <x:c r="J56" s="55"/>
      <x:c r="K56" s="55"/>
      <x:c r="L56" s="55"/>
      <x:c r="M56" s="55"/>
      <x:c r="N56" s="37" t="str">
        <x:f>IF($A56="","",IF(OR($G56="Transactional",$H56="商品/分类页",$H56="集合页",$H56="品牌页"),"主站",IF(OR($H56="博客/榜单",$H56="博客/对比",$G56="Commercial"),"博客站C-对比评测",IF($H56="博客/场景","博客站B-人群场景",IF(OR($H56="教程/FAQ",$H56="博客/指南",$G56="Informational"),"博客站A-知识教程","暂不做")))))</x:f>
      </x:c>
      <x:c r="O56" s="37"/>
      <x:c r="P56" s="37" t="str">
        <x:f>IF($A56="","",IF($O56&lt;&gt;"",$O56,$N56))</x:f>
      </x:c>
      <x:c r="Q56" s="37" t="str">
        <x:f>IF($A56="","",IF($P56="主站","分类页/集合页/商品页",IF($P56="博客站C-对比评测",IF($H56="博客/对比","对比文","购买指南"),IF($P56="博客站B-人群场景","场景解决方案",IF($P56="博客站A-知识教程",IF($H56="教程/FAQ","教程文","价值解释文"),"暂不做")))))</x:f>
      </x:c>
      <x:c r="R56" s="37" t="str">
        <x:f>IF($A56="","",IF($Q56="分类页/集合页/商品页","不写文章",IF($Q56="暂不做","暂不做",$Q56)))</x:f>
      </x:c>
      <x:c r="S56" s="37"/>
      <x:c r="T56" s="37"/>
      <x:c r="U56" s="37"/>
      <x:c r="V56" s="37"/>
      <x:c r="W56" s="37"/>
      <x:c r="X56" s="37"/>
      <x:c r="Y56" s="37"/>
      <x:c r="Z56" s="37"/>
      <x:c r="AA56" s="37"/>
      <x:c r="AB56" s="58" t="str">
        <x:f>IF($A56="","",IF($D56&gt;=1000,15,IF($D56&gt;=300,12,IF($D56&gt;=100,9,IF($D56&gt;0,5,0)))))</x:f>
      </x:c>
      <x:c r="AC56" s="58" t="str">
        <x:f>IF($A56="","",(($I56+$J56)/10)*25)</x:f>
      </x:c>
      <x:c r="AD56" s="58" t="str">
        <x:f>IF($A56="","",(($K56+$L56)/10)*25)</x:f>
      </x:c>
      <x:c r="AE56" s="58" t="str">
        <x:f>IF($A56="","",$M56*5)</x:f>
      </x:c>
      <x:c r="AF56" s="58" t="str">
        <x:f>IF($A56="","",MAX(0,AB56+AC56+AD56-AE56))</x:f>
      </x:c>
      <x:c r="AG56" s="37" t="str">
        <x:f>IF($A56="","",IF(AF56&gt;=70,"P0",IF(AF56&gt;=55,"P1",IF(AF56&gt;=40,"P2","P3"))))</x:f>
      </x:c>
      <x:c r="AH56" s="38" t="str">
        <x:f>IF($A56="","",IF(AG56="P0","立即规划",IF(AG56="P1","进入本批内容日历",IF(AG56="P2","观察/做FAQ或长尾","暂不做或合并"))))</x:f>
      </x:c>
    </x:row>
    <x:row r="57">
      <x:c r="A57" s="36"/>
      <x:c r="B57" s="37"/>
      <x:c r="C57" s="37"/>
      <x:c r="D57" s="49"/>
      <x:c r="E57" s="52"/>
      <x:c r="F57" s="55"/>
      <x:c r="G57" s="55"/>
      <x:c r="H57" s="55"/>
      <x:c r="I57" s="55"/>
      <x:c r="J57" s="55"/>
      <x:c r="K57" s="55"/>
      <x:c r="L57" s="55"/>
      <x:c r="M57" s="55"/>
      <x:c r="N57" s="37" t="str">
        <x:f>IF($A57="","",IF(OR($G57="Transactional",$H57="商品/分类页",$H57="集合页",$H57="品牌页"),"主站",IF(OR($H57="博客/榜单",$H57="博客/对比",$G57="Commercial"),"博客站C-对比评测",IF($H57="博客/场景","博客站B-人群场景",IF(OR($H57="教程/FAQ",$H57="博客/指南",$G57="Informational"),"博客站A-知识教程","暂不做")))))</x:f>
      </x:c>
      <x:c r="O57" s="37"/>
      <x:c r="P57" s="37" t="str">
        <x:f>IF($A57="","",IF($O57&lt;&gt;"",$O57,$N57))</x:f>
      </x:c>
      <x:c r="Q57" s="37" t="str">
        <x:f>IF($A57="","",IF($P57="主站","分类页/集合页/商品页",IF($P57="博客站C-对比评测",IF($H57="博客/对比","对比文","购买指南"),IF($P57="博客站B-人群场景","场景解决方案",IF($P57="博客站A-知识教程",IF($H57="教程/FAQ","教程文","价值解释文"),"暂不做")))))</x:f>
      </x:c>
      <x:c r="R57" s="37" t="str">
        <x:f>IF($A57="","",IF($Q57="分类页/集合页/商品页","不写文章",IF($Q57="暂不做","暂不做",$Q57)))</x:f>
      </x:c>
      <x:c r="S57" s="37"/>
      <x:c r="T57" s="37"/>
      <x:c r="U57" s="37"/>
      <x:c r="V57" s="37"/>
      <x:c r="W57" s="37"/>
      <x:c r="X57" s="37"/>
      <x:c r="Y57" s="37"/>
      <x:c r="Z57" s="37"/>
      <x:c r="AA57" s="37"/>
      <x:c r="AB57" s="58" t="str">
        <x:f>IF($A57="","",IF($D57&gt;=1000,15,IF($D57&gt;=300,12,IF($D57&gt;=100,9,IF($D57&gt;0,5,0)))))</x:f>
      </x:c>
      <x:c r="AC57" s="58" t="str">
        <x:f>IF($A57="","",(($I57+$J57)/10)*25)</x:f>
      </x:c>
      <x:c r="AD57" s="58" t="str">
        <x:f>IF($A57="","",(($K57+$L57)/10)*25)</x:f>
      </x:c>
      <x:c r="AE57" s="58" t="str">
        <x:f>IF($A57="","",$M57*5)</x:f>
      </x:c>
      <x:c r="AF57" s="58" t="str">
        <x:f>IF($A57="","",MAX(0,AB57+AC57+AD57-AE57))</x:f>
      </x:c>
      <x:c r="AG57" s="37" t="str">
        <x:f>IF($A57="","",IF(AF57&gt;=70,"P0",IF(AF57&gt;=55,"P1",IF(AF57&gt;=40,"P2","P3"))))</x:f>
      </x:c>
      <x:c r="AH57" s="38" t="str">
        <x:f>IF($A57="","",IF(AG57="P0","立即规划",IF(AG57="P1","进入本批内容日历",IF(AG57="P2","观察/做FAQ或长尾","暂不做或合并"))))</x:f>
      </x:c>
    </x:row>
    <x:row r="58">
      <x:c r="A58" s="36"/>
      <x:c r="B58" s="37"/>
      <x:c r="C58" s="37"/>
      <x:c r="D58" s="49"/>
      <x:c r="E58" s="52"/>
      <x:c r="F58" s="55"/>
      <x:c r="G58" s="55"/>
      <x:c r="H58" s="55"/>
      <x:c r="I58" s="55"/>
      <x:c r="J58" s="55"/>
      <x:c r="K58" s="55"/>
      <x:c r="L58" s="55"/>
      <x:c r="M58" s="55"/>
      <x:c r="N58" s="37" t="str">
        <x:f>IF($A58="","",IF(OR($G58="Transactional",$H58="商品/分类页",$H58="集合页",$H58="品牌页"),"主站",IF(OR($H58="博客/榜单",$H58="博客/对比",$G58="Commercial"),"博客站C-对比评测",IF($H58="博客/场景","博客站B-人群场景",IF(OR($H58="教程/FAQ",$H58="博客/指南",$G58="Informational"),"博客站A-知识教程","暂不做")))))</x:f>
      </x:c>
      <x:c r="O58" s="37"/>
      <x:c r="P58" s="37" t="str">
        <x:f>IF($A58="","",IF($O58&lt;&gt;"",$O58,$N58))</x:f>
      </x:c>
      <x:c r="Q58" s="37" t="str">
        <x:f>IF($A58="","",IF($P58="主站","分类页/集合页/商品页",IF($P58="博客站C-对比评测",IF($H58="博客/对比","对比文","购买指南"),IF($P58="博客站B-人群场景","场景解决方案",IF($P58="博客站A-知识教程",IF($H58="教程/FAQ","教程文","价值解释文"),"暂不做")))))</x:f>
      </x:c>
      <x:c r="R58" s="37" t="str">
        <x:f>IF($A58="","",IF($Q58="分类页/集合页/商品页","不写文章",IF($Q58="暂不做","暂不做",$Q58)))</x:f>
      </x:c>
      <x:c r="S58" s="37"/>
      <x:c r="T58" s="37"/>
      <x:c r="U58" s="37"/>
      <x:c r="V58" s="37"/>
      <x:c r="W58" s="37"/>
      <x:c r="X58" s="37"/>
      <x:c r="Y58" s="37"/>
      <x:c r="Z58" s="37"/>
      <x:c r="AA58" s="37"/>
      <x:c r="AB58" s="58" t="str">
        <x:f>IF($A58="","",IF($D58&gt;=1000,15,IF($D58&gt;=300,12,IF($D58&gt;=100,9,IF($D58&gt;0,5,0)))))</x:f>
      </x:c>
      <x:c r="AC58" s="58" t="str">
        <x:f>IF($A58="","",(($I58+$J58)/10)*25)</x:f>
      </x:c>
      <x:c r="AD58" s="58" t="str">
        <x:f>IF($A58="","",(($K58+$L58)/10)*25)</x:f>
      </x:c>
      <x:c r="AE58" s="58" t="str">
        <x:f>IF($A58="","",$M58*5)</x:f>
      </x:c>
      <x:c r="AF58" s="58" t="str">
        <x:f>IF($A58="","",MAX(0,AB58+AC58+AD58-AE58))</x:f>
      </x:c>
      <x:c r="AG58" s="37" t="str">
        <x:f>IF($A58="","",IF(AF58&gt;=70,"P0",IF(AF58&gt;=55,"P1",IF(AF58&gt;=40,"P2","P3"))))</x:f>
      </x:c>
      <x:c r="AH58" s="38" t="str">
        <x:f>IF($A58="","",IF(AG58="P0","立即规划",IF(AG58="P1","进入本批内容日历",IF(AG58="P2","观察/做FAQ或长尾","暂不做或合并"))))</x:f>
      </x:c>
    </x:row>
    <x:row r="59">
      <x:c r="A59" s="36"/>
      <x:c r="B59" s="37"/>
      <x:c r="C59" s="37"/>
      <x:c r="D59" s="49"/>
      <x:c r="E59" s="52"/>
      <x:c r="F59" s="55"/>
      <x:c r="G59" s="55"/>
      <x:c r="H59" s="55"/>
      <x:c r="I59" s="55"/>
      <x:c r="J59" s="55"/>
      <x:c r="K59" s="55"/>
      <x:c r="L59" s="55"/>
      <x:c r="M59" s="55"/>
      <x:c r="N59" s="37" t="str">
        <x:f>IF($A59="","",IF(OR($G59="Transactional",$H59="商品/分类页",$H59="集合页",$H59="品牌页"),"主站",IF(OR($H59="博客/榜单",$H59="博客/对比",$G59="Commercial"),"博客站C-对比评测",IF($H59="博客/场景","博客站B-人群场景",IF(OR($H59="教程/FAQ",$H59="博客/指南",$G59="Informational"),"博客站A-知识教程","暂不做")))))</x:f>
      </x:c>
      <x:c r="O59" s="37"/>
      <x:c r="P59" s="37" t="str">
        <x:f>IF($A59="","",IF($O59&lt;&gt;"",$O59,$N59))</x:f>
      </x:c>
      <x:c r="Q59" s="37" t="str">
        <x:f>IF($A59="","",IF($P59="主站","分类页/集合页/商品页",IF($P59="博客站C-对比评测",IF($H59="博客/对比","对比文","购买指南"),IF($P59="博客站B-人群场景","场景解决方案",IF($P59="博客站A-知识教程",IF($H59="教程/FAQ","教程文","价值解释文"),"暂不做")))))</x:f>
      </x:c>
      <x:c r="R59" s="37" t="str">
        <x:f>IF($A59="","",IF($Q59="分类页/集合页/商品页","不写文章",IF($Q59="暂不做","暂不做",$Q59)))</x:f>
      </x:c>
      <x:c r="S59" s="37"/>
      <x:c r="T59" s="37"/>
      <x:c r="U59" s="37"/>
      <x:c r="V59" s="37"/>
      <x:c r="W59" s="37"/>
      <x:c r="X59" s="37"/>
      <x:c r="Y59" s="37"/>
      <x:c r="Z59" s="37"/>
      <x:c r="AA59" s="37"/>
      <x:c r="AB59" s="58" t="str">
        <x:f>IF($A59="","",IF($D59&gt;=1000,15,IF($D59&gt;=300,12,IF($D59&gt;=100,9,IF($D59&gt;0,5,0)))))</x:f>
      </x:c>
      <x:c r="AC59" s="58" t="str">
        <x:f>IF($A59="","",(($I59+$J59)/10)*25)</x:f>
      </x:c>
      <x:c r="AD59" s="58" t="str">
        <x:f>IF($A59="","",(($K59+$L59)/10)*25)</x:f>
      </x:c>
      <x:c r="AE59" s="58" t="str">
        <x:f>IF($A59="","",$M59*5)</x:f>
      </x:c>
      <x:c r="AF59" s="58" t="str">
        <x:f>IF($A59="","",MAX(0,AB59+AC59+AD59-AE59))</x:f>
      </x:c>
      <x:c r="AG59" s="37" t="str">
        <x:f>IF($A59="","",IF(AF59&gt;=70,"P0",IF(AF59&gt;=55,"P1",IF(AF59&gt;=40,"P2","P3"))))</x:f>
      </x:c>
      <x:c r="AH59" s="38" t="str">
        <x:f>IF($A59="","",IF(AG59="P0","立即规划",IF(AG59="P1","进入本批内容日历",IF(AG59="P2","观察/做FAQ或长尾","暂不做或合并"))))</x:f>
      </x:c>
    </x:row>
    <x:row r="60">
      <x:c r="A60" s="36"/>
      <x:c r="B60" s="37"/>
      <x:c r="C60" s="37"/>
      <x:c r="D60" s="49"/>
      <x:c r="E60" s="52"/>
      <x:c r="F60" s="55"/>
      <x:c r="G60" s="55"/>
      <x:c r="H60" s="55"/>
      <x:c r="I60" s="55"/>
      <x:c r="J60" s="55"/>
      <x:c r="K60" s="55"/>
      <x:c r="L60" s="55"/>
      <x:c r="M60" s="55"/>
      <x:c r="N60" s="37" t="str">
        <x:f>IF($A60="","",IF(OR($G60="Transactional",$H60="商品/分类页",$H60="集合页",$H60="品牌页"),"主站",IF(OR($H60="博客/榜单",$H60="博客/对比",$G60="Commercial"),"博客站C-对比评测",IF($H60="博客/场景","博客站B-人群场景",IF(OR($H60="教程/FAQ",$H60="博客/指南",$G60="Informational"),"博客站A-知识教程","暂不做")))))</x:f>
      </x:c>
      <x:c r="O60" s="37"/>
      <x:c r="P60" s="37" t="str">
        <x:f>IF($A60="","",IF($O60&lt;&gt;"",$O60,$N60))</x:f>
      </x:c>
      <x:c r="Q60" s="37" t="str">
        <x:f>IF($A60="","",IF($P60="主站","分类页/集合页/商品页",IF($P60="博客站C-对比评测",IF($H60="博客/对比","对比文","购买指南"),IF($P60="博客站B-人群场景","场景解决方案",IF($P60="博客站A-知识教程",IF($H60="教程/FAQ","教程文","价值解释文"),"暂不做")))))</x:f>
      </x:c>
      <x:c r="R60" s="37" t="str">
        <x:f>IF($A60="","",IF($Q60="分类页/集合页/商品页","不写文章",IF($Q60="暂不做","暂不做",$Q60)))</x:f>
      </x:c>
      <x:c r="S60" s="37"/>
      <x:c r="T60" s="37"/>
      <x:c r="U60" s="37"/>
      <x:c r="V60" s="37"/>
      <x:c r="W60" s="37"/>
      <x:c r="X60" s="37"/>
      <x:c r="Y60" s="37"/>
      <x:c r="Z60" s="37"/>
      <x:c r="AA60" s="37"/>
      <x:c r="AB60" s="58" t="str">
        <x:f>IF($A60="","",IF($D60&gt;=1000,15,IF($D60&gt;=300,12,IF($D60&gt;=100,9,IF($D60&gt;0,5,0)))))</x:f>
      </x:c>
      <x:c r="AC60" s="58" t="str">
        <x:f>IF($A60="","",(($I60+$J60)/10)*25)</x:f>
      </x:c>
      <x:c r="AD60" s="58" t="str">
        <x:f>IF($A60="","",(($K60+$L60)/10)*25)</x:f>
      </x:c>
      <x:c r="AE60" s="58" t="str">
        <x:f>IF($A60="","",$M60*5)</x:f>
      </x:c>
      <x:c r="AF60" s="58" t="str">
        <x:f>IF($A60="","",MAX(0,AB60+AC60+AD60-AE60))</x:f>
      </x:c>
      <x:c r="AG60" s="37" t="str">
        <x:f>IF($A60="","",IF(AF60&gt;=70,"P0",IF(AF60&gt;=55,"P1",IF(AF60&gt;=40,"P2","P3"))))</x:f>
      </x:c>
      <x:c r="AH60" s="38" t="str">
        <x:f>IF($A60="","",IF(AG60="P0","立即规划",IF(AG60="P1","进入本批内容日历",IF(AG60="P2","观察/做FAQ或长尾","暂不做或合并"))))</x:f>
      </x:c>
    </x:row>
    <x:row r="61">
      <x:c r="A61" s="36"/>
      <x:c r="B61" s="37"/>
      <x:c r="C61" s="37"/>
      <x:c r="D61" s="49"/>
      <x:c r="E61" s="52"/>
      <x:c r="F61" s="55"/>
      <x:c r="G61" s="55"/>
      <x:c r="H61" s="55"/>
      <x:c r="I61" s="55"/>
      <x:c r="J61" s="55"/>
      <x:c r="K61" s="55"/>
      <x:c r="L61" s="55"/>
      <x:c r="M61" s="55"/>
      <x:c r="N61" s="37" t="str">
        <x:f>IF($A61="","",IF(OR($G61="Transactional",$H61="商品/分类页",$H61="集合页",$H61="品牌页"),"主站",IF(OR($H61="博客/榜单",$H61="博客/对比",$G61="Commercial"),"博客站C-对比评测",IF($H61="博客/场景","博客站B-人群场景",IF(OR($H61="教程/FAQ",$H61="博客/指南",$G61="Informational"),"博客站A-知识教程","暂不做")))))</x:f>
      </x:c>
      <x:c r="O61" s="37"/>
      <x:c r="P61" s="37" t="str">
        <x:f>IF($A61="","",IF($O61&lt;&gt;"",$O61,$N61))</x:f>
      </x:c>
      <x:c r="Q61" s="37" t="str">
        <x:f>IF($A61="","",IF($P61="主站","分类页/集合页/商品页",IF($P61="博客站C-对比评测",IF($H61="博客/对比","对比文","购买指南"),IF($P61="博客站B-人群场景","场景解决方案",IF($P61="博客站A-知识教程",IF($H61="教程/FAQ","教程文","价值解释文"),"暂不做")))))</x:f>
      </x:c>
      <x:c r="R61" s="37" t="str">
        <x:f>IF($A61="","",IF($Q61="分类页/集合页/商品页","不写文章",IF($Q61="暂不做","暂不做",$Q61)))</x:f>
      </x:c>
      <x:c r="S61" s="37"/>
      <x:c r="T61" s="37"/>
      <x:c r="U61" s="37"/>
      <x:c r="V61" s="37"/>
      <x:c r="W61" s="37"/>
      <x:c r="X61" s="37"/>
      <x:c r="Y61" s="37"/>
      <x:c r="Z61" s="37"/>
      <x:c r="AA61" s="37"/>
      <x:c r="AB61" s="58" t="str">
        <x:f>IF($A61="","",IF($D61&gt;=1000,15,IF($D61&gt;=300,12,IF($D61&gt;=100,9,IF($D61&gt;0,5,0)))))</x:f>
      </x:c>
      <x:c r="AC61" s="58" t="str">
        <x:f>IF($A61="","",(($I61+$J61)/10)*25)</x:f>
      </x:c>
      <x:c r="AD61" s="58" t="str">
        <x:f>IF($A61="","",(($K61+$L61)/10)*25)</x:f>
      </x:c>
      <x:c r="AE61" s="58" t="str">
        <x:f>IF($A61="","",$M61*5)</x:f>
      </x:c>
      <x:c r="AF61" s="58" t="str">
        <x:f>IF($A61="","",MAX(0,AB61+AC61+AD61-AE61))</x:f>
      </x:c>
      <x:c r="AG61" s="37" t="str">
        <x:f>IF($A61="","",IF(AF61&gt;=70,"P0",IF(AF61&gt;=55,"P1",IF(AF61&gt;=40,"P2","P3"))))</x:f>
      </x:c>
      <x:c r="AH61" s="38" t="str">
        <x:f>IF($A61="","",IF(AG61="P0","立即规划",IF(AG61="P1","进入本批内容日历",IF(AG61="P2","观察/做FAQ或长尾","暂不做或合并"))))</x:f>
      </x:c>
    </x:row>
    <x:row r="62">
      <x:c r="A62" s="36"/>
      <x:c r="B62" s="37"/>
      <x:c r="C62" s="37"/>
      <x:c r="D62" s="49"/>
      <x:c r="E62" s="52"/>
      <x:c r="F62" s="55"/>
      <x:c r="G62" s="55"/>
      <x:c r="H62" s="55"/>
      <x:c r="I62" s="55"/>
      <x:c r="J62" s="55"/>
      <x:c r="K62" s="55"/>
      <x:c r="L62" s="55"/>
      <x:c r="M62" s="55"/>
      <x:c r="N62" s="37" t="str">
        <x:f>IF($A62="","",IF(OR($G62="Transactional",$H62="商品/分类页",$H62="集合页",$H62="品牌页"),"主站",IF(OR($H62="博客/榜单",$H62="博客/对比",$G62="Commercial"),"博客站C-对比评测",IF($H62="博客/场景","博客站B-人群场景",IF(OR($H62="教程/FAQ",$H62="博客/指南",$G62="Informational"),"博客站A-知识教程","暂不做")))))</x:f>
      </x:c>
      <x:c r="O62" s="37"/>
      <x:c r="P62" s="37" t="str">
        <x:f>IF($A62="","",IF($O62&lt;&gt;"",$O62,$N62))</x:f>
      </x:c>
      <x:c r="Q62" s="37" t="str">
        <x:f>IF($A62="","",IF($P62="主站","分类页/集合页/商品页",IF($P62="博客站C-对比评测",IF($H62="博客/对比","对比文","购买指南"),IF($P62="博客站B-人群场景","场景解决方案",IF($P62="博客站A-知识教程",IF($H62="教程/FAQ","教程文","价值解释文"),"暂不做")))))</x:f>
      </x:c>
      <x:c r="R62" s="37" t="str">
        <x:f>IF($A62="","",IF($Q62="分类页/集合页/商品页","不写文章",IF($Q62="暂不做","暂不做",$Q62)))</x:f>
      </x:c>
      <x:c r="S62" s="37"/>
      <x:c r="T62" s="37"/>
      <x:c r="U62" s="37"/>
      <x:c r="V62" s="37"/>
      <x:c r="W62" s="37"/>
      <x:c r="X62" s="37"/>
      <x:c r="Y62" s="37"/>
      <x:c r="Z62" s="37"/>
      <x:c r="AA62" s="37"/>
      <x:c r="AB62" s="58" t="str">
        <x:f>IF($A62="","",IF($D62&gt;=1000,15,IF($D62&gt;=300,12,IF($D62&gt;=100,9,IF($D62&gt;0,5,0)))))</x:f>
      </x:c>
      <x:c r="AC62" s="58" t="str">
        <x:f>IF($A62="","",(($I62+$J62)/10)*25)</x:f>
      </x:c>
      <x:c r="AD62" s="58" t="str">
        <x:f>IF($A62="","",(($K62+$L62)/10)*25)</x:f>
      </x:c>
      <x:c r="AE62" s="58" t="str">
        <x:f>IF($A62="","",$M62*5)</x:f>
      </x:c>
      <x:c r="AF62" s="58" t="str">
        <x:f>IF($A62="","",MAX(0,AB62+AC62+AD62-AE62))</x:f>
      </x:c>
      <x:c r="AG62" s="37" t="str">
        <x:f>IF($A62="","",IF(AF62&gt;=70,"P0",IF(AF62&gt;=55,"P1",IF(AF62&gt;=40,"P2","P3"))))</x:f>
      </x:c>
      <x:c r="AH62" s="38" t="str">
        <x:f>IF($A62="","",IF(AG62="P0","立即规划",IF(AG62="P1","进入本批内容日历",IF(AG62="P2","观察/做FAQ或长尾","暂不做或合并"))))</x:f>
      </x:c>
    </x:row>
    <x:row r="63">
      <x:c r="A63" s="36"/>
      <x:c r="B63" s="37"/>
      <x:c r="C63" s="37"/>
      <x:c r="D63" s="49"/>
      <x:c r="E63" s="52"/>
      <x:c r="F63" s="55"/>
      <x:c r="G63" s="55"/>
      <x:c r="H63" s="55"/>
      <x:c r="I63" s="55"/>
      <x:c r="J63" s="55"/>
      <x:c r="K63" s="55"/>
      <x:c r="L63" s="55"/>
      <x:c r="M63" s="55"/>
      <x:c r="N63" s="37" t="str">
        <x:f>IF($A63="","",IF(OR($G63="Transactional",$H63="商品/分类页",$H63="集合页",$H63="品牌页"),"主站",IF(OR($H63="博客/榜单",$H63="博客/对比",$G63="Commercial"),"博客站C-对比评测",IF($H63="博客/场景","博客站B-人群场景",IF(OR($H63="教程/FAQ",$H63="博客/指南",$G63="Informational"),"博客站A-知识教程","暂不做")))))</x:f>
      </x:c>
      <x:c r="O63" s="37"/>
      <x:c r="P63" s="37" t="str">
        <x:f>IF($A63="","",IF($O63&lt;&gt;"",$O63,$N63))</x:f>
      </x:c>
      <x:c r="Q63" s="37" t="str">
        <x:f>IF($A63="","",IF($P63="主站","分类页/集合页/商品页",IF($P63="博客站C-对比评测",IF($H63="博客/对比","对比文","购买指南"),IF($P63="博客站B-人群场景","场景解决方案",IF($P63="博客站A-知识教程",IF($H63="教程/FAQ","教程文","价值解释文"),"暂不做")))))</x:f>
      </x:c>
      <x:c r="R63" s="37" t="str">
        <x:f>IF($A63="","",IF($Q63="分类页/集合页/商品页","不写文章",IF($Q63="暂不做","暂不做",$Q63)))</x:f>
      </x:c>
      <x:c r="S63" s="37"/>
      <x:c r="T63" s="37"/>
      <x:c r="U63" s="37"/>
      <x:c r="V63" s="37"/>
      <x:c r="W63" s="37"/>
      <x:c r="X63" s="37"/>
      <x:c r="Y63" s="37"/>
      <x:c r="Z63" s="37"/>
      <x:c r="AA63" s="37"/>
      <x:c r="AB63" s="58" t="str">
        <x:f>IF($A63="","",IF($D63&gt;=1000,15,IF($D63&gt;=300,12,IF($D63&gt;=100,9,IF($D63&gt;0,5,0)))))</x:f>
      </x:c>
      <x:c r="AC63" s="58" t="str">
        <x:f>IF($A63="","",(($I63+$J63)/10)*25)</x:f>
      </x:c>
      <x:c r="AD63" s="58" t="str">
        <x:f>IF($A63="","",(($K63+$L63)/10)*25)</x:f>
      </x:c>
      <x:c r="AE63" s="58" t="str">
        <x:f>IF($A63="","",$M63*5)</x:f>
      </x:c>
      <x:c r="AF63" s="58" t="str">
        <x:f>IF($A63="","",MAX(0,AB63+AC63+AD63-AE63))</x:f>
      </x:c>
      <x:c r="AG63" s="37" t="str">
        <x:f>IF($A63="","",IF(AF63&gt;=70,"P0",IF(AF63&gt;=55,"P1",IF(AF63&gt;=40,"P2","P3"))))</x:f>
      </x:c>
      <x:c r="AH63" s="38" t="str">
        <x:f>IF($A63="","",IF(AG63="P0","立即规划",IF(AG63="P1","进入本批内容日历",IF(AG63="P2","观察/做FAQ或长尾","暂不做或合并"))))</x:f>
      </x:c>
    </x:row>
    <x:row r="64">
      <x:c r="A64" s="36"/>
      <x:c r="B64" s="37"/>
      <x:c r="C64" s="37"/>
      <x:c r="D64" s="49"/>
      <x:c r="E64" s="52"/>
      <x:c r="F64" s="55"/>
      <x:c r="G64" s="55"/>
      <x:c r="H64" s="55"/>
      <x:c r="I64" s="55"/>
      <x:c r="J64" s="55"/>
      <x:c r="K64" s="55"/>
      <x:c r="L64" s="55"/>
      <x:c r="M64" s="55"/>
      <x:c r="N64" s="37" t="str">
        <x:f>IF($A64="","",IF(OR($G64="Transactional",$H64="商品/分类页",$H64="集合页",$H64="品牌页"),"主站",IF(OR($H64="博客/榜单",$H64="博客/对比",$G64="Commercial"),"博客站C-对比评测",IF($H64="博客/场景","博客站B-人群场景",IF(OR($H64="教程/FAQ",$H64="博客/指南",$G64="Informational"),"博客站A-知识教程","暂不做")))))</x:f>
      </x:c>
      <x:c r="O64" s="37"/>
      <x:c r="P64" s="37" t="str">
        <x:f>IF($A64="","",IF($O64&lt;&gt;"",$O64,$N64))</x:f>
      </x:c>
      <x:c r="Q64" s="37" t="str">
        <x:f>IF($A64="","",IF($P64="主站","分类页/集合页/商品页",IF($P64="博客站C-对比评测",IF($H64="博客/对比","对比文","购买指南"),IF($P64="博客站B-人群场景","场景解决方案",IF($P64="博客站A-知识教程",IF($H64="教程/FAQ","教程文","价值解释文"),"暂不做")))))</x:f>
      </x:c>
      <x:c r="R64" s="37" t="str">
        <x:f>IF($A64="","",IF($Q64="分类页/集合页/商品页","不写文章",IF($Q64="暂不做","暂不做",$Q64)))</x:f>
      </x:c>
      <x:c r="S64" s="37"/>
      <x:c r="T64" s="37"/>
      <x:c r="U64" s="37"/>
      <x:c r="V64" s="37"/>
      <x:c r="W64" s="37"/>
      <x:c r="X64" s="37"/>
      <x:c r="Y64" s="37"/>
      <x:c r="Z64" s="37"/>
      <x:c r="AA64" s="37"/>
      <x:c r="AB64" s="58" t="str">
        <x:f>IF($A64="","",IF($D64&gt;=1000,15,IF($D64&gt;=300,12,IF($D64&gt;=100,9,IF($D64&gt;0,5,0)))))</x:f>
      </x:c>
      <x:c r="AC64" s="58" t="str">
        <x:f>IF($A64="","",(($I64+$J64)/10)*25)</x:f>
      </x:c>
      <x:c r="AD64" s="58" t="str">
        <x:f>IF($A64="","",(($K64+$L64)/10)*25)</x:f>
      </x:c>
      <x:c r="AE64" s="58" t="str">
        <x:f>IF($A64="","",$M64*5)</x:f>
      </x:c>
      <x:c r="AF64" s="58" t="str">
        <x:f>IF($A64="","",MAX(0,AB64+AC64+AD64-AE64))</x:f>
      </x:c>
      <x:c r="AG64" s="37" t="str">
        <x:f>IF($A64="","",IF(AF64&gt;=70,"P0",IF(AF64&gt;=55,"P1",IF(AF64&gt;=40,"P2","P3"))))</x:f>
      </x:c>
      <x:c r="AH64" s="38" t="str">
        <x:f>IF($A64="","",IF(AG64="P0","立即规划",IF(AG64="P1","进入本批内容日历",IF(AG64="P2","观察/做FAQ或长尾","暂不做或合并"))))</x:f>
      </x:c>
    </x:row>
    <x:row r="65">
      <x:c r="A65" s="36"/>
      <x:c r="B65" s="37"/>
      <x:c r="C65" s="37"/>
      <x:c r="D65" s="49"/>
      <x:c r="E65" s="52"/>
      <x:c r="F65" s="55"/>
      <x:c r="G65" s="55"/>
      <x:c r="H65" s="55"/>
      <x:c r="I65" s="55"/>
      <x:c r="J65" s="55"/>
      <x:c r="K65" s="55"/>
      <x:c r="L65" s="55"/>
      <x:c r="M65" s="55"/>
      <x:c r="N65" s="37" t="str">
        <x:f>IF($A65="","",IF(OR($G65="Transactional",$H65="商品/分类页",$H65="集合页",$H65="品牌页"),"主站",IF(OR($H65="博客/榜单",$H65="博客/对比",$G65="Commercial"),"博客站C-对比评测",IF($H65="博客/场景","博客站B-人群场景",IF(OR($H65="教程/FAQ",$H65="博客/指南",$G65="Informational"),"博客站A-知识教程","暂不做")))))</x:f>
      </x:c>
      <x:c r="O65" s="37"/>
      <x:c r="P65" s="37" t="str">
        <x:f>IF($A65="","",IF($O65&lt;&gt;"",$O65,$N65))</x:f>
      </x:c>
      <x:c r="Q65" s="37" t="str">
        <x:f>IF($A65="","",IF($P65="主站","分类页/集合页/商品页",IF($P65="博客站C-对比评测",IF($H65="博客/对比","对比文","购买指南"),IF($P65="博客站B-人群场景","场景解决方案",IF($P65="博客站A-知识教程",IF($H65="教程/FAQ","教程文","价值解释文"),"暂不做")))))</x:f>
      </x:c>
      <x:c r="R65" s="37" t="str">
        <x:f>IF($A65="","",IF($Q65="分类页/集合页/商品页","不写文章",IF($Q65="暂不做","暂不做",$Q65)))</x:f>
      </x:c>
      <x:c r="S65" s="37"/>
      <x:c r="T65" s="37"/>
      <x:c r="U65" s="37"/>
      <x:c r="V65" s="37"/>
      <x:c r="W65" s="37"/>
      <x:c r="X65" s="37"/>
      <x:c r="Y65" s="37"/>
      <x:c r="Z65" s="37"/>
      <x:c r="AA65" s="37"/>
      <x:c r="AB65" s="58" t="str">
        <x:f>IF($A65="","",IF($D65&gt;=1000,15,IF($D65&gt;=300,12,IF($D65&gt;=100,9,IF($D65&gt;0,5,0)))))</x:f>
      </x:c>
      <x:c r="AC65" s="58" t="str">
        <x:f>IF($A65="","",(($I65+$J65)/10)*25)</x:f>
      </x:c>
      <x:c r="AD65" s="58" t="str">
        <x:f>IF($A65="","",(($K65+$L65)/10)*25)</x:f>
      </x:c>
      <x:c r="AE65" s="58" t="str">
        <x:f>IF($A65="","",$M65*5)</x:f>
      </x:c>
      <x:c r="AF65" s="58" t="str">
        <x:f>IF($A65="","",MAX(0,AB65+AC65+AD65-AE65))</x:f>
      </x:c>
      <x:c r="AG65" s="37" t="str">
        <x:f>IF($A65="","",IF(AF65&gt;=70,"P0",IF(AF65&gt;=55,"P1",IF(AF65&gt;=40,"P2","P3"))))</x:f>
      </x:c>
      <x:c r="AH65" s="38" t="str">
        <x:f>IF($A65="","",IF(AG65="P0","立即规划",IF(AG65="P1","进入本批内容日历",IF(AG65="P2","观察/做FAQ或长尾","暂不做或合并"))))</x:f>
      </x:c>
    </x:row>
    <x:row r="66">
      <x:c r="A66" s="36"/>
      <x:c r="B66" s="37"/>
      <x:c r="C66" s="37"/>
      <x:c r="D66" s="49"/>
      <x:c r="E66" s="52"/>
      <x:c r="F66" s="55"/>
      <x:c r="G66" s="55"/>
      <x:c r="H66" s="55"/>
      <x:c r="I66" s="55"/>
      <x:c r="J66" s="55"/>
      <x:c r="K66" s="55"/>
      <x:c r="L66" s="55"/>
      <x:c r="M66" s="55"/>
      <x:c r="N66" s="37" t="str">
        <x:f>IF($A66="","",IF(OR($G66="Transactional",$H66="商品/分类页",$H66="集合页",$H66="品牌页"),"主站",IF(OR($H66="博客/榜单",$H66="博客/对比",$G66="Commercial"),"博客站C-对比评测",IF($H66="博客/场景","博客站B-人群场景",IF(OR($H66="教程/FAQ",$H66="博客/指南",$G66="Informational"),"博客站A-知识教程","暂不做")))))</x:f>
      </x:c>
      <x:c r="O66" s="37"/>
      <x:c r="P66" s="37" t="str">
        <x:f>IF($A66="","",IF($O66&lt;&gt;"",$O66,$N66))</x:f>
      </x:c>
      <x:c r="Q66" s="37" t="str">
        <x:f>IF($A66="","",IF($P66="主站","分类页/集合页/商品页",IF($P66="博客站C-对比评测",IF($H66="博客/对比","对比文","购买指南"),IF($P66="博客站B-人群场景","场景解决方案",IF($P66="博客站A-知识教程",IF($H66="教程/FAQ","教程文","价值解释文"),"暂不做")))))</x:f>
      </x:c>
      <x:c r="R66" s="37" t="str">
        <x:f>IF($A66="","",IF($Q66="分类页/集合页/商品页","不写文章",IF($Q66="暂不做","暂不做",$Q66)))</x:f>
      </x:c>
      <x:c r="S66" s="37"/>
      <x:c r="T66" s="37"/>
      <x:c r="U66" s="37"/>
      <x:c r="V66" s="37"/>
      <x:c r="W66" s="37"/>
      <x:c r="X66" s="37"/>
      <x:c r="Y66" s="37"/>
      <x:c r="Z66" s="37"/>
      <x:c r="AA66" s="37"/>
      <x:c r="AB66" s="58" t="str">
        <x:f>IF($A66="","",IF($D66&gt;=1000,15,IF($D66&gt;=300,12,IF($D66&gt;=100,9,IF($D66&gt;0,5,0)))))</x:f>
      </x:c>
      <x:c r="AC66" s="58" t="str">
        <x:f>IF($A66="","",(($I66+$J66)/10)*25)</x:f>
      </x:c>
      <x:c r="AD66" s="58" t="str">
        <x:f>IF($A66="","",(($K66+$L66)/10)*25)</x:f>
      </x:c>
      <x:c r="AE66" s="58" t="str">
        <x:f>IF($A66="","",$M66*5)</x:f>
      </x:c>
      <x:c r="AF66" s="58" t="str">
        <x:f>IF($A66="","",MAX(0,AB66+AC66+AD66-AE66))</x:f>
      </x:c>
      <x:c r="AG66" s="37" t="str">
        <x:f>IF($A66="","",IF(AF66&gt;=70,"P0",IF(AF66&gt;=55,"P1",IF(AF66&gt;=40,"P2","P3"))))</x:f>
      </x:c>
      <x:c r="AH66" s="38" t="str">
        <x:f>IF($A66="","",IF(AG66="P0","立即规划",IF(AG66="P1","进入本批内容日历",IF(AG66="P2","观察/做FAQ或长尾","暂不做或合并"))))</x:f>
      </x:c>
    </x:row>
    <x:row r="67">
      <x:c r="A67" s="36"/>
      <x:c r="B67" s="37"/>
      <x:c r="C67" s="37"/>
      <x:c r="D67" s="49"/>
      <x:c r="E67" s="52"/>
      <x:c r="F67" s="55"/>
      <x:c r="G67" s="55"/>
      <x:c r="H67" s="55"/>
      <x:c r="I67" s="55"/>
      <x:c r="J67" s="55"/>
      <x:c r="K67" s="55"/>
      <x:c r="L67" s="55"/>
      <x:c r="M67" s="55"/>
      <x:c r="N67" s="37" t="str">
        <x:f>IF($A67="","",IF(OR($G67="Transactional",$H67="商品/分类页",$H67="集合页",$H67="品牌页"),"主站",IF(OR($H67="博客/榜单",$H67="博客/对比",$G67="Commercial"),"博客站C-对比评测",IF($H67="博客/场景","博客站B-人群场景",IF(OR($H67="教程/FAQ",$H67="博客/指南",$G67="Informational"),"博客站A-知识教程","暂不做")))))</x:f>
      </x:c>
      <x:c r="O67" s="37"/>
      <x:c r="P67" s="37" t="str">
        <x:f>IF($A67="","",IF($O67&lt;&gt;"",$O67,$N67))</x:f>
      </x:c>
      <x:c r="Q67" s="37" t="str">
        <x:f>IF($A67="","",IF($P67="主站","分类页/集合页/商品页",IF($P67="博客站C-对比评测",IF($H67="博客/对比","对比文","购买指南"),IF($P67="博客站B-人群场景","场景解决方案",IF($P67="博客站A-知识教程",IF($H67="教程/FAQ","教程文","价值解释文"),"暂不做")))))</x:f>
      </x:c>
      <x:c r="R67" s="37" t="str">
        <x:f>IF($A67="","",IF($Q67="分类页/集合页/商品页","不写文章",IF($Q67="暂不做","暂不做",$Q67)))</x:f>
      </x:c>
      <x:c r="S67" s="37"/>
      <x:c r="T67" s="37"/>
      <x:c r="U67" s="37"/>
      <x:c r="V67" s="37"/>
      <x:c r="W67" s="37"/>
      <x:c r="X67" s="37"/>
      <x:c r="Y67" s="37"/>
      <x:c r="Z67" s="37"/>
      <x:c r="AA67" s="37"/>
      <x:c r="AB67" s="58" t="str">
        <x:f>IF($A67="","",IF($D67&gt;=1000,15,IF($D67&gt;=300,12,IF($D67&gt;=100,9,IF($D67&gt;0,5,0)))))</x:f>
      </x:c>
      <x:c r="AC67" s="58" t="str">
        <x:f>IF($A67="","",(($I67+$J67)/10)*25)</x:f>
      </x:c>
      <x:c r="AD67" s="58" t="str">
        <x:f>IF($A67="","",(($K67+$L67)/10)*25)</x:f>
      </x:c>
      <x:c r="AE67" s="58" t="str">
        <x:f>IF($A67="","",$M67*5)</x:f>
      </x:c>
      <x:c r="AF67" s="58" t="str">
        <x:f>IF($A67="","",MAX(0,AB67+AC67+AD67-AE67))</x:f>
      </x:c>
      <x:c r="AG67" s="37" t="str">
        <x:f>IF($A67="","",IF(AF67&gt;=70,"P0",IF(AF67&gt;=55,"P1",IF(AF67&gt;=40,"P2","P3"))))</x:f>
      </x:c>
      <x:c r="AH67" s="38" t="str">
        <x:f>IF($A67="","",IF(AG67="P0","立即规划",IF(AG67="P1","进入本批内容日历",IF(AG67="P2","观察/做FAQ或长尾","暂不做或合并"))))</x:f>
      </x:c>
    </x:row>
    <x:row r="68">
      <x:c r="A68" s="36"/>
      <x:c r="B68" s="37"/>
      <x:c r="C68" s="37"/>
      <x:c r="D68" s="49"/>
      <x:c r="E68" s="52"/>
      <x:c r="F68" s="55"/>
      <x:c r="G68" s="55"/>
      <x:c r="H68" s="55"/>
      <x:c r="I68" s="55"/>
      <x:c r="J68" s="55"/>
      <x:c r="K68" s="55"/>
      <x:c r="L68" s="55"/>
      <x:c r="M68" s="55"/>
      <x:c r="N68" s="37" t="str">
        <x:f>IF($A68="","",IF(OR($G68="Transactional",$H68="商品/分类页",$H68="集合页",$H68="品牌页"),"主站",IF(OR($H68="博客/榜单",$H68="博客/对比",$G68="Commercial"),"博客站C-对比评测",IF($H68="博客/场景","博客站B-人群场景",IF(OR($H68="教程/FAQ",$H68="博客/指南",$G68="Informational"),"博客站A-知识教程","暂不做")))))</x:f>
      </x:c>
      <x:c r="O68" s="37"/>
      <x:c r="P68" s="37" t="str">
        <x:f>IF($A68="","",IF($O68&lt;&gt;"",$O68,$N68))</x:f>
      </x:c>
      <x:c r="Q68" s="37" t="str">
        <x:f>IF($A68="","",IF($P68="主站","分类页/集合页/商品页",IF($P68="博客站C-对比评测",IF($H68="博客/对比","对比文","购买指南"),IF($P68="博客站B-人群场景","场景解决方案",IF($P68="博客站A-知识教程",IF($H68="教程/FAQ","教程文","价值解释文"),"暂不做")))))</x:f>
      </x:c>
      <x:c r="R68" s="37" t="str">
        <x:f>IF($A68="","",IF($Q68="分类页/集合页/商品页","不写文章",IF($Q68="暂不做","暂不做",$Q68)))</x:f>
      </x:c>
      <x:c r="S68" s="37"/>
      <x:c r="T68" s="37"/>
      <x:c r="U68" s="37"/>
      <x:c r="V68" s="37"/>
      <x:c r="W68" s="37"/>
      <x:c r="X68" s="37"/>
      <x:c r="Y68" s="37"/>
      <x:c r="Z68" s="37"/>
      <x:c r="AA68" s="37"/>
      <x:c r="AB68" s="58" t="str">
        <x:f>IF($A68="","",IF($D68&gt;=1000,15,IF($D68&gt;=300,12,IF($D68&gt;=100,9,IF($D68&gt;0,5,0)))))</x:f>
      </x:c>
      <x:c r="AC68" s="58" t="str">
        <x:f>IF($A68="","",(($I68+$J68)/10)*25)</x:f>
      </x:c>
      <x:c r="AD68" s="58" t="str">
        <x:f>IF($A68="","",(($K68+$L68)/10)*25)</x:f>
      </x:c>
      <x:c r="AE68" s="58" t="str">
        <x:f>IF($A68="","",$M68*5)</x:f>
      </x:c>
      <x:c r="AF68" s="58" t="str">
        <x:f>IF($A68="","",MAX(0,AB68+AC68+AD68-AE68))</x:f>
      </x:c>
      <x:c r="AG68" s="37" t="str">
        <x:f>IF($A68="","",IF(AF68&gt;=70,"P0",IF(AF68&gt;=55,"P1",IF(AF68&gt;=40,"P2","P3"))))</x:f>
      </x:c>
      <x:c r="AH68" s="38" t="str">
        <x:f>IF($A68="","",IF(AG68="P0","立即规划",IF(AG68="P1","进入本批内容日历",IF(AG68="P2","观察/做FAQ或长尾","暂不做或合并"))))</x:f>
      </x:c>
    </x:row>
    <x:row r="69">
      <x:c r="A69" s="36"/>
      <x:c r="B69" s="37"/>
      <x:c r="C69" s="37"/>
      <x:c r="D69" s="49"/>
      <x:c r="E69" s="52"/>
      <x:c r="F69" s="55"/>
      <x:c r="G69" s="55"/>
      <x:c r="H69" s="55"/>
      <x:c r="I69" s="55"/>
      <x:c r="J69" s="55"/>
      <x:c r="K69" s="55"/>
      <x:c r="L69" s="55"/>
      <x:c r="M69" s="55"/>
      <x:c r="N69" s="37" t="str">
        <x:f>IF($A69="","",IF(OR($G69="Transactional",$H69="商品/分类页",$H69="集合页",$H69="品牌页"),"主站",IF(OR($H69="博客/榜单",$H69="博客/对比",$G69="Commercial"),"博客站C-对比评测",IF($H69="博客/场景","博客站B-人群场景",IF(OR($H69="教程/FAQ",$H69="博客/指南",$G69="Informational"),"博客站A-知识教程","暂不做")))))</x:f>
      </x:c>
      <x:c r="O69" s="37"/>
      <x:c r="P69" s="37" t="str">
        <x:f>IF($A69="","",IF($O69&lt;&gt;"",$O69,$N69))</x:f>
      </x:c>
      <x:c r="Q69" s="37" t="str">
        <x:f>IF($A69="","",IF($P69="主站","分类页/集合页/商品页",IF($P69="博客站C-对比评测",IF($H69="博客/对比","对比文","购买指南"),IF($P69="博客站B-人群场景","场景解决方案",IF($P69="博客站A-知识教程",IF($H69="教程/FAQ","教程文","价值解释文"),"暂不做")))))</x:f>
      </x:c>
      <x:c r="R69" s="37" t="str">
        <x:f>IF($A69="","",IF($Q69="分类页/集合页/商品页","不写文章",IF($Q69="暂不做","暂不做",$Q69)))</x:f>
      </x:c>
      <x:c r="S69" s="37"/>
      <x:c r="T69" s="37"/>
      <x:c r="U69" s="37"/>
      <x:c r="V69" s="37"/>
      <x:c r="W69" s="37"/>
      <x:c r="X69" s="37"/>
      <x:c r="Y69" s="37"/>
      <x:c r="Z69" s="37"/>
      <x:c r="AA69" s="37"/>
      <x:c r="AB69" s="58" t="str">
        <x:f>IF($A69="","",IF($D69&gt;=1000,15,IF($D69&gt;=300,12,IF($D69&gt;=100,9,IF($D69&gt;0,5,0)))))</x:f>
      </x:c>
      <x:c r="AC69" s="58" t="str">
        <x:f>IF($A69="","",(($I69+$J69)/10)*25)</x:f>
      </x:c>
      <x:c r="AD69" s="58" t="str">
        <x:f>IF($A69="","",(($K69+$L69)/10)*25)</x:f>
      </x:c>
      <x:c r="AE69" s="58" t="str">
        <x:f>IF($A69="","",$M69*5)</x:f>
      </x:c>
      <x:c r="AF69" s="58" t="str">
        <x:f>IF($A69="","",MAX(0,AB69+AC69+AD69-AE69))</x:f>
      </x:c>
      <x:c r="AG69" s="37" t="str">
        <x:f>IF($A69="","",IF(AF69&gt;=70,"P0",IF(AF69&gt;=55,"P1",IF(AF69&gt;=40,"P2","P3"))))</x:f>
      </x:c>
      <x:c r="AH69" s="38" t="str">
        <x:f>IF($A69="","",IF(AG69="P0","立即规划",IF(AG69="P1","进入本批内容日历",IF(AG69="P2","观察/做FAQ或长尾","暂不做或合并"))))</x:f>
      </x:c>
    </x:row>
    <x:row r="70">
      <x:c r="A70" s="36"/>
      <x:c r="B70" s="37"/>
      <x:c r="C70" s="37"/>
      <x:c r="D70" s="49"/>
      <x:c r="E70" s="52"/>
      <x:c r="F70" s="55"/>
      <x:c r="G70" s="55"/>
      <x:c r="H70" s="55"/>
      <x:c r="I70" s="55"/>
      <x:c r="J70" s="55"/>
      <x:c r="K70" s="55"/>
      <x:c r="L70" s="55"/>
      <x:c r="M70" s="55"/>
      <x:c r="N70" s="37" t="str">
        <x:f>IF($A70="","",IF(OR($G70="Transactional",$H70="商品/分类页",$H70="集合页",$H70="品牌页"),"主站",IF(OR($H70="博客/榜单",$H70="博客/对比",$G70="Commercial"),"博客站C-对比评测",IF($H70="博客/场景","博客站B-人群场景",IF(OR($H70="教程/FAQ",$H70="博客/指南",$G70="Informational"),"博客站A-知识教程","暂不做")))))</x:f>
      </x:c>
      <x:c r="O70" s="37"/>
      <x:c r="P70" s="37" t="str">
        <x:f>IF($A70="","",IF($O70&lt;&gt;"",$O70,$N70))</x:f>
      </x:c>
      <x:c r="Q70" s="37" t="str">
        <x:f>IF($A70="","",IF($P70="主站","分类页/集合页/商品页",IF($P70="博客站C-对比评测",IF($H70="博客/对比","对比文","购买指南"),IF($P70="博客站B-人群场景","场景解决方案",IF($P70="博客站A-知识教程",IF($H70="教程/FAQ","教程文","价值解释文"),"暂不做")))))</x:f>
      </x:c>
      <x:c r="R70" s="37" t="str">
        <x:f>IF($A70="","",IF($Q70="分类页/集合页/商品页","不写文章",IF($Q70="暂不做","暂不做",$Q70)))</x:f>
      </x:c>
      <x:c r="S70" s="37"/>
      <x:c r="T70" s="37"/>
      <x:c r="U70" s="37"/>
      <x:c r="V70" s="37"/>
      <x:c r="W70" s="37"/>
      <x:c r="X70" s="37"/>
      <x:c r="Y70" s="37"/>
      <x:c r="Z70" s="37"/>
      <x:c r="AA70" s="37"/>
      <x:c r="AB70" s="58" t="str">
        <x:f>IF($A70="","",IF($D70&gt;=1000,15,IF($D70&gt;=300,12,IF($D70&gt;=100,9,IF($D70&gt;0,5,0)))))</x:f>
      </x:c>
      <x:c r="AC70" s="58" t="str">
        <x:f>IF($A70="","",(($I70+$J70)/10)*25)</x:f>
      </x:c>
      <x:c r="AD70" s="58" t="str">
        <x:f>IF($A70="","",(($K70+$L70)/10)*25)</x:f>
      </x:c>
      <x:c r="AE70" s="58" t="str">
        <x:f>IF($A70="","",$M70*5)</x:f>
      </x:c>
      <x:c r="AF70" s="58" t="str">
        <x:f>IF($A70="","",MAX(0,AB70+AC70+AD70-AE70))</x:f>
      </x:c>
      <x:c r="AG70" s="37" t="str">
        <x:f>IF($A70="","",IF(AF70&gt;=70,"P0",IF(AF70&gt;=55,"P1",IF(AF70&gt;=40,"P2","P3"))))</x:f>
      </x:c>
      <x:c r="AH70" s="38" t="str">
        <x:f>IF($A70="","",IF(AG70="P0","立即规划",IF(AG70="P1","进入本批内容日历",IF(AG70="P2","观察/做FAQ或长尾","暂不做或合并"))))</x:f>
      </x:c>
    </x:row>
    <x:row r="71">
      <x:c r="A71" s="36"/>
      <x:c r="B71" s="37"/>
      <x:c r="C71" s="37"/>
      <x:c r="D71" s="49"/>
      <x:c r="E71" s="52"/>
      <x:c r="F71" s="55"/>
      <x:c r="G71" s="55"/>
      <x:c r="H71" s="55"/>
      <x:c r="I71" s="55"/>
      <x:c r="J71" s="55"/>
      <x:c r="K71" s="55"/>
      <x:c r="L71" s="55"/>
      <x:c r="M71" s="55"/>
      <x:c r="N71" s="37" t="str">
        <x:f>IF($A71="","",IF(OR($G71="Transactional",$H71="商品/分类页",$H71="集合页",$H71="品牌页"),"主站",IF(OR($H71="博客/榜单",$H71="博客/对比",$G71="Commercial"),"博客站C-对比评测",IF($H71="博客/场景","博客站B-人群场景",IF(OR($H71="教程/FAQ",$H71="博客/指南",$G71="Informational"),"博客站A-知识教程","暂不做")))))</x:f>
      </x:c>
      <x:c r="O71" s="37"/>
      <x:c r="P71" s="37" t="str">
        <x:f>IF($A71="","",IF($O71&lt;&gt;"",$O71,$N71))</x:f>
      </x:c>
      <x:c r="Q71" s="37" t="str">
        <x:f>IF($A71="","",IF($P71="主站","分类页/集合页/商品页",IF($P71="博客站C-对比评测",IF($H71="博客/对比","对比文","购买指南"),IF($P71="博客站B-人群场景","场景解决方案",IF($P71="博客站A-知识教程",IF($H71="教程/FAQ","教程文","价值解释文"),"暂不做")))))</x:f>
      </x:c>
      <x:c r="R71" s="37" t="str">
        <x:f>IF($A71="","",IF($Q71="分类页/集合页/商品页","不写文章",IF($Q71="暂不做","暂不做",$Q71)))</x:f>
      </x:c>
      <x:c r="S71" s="37"/>
      <x:c r="T71" s="37"/>
      <x:c r="U71" s="37"/>
      <x:c r="V71" s="37"/>
      <x:c r="W71" s="37"/>
      <x:c r="X71" s="37"/>
      <x:c r="Y71" s="37"/>
      <x:c r="Z71" s="37"/>
      <x:c r="AA71" s="37"/>
      <x:c r="AB71" s="58" t="str">
        <x:f>IF($A71="","",IF($D71&gt;=1000,15,IF($D71&gt;=300,12,IF($D71&gt;=100,9,IF($D71&gt;0,5,0)))))</x:f>
      </x:c>
      <x:c r="AC71" s="58" t="str">
        <x:f>IF($A71="","",(($I71+$J71)/10)*25)</x:f>
      </x:c>
      <x:c r="AD71" s="58" t="str">
        <x:f>IF($A71="","",(($K71+$L71)/10)*25)</x:f>
      </x:c>
      <x:c r="AE71" s="58" t="str">
        <x:f>IF($A71="","",$M71*5)</x:f>
      </x:c>
      <x:c r="AF71" s="58" t="str">
        <x:f>IF($A71="","",MAX(0,AB71+AC71+AD71-AE71))</x:f>
      </x:c>
      <x:c r="AG71" s="37" t="str">
        <x:f>IF($A71="","",IF(AF71&gt;=70,"P0",IF(AF71&gt;=55,"P1",IF(AF71&gt;=40,"P2","P3"))))</x:f>
      </x:c>
      <x:c r="AH71" s="38" t="str">
        <x:f>IF($A71="","",IF(AG71="P0","立即规划",IF(AG71="P1","进入本批内容日历",IF(AG71="P2","观察/做FAQ或长尾","暂不做或合并"))))</x:f>
      </x:c>
    </x:row>
    <x:row r="72">
      <x:c r="A72" s="36"/>
      <x:c r="B72" s="37"/>
      <x:c r="C72" s="37"/>
      <x:c r="D72" s="49"/>
      <x:c r="E72" s="52"/>
      <x:c r="F72" s="55"/>
      <x:c r="G72" s="55"/>
      <x:c r="H72" s="55"/>
      <x:c r="I72" s="55"/>
      <x:c r="J72" s="55"/>
      <x:c r="K72" s="55"/>
      <x:c r="L72" s="55"/>
      <x:c r="M72" s="55"/>
      <x:c r="N72" s="37" t="str">
        <x:f>IF($A72="","",IF(OR($G72="Transactional",$H72="商品/分类页",$H72="集合页",$H72="品牌页"),"主站",IF(OR($H72="博客/榜单",$H72="博客/对比",$G72="Commercial"),"博客站C-对比评测",IF($H72="博客/场景","博客站B-人群场景",IF(OR($H72="教程/FAQ",$H72="博客/指南",$G72="Informational"),"博客站A-知识教程","暂不做")))))</x:f>
      </x:c>
      <x:c r="O72" s="37"/>
      <x:c r="P72" s="37" t="str">
        <x:f>IF($A72="","",IF($O72&lt;&gt;"",$O72,$N72))</x:f>
      </x:c>
      <x:c r="Q72" s="37" t="str">
        <x:f>IF($A72="","",IF($P72="主站","分类页/集合页/商品页",IF($P72="博客站C-对比评测",IF($H72="博客/对比","对比文","购买指南"),IF($P72="博客站B-人群场景","场景解决方案",IF($P72="博客站A-知识教程",IF($H72="教程/FAQ","教程文","价值解释文"),"暂不做")))))</x:f>
      </x:c>
      <x:c r="R72" s="37" t="str">
        <x:f>IF($A72="","",IF($Q72="分类页/集合页/商品页","不写文章",IF($Q72="暂不做","暂不做",$Q72)))</x:f>
      </x:c>
      <x:c r="S72" s="37"/>
      <x:c r="T72" s="37"/>
      <x:c r="U72" s="37"/>
      <x:c r="V72" s="37"/>
      <x:c r="W72" s="37"/>
      <x:c r="X72" s="37"/>
      <x:c r="Y72" s="37"/>
      <x:c r="Z72" s="37"/>
      <x:c r="AA72" s="37"/>
      <x:c r="AB72" s="58" t="str">
        <x:f>IF($A72="","",IF($D72&gt;=1000,15,IF($D72&gt;=300,12,IF($D72&gt;=100,9,IF($D72&gt;0,5,0)))))</x:f>
      </x:c>
      <x:c r="AC72" s="58" t="str">
        <x:f>IF($A72="","",(($I72+$J72)/10)*25)</x:f>
      </x:c>
      <x:c r="AD72" s="58" t="str">
        <x:f>IF($A72="","",(($K72+$L72)/10)*25)</x:f>
      </x:c>
      <x:c r="AE72" s="58" t="str">
        <x:f>IF($A72="","",$M72*5)</x:f>
      </x:c>
      <x:c r="AF72" s="58" t="str">
        <x:f>IF($A72="","",MAX(0,AB72+AC72+AD72-AE72))</x:f>
      </x:c>
      <x:c r="AG72" s="37" t="str">
        <x:f>IF($A72="","",IF(AF72&gt;=70,"P0",IF(AF72&gt;=55,"P1",IF(AF72&gt;=40,"P2","P3"))))</x:f>
      </x:c>
      <x:c r="AH72" s="38" t="str">
        <x:f>IF($A72="","",IF(AG72="P0","立即规划",IF(AG72="P1","进入本批内容日历",IF(AG72="P2","观察/做FAQ或长尾","暂不做或合并"))))</x:f>
      </x:c>
    </x:row>
    <x:row r="73">
      <x:c r="A73" s="36"/>
      <x:c r="B73" s="37"/>
      <x:c r="C73" s="37"/>
      <x:c r="D73" s="49"/>
      <x:c r="E73" s="52"/>
      <x:c r="F73" s="55"/>
      <x:c r="G73" s="55"/>
      <x:c r="H73" s="55"/>
      <x:c r="I73" s="55"/>
      <x:c r="J73" s="55"/>
      <x:c r="K73" s="55"/>
      <x:c r="L73" s="55"/>
      <x:c r="M73" s="55"/>
      <x:c r="N73" s="37" t="str">
        <x:f>IF($A73="","",IF(OR($G73="Transactional",$H73="商品/分类页",$H73="集合页",$H73="品牌页"),"主站",IF(OR($H73="博客/榜单",$H73="博客/对比",$G73="Commercial"),"博客站C-对比评测",IF($H73="博客/场景","博客站B-人群场景",IF(OR($H73="教程/FAQ",$H73="博客/指南",$G73="Informational"),"博客站A-知识教程","暂不做")))))</x:f>
      </x:c>
      <x:c r="O73" s="37"/>
      <x:c r="P73" s="37" t="str">
        <x:f>IF($A73="","",IF($O73&lt;&gt;"",$O73,$N73))</x:f>
      </x:c>
      <x:c r="Q73" s="37" t="str">
        <x:f>IF($A73="","",IF($P73="主站","分类页/集合页/商品页",IF($P73="博客站C-对比评测",IF($H73="博客/对比","对比文","购买指南"),IF($P73="博客站B-人群场景","场景解决方案",IF($P73="博客站A-知识教程",IF($H73="教程/FAQ","教程文","价值解释文"),"暂不做")))))</x:f>
      </x:c>
      <x:c r="R73" s="37" t="str">
        <x:f>IF($A73="","",IF($Q73="分类页/集合页/商品页","不写文章",IF($Q73="暂不做","暂不做",$Q73)))</x:f>
      </x:c>
      <x:c r="S73" s="37"/>
      <x:c r="T73" s="37"/>
      <x:c r="U73" s="37"/>
      <x:c r="V73" s="37"/>
      <x:c r="W73" s="37"/>
      <x:c r="X73" s="37"/>
      <x:c r="Y73" s="37"/>
      <x:c r="Z73" s="37"/>
      <x:c r="AA73" s="37"/>
      <x:c r="AB73" s="58" t="str">
        <x:f>IF($A73="","",IF($D73&gt;=1000,15,IF($D73&gt;=300,12,IF($D73&gt;=100,9,IF($D73&gt;0,5,0)))))</x:f>
      </x:c>
      <x:c r="AC73" s="58" t="str">
        <x:f>IF($A73="","",(($I73+$J73)/10)*25)</x:f>
      </x:c>
      <x:c r="AD73" s="58" t="str">
        <x:f>IF($A73="","",(($K73+$L73)/10)*25)</x:f>
      </x:c>
      <x:c r="AE73" s="58" t="str">
        <x:f>IF($A73="","",$M73*5)</x:f>
      </x:c>
      <x:c r="AF73" s="58" t="str">
        <x:f>IF($A73="","",MAX(0,AB73+AC73+AD73-AE73))</x:f>
      </x:c>
      <x:c r="AG73" s="37" t="str">
        <x:f>IF($A73="","",IF(AF73&gt;=70,"P0",IF(AF73&gt;=55,"P1",IF(AF73&gt;=40,"P2","P3"))))</x:f>
      </x:c>
      <x:c r="AH73" s="38" t="str">
        <x:f>IF($A73="","",IF(AG73="P0","立即规划",IF(AG73="P1","进入本批内容日历",IF(AG73="P2","观察/做FAQ或长尾","暂不做或合并"))))</x:f>
      </x:c>
    </x:row>
    <x:row r="74">
      <x:c r="A74" s="36"/>
      <x:c r="B74" s="37"/>
      <x:c r="C74" s="37"/>
      <x:c r="D74" s="49"/>
      <x:c r="E74" s="52"/>
      <x:c r="F74" s="55"/>
      <x:c r="G74" s="55"/>
      <x:c r="H74" s="55"/>
      <x:c r="I74" s="55"/>
      <x:c r="J74" s="55"/>
      <x:c r="K74" s="55"/>
      <x:c r="L74" s="55"/>
      <x:c r="M74" s="55"/>
      <x:c r="N74" s="37" t="str">
        <x:f>IF($A74="","",IF(OR($G74="Transactional",$H74="商品/分类页",$H74="集合页",$H74="品牌页"),"主站",IF(OR($H74="博客/榜单",$H74="博客/对比",$G74="Commercial"),"博客站C-对比评测",IF($H74="博客/场景","博客站B-人群场景",IF(OR($H74="教程/FAQ",$H74="博客/指南",$G74="Informational"),"博客站A-知识教程","暂不做")))))</x:f>
      </x:c>
      <x:c r="O74" s="37"/>
      <x:c r="P74" s="37" t="str">
        <x:f>IF($A74="","",IF($O74&lt;&gt;"",$O74,$N74))</x:f>
      </x:c>
      <x:c r="Q74" s="37" t="str">
        <x:f>IF($A74="","",IF($P74="主站","分类页/集合页/商品页",IF($P74="博客站C-对比评测",IF($H74="博客/对比","对比文","购买指南"),IF($P74="博客站B-人群场景","场景解决方案",IF($P74="博客站A-知识教程",IF($H74="教程/FAQ","教程文","价值解释文"),"暂不做")))))</x:f>
      </x:c>
      <x:c r="R74" s="37" t="str">
        <x:f>IF($A74="","",IF($Q74="分类页/集合页/商品页","不写文章",IF($Q74="暂不做","暂不做",$Q74)))</x:f>
      </x:c>
      <x:c r="S74" s="37"/>
      <x:c r="T74" s="37"/>
      <x:c r="U74" s="37"/>
      <x:c r="V74" s="37"/>
      <x:c r="W74" s="37"/>
      <x:c r="X74" s="37"/>
      <x:c r="Y74" s="37"/>
      <x:c r="Z74" s="37"/>
      <x:c r="AA74" s="37"/>
      <x:c r="AB74" s="58" t="str">
        <x:f>IF($A74="","",IF($D74&gt;=1000,15,IF($D74&gt;=300,12,IF($D74&gt;=100,9,IF($D74&gt;0,5,0)))))</x:f>
      </x:c>
      <x:c r="AC74" s="58" t="str">
        <x:f>IF($A74="","",(($I74+$J74)/10)*25)</x:f>
      </x:c>
      <x:c r="AD74" s="58" t="str">
        <x:f>IF($A74="","",(($K74+$L74)/10)*25)</x:f>
      </x:c>
      <x:c r="AE74" s="58" t="str">
        <x:f>IF($A74="","",$M74*5)</x:f>
      </x:c>
      <x:c r="AF74" s="58" t="str">
        <x:f>IF($A74="","",MAX(0,AB74+AC74+AD74-AE74))</x:f>
      </x:c>
      <x:c r="AG74" s="37" t="str">
        <x:f>IF($A74="","",IF(AF74&gt;=70,"P0",IF(AF74&gt;=55,"P1",IF(AF74&gt;=40,"P2","P3"))))</x:f>
      </x:c>
      <x:c r="AH74" s="38" t="str">
        <x:f>IF($A74="","",IF(AG74="P0","立即规划",IF(AG74="P1","进入本批内容日历",IF(AG74="P2","观察/做FAQ或长尾","暂不做或合并"))))</x:f>
      </x:c>
    </x:row>
    <x:row r="75">
      <x:c r="A75" s="36"/>
      <x:c r="B75" s="37"/>
      <x:c r="C75" s="37"/>
      <x:c r="D75" s="49"/>
      <x:c r="E75" s="52"/>
      <x:c r="F75" s="55"/>
      <x:c r="G75" s="55"/>
      <x:c r="H75" s="55"/>
      <x:c r="I75" s="55"/>
      <x:c r="J75" s="55"/>
      <x:c r="K75" s="55"/>
      <x:c r="L75" s="55"/>
      <x:c r="M75" s="55"/>
      <x:c r="N75" s="37" t="str">
        <x:f>IF($A75="","",IF(OR($G75="Transactional",$H75="商品/分类页",$H75="集合页",$H75="品牌页"),"主站",IF(OR($H75="博客/榜单",$H75="博客/对比",$G75="Commercial"),"博客站C-对比评测",IF($H75="博客/场景","博客站B-人群场景",IF(OR($H75="教程/FAQ",$H75="博客/指南",$G75="Informational"),"博客站A-知识教程","暂不做")))))</x:f>
      </x:c>
      <x:c r="O75" s="37"/>
      <x:c r="P75" s="37" t="str">
        <x:f>IF($A75="","",IF($O75&lt;&gt;"",$O75,$N75))</x:f>
      </x:c>
      <x:c r="Q75" s="37" t="str">
        <x:f>IF($A75="","",IF($P75="主站","分类页/集合页/商品页",IF($P75="博客站C-对比评测",IF($H75="博客/对比","对比文","购买指南"),IF($P75="博客站B-人群场景","场景解决方案",IF($P75="博客站A-知识教程",IF($H75="教程/FAQ","教程文","价值解释文"),"暂不做")))))</x:f>
      </x:c>
      <x:c r="R75" s="37" t="str">
        <x:f>IF($A75="","",IF($Q75="分类页/集合页/商品页","不写文章",IF($Q75="暂不做","暂不做",$Q75)))</x:f>
      </x:c>
      <x:c r="S75" s="37"/>
      <x:c r="T75" s="37"/>
      <x:c r="U75" s="37"/>
      <x:c r="V75" s="37"/>
      <x:c r="W75" s="37"/>
      <x:c r="X75" s="37"/>
      <x:c r="Y75" s="37"/>
      <x:c r="Z75" s="37"/>
      <x:c r="AA75" s="37"/>
      <x:c r="AB75" s="58" t="str">
        <x:f>IF($A75="","",IF($D75&gt;=1000,15,IF($D75&gt;=300,12,IF($D75&gt;=100,9,IF($D75&gt;0,5,0)))))</x:f>
      </x:c>
      <x:c r="AC75" s="58" t="str">
        <x:f>IF($A75="","",(($I75+$J75)/10)*25)</x:f>
      </x:c>
      <x:c r="AD75" s="58" t="str">
        <x:f>IF($A75="","",(($K75+$L75)/10)*25)</x:f>
      </x:c>
      <x:c r="AE75" s="58" t="str">
        <x:f>IF($A75="","",$M75*5)</x:f>
      </x:c>
      <x:c r="AF75" s="58" t="str">
        <x:f>IF($A75="","",MAX(0,AB75+AC75+AD75-AE75))</x:f>
      </x:c>
      <x:c r="AG75" s="37" t="str">
        <x:f>IF($A75="","",IF(AF75&gt;=70,"P0",IF(AF75&gt;=55,"P1",IF(AF75&gt;=40,"P2","P3"))))</x:f>
      </x:c>
      <x:c r="AH75" s="38" t="str">
        <x:f>IF($A75="","",IF(AG75="P0","立即规划",IF(AG75="P1","进入本批内容日历",IF(AG75="P2","观察/做FAQ或长尾","暂不做或合并"))))</x:f>
      </x:c>
    </x:row>
    <x:row r="76">
      <x:c r="A76" s="36"/>
      <x:c r="B76" s="37"/>
      <x:c r="C76" s="37"/>
      <x:c r="D76" s="49"/>
      <x:c r="E76" s="52"/>
      <x:c r="F76" s="55"/>
      <x:c r="G76" s="55"/>
      <x:c r="H76" s="55"/>
      <x:c r="I76" s="55"/>
      <x:c r="J76" s="55"/>
      <x:c r="K76" s="55"/>
      <x:c r="L76" s="55"/>
      <x:c r="M76" s="55"/>
      <x:c r="N76" s="37" t="str">
        <x:f>IF($A76="","",IF(OR($G76="Transactional",$H76="商品/分类页",$H76="集合页",$H76="品牌页"),"主站",IF(OR($H76="博客/榜单",$H76="博客/对比",$G76="Commercial"),"博客站C-对比评测",IF($H76="博客/场景","博客站B-人群场景",IF(OR($H76="教程/FAQ",$H76="博客/指南",$G76="Informational"),"博客站A-知识教程","暂不做")))))</x:f>
      </x:c>
      <x:c r="O76" s="37"/>
      <x:c r="P76" s="37" t="str">
        <x:f>IF($A76="","",IF($O76&lt;&gt;"",$O76,$N76))</x:f>
      </x:c>
      <x:c r="Q76" s="37" t="str">
        <x:f>IF($A76="","",IF($P76="主站","分类页/集合页/商品页",IF($P76="博客站C-对比评测",IF($H76="博客/对比","对比文","购买指南"),IF($P76="博客站B-人群场景","场景解决方案",IF($P76="博客站A-知识教程",IF($H76="教程/FAQ","教程文","价值解释文"),"暂不做")))))</x:f>
      </x:c>
      <x:c r="R76" s="37" t="str">
        <x:f>IF($A76="","",IF($Q76="分类页/集合页/商品页","不写文章",IF($Q76="暂不做","暂不做",$Q76)))</x:f>
      </x:c>
      <x:c r="S76" s="37"/>
      <x:c r="T76" s="37"/>
      <x:c r="U76" s="37"/>
      <x:c r="V76" s="37"/>
      <x:c r="W76" s="37"/>
      <x:c r="X76" s="37"/>
      <x:c r="Y76" s="37"/>
      <x:c r="Z76" s="37"/>
      <x:c r="AA76" s="37"/>
      <x:c r="AB76" s="58" t="str">
        <x:f>IF($A76="","",IF($D76&gt;=1000,15,IF($D76&gt;=300,12,IF($D76&gt;=100,9,IF($D76&gt;0,5,0)))))</x:f>
      </x:c>
      <x:c r="AC76" s="58" t="str">
        <x:f>IF($A76="","",(($I76+$J76)/10)*25)</x:f>
      </x:c>
      <x:c r="AD76" s="58" t="str">
        <x:f>IF($A76="","",(($K76+$L76)/10)*25)</x:f>
      </x:c>
      <x:c r="AE76" s="58" t="str">
        <x:f>IF($A76="","",$M76*5)</x:f>
      </x:c>
      <x:c r="AF76" s="58" t="str">
        <x:f>IF($A76="","",MAX(0,AB76+AC76+AD76-AE76))</x:f>
      </x:c>
      <x:c r="AG76" s="37" t="str">
        <x:f>IF($A76="","",IF(AF76&gt;=70,"P0",IF(AF76&gt;=55,"P1",IF(AF76&gt;=40,"P2","P3"))))</x:f>
      </x:c>
      <x:c r="AH76" s="38" t="str">
        <x:f>IF($A76="","",IF(AG76="P0","立即规划",IF(AG76="P1","进入本批内容日历",IF(AG76="P2","观察/做FAQ或长尾","暂不做或合并"))))</x:f>
      </x:c>
    </x:row>
    <x:row r="77">
      <x:c r="A77" s="36"/>
      <x:c r="B77" s="37"/>
      <x:c r="C77" s="37"/>
      <x:c r="D77" s="49"/>
      <x:c r="E77" s="52"/>
      <x:c r="F77" s="55"/>
      <x:c r="G77" s="55"/>
      <x:c r="H77" s="55"/>
      <x:c r="I77" s="55"/>
      <x:c r="J77" s="55"/>
      <x:c r="K77" s="55"/>
      <x:c r="L77" s="55"/>
      <x:c r="M77" s="55"/>
      <x:c r="N77" s="37" t="str">
        <x:f>IF($A77="","",IF(OR($G77="Transactional",$H77="商品/分类页",$H77="集合页",$H77="品牌页"),"主站",IF(OR($H77="博客/榜单",$H77="博客/对比",$G77="Commercial"),"博客站C-对比评测",IF($H77="博客/场景","博客站B-人群场景",IF(OR($H77="教程/FAQ",$H77="博客/指南",$G77="Informational"),"博客站A-知识教程","暂不做")))))</x:f>
      </x:c>
      <x:c r="O77" s="37"/>
      <x:c r="P77" s="37" t="str">
        <x:f>IF($A77="","",IF($O77&lt;&gt;"",$O77,$N77))</x:f>
      </x:c>
      <x:c r="Q77" s="37" t="str">
        <x:f>IF($A77="","",IF($P77="主站","分类页/集合页/商品页",IF($P77="博客站C-对比评测",IF($H77="博客/对比","对比文","购买指南"),IF($P77="博客站B-人群场景","场景解决方案",IF($P77="博客站A-知识教程",IF($H77="教程/FAQ","教程文","价值解释文"),"暂不做")))))</x:f>
      </x:c>
      <x:c r="R77" s="37" t="str">
        <x:f>IF($A77="","",IF($Q77="分类页/集合页/商品页","不写文章",IF($Q77="暂不做","暂不做",$Q77)))</x:f>
      </x:c>
      <x:c r="S77" s="37"/>
      <x:c r="T77" s="37"/>
      <x:c r="U77" s="37"/>
      <x:c r="V77" s="37"/>
      <x:c r="W77" s="37"/>
      <x:c r="X77" s="37"/>
      <x:c r="Y77" s="37"/>
      <x:c r="Z77" s="37"/>
      <x:c r="AA77" s="37"/>
      <x:c r="AB77" s="58" t="str">
        <x:f>IF($A77="","",IF($D77&gt;=1000,15,IF($D77&gt;=300,12,IF($D77&gt;=100,9,IF($D77&gt;0,5,0)))))</x:f>
      </x:c>
      <x:c r="AC77" s="58" t="str">
        <x:f>IF($A77="","",(($I77+$J77)/10)*25)</x:f>
      </x:c>
      <x:c r="AD77" s="58" t="str">
        <x:f>IF($A77="","",(($K77+$L77)/10)*25)</x:f>
      </x:c>
      <x:c r="AE77" s="58" t="str">
        <x:f>IF($A77="","",$M77*5)</x:f>
      </x:c>
      <x:c r="AF77" s="58" t="str">
        <x:f>IF($A77="","",MAX(0,AB77+AC77+AD77-AE77))</x:f>
      </x:c>
      <x:c r="AG77" s="37" t="str">
        <x:f>IF($A77="","",IF(AF77&gt;=70,"P0",IF(AF77&gt;=55,"P1",IF(AF77&gt;=40,"P2","P3"))))</x:f>
      </x:c>
      <x:c r="AH77" s="38" t="str">
        <x:f>IF($A77="","",IF(AG77="P0","立即规划",IF(AG77="P1","进入本批内容日历",IF(AG77="P2","观察/做FAQ或长尾","暂不做或合并"))))</x:f>
      </x:c>
    </x:row>
    <x:row r="78">
      <x:c r="A78" s="36"/>
      <x:c r="B78" s="37"/>
      <x:c r="C78" s="37"/>
      <x:c r="D78" s="49"/>
      <x:c r="E78" s="52"/>
      <x:c r="F78" s="55"/>
      <x:c r="G78" s="55"/>
      <x:c r="H78" s="55"/>
      <x:c r="I78" s="55"/>
      <x:c r="J78" s="55"/>
      <x:c r="K78" s="55"/>
      <x:c r="L78" s="55"/>
      <x:c r="M78" s="55"/>
      <x:c r="N78" s="37" t="str">
        <x:f>IF($A78="","",IF(OR($G78="Transactional",$H78="商品/分类页",$H78="集合页",$H78="品牌页"),"主站",IF(OR($H78="博客/榜单",$H78="博客/对比",$G78="Commercial"),"博客站C-对比评测",IF($H78="博客/场景","博客站B-人群场景",IF(OR($H78="教程/FAQ",$H78="博客/指南",$G78="Informational"),"博客站A-知识教程","暂不做")))))</x:f>
      </x:c>
      <x:c r="O78" s="37"/>
      <x:c r="P78" s="37" t="str">
        <x:f>IF($A78="","",IF($O78&lt;&gt;"",$O78,$N78))</x:f>
      </x:c>
      <x:c r="Q78" s="37" t="str">
        <x:f>IF($A78="","",IF($P78="主站","分类页/集合页/商品页",IF($P78="博客站C-对比评测",IF($H78="博客/对比","对比文","购买指南"),IF($P78="博客站B-人群场景","场景解决方案",IF($P78="博客站A-知识教程",IF($H78="教程/FAQ","教程文","价值解释文"),"暂不做")))))</x:f>
      </x:c>
      <x:c r="R78" s="37" t="str">
        <x:f>IF($A78="","",IF($Q78="分类页/集合页/商品页","不写文章",IF($Q78="暂不做","暂不做",$Q78)))</x:f>
      </x:c>
      <x:c r="S78" s="37"/>
      <x:c r="T78" s="37"/>
      <x:c r="U78" s="37"/>
      <x:c r="V78" s="37"/>
      <x:c r="W78" s="37"/>
      <x:c r="X78" s="37"/>
      <x:c r="Y78" s="37"/>
      <x:c r="Z78" s="37"/>
      <x:c r="AA78" s="37"/>
      <x:c r="AB78" s="58" t="str">
        <x:f>IF($A78="","",IF($D78&gt;=1000,15,IF($D78&gt;=300,12,IF($D78&gt;=100,9,IF($D78&gt;0,5,0)))))</x:f>
      </x:c>
      <x:c r="AC78" s="58" t="str">
        <x:f>IF($A78="","",(($I78+$J78)/10)*25)</x:f>
      </x:c>
      <x:c r="AD78" s="58" t="str">
        <x:f>IF($A78="","",(($K78+$L78)/10)*25)</x:f>
      </x:c>
      <x:c r="AE78" s="58" t="str">
        <x:f>IF($A78="","",$M78*5)</x:f>
      </x:c>
      <x:c r="AF78" s="58" t="str">
        <x:f>IF($A78="","",MAX(0,AB78+AC78+AD78-AE78))</x:f>
      </x:c>
      <x:c r="AG78" s="37" t="str">
        <x:f>IF($A78="","",IF(AF78&gt;=70,"P0",IF(AF78&gt;=55,"P1",IF(AF78&gt;=40,"P2","P3"))))</x:f>
      </x:c>
      <x:c r="AH78" s="38" t="str">
        <x:f>IF($A78="","",IF(AG78="P0","立即规划",IF(AG78="P1","进入本批内容日历",IF(AG78="P2","观察/做FAQ或长尾","暂不做或合并"))))</x:f>
      </x:c>
    </x:row>
    <x:row r="79">
      <x:c r="A79" s="36"/>
      <x:c r="B79" s="37"/>
      <x:c r="C79" s="37"/>
      <x:c r="D79" s="49"/>
      <x:c r="E79" s="52"/>
      <x:c r="F79" s="55"/>
      <x:c r="G79" s="55"/>
      <x:c r="H79" s="55"/>
      <x:c r="I79" s="55"/>
      <x:c r="J79" s="55"/>
      <x:c r="K79" s="55"/>
      <x:c r="L79" s="55"/>
      <x:c r="M79" s="55"/>
      <x:c r="N79" s="37" t="str">
        <x:f>IF($A79="","",IF(OR($G79="Transactional",$H79="商品/分类页",$H79="集合页",$H79="品牌页"),"主站",IF(OR($H79="博客/榜单",$H79="博客/对比",$G79="Commercial"),"博客站C-对比评测",IF($H79="博客/场景","博客站B-人群场景",IF(OR($H79="教程/FAQ",$H79="博客/指南",$G79="Informational"),"博客站A-知识教程","暂不做")))))</x:f>
      </x:c>
      <x:c r="O79" s="37"/>
      <x:c r="P79" s="37" t="str">
        <x:f>IF($A79="","",IF($O79&lt;&gt;"",$O79,$N79))</x:f>
      </x:c>
      <x:c r="Q79" s="37" t="str">
        <x:f>IF($A79="","",IF($P79="主站","分类页/集合页/商品页",IF($P79="博客站C-对比评测",IF($H79="博客/对比","对比文","购买指南"),IF($P79="博客站B-人群场景","场景解决方案",IF($P79="博客站A-知识教程",IF($H79="教程/FAQ","教程文","价值解释文"),"暂不做")))))</x:f>
      </x:c>
      <x:c r="R79" s="37" t="str">
        <x:f>IF($A79="","",IF($Q79="分类页/集合页/商品页","不写文章",IF($Q79="暂不做","暂不做",$Q79)))</x:f>
      </x:c>
      <x:c r="S79" s="37"/>
      <x:c r="T79" s="37"/>
      <x:c r="U79" s="37"/>
      <x:c r="V79" s="37"/>
      <x:c r="W79" s="37"/>
      <x:c r="X79" s="37"/>
      <x:c r="Y79" s="37"/>
      <x:c r="Z79" s="37"/>
      <x:c r="AA79" s="37"/>
      <x:c r="AB79" s="58" t="str">
        <x:f>IF($A79="","",IF($D79&gt;=1000,15,IF($D79&gt;=300,12,IF($D79&gt;=100,9,IF($D79&gt;0,5,0)))))</x:f>
      </x:c>
      <x:c r="AC79" s="58" t="str">
        <x:f>IF($A79="","",(($I79+$J79)/10)*25)</x:f>
      </x:c>
      <x:c r="AD79" s="58" t="str">
        <x:f>IF($A79="","",(($K79+$L79)/10)*25)</x:f>
      </x:c>
      <x:c r="AE79" s="58" t="str">
        <x:f>IF($A79="","",$M79*5)</x:f>
      </x:c>
      <x:c r="AF79" s="58" t="str">
        <x:f>IF($A79="","",MAX(0,AB79+AC79+AD79-AE79))</x:f>
      </x:c>
      <x:c r="AG79" s="37" t="str">
        <x:f>IF($A79="","",IF(AF79&gt;=70,"P0",IF(AF79&gt;=55,"P1",IF(AF79&gt;=40,"P2","P3"))))</x:f>
      </x:c>
      <x:c r="AH79" s="38" t="str">
        <x:f>IF($A79="","",IF(AG79="P0","立即规划",IF(AG79="P1","进入本批内容日历",IF(AG79="P2","观察/做FAQ或长尾","暂不做或合并"))))</x:f>
      </x:c>
    </x:row>
    <x:row r="80">
      <x:c r="A80" s="36"/>
      <x:c r="B80" s="37"/>
      <x:c r="C80" s="37"/>
      <x:c r="D80" s="49"/>
      <x:c r="E80" s="52"/>
      <x:c r="F80" s="55"/>
      <x:c r="G80" s="55"/>
      <x:c r="H80" s="55"/>
      <x:c r="I80" s="55"/>
      <x:c r="J80" s="55"/>
      <x:c r="K80" s="55"/>
      <x:c r="L80" s="55"/>
      <x:c r="M80" s="55"/>
      <x:c r="N80" s="37" t="str">
        <x:f>IF($A80="","",IF(OR($G80="Transactional",$H80="商品/分类页",$H80="集合页",$H80="品牌页"),"主站",IF(OR($H80="博客/榜单",$H80="博客/对比",$G80="Commercial"),"博客站C-对比评测",IF($H80="博客/场景","博客站B-人群场景",IF(OR($H80="教程/FAQ",$H80="博客/指南",$G80="Informational"),"博客站A-知识教程","暂不做")))))</x:f>
      </x:c>
      <x:c r="O80" s="37"/>
      <x:c r="P80" s="37" t="str">
        <x:f>IF($A80="","",IF($O80&lt;&gt;"",$O80,$N80))</x:f>
      </x:c>
      <x:c r="Q80" s="37" t="str">
        <x:f>IF($A80="","",IF($P80="主站","分类页/集合页/商品页",IF($P80="博客站C-对比评测",IF($H80="博客/对比","对比文","购买指南"),IF($P80="博客站B-人群场景","场景解决方案",IF($P80="博客站A-知识教程",IF($H80="教程/FAQ","教程文","价值解释文"),"暂不做")))))</x:f>
      </x:c>
      <x:c r="R80" s="37" t="str">
        <x:f>IF($A80="","",IF($Q80="分类页/集合页/商品页","不写文章",IF($Q80="暂不做","暂不做",$Q80)))</x:f>
      </x:c>
      <x:c r="S80" s="37"/>
      <x:c r="T80" s="37"/>
      <x:c r="U80" s="37"/>
      <x:c r="V80" s="37"/>
      <x:c r="W80" s="37"/>
      <x:c r="X80" s="37"/>
      <x:c r="Y80" s="37"/>
      <x:c r="Z80" s="37"/>
      <x:c r="AA80" s="37"/>
      <x:c r="AB80" s="58" t="str">
        <x:f>IF($A80="","",IF($D80&gt;=1000,15,IF($D80&gt;=300,12,IF($D80&gt;=100,9,IF($D80&gt;0,5,0)))))</x:f>
      </x:c>
      <x:c r="AC80" s="58" t="str">
        <x:f>IF($A80="","",(($I80+$J80)/10)*25)</x:f>
      </x:c>
      <x:c r="AD80" s="58" t="str">
        <x:f>IF($A80="","",(($K80+$L80)/10)*25)</x:f>
      </x:c>
      <x:c r="AE80" s="58" t="str">
        <x:f>IF($A80="","",$M80*5)</x:f>
      </x:c>
      <x:c r="AF80" s="58" t="str">
        <x:f>IF($A80="","",MAX(0,AB80+AC80+AD80-AE80))</x:f>
      </x:c>
      <x:c r="AG80" s="37" t="str">
        <x:f>IF($A80="","",IF(AF80&gt;=70,"P0",IF(AF80&gt;=55,"P1",IF(AF80&gt;=40,"P2","P3"))))</x:f>
      </x:c>
      <x:c r="AH80" s="38" t="str">
        <x:f>IF($A80="","",IF(AG80="P0","立即规划",IF(AG80="P1","进入本批内容日历",IF(AG80="P2","观察/做FAQ或长尾","暂不做或合并"))))</x:f>
      </x:c>
    </x:row>
    <x:row r="81">
      <x:c r="A81" s="36"/>
      <x:c r="B81" s="37"/>
      <x:c r="C81" s="37"/>
      <x:c r="D81" s="49"/>
      <x:c r="E81" s="52"/>
      <x:c r="F81" s="55"/>
      <x:c r="G81" s="55"/>
      <x:c r="H81" s="55"/>
      <x:c r="I81" s="55"/>
      <x:c r="J81" s="55"/>
      <x:c r="K81" s="55"/>
      <x:c r="L81" s="55"/>
      <x:c r="M81" s="55"/>
      <x:c r="N81" s="37" t="str">
        <x:f>IF($A81="","",IF(OR($G81="Transactional",$H81="商品/分类页",$H81="集合页",$H81="品牌页"),"主站",IF(OR($H81="博客/榜单",$H81="博客/对比",$G81="Commercial"),"博客站C-对比评测",IF($H81="博客/场景","博客站B-人群场景",IF(OR($H81="教程/FAQ",$H81="博客/指南",$G81="Informational"),"博客站A-知识教程","暂不做")))))</x:f>
      </x:c>
      <x:c r="O81" s="37"/>
      <x:c r="P81" s="37" t="str">
        <x:f>IF($A81="","",IF($O81&lt;&gt;"",$O81,$N81))</x:f>
      </x:c>
      <x:c r="Q81" s="37" t="str">
        <x:f>IF($A81="","",IF($P81="主站","分类页/集合页/商品页",IF($P81="博客站C-对比评测",IF($H81="博客/对比","对比文","购买指南"),IF($P81="博客站B-人群场景","场景解决方案",IF($P81="博客站A-知识教程",IF($H81="教程/FAQ","教程文","价值解释文"),"暂不做")))))</x:f>
      </x:c>
      <x:c r="R81" s="37" t="str">
        <x:f>IF($A81="","",IF($Q81="分类页/集合页/商品页","不写文章",IF($Q81="暂不做","暂不做",$Q81)))</x:f>
      </x:c>
      <x:c r="S81" s="37"/>
      <x:c r="T81" s="37"/>
      <x:c r="U81" s="37"/>
      <x:c r="V81" s="37"/>
      <x:c r="W81" s="37"/>
      <x:c r="X81" s="37"/>
      <x:c r="Y81" s="37"/>
      <x:c r="Z81" s="37"/>
      <x:c r="AA81" s="37"/>
      <x:c r="AB81" s="58" t="str">
        <x:f>IF($A81="","",IF($D81&gt;=1000,15,IF($D81&gt;=300,12,IF($D81&gt;=100,9,IF($D81&gt;0,5,0)))))</x:f>
      </x:c>
      <x:c r="AC81" s="58" t="str">
        <x:f>IF($A81="","",(($I81+$J81)/10)*25)</x:f>
      </x:c>
      <x:c r="AD81" s="58" t="str">
        <x:f>IF($A81="","",(($K81+$L81)/10)*25)</x:f>
      </x:c>
      <x:c r="AE81" s="58" t="str">
        <x:f>IF($A81="","",$M81*5)</x:f>
      </x:c>
      <x:c r="AF81" s="58" t="str">
        <x:f>IF($A81="","",MAX(0,AB81+AC81+AD81-AE81))</x:f>
      </x:c>
      <x:c r="AG81" s="37" t="str">
        <x:f>IF($A81="","",IF(AF81&gt;=70,"P0",IF(AF81&gt;=55,"P1",IF(AF81&gt;=40,"P2","P3"))))</x:f>
      </x:c>
      <x:c r="AH81" s="38" t="str">
        <x:f>IF($A81="","",IF(AG81="P0","立即规划",IF(AG81="P1","进入本批内容日历",IF(AG81="P2","观察/做FAQ或长尾","暂不做或合并"))))</x:f>
      </x:c>
    </x:row>
    <x:row r="82">
      <x:c r="A82" s="36"/>
      <x:c r="B82" s="37"/>
      <x:c r="C82" s="37"/>
      <x:c r="D82" s="49"/>
      <x:c r="E82" s="52"/>
      <x:c r="F82" s="55"/>
      <x:c r="G82" s="55"/>
      <x:c r="H82" s="55"/>
      <x:c r="I82" s="55"/>
      <x:c r="J82" s="55"/>
      <x:c r="K82" s="55"/>
      <x:c r="L82" s="55"/>
      <x:c r="M82" s="55"/>
      <x:c r="N82" s="37" t="str">
        <x:f>IF($A82="","",IF(OR($G82="Transactional",$H82="商品/分类页",$H82="集合页",$H82="品牌页"),"主站",IF(OR($H82="博客/榜单",$H82="博客/对比",$G82="Commercial"),"博客站C-对比评测",IF($H82="博客/场景","博客站B-人群场景",IF(OR($H82="教程/FAQ",$H82="博客/指南",$G82="Informational"),"博客站A-知识教程","暂不做")))))</x:f>
      </x:c>
      <x:c r="O82" s="37"/>
      <x:c r="P82" s="37" t="str">
        <x:f>IF($A82="","",IF($O82&lt;&gt;"",$O82,$N82))</x:f>
      </x:c>
      <x:c r="Q82" s="37" t="str">
        <x:f>IF($A82="","",IF($P82="主站","分类页/集合页/商品页",IF($P82="博客站C-对比评测",IF($H82="博客/对比","对比文","购买指南"),IF($P82="博客站B-人群场景","场景解决方案",IF($P82="博客站A-知识教程",IF($H82="教程/FAQ","教程文","价值解释文"),"暂不做")))))</x:f>
      </x:c>
      <x:c r="R82" s="37" t="str">
        <x:f>IF($A82="","",IF($Q82="分类页/集合页/商品页","不写文章",IF($Q82="暂不做","暂不做",$Q82)))</x:f>
      </x:c>
      <x:c r="S82" s="37"/>
      <x:c r="T82" s="37"/>
      <x:c r="U82" s="37"/>
      <x:c r="V82" s="37"/>
      <x:c r="W82" s="37"/>
      <x:c r="X82" s="37"/>
      <x:c r="Y82" s="37"/>
      <x:c r="Z82" s="37"/>
      <x:c r="AA82" s="37"/>
      <x:c r="AB82" s="58" t="str">
        <x:f>IF($A82="","",IF($D82&gt;=1000,15,IF($D82&gt;=300,12,IF($D82&gt;=100,9,IF($D82&gt;0,5,0)))))</x:f>
      </x:c>
      <x:c r="AC82" s="58" t="str">
        <x:f>IF($A82="","",(($I82+$J82)/10)*25)</x:f>
      </x:c>
      <x:c r="AD82" s="58" t="str">
        <x:f>IF($A82="","",(($K82+$L82)/10)*25)</x:f>
      </x:c>
      <x:c r="AE82" s="58" t="str">
        <x:f>IF($A82="","",$M82*5)</x:f>
      </x:c>
      <x:c r="AF82" s="58" t="str">
        <x:f>IF($A82="","",MAX(0,AB82+AC82+AD82-AE82))</x:f>
      </x:c>
      <x:c r="AG82" s="37" t="str">
        <x:f>IF($A82="","",IF(AF82&gt;=70,"P0",IF(AF82&gt;=55,"P1",IF(AF82&gt;=40,"P2","P3"))))</x:f>
      </x:c>
      <x:c r="AH82" s="38" t="str">
        <x:f>IF($A82="","",IF(AG82="P0","立即规划",IF(AG82="P1","进入本批内容日历",IF(AG82="P2","观察/做FAQ或长尾","暂不做或合并"))))</x:f>
      </x:c>
    </x:row>
    <x:row r="83">
      <x:c r="A83" s="36"/>
      <x:c r="B83" s="37"/>
      <x:c r="C83" s="37"/>
      <x:c r="D83" s="49"/>
      <x:c r="E83" s="52"/>
      <x:c r="F83" s="55"/>
      <x:c r="G83" s="55"/>
      <x:c r="H83" s="55"/>
      <x:c r="I83" s="55"/>
      <x:c r="J83" s="55"/>
      <x:c r="K83" s="55"/>
      <x:c r="L83" s="55"/>
      <x:c r="M83" s="55"/>
      <x:c r="N83" s="37" t="str">
        <x:f>IF($A83="","",IF(OR($G83="Transactional",$H83="商品/分类页",$H83="集合页",$H83="品牌页"),"主站",IF(OR($H83="博客/榜单",$H83="博客/对比",$G83="Commercial"),"博客站C-对比评测",IF($H83="博客/场景","博客站B-人群场景",IF(OR($H83="教程/FAQ",$H83="博客/指南",$G83="Informational"),"博客站A-知识教程","暂不做")))))</x:f>
      </x:c>
      <x:c r="O83" s="37"/>
      <x:c r="P83" s="37" t="str">
        <x:f>IF($A83="","",IF($O83&lt;&gt;"",$O83,$N83))</x:f>
      </x:c>
      <x:c r="Q83" s="37" t="str">
        <x:f>IF($A83="","",IF($P83="主站","分类页/集合页/商品页",IF($P83="博客站C-对比评测",IF($H83="博客/对比","对比文","购买指南"),IF($P83="博客站B-人群场景","场景解决方案",IF($P83="博客站A-知识教程",IF($H83="教程/FAQ","教程文","价值解释文"),"暂不做")))))</x:f>
      </x:c>
      <x:c r="R83" s="37" t="str">
        <x:f>IF($A83="","",IF($Q83="分类页/集合页/商品页","不写文章",IF($Q83="暂不做","暂不做",$Q83)))</x:f>
      </x:c>
      <x:c r="S83" s="37"/>
      <x:c r="T83" s="37"/>
      <x:c r="U83" s="37"/>
      <x:c r="V83" s="37"/>
      <x:c r="W83" s="37"/>
      <x:c r="X83" s="37"/>
      <x:c r="Y83" s="37"/>
      <x:c r="Z83" s="37"/>
      <x:c r="AA83" s="37"/>
      <x:c r="AB83" s="58" t="str">
        <x:f>IF($A83="","",IF($D83&gt;=1000,15,IF($D83&gt;=300,12,IF($D83&gt;=100,9,IF($D83&gt;0,5,0)))))</x:f>
      </x:c>
      <x:c r="AC83" s="58" t="str">
        <x:f>IF($A83="","",(($I83+$J83)/10)*25)</x:f>
      </x:c>
      <x:c r="AD83" s="58" t="str">
        <x:f>IF($A83="","",(($K83+$L83)/10)*25)</x:f>
      </x:c>
      <x:c r="AE83" s="58" t="str">
        <x:f>IF($A83="","",$M83*5)</x:f>
      </x:c>
      <x:c r="AF83" s="58" t="str">
        <x:f>IF($A83="","",MAX(0,AB83+AC83+AD83-AE83))</x:f>
      </x:c>
      <x:c r="AG83" s="37" t="str">
        <x:f>IF($A83="","",IF(AF83&gt;=70,"P0",IF(AF83&gt;=55,"P1",IF(AF83&gt;=40,"P2","P3"))))</x:f>
      </x:c>
      <x:c r="AH83" s="38" t="str">
        <x:f>IF($A83="","",IF(AG83="P0","立即规划",IF(AG83="P1","进入本批内容日历",IF(AG83="P2","观察/做FAQ或长尾","暂不做或合并"))))</x:f>
      </x:c>
    </x:row>
    <x:row r="84">
      <x:c r="A84" s="36"/>
      <x:c r="B84" s="37"/>
      <x:c r="C84" s="37"/>
      <x:c r="D84" s="49"/>
      <x:c r="E84" s="52"/>
      <x:c r="F84" s="55"/>
      <x:c r="G84" s="55"/>
      <x:c r="H84" s="55"/>
      <x:c r="I84" s="55"/>
      <x:c r="J84" s="55"/>
      <x:c r="K84" s="55"/>
      <x:c r="L84" s="55"/>
      <x:c r="M84" s="55"/>
      <x:c r="N84" s="37" t="str">
        <x:f>IF($A84="","",IF(OR($G84="Transactional",$H84="商品/分类页",$H84="集合页",$H84="品牌页"),"主站",IF(OR($H84="博客/榜单",$H84="博客/对比",$G84="Commercial"),"博客站C-对比评测",IF($H84="博客/场景","博客站B-人群场景",IF(OR($H84="教程/FAQ",$H84="博客/指南",$G84="Informational"),"博客站A-知识教程","暂不做")))))</x:f>
      </x:c>
      <x:c r="O84" s="37"/>
      <x:c r="P84" s="37" t="str">
        <x:f>IF($A84="","",IF($O84&lt;&gt;"",$O84,$N84))</x:f>
      </x:c>
      <x:c r="Q84" s="37" t="str">
        <x:f>IF($A84="","",IF($P84="主站","分类页/集合页/商品页",IF($P84="博客站C-对比评测",IF($H84="博客/对比","对比文","购买指南"),IF($P84="博客站B-人群场景","场景解决方案",IF($P84="博客站A-知识教程",IF($H84="教程/FAQ","教程文","价值解释文"),"暂不做")))))</x:f>
      </x:c>
      <x:c r="R84" s="37" t="str">
        <x:f>IF($A84="","",IF($Q84="分类页/集合页/商品页","不写文章",IF($Q84="暂不做","暂不做",$Q84)))</x:f>
      </x:c>
      <x:c r="S84" s="37"/>
      <x:c r="T84" s="37"/>
      <x:c r="U84" s="37"/>
      <x:c r="V84" s="37"/>
      <x:c r="W84" s="37"/>
      <x:c r="X84" s="37"/>
      <x:c r="Y84" s="37"/>
      <x:c r="Z84" s="37"/>
      <x:c r="AA84" s="37"/>
      <x:c r="AB84" s="58" t="str">
        <x:f>IF($A84="","",IF($D84&gt;=1000,15,IF($D84&gt;=300,12,IF($D84&gt;=100,9,IF($D84&gt;0,5,0)))))</x:f>
      </x:c>
      <x:c r="AC84" s="58" t="str">
        <x:f>IF($A84="","",(($I84+$J84)/10)*25)</x:f>
      </x:c>
      <x:c r="AD84" s="58" t="str">
        <x:f>IF($A84="","",(($K84+$L84)/10)*25)</x:f>
      </x:c>
      <x:c r="AE84" s="58" t="str">
        <x:f>IF($A84="","",$M84*5)</x:f>
      </x:c>
      <x:c r="AF84" s="58" t="str">
        <x:f>IF($A84="","",MAX(0,AB84+AC84+AD84-AE84))</x:f>
      </x:c>
      <x:c r="AG84" s="37" t="str">
        <x:f>IF($A84="","",IF(AF84&gt;=70,"P0",IF(AF84&gt;=55,"P1",IF(AF84&gt;=40,"P2","P3"))))</x:f>
      </x:c>
      <x:c r="AH84" s="38" t="str">
        <x:f>IF($A84="","",IF(AG84="P0","立即规划",IF(AG84="P1","进入本批内容日历",IF(AG84="P2","观察/做FAQ或长尾","暂不做或合并"))))</x:f>
      </x:c>
    </x:row>
    <x:row r="85">
      <x:c r="A85" s="36"/>
      <x:c r="B85" s="37"/>
      <x:c r="C85" s="37"/>
      <x:c r="D85" s="49"/>
      <x:c r="E85" s="52"/>
      <x:c r="F85" s="55"/>
      <x:c r="G85" s="55"/>
      <x:c r="H85" s="55"/>
      <x:c r="I85" s="55"/>
      <x:c r="J85" s="55"/>
      <x:c r="K85" s="55"/>
      <x:c r="L85" s="55"/>
      <x:c r="M85" s="55"/>
      <x:c r="N85" s="37" t="str">
        <x:f>IF($A85="","",IF(OR($G85="Transactional",$H85="商品/分类页",$H85="集合页",$H85="品牌页"),"主站",IF(OR($H85="博客/榜单",$H85="博客/对比",$G85="Commercial"),"博客站C-对比评测",IF($H85="博客/场景","博客站B-人群场景",IF(OR($H85="教程/FAQ",$H85="博客/指南",$G85="Informational"),"博客站A-知识教程","暂不做")))))</x:f>
      </x:c>
      <x:c r="O85" s="37"/>
      <x:c r="P85" s="37" t="str">
        <x:f>IF($A85="","",IF($O85&lt;&gt;"",$O85,$N85))</x:f>
      </x:c>
      <x:c r="Q85" s="37" t="str">
        <x:f>IF($A85="","",IF($P85="主站","分类页/集合页/商品页",IF($P85="博客站C-对比评测",IF($H85="博客/对比","对比文","购买指南"),IF($P85="博客站B-人群场景","场景解决方案",IF($P85="博客站A-知识教程",IF($H85="教程/FAQ","教程文","价值解释文"),"暂不做")))))</x:f>
      </x:c>
      <x:c r="R85" s="37" t="str">
        <x:f>IF($A85="","",IF($Q85="分类页/集合页/商品页","不写文章",IF($Q85="暂不做","暂不做",$Q85)))</x:f>
      </x:c>
      <x:c r="S85" s="37"/>
      <x:c r="T85" s="37"/>
      <x:c r="U85" s="37"/>
      <x:c r="V85" s="37"/>
      <x:c r="W85" s="37"/>
      <x:c r="X85" s="37"/>
      <x:c r="Y85" s="37"/>
      <x:c r="Z85" s="37"/>
      <x:c r="AA85" s="37"/>
      <x:c r="AB85" s="58" t="str">
        <x:f>IF($A85="","",IF($D85&gt;=1000,15,IF($D85&gt;=300,12,IF($D85&gt;=100,9,IF($D85&gt;0,5,0)))))</x:f>
      </x:c>
      <x:c r="AC85" s="58" t="str">
        <x:f>IF($A85="","",(($I85+$J85)/10)*25)</x:f>
      </x:c>
      <x:c r="AD85" s="58" t="str">
        <x:f>IF($A85="","",(($K85+$L85)/10)*25)</x:f>
      </x:c>
      <x:c r="AE85" s="58" t="str">
        <x:f>IF($A85="","",$M85*5)</x:f>
      </x:c>
      <x:c r="AF85" s="58" t="str">
        <x:f>IF($A85="","",MAX(0,AB85+AC85+AD85-AE85))</x:f>
      </x:c>
      <x:c r="AG85" s="37" t="str">
        <x:f>IF($A85="","",IF(AF85&gt;=70,"P0",IF(AF85&gt;=55,"P1",IF(AF85&gt;=40,"P2","P3"))))</x:f>
      </x:c>
      <x:c r="AH85" s="38" t="str">
        <x:f>IF($A85="","",IF(AG85="P0","立即规划",IF(AG85="P1","进入本批内容日历",IF(AG85="P2","观察/做FAQ或长尾","暂不做或合并"))))</x:f>
      </x:c>
    </x:row>
    <x:row r="86">
      <x:c r="A86" s="36"/>
      <x:c r="B86" s="37"/>
      <x:c r="C86" s="37"/>
      <x:c r="D86" s="49"/>
      <x:c r="E86" s="52"/>
      <x:c r="F86" s="55"/>
      <x:c r="G86" s="55"/>
      <x:c r="H86" s="55"/>
      <x:c r="I86" s="55"/>
      <x:c r="J86" s="55"/>
      <x:c r="K86" s="55"/>
      <x:c r="L86" s="55"/>
      <x:c r="M86" s="55"/>
      <x:c r="N86" s="37" t="str">
        <x:f>IF($A86="","",IF(OR($G86="Transactional",$H86="商品/分类页",$H86="集合页",$H86="品牌页"),"主站",IF(OR($H86="博客/榜单",$H86="博客/对比",$G86="Commercial"),"博客站C-对比评测",IF($H86="博客/场景","博客站B-人群场景",IF(OR($H86="教程/FAQ",$H86="博客/指南",$G86="Informational"),"博客站A-知识教程","暂不做")))))</x:f>
      </x:c>
      <x:c r="O86" s="37"/>
      <x:c r="P86" s="37" t="str">
        <x:f>IF($A86="","",IF($O86&lt;&gt;"",$O86,$N86))</x:f>
      </x:c>
      <x:c r="Q86" s="37" t="str">
        <x:f>IF($A86="","",IF($P86="主站","分类页/集合页/商品页",IF($P86="博客站C-对比评测",IF($H86="博客/对比","对比文","购买指南"),IF($P86="博客站B-人群场景","场景解决方案",IF($P86="博客站A-知识教程",IF($H86="教程/FAQ","教程文","价值解释文"),"暂不做")))))</x:f>
      </x:c>
      <x:c r="R86" s="37" t="str">
        <x:f>IF($A86="","",IF($Q86="分类页/集合页/商品页","不写文章",IF($Q86="暂不做","暂不做",$Q86)))</x:f>
      </x:c>
      <x:c r="S86" s="37"/>
      <x:c r="T86" s="37"/>
      <x:c r="U86" s="37"/>
      <x:c r="V86" s="37"/>
      <x:c r="W86" s="37"/>
      <x:c r="X86" s="37"/>
      <x:c r="Y86" s="37"/>
      <x:c r="Z86" s="37"/>
      <x:c r="AA86" s="37"/>
      <x:c r="AB86" s="58" t="str">
        <x:f>IF($A86="","",IF($D86&gt;=1000,15,IF($D86&gt;=300,12,IF($D86&gt;=100,9,IF($D86&gt;0,5,0)))))</x:f>
      </x:c>
      <x:c r="AC86" s="58" t="str">
        <x:f>IF($A86="","",(($I86+$J86)/10)*25)</x:f>
      </x:c>
      <x:c r="AD86" s="58" t="str">
        <x:f>IF($A86="","",(($K86+$L86)/10)*25)</x:f>
      </x:c>
      <x:c r="AE86" s="58" t="str">
        <x:f>IF($A86="","",$M86*5)</x:f>
      </x:c>
      <x:c r="AF86" s="58" t="str">
        <x:f>IF($A86="","",MAX(0,AB86+AC86+AD86-AE86))</x:f>
      </x:c>
      <x:c r="AG86" s="37" t="str">
        <x:f>IF($A86="","",IF(AF86&gt;=70,"P0",IF(AF86&gt;=55,"P1",IF(AF86&gt;=40,"P2","P3"))))</x:f>
      </x:c>
      <x:c r="AH86" s="38" t="str">
        <x:f>IF($A86="","",IF(AG86="P0","立即规划",IF(AG86="P1","进入本批内容日历",IF(AG86="P2","观察/做FAQ或长尾","暂不做或合并"))))</x:f>
      </x:c>
    </x:row>
    <x:row r="87">
      <x:c r="A87" s="36"/>
      <x:c r="B87" s="37"/>
      <x:c r="C87" s="37"/>
      <x:c r="D87" s="49"/>
      <x:c r="E87" s="52"/>
      <x:c r="F87" s="55"/>
      <x:c r="G87" s="55"/>
      <x:c r="H87" s="55"/>
      <x:c r="I87" s="55"/>
      <x:c r="J87" s="55"/>
      <x:c r="K87" s="55"/>
      <x:c r="L87" s="55"/>
      <x:c r="M87" s="55"/>
      <x:c r="N87" s="37" t="str">
        <x:f>IF($A87="","",IF(OR($G87="Transactional",$H87="商品/分类页",$H87="集合页",$H87="品牌页"),"主站",IF(OR($H87="博客/榜单",$H87="博客/对比",$G87="Commercial"),"博客站C-对比评测",IF($H87="博客/场景","博客站B-人群场景",IF(OR($H87="教程/FAQ",$H87="博客/指南",$G87="Informational"),"博客站A-知识教程","暂不做")))))</x:f>
      </x:c>
      <x:c r="O87" s="37"/>
      <x:c r="P87" s="37" t="str">
        <x:f>IF($A87="","",IF($O87&lt;&gt;"",$O87,$N87))</x:f>
      </x:c>
      <x:c r="Q87" s="37" t="str">
        <x:f>IF($A87="","",IF($P87="主站","分类页/集合页/商品页",IF($P87="博客站C-对比评测",IF($H87="博客/对比","对比文","购买指南"),IF($P87="博客站B-人群场景","场景解决方案",IF($P87="博客站A-知识教程",IF($H87="教程/FAQ","教程文","价值解释文"),"暂不做")))))</x:f>
      </x:c>
      <x:c r="R87" s="37" t="str">
        <x:f>IF($A87="","",IF($Q87="分类页/集合页/商品页","不写文章",IF($Q87="暂不做","暂不做",$Q87)))</x:f>
      </x:c>
      <x:c r="S87" s="37"/>
      <x:c r="T87" s="37"/>
      <x:c r="U87" s="37"/>
      <x:c r="V87" s="37"/>
      <x:c r="W87" s="37"/>
      <x:c r="X87" s="37"/>
      <x:c r="Y87" s="37"/>
      <x:c r="Z87" s="37"/>
      <x:c r="AA87" s="37"/>
      <x:c r="AB87" s="58" t="str">
        <x:f>IF($A87="","",IF($D87&gt;=1000,15,IF($D87&gt;=300,12,IF($D87&gt;=100,9,IF($D87&gt;0,5,0)))))</x:f>
      </x:c>
      <x:c r="AC87" s="58" t="str">
        <x:f>IF($A87="","",(($I87+$J87)/10)*25)</x:f>
      </x:c>
      <x:c r="AD87" s="58" t="str">
        <x:f>IF($A87="","",(($K87+$L87)/10)*25)</x:f>
      </x:c>
      <x:c r="AE87" s="58" t="str">
        <x:f>IF($A87="","",$M87*5)</x:f>
      </x:c>
      <x:c r="AF87" s="58" t="str">
        <x:f>IF($A87="","",MAX(0,AB87+AC87+AD87-AE87))</x:f>
      </x:c>
      <x:c r="AG87" s="37" t="str">
        <x:f>IF($A87="","",IF(AF87&gt;=70,"P0",IF(AF87&gt;=55,"P1",IF(AF87&gt;=40,"P2","P3"))))</x:f>
      </x:c>
      <x:c r="AH87" s="38" t="str">
        <x:f>IF($A87="","",IF(AG87="P0","立即规划",IF(AG87="P1","进入本批内容日历",IF(AG87="P2","观察/做FAQ或长尾","暂不做或合并"))))</x:f>
      </x:c>
    </x:row>
    <x:row r="88">
      <x:c r="A88" s="36"/>
      <x:c r="B88" s="37"/>
      <x:c r="C88" s="37"/>
      <x:c r="D88" s="49"/>
      <x:c r="E88" s="52"/>
      <x:c r="F88" s="55"/>
      <x:c r="G88" s="55"/>
      <x:c r="H88" s="55"/>
      <x:c r="I88" s="55"/>
      <x:c r="J88" s="55"/>
      <x:c r="K88" s="55"/>
      <x:c r="L88" s="55"/>
      <x:c r="M88" s="55"/>
      <x:c r="N88" s="37" t="str">
        <x:f>IF($A88="","",IF(OR($G88="Transactional",$H88="商品/分类页",$H88="集合页",$H88="品牌页"),"主站",IF(OR($H88="博客/榜单",$H88="博客/对比",$G88="Commercial"),"博客站C-对比评测",IF($H88="博客/场景","博客站B-人群场景",IF(OR($H88="教程/FAQ",$H88="博客/指南",$G88="Informational"),"博客站A-知识教程","暂不做")))))</x:f>
      </x:c>
      <x:c r="O88" s="37"/>
      <x:c r="P88" s="37" t="str">
        <x:f>IF($A88="","",IF($O88&lt;&gt;"",$O88,$N88))</x:f>
      </x:c>
      <x:c r="Q88" s="37" t="str">
        <x:f>IF($A88="","",IF($P88="主站","分类页/集合页/商品页",IF($P88="博客站C-对比评测",IF($H88="博客/对比","对比文","购买指南"),IF($P88="博客站B-人群场景","场景解决方案",IF($P88="博客站A-知识教程",IF($H88="教程/FAQ","教程文","价值解释文"),"暂不做")))))</x:f>
      </x:c>
      <x:c r="R88" s="37" t="str">
        <x:f>IF($A88="","",IF($Q88="分类页/集合页/商品页","不写文章",IF($Q88="暂不做","暂不做",$Q88)))</x:f>
      </x:c>
      <x:c r="S88" s="37"/>
      <x:c r="T88" s="37"/>
      <x:c r="U88" s="37"/>
      <x:c r="V88" s="37"/>
      <x:c r="W88" s="37"/>
      <x:c r="X88" s="37"/>
      <x:c r="Y88" s="37"/>
      <x:c r="Z88" s="37"/>
      <x:c r="AA88" s="37"/>
      <x:c r="AB88" s="58" t="str">
        <x:f>IF($A88="","",IF($D88&gt;=1000,15,IF($D88&gt;=300,12,IF($D88&gt;=100,9,IF($D88&gt;0,5,0)))))</x:f>
      </x:c>
      <x:c r="AC88" s="58" t="str">
        <x:f>IF($A88="","",(($I88+$J88)/10)*25)</x:f>
      </x:c>
      <x:c r="AD88" s="58" t="str">
        <x:f>IF($A88="","",(($K88+$L88)/10)*25)</x:f>
      </x:c>
      <x:c r="AE88" s="58" t="str">
        <x:f>IF($A88="","",$M88*5)</x:f>
      </x:c>
      <x:c r="AF88" s="58" t="str">
        <x:f>IF($A88="","",MAX(0,AB88+AC88+AD88-AE88))</x:f>
      </x:c>
      <x:c r="AG88" s="37" t="str">
        <x:f>IF($A88="","",IF(AF88&gt;=70,"P0",IF(AF88&gt;=55,"P1",IF(AF88&gt;=40,"P2","P3"))))</x:f>
      </x:c>
      <x:c r="AH88" s="38" t="str">
        <x:f>IF($A88="","",IF(AG88="P0","立即规划",IF(AG88="P1","进入本批内容日历",IF(AG88="P2","观察/做FAQ或长尾","暂不做或合并"))))</x:f>
      </x:c>
    </x:row>
    <x:row r="89">
      <x:c r="A89" s="36"/>
      <x:c r="B89" s="37"/>
      <x:c r="C89" s="37"/>
      <x:c r="D89" s="49"/>
      <x:c r="E89" s="52"/>
      <x:c r="F89" s="55"/>
      <x:c r="G89" s="55"/>
      <x:c r="H89" s="55"/>
      <x:c r="I89" s="55"/>
      <x:c r="J89" s="55"/>
      <x:c r="K89" s="55"/>
      <x:c r="L89" s="55"/>
      <x:c r="M89" s="55"/>
      <x:c r="N89" s="37" t="str">
        <x:f>IF($A89="","",IF(OR($G89="Transactional",$H89="商品/分类页",$H89="集合页",$H89="品牌页"),"主站",IF(OR($H89="博客/榜单",$H89="博客/对比",$G89="Commercial"),"博客站C-对比评测",IF($H89="博客/场景","博客站B-人群场景",IF(OR($H89="教程/FAQ",$H89="博客/指南",$G89="Informational"),"博客站A-知识教程","暂不做")))))</x:f>
      </x:c>
      <x:c r="O89" s="37"/>
      <x:c r="P89" s="37" t="str">
        <x:f>IF($A89="","",IF($O89&lt;&gt;"",$O89,$N89))</x:f>
      </x:c>
      <x:c r="Q89" s="37" t="str">
        <x:f>IF($A89="","",IF($P89="主站","分类页/集合页/商品页",IF($P89="博客站C-对比评测",IF($H89="博客/对比","对比文","购买指南"),IF($P89="博客站B-人群场景","场景解决方案",IF($P89="博客站A-知识教程",IF($H89="教程/FAQ","教程文","价值解释文"),"暂不做")))))</x:f>
      </x:c>
      <x:c r="R89" s="37" t="str">
        <x:f>IF($A89="","",IF($Q89="分类页/集合页/商品页","不写文章",IF($Q89="暂不做","暂不做",$Q89)))</x:f>
      </x:c>
      <x:c r="S89" s="37"/>
      <x:c r="T89" s="37"/>
      <x:c r="U89" s="37"/>
      <x:c r="V89" s="37"/>
      <x:c r="W89" s="37"/>
      <x:c r="X89" s="37"/>
      <x:c r="Y89" s="37"/>
      <x:c r="Z89" s="37"/>
      <x:c r="AA89" s="37"/>
      <x:c r="AB89" s="58" t="str">
        <x:f>IF($A89="","",IF($D89&gt;=1000,15,IF($D89&gt;=300,12,IF($D89&gt;=100,9,IF($D89&gt;0,5,0)))))</x:f>
      </x:c>
      <x:c r="AC89" s="58" t="str">
        <x:f>IF($A89="","",(($I89+$J89)/10)*25)</x:f>
      </x:c>
      <x:c r="AD89" s="58" t="str">
        <x:f>IF($A89="","",(($K89+$L89)/10)*25)</x:f>
      </x:c>
      <x:c r="AE89" s="58" t="str">
        <x:f>IF($A89="","",$M89*5)</x:f>
      </x:c>
      <x:c r="AF89" s="58" t="str">
        <x:f>IF($A89="","",MAX(0,AB89+AC89+AD89-AE89))</x:f>
      </x:c>
      <x:c r="AG89" s="37" t="str">
        <x:f>IF($A89="","",IF(AF89&gt;=70,"P0",IF(AF89&gt;=55,"P1",IF(AF89&gt;=40,"P2","P3"))))</x:f>
      </x:c>
      <x:c r="AH89" s="38" t="str">
        <x:f>IF($A89="","",IF(AG89="P0","立即规划",IF(AG89="P1","进入本批内容日历",IF(AG89="P2","观察/做FAQ或长尾","暂不做或合并"))))</x:f>
      </x:c>
    </x:row>
    <x:row r="90">
      <x:c r="A90" s="36"/>
      <x:c r="B90" s="37"/>
      <x:c r="C90" s="37"/>
      <x:c r="D90" s="49"/>
      <x:c r="E90" s="52"/>
      <x:c r="F90" s="55"/>
      <x:c r="G90" s="55"/>
      <x:c r="H90" s="55"/>
      <x:c r="I90" s="55"/>
      <x:c r="J90" s="55"/>
      <x:c r="K90" s="55"/>
      <x:c r="L90" s="55"/>
      <x:c r="M90" s="55"/>
      <x:c r="N90" s="37" t="str">
        <x:f>IF($A90="","",IF(OR($G90="Transactional",$H90="商品/分类页",$H90="集合页",$H90="品牌页"),"主站",IF(OR($H90="博客/榜单",$H90="博客/对比",$G90="Commercial"),"博客站C-对比评测",IF($H90="博客/场景","博客站B-人群场景",IF(OR($H90="教程/FAQ",$H90="博客/指南",$G90="Informational"),"博客站A-知识教程","暂不做")))))</x:f>
      </x:c>
      <x:c r="O90" s="37"/>
      <x:c r="P90" s="37" t="str">
        <x:f>IF($A90="","",IF($O90&lt;&gt;"",$O90,$N90))</x:f>
      </x:c>
      <x:c r="Q90" s="37" t="str">
        <x:f>IF($A90="","",IF($P90="主站","分类页/集合页/商品页",IF($P90="博客站C-对比评测",IF($H90="博客/对比","对比文","购买指南"),IF($P90="博客站B-人群场景","场景解决方案",IF($P90="博客站A-知识教程",IF($H90="教程/FAQ","教程文","价值解释文"),"暂不做")))))</x:f>
      </x:c>
      <x:c r="R90" s="37" t="str">
        <x:f>IF($A90="","",IF($Q90="分类页/集合页/商品页","不写文章",IF($Q90="暂不做","暂不做",$Q90)))</x:f>
      </x:c>
      <x:c r="S90" s="37"/>
      <x:c r="T90" s="37"/>
      <x:c r="U90" s="37"/>
      <x:c r="V90" s="37"/>
      <x:c r="W90" s="37"/>
      <x:c r="X90" s="37"/>
      <x:c r="Y90" s="37"/>
      <x:c r="Z90" s="37"/>
      <x:c r="AA90" s="37"/>
      <x:c r="AB90" s="58" t="str">
        <x:f>IF($A90="","",IF($D90&gt;=1000,15,IF($D90&gt;=300,12,IF($D90&gt;=100,9,IF($D90&gt;0,5,0)))))</x:f>
      </x:c>
      <x:c r="AC90" s="58" t="str">
        <x:f>IF($A90="","",(($I90+$J90)/10)*25)</x:f>
      </x:c>
      <x:c r="AD90" s="58" t="str">
        <x:f>IF($A90="","",(($K90+$L90)/10)*25)</x:f>
      </x:c>
      <x:c r="AE90" s="58" t="str">
        <x:f>IF($A90="","",$M90*5)</x:f>
      </x:c>
      <x:c r="AF90" s="58" t="str">
        <x:f>IF($A90="","",MAX(0,AB90+AC90+AD90-AE90))</x:f>
      </x:c>
      <x:c r="AG90" s="37" t="str">
        <x:f>IF($A90="","",IF(AF90&gt;=70,"P0",IF(AF90&gt;=55,"P1",IF(AF90&gt;=40,"P2","P3"))))</x:f>
      </x:c>
      <x:c r="AH90" s="38" t="str">
        <x:f>IF($A90="","",IF(AG90="P0","立即规划",IF(AG90="P1","进入本批内容日历",IF(AG90="P2","观察/做FAQ或长尾","暂不做或合并"))))</x:f>
      </x:c>
    </x:row>
    <x:row r="91">
      <x:c r="A91" s="36"/>
      <x:c r="B91" s="37"/>
      <x:c r="C91" s="37"/>
      <x:c r="D91" s="49"/>
      <x:c r="E91" s="52"/>
      <x:c r="F91" s="55"/>
      <x:c r="G91" s="55"/>
      <x:c r="H91" s="55"/>
      <x:c r="I91" s="55"/>
      <x:c r="J91" s="55"/>
      <x:c r="K91" s="55"/>
      <x:c r="L91" s="55"/>
      <x:c r="M91" s="55"/>
      <x:c r="N91" s="37" t="str">
        <x:f>IF($A91="","",IF(OR($G91="Transactional",$H91="商品/分类页",$H91="集合页",$H91="品牌页"),"主站",IF(OR($H91="博客/榜单",$H91="博客/对比",$G91="Commercial"),"博客站C-对比评测",IF($H91="博客/场景","博客站B-人群场景",IF(OR($H91="教程/FAQ",$H91="博客/指南",$G91="Informational"),"博客站A-知识教程","暂不做")))))</x:f>
      </x:c>
      <x:c r="O91" s="37"/>
      <x:c r="P91" s="37" t="str">
        <x:f>IF($A91="","",IF($O91&lt;&gt;"",$O91,$N91))</x:f>
      </x:c>
      <x:c r="Q91" s="37" t="str">
        <x:f>IF($A91="","",IF($P91="主站","分类页/集合页/商品页",IF($P91="博客站C-对比评测",IF($H91="博客/对比","对比文","购买指南"),IF($P91="博客站B-人群场景","场景解决方案",IF($P91="博客站A-知识教程",IF($H91="教程/FAQ","教程文","价值解释文"),"暂不做")))))</x:f>
      </x:c>
      <x:c r="R91" s="37" t="str">
        <x:f>IF($A91="","",IF($Q91="分类页/集合页/商品页","不写文章",IF($Q91="暂不做","暂不做",$Q91)))</x:f>
      </x:c>
      <x:c r="S91" s="37"/>
      <x:c r="T91" s="37"/>
      <x:c r="U91" s="37"/>
      <x:c r="V91" s="37"/>
      <x:c r="W91" s="37"/>
      <x:c r="X91" s="37"/>
      <x:c r="Y91" s="37"/>
      <x:c r="Z91" s="37"/>
      <x:c r="AA91" s="37"/>
      <x:c r="AB91" s="58" t="str">
        <x:f>IF($A91="","",IF($D91&gt;=1000,15,IF($D91&gt;=300,12,IF($D91&gt;=100,9,IF($D91&gt;0,5,0)))))</x:f>
      </x:c>
      <x:c r="AC91" s="58" t="str">
        <x:f>IF($A91="","",(($I91+$J91)/10)*25)</x:f>
      </x:c>
      <x:c r="AD91" s="58" t="str">
        <x:f>IF($A91="","",(($K91+$L91)/10)*25)</x:f>
      </x:c>
      <x:c r="AE91" s="58" t="str">
        <x:f>IF($A91="","",$M91*5)</x:f>
      </x:c>
      <x:c r="AF91" s="58" t="str">
        <x:f>IF($A91="","",MAX(0,AB91+AC91+AD91-AE91))</x:f>
      </x:c>
      <x:c r="AG91" s="37" t="str">
        <x:f>IF($A91="","",IF(AF91&gt;=70,"P0",IF(AF91&gt;=55,"P1",IF(AF91&gt;=40,"P2","P3"))))</x:f>
      </x:c>
      <x:c r="AH91" s="38" t="str">
        <x:f>IF($A91="","",IF(AG91="P0","立即规划",IF(AG91="P1","进入本批内容日历",IF(AG91="P2","观察/做FAQ或长尾","暂不做或合并"))))</x:f>
      </x:c>
    </x:row>
    <x:row r="92">
      <x:c r="A92" s="36"/>
      <x:c r="B92" s="37"/>
      <x:c r="C92" s="37"/>
      <x:c r="D92" s="49"/>
      <x:c r="E92" s="52"/>
      <x:c r="F92" s="55"/>
      <x:c r="G92" s="55"/>
      <x:c r="H92" s="55"/>
      <x:c r="I92" s="55"/>
      <x:c r="J92" s="55"/>
      <x:c r="K92" s="55"/>
      <x:c r="L92" s="55"/>
      <x:c r="M92" s="55"/>
      <x:c r="N92" s="37" t="str">
        <x:f>IF($A92="","",IF(OR($G92="Transactional",$H92="商品/分类页",$H92="集合页",$H92="品牌页"),"主站",IF(OR($H92="博客/榜单",$H92="博客/对比",$G92="Commercial"),"博客站C-对比评测",IF($H92="博客/场景","博客站B-人群场景",IF(OR($H92="教程/FAQ",$H92="博客/指南",$G92="Informational"),"博客站A-知识教程","暂不做")))))</x:f>
      </x:c>
      <x:c r="O92" s="37"/>
      <x:c r="P92" s="37" t="str">
        <x:f>IF($A92="","",IF($O92&lt;&gt;"",$O92,$N92))</x:f>
      </x:c>
      <x:c r="Q92" s="37" t="str">
        <x:f>IF($A92="","",IF($P92="主站","分类页/集合页/商品页",IF($P92="博客站C-对比评测",IF($H92="博客/对比","对比文","购买指南"),IF($P92="博客站B-人群场景","场景解决方案",IF($P92="博客站A-知识教程",IF($H92="教程/FAQ","教程文","价值解释文"),"暂不做")))))</x:f>
      </x:c>
      <x:c r="R92" s="37" t="str">
        <x:f>IF($A92="","",IF($Q92="分类页/集合页/商品页","不写文章",IF($Q92="暂不做","暂不做",$Q92)))</x:f>
      </x:c>
      <x:c r="S92" s="37"/>
      <x:c r="T92" s="37"/>
      <x:c r="U92" s="37"/>
      <x:c r="V92" s="37"/>
      <x:c r="W92" s="37"/>
      <x:c r="X92" s="37"/>
      <x:c r="Y92" s="37"/>
      <x:c r="Z92" s="37"/>
      <x:c r="AA92" s="37"/>
      <x:c r="AB92" s="58" t="str">
        <x:f>IF($A92="","",IF($D92&gt;=1000,15,IF($D92&gt;=300,12,IF($D92&gt;=100,9,IF($D92&gt;0,5,0)))))</x:f>
      </x:c>
      <x:c r="AC92" s="58" t="str">
        <x:f>IF($A92="","",(($I92+$J92)/10)*25)</x:f>
      </x:c>
      <x:c r="AD92" s="58" t="str">
        <x:f>IF($A92="","",(($K92+$L92)/10)*25)</x:f>
      </x:c>
      <x:c r="AE92" s="58" t="str">
        <x:f>IF($A92="","",$M92*5)</x:f>
      </x:c>
      <x:c r="AF92" s="58" t="str">
        <x:f>IF($A92="","",MAX(0,AB92+AC92+AD92-AE92))</x:f>
      </x:c>
      <x:c r="AG92" s="37" t="str">
        <x:f>IF($A92="","",IF(AF92&gt;=70,"P0",IF(AF92&gt;=55,"P1",IF(AF92&gt;=40,"P2","P3"))))</x:f>
      </x:c>
      <x:c r="AH92" s="38" t="str">
        <x:f>IF($A92="","",IF(AG92="P0","立即规划",IF(AG92="P1","进入本批内容日历",IF(AG92="P2","观察/做FAQ或长尾","暂不做或合并"))))</x:f>
      </x:c>
    </x:row>
    <x:row r="93">
      <x:c r="A93" s="36"/>
      <x:c r="B93" s="37"/>
      <x:c r="C93" s="37"/>
      <x:c r="D93" s="49"/>
      <x:c r="E93" s="52"/>
      <x:c r="F93" s="55"/>
      <x:c r="G93" s="55"/>
      <x:c r="H93" s="55"/>
      <x:c r="I93" s="55"/>
      <x:c r="J93" s="55"/>
      <x:c r="K93" s="55"/>
      <x:c r="L93" s="55"/>
      <x:c r="M93" s="55"/>
      <x:c r="N93" s="37" t="str">
        <x:f>IF($A93="","",IF(OR($G93="Transactional",$H93="商品/分类页",$H93="集合页",$H93="品牌页"),"主站",IF(OR($H93="博客/榜单",$H93="博客/对比",$G93="Commercial"),"博客站C-对比评测",IF($H93="博客/场景","博客站B-人群场景",IF(OR($H93="教程/FAQ",$H93="博客/指南",$G93="Informational"),"博客站A-知识教程","暂不做")))))</x:f>
      </x:c>
      <x:c r="O93" s="37"/>
      <x:c r="P93" s="37" t="str">
        <x:f>IF($A93="","",IF($O93&lt;&gt;"",$O93,$N93))</x:f>
      </x:c>
      <x:c r="Q93" s="37" t="str">
        <x:f>IF($A93="","",IF($P93="主站","分类页/集合页/商品页",IF($P93="博客站C-对比评测",IF($H93="博客/对比","对比文","购买指南"),IF($P93="博客站B-人群场景","场景解决方案",IF($P93="博客站A-知识教程",IF($H93="教程/FAQ","教程文","价值解释文"),"暂不做")))))</x:f>
      </x:c>
      <x:c r="R93" s="37" t="str">
        <x:f>IF($A93="","",IF($Q93="分类页/集合页/商品页","不写文章",IF($Q93="暂不做","暂不做",$Q93)))</x:f>
      </x:c>
      <x:c r="S93" s="37"/>
      <x:c r="T93" s="37"/>
      <x:c r="U93" s="37"/>
      <x:c r="V93" s="37"/>
      <x:c r="W93" s="37"/>
      <x:c r="X93" s="37"/>
      <x:c r="Y93" s="37"/>
      <x:c r="Z93" s="37"/>
      <x:c r="AA93" s="37"/>
      <x:c r="AB93" s="58" t="str">
        <x:f>IF($A93="","",IF($D93&gt;=1000,15,IF($D93&gt;=300,12,IF($D93&gt;=100,9,IF($D93&gt;0,5,0)))))</x:f>
      </x:c>
      <x:c r="AC93" s="58" t="str">
        <x:f>IF($A93="","",(($I93+$J93)/10)*25)</x:f>
      </x:c>
      <x:c r="AD93" s="58" t="str">
        <x:f>IF($A93="","",(($K93+$L93)/10)*25)</x:f>
      </x:c>
      <x:c r="AE93" s="58" t="str">
        <x:f>IF($A93="","",$M93*5)</x:f>
      </x:c>
      <x:c r="AF93" s="58" t="str">
        <x:f>IF($A93="","",MAX(0,AB93+AC93+AD93-AE93))</x:f>
      </x:c>
      <x:c r="AG93" s="37" t="str">
        <x:f>IF($A93="","",IF(AF93&gt;=70,"P0",IF(AF93&gt;=55,"P1",IF(AF93&gt;=40,"P2","P3"))))</x:f>
      </x:c>
      <x:c r="AH93" s="38" t="str">
        <x:f>IF($A93="","",IF(AG93="P0","立即规划",IF(AG93="P1","进入本批内容日历",IF(AG93="P2","观察/做FAQ或长尾","暂不做或合并"))))</x:f>
      </x:c>
    </x:row>
    <x:row r="94">
      <x:c r="A94" s="36"/>
      <x:c r="B94" s="37"/>
      <x:c r="C94" s="37"/>
      <x:c r="D94" s="49"/>
      <x:c r="E94" s="52"/>
      <x:c r="F94" s="55"/>
      <x:c r="G94" s="55"/>
      <x:c r="H94" s="55"/>
      <x:c r="I94" s="55"/>
      <x:c r="J94" s="55"/>
      <x:c r="K94" s="55"/>
      <x:c r="L94" s="55"/>
      <x:c r="M94" s="55"/>
      <x:c r="N94" s="37" t="str">
        <x:f>IF($A94="","",IF(OR($G94="Transactional",$H94="商品/分类页",$H94="集合页",$H94="品牌页"),"主站",IF(OR($H94="博客/榜单",$H94="博客/对比",$G94="Commercial"),"博客站C-对比评测",IF($H94="博客/场景","博客站B-人群场景",IF(OR($H94="教程/FAQ",$H94="博客/指南",$G94="Informational"),"博客站A-知识教程","暂不做")))))</x:f>
      </x:c>
      <x:c r="O94" s="37"/>
      <x:c r="P94" s="37" t="str">
        <x:f>IF($A94="","",IF($O94&lt;&gt;"",$O94,$N94))</x:f>
      </x:c>
      <x:c r="Q94" s="37" t="str">
        <x:f>IF($A94="","",IF($P94="主站","分类页/集合页/商品页",IF($P94="博客站C-对比评测",IF($H94="博客/对比","对比文","购买指南"),IF($P94="博客站B-人群场景","场景解决方案",IF($P94="博客站A-知识教程",IF($H94="教程/FAQ","教程文","价值解释文"),"暂不做")))))</x:f>
      </x:c>
      <x:c r="R94" s="37" t="str">
        <x:f>IF($A94="","",IF($Q94="分类页/集合页/商品页","不写文章",IF($Q94="暂不做","暂不做",$Q94)))</x:f>
      </x:c>
      <x:c r="S94" s="37"/>
      <x:c r="T94" s="37"/>
      <x:c r="U94" s="37"/>
      <x:c r="V94" s="37"/>
      <x:c r="W94" s="37"/>
      <x:c r="X94" s="37"/>
      <x:c r="Y94" s="37"/>
      <x:c r="Z94" s="37"/>
      <x:c r="AA94" s="37"/>
      <x:c r="AB94" s="58" t="str">
        <x:f>IF($A94="","",IF($D94&gt;=1000,15,IF($D94&gt;=300,12,IF($D94&gt;=100,9,IF($D94&gt;0,5,0)))))</x:f>
      </x:c>
      <x:c r="AC94" s="58" t="str">
        <x:f>IF($A94="","",(($I94+$J94)/10)*25)</x:f>
      </x:c>
      <x:c r="AD94" s="58" t="str">
        <x:f>IF($A94="","",(($K94+$L94)/10)*25)</x:f>
      </x:c>
      <x:c r="AE94" s="58" t="str">
        <x:f>IF($A94="","",$M94*5)</x:f>
      </x:c>
      <x:c r="AF94" s="58" t="str">
        <x:f>IF($A94="","",MAX(0,AB94+AC94+AD94-AE94))</x:f>
      </x:c>
      <x:c r="AG94" s="37" t="str">
        <x:f>IF($A94="","",IF(AF94&gt;=70,"P0",IF(AF94&gt;=55,"P1",IF(AF94&gt;=40,"P2","P3"))))</x:f>
      </x:c>
      <x:c r="AH94" s="38" t="str">
        <x:f>IF($A94="","",IF(AG94="P0","立即规划",IF(AG94="P1","进入本批内容日历",IF(AG94="P2","观察/做FAQ或长尾","暂不做或合并"))))</x:f>
      </x:c>
    </x:row>
    <x:row r="95">
      <x:c r="A95" s="36"/>
      <x:c r="B95" s="37"/>
      <x:c r="C95" s="37"/>
      <x:c r="D95" s="49"/>
      <x:c r="E95" s="52"/>
      <x:c r="F95" s="55"/>
      <x:c r="G95" s="55"/>
      <x:c r="H95" s="55"/>
      <x:c r="I95" s="55"/>
      <x:c r="J95" s="55"/>
      <x:c r="K95" s="55"/>
      <x:c r="L95" s="55"/>
      <x:c r="M95" s="55"/>
      <x:c r="N95" s="37" t="str">
        <x:f>IF($A95="","",IF(OR($G95="Transactional",$H95="商品/分类页",$H95="集合页",$H95="品牌页"),"主站",IF(OR($H95="博客/榜单",$H95="博客/对比",$G95="Commercial"),"博客站C-对比评测",IF($H95="博客/场景","博客站B-人群场景",IF(OR($H95="教程/FAQ",$H95="博客/指南",$G95="Informational"),"博客站A-知识教程","暂不做")))))</x:f>
      </x:c>
      <x:c r="O95" s="37"/>
      <x:c r="P95" s="37" t="str">
        <x:f>IF($A95="","",IF($O95&lt;&gt;"",$O95,$N95))</x:f>
      </x:c>
      <x:c r="Q95" s="37" t="str">
        <x:f>IF($A95="","",IF($P95="主站","分类页/集合页/商品页",IF($P95="博客站C-对比评测",IF($H95="博客/对比","对比文","购买指南"),IF($P95="博客站B-人群场景","场景解决方案",IF($P95="博客站A-知识教程",IF($H95="教程/FAQ","教程文","价值解释文"),"暂不做")))))</x:f>
      </x:c>
      <x:c r="R95" s="37" t="str">
        <x:f>IF($A95="","",IF($Q95="分类页/集合页/商品页","不写文章",IF($Q95="暂不做","暂不做",$Q95)))</x:f>
      </x:c>
      <x:c r="S95" s="37"/>
      <x:c r="T95" s="37"/>
      <x:c r="U95" s="37"/>
      <x:c r="V95" s="37"/>
      <x:c r="W95" s="37"/>
      <x:c r="X95" s="37"/>
      <x:c r="Y95" s="37"/>
      <x:c r="Z95" s="37"/>
      <x:c r="AA95" s="37"/>
      <x:c r="AB95" s="58" t="str">
        <x:f>IF($A95="","",IF($D95&gt;=1000,15,IF($D95&gt;=300,12,IF($D95&gt;=100,9,IF($D95&gt;0,5,0)))))</x:f>
      </x:c>
      <x:c r="AC95" s="58" t="str">
        <x:f>IF($A95="","",(($I95+$J95)/10)*25)</x:f>
      </x:c>
      <x:c r="AD95" s="58" t="str">
        <x:f>IF($A95="","",(($K95+$L95)/10)*25)</x:f>
      </x:c>
      <x:c r="AE95" s="58" t="str">
        <x:f>IF($A95="","",$M95*5)</x:f>
      </x:c>
      <x:c r="AF95" s="58" t="str">
        <x:f>IF($A95="","",MAX(0,AB95+AC95+AD95-AE95))</x:f>
      </x:c>
      <x:c r="AG95" s="37" t="str">
        <x:f>IF($A95="","",IF(AF95&gt;=70,"P0",IF(AF95&gt;=55,"P1",IF(AF95&gt;=40,"P2","P3"))))</x:f>
      </x:c>
      <x:c r="AH95" s="38" t="str">
        <x:f>IF($A95="","",IF(AG95="P0","立即规划",IF(AG95="P1","进入本批内容日历",IF(AG95="P2","观察/做FAQ或长尾","暂不做或合并"))))</x:f>
      </x:c>
    </x:row>
    <x:row r="96">
      <x:c r="A96" s="36"/>
      <x:c r="B96" s="37"/>
      <x:c r="C96" s="37"/>
      <x:c r="D96" s="49"/>
      <x:c r="E96" s="52"/>
      <x:c r="F96" s="55"/>
      <x:c r="G96" s="55"/>
      <x:c r="H96" s="55"/>
      <x:c r="I96" s="55"/>
      <x:c r="J96" s="55"/>
      <x:c r="K96" s="55"/>
      <x:c r="L96" s="55"/>
      <x:c r="M96" s="55"/>
      <x:c r="N96" s="37" t="str">
        <x:f>IF($A96="","",IF(OR($G96="Transactional",$H96="商品/分类页",$H96="集合页",$H96="品牌页"),"主站",IF(OR($H96="博客/榜单",$H96="博客/对比",$G96="Commercial"),"博客站C-对比评测",IF($H96="博客/场景","博客站B-人群场景",IF(OR($H96="教程/FAQ",$H96="博客/指南",$G96="Informational"),"博客站A-知识教程","暂不做")))))</x:f>
      </x:c>
      <x:c r="O96" s="37"/>
      <x:c r="P96" s="37" t="str">
        <x:f>IF($A96="","",IF($O96&lt;&gt;"",$O96,$N96))</x:f>
      </x:c>
      <x:c r="Q96" s="37" t="str">
        <x:f>IF($A96="","",IF($P96="主站","分类页/集合页/商品页",IF($P96="博客站C-对比评测",IF($H96="博客/对比","对比文","购买指南"),IF($P96="博客站B-人群场景","场景解决方案",IF($P96="博客站A-知识教程",IF($H96="教程/FAQ","教程文","价值解释文"),"暂不做")))))</x:f>
      </x:c>
      <x:c r="R96" s="37" t="str">
        <x:f>IF($A96="","",IF($Q96="分类页/集合页/商品页","不写文章",IF($Q96="暂不做","暂不做",$Q96)))</x:f>
      </x:c>
      <x:c r="S96" s="37"/>
      <x:c r="T96" s="37"/>
      <x:c r="U96" s="37"/>
      <x:c r="V96" s="37"/>
      <x:c r="W96" s="37"/>
      <x:c r="X96" s="37"/>
      <x:c r="Y96" s="37"/>
      <x:c r="Z96" s="37"/>
      <x:c r="AA96" s="37"/>
      <x:c r="AB96" s="58" t="str">
        <x:f>IF($A96="","",IF($D96&gt;=1000,15,IF($D96&gt;=300,12,IF($D96&gt;=100,9,IF($D96&gt;0,5,0)))))</x:f>
      </x:c>
      <x:c r="AC96" s="58" t="str">
        <x:f>IF($A96="","",(($I96+$J96)/10)*25)</x:f>
      </x:c>
      <x:c r="AD96" s="58" t="str">
        <x:f>IF($A96="","",(($K96+$L96)/10)*25)</x:f>
      </x:c>
      <x:c r="AE96" s="58" t="str">
        <x:f>IF($A96="","",$M96*5)</x:f>
      </x:c>
      <x:c r="AF96" s="58" t="str">
        <x:f>IF($A96="","",MAX(0,AB96+AC96+AD96-AE96))</x:f>
      </x:c>
      <x:c r="AG96" s="37" t="str">
        <x:f>IF($A96="","",IF(AF96&gt;=70,"P0",IF(AF96&gt;=55,"P1",IF(AF96&gt;=40,"P2","P3"))))</x:f>
      </x:c>
      <x:c r="AH96" s="38" t="str">
        <x:f>IF($A96="","",IF(AG96="P0","立即规划",IF(AG96="P1","进入本批内容日历",IF(AG96="P2","观察/做FAQ或长尾","暂不做或合并"))))</x:f>
      </x:c>
    </x:row>
    <x:row r="97">
      <x:c r="A97" s="36"/>
      <x:c r="B97" s="37"/>
      <x:c r="C97" s="37"/>
      <x:c r="D97" s="49"/>
      <x:c r="E97" s="52"/>
      <x:c r="F97" s="55"/>
      <x:c r="G97" s="55"/>
      <x:c r="H97" s="55"/>
      <x:c r="I97" s="55"/>
      <x:c r="J97" s="55"/>
      <x:c r="K97" s="55"/>
      <x:c r="L97" s="55"/>
      <x:c r="M97" s="55"/>
      <x:c r="N97" s="37" t="str">
        <x:f>IF($A97="","",IF(OR($G97="Transactional",$H97="商品/分类页",$H97="集合页",$H97="品牌页"),"主站",IF(OR($H97="博客/榜单",$H97="博客/对比",$G97="Commercial"),"博客站C-对比评测",IF($H97="博客/场景","博客站B-人群场景",IF(OR($H97="教程/FAQ",$H97="博客/指南",$G97="Informational"),"博客站A-知识教程","暂不做")))))</x:f>
      </x:c>
      <x:c r="O97" s="37"/>
      <x:c r="P97" s="37" t="str">
        <x:f>IF($A97="","",IF($O97&lt;&gt;"",$O97,$N97))</x:f>
      </x:c>
      <x:c r="Q97" s="37" t="str">
        <x:f>IF($A97="","",IF($P97="主站","分类页/集合页/商品页",IF($P97="博客站C-对比评测",IF($H97="博客/对比","对比文","购买指南"),IF($P97="博客站B-人群场景","场景解决方案",IF($P97="博客站A-知识教程",IF($H97="教程/FAQ","教程文","价值解释文"),"暂不做")))))</x:f>
      </x:c>
      <x:c r="R97" s="37" t="str">
        <x:f>IF($A97="","",IF($Q97="分类页/集合页/商品页","不写文章",IF($Q97="暂不做","暂不做",$Q97)))</x:f>
      </x:c>
      <x:c r="S97" s="37"/>
      <x:c r="T97" s="37"/>
      <x:c r="U97" s="37"/>
      <x:c r="V97" s="37"/>
      <x:c r="W97" s="37"/>
      <x:c r="X97" s="37"/>
      <x:c r="Y97" s="37"/>
      <x:c r="Z97" s="37"/>
      <x:c r="AA97" s="37"/>
      <x:c r="AB97" s="58" t="str">
        <x:f>IF($A97="","",IF($D97&gt;=1000,15,IF($D97&gt;=300,12,IF($D97&gt;=100,9,IF($D97&gt;0,5,0)))))</x:f>
      </x:c>
      <x:c r="AC97" s="58" t="str">
        <x:f>IF($A97="","",(($I97+$J97)/10)*25)</x:f>
      </x:c>
      <x:c r="AD97" s="58" t="str">
        <x:f>IF($A97="","",(($K97+$L97)/10)*25)</x:f>
      </x:c>
      <x:c r="AE97" s="58" t="str">
        <x:f>IF($A97="","",$M97*5)</x:f>
      </x:c>
      <x:c r="AF97" s="58" t="str">
        <x:f>IF($A97="","",MAX(0,AB97+AC97+AD97-AE97))</x:f>
      </x:c>
      <x:c r="AG97" s="37" t="str">
        <x:f>IF($A97="","",IF(AF97&gt;=70,"P0",IF(AF97&gt;=55,"P1",IF(AF97&gt;=40,"P2","P3"))))</x:f>
      </x:c>
      <x:c r="AH97" s="38" t="str">
        <x:f>IF($A97="","",IF(AG97="P0","立即规划",IF(AG97="P1","进入本批内容日历",IF(AG97="P2","观察/做FAQ或长尾","暂不做或合并"))))</x:f>
      </x:c>
    </x:row>
    <x:row r="98">
      <x:c r="A98" s="36"/>
      <x:c r="B98" s="37"/>
      <x:c r="C98" s="37"/>
      <x:c r="D98" s="49"/>
      <x:c r="E98" s="52"/>
      <x:c r="F98" s="55"/>
      <x:c r="G98" s="55"/>
      <x:c r="H98" s="55"/>
      <x:c r="I98" s="55"/>
      <x:c r="J98" s="55"/>
      <x:c r="K98" s="55"/>
      <x:c r="L98" s="55"/>
      <x:c r="M98" s="55"/>
      <x:c r="N98" s="37" t="str">
        <x:f>IF($A98="","",IF(OR($G98="Transactional",$H98="商品/分类页",$H98="集合页",$H98="品牌页"),"主站",IF(OR($H98="博客/榜单",$H98="博客/对比",$G98="Commercial"),"博客站C-对比评测",IF($H98="博客/场景","博客站B-人群场景",IF(OR($H98="教程/FAQ",$H98="博客/指南",$G98="Informational"),"博客站A-知识教程","暂不做")))))</x:f>
      </x:c>
      <x:c r="O98" s="37"/>
      <x:c r="P98" s="37" t="str">
        <x:f>IF($A98="","",IF($O98&lt;&gt;"",$O98,$N98))</x:f>
      </x:c>
      <x:c r="Q98" s="37" t="str">
        <x:f>IF($A98="","",IF($P98="主站","分类页/集合页/商品页",IF($P98="博客站C-对比评测",IF($H98="博客/对比","对比文","购买指南"),IF($P98="博客站B-人群场景","场景解决方案",IF($P98="博客站A-知识教程",IF($H98="教程/FAQ","教程文","价值解释文"),"暂不做")))))</x:f>
      </x:c>
      <x:c r="R98" s="37" t="str">
        <x:f>IF($A98="","",IF($Q98="分类页/集合页/商品页","不写文章",IF($Q98="暂不做","暂不做",$Q98)))</x:f>
      </x:c>
      <x:c r="S98" s="37"/>
      <x:c r="T98" s="37"/>
      <x:c r="U98" s="37"/>
      <x:c r="V98" s="37"/>
      <x:c r="W98" s="37"/>
      <x:c r="X98" s="37"/>
      <x:c r="Y98" s="37"/>
      <x:c r="Z98" s="37"/>
      <x:c r="AA98" s="37"/>
      <x:c r="AB98" s="58" t="str">
        <x:f>IF($A98="","",IF($D98&gt;=1000,15,IF($D98&gt;=300,12,IF($D98&gt;=100,9,IF($D98&gt;0,5,0)))))</x:f>
      </x:c>
      <x:c r="AC98" s="58" t="str">
        <x:f>IF($A98="","",(($I98+$J98)/10)*25)</x:f>
      </x:c>
      <x:c r="AD98" s="58" t="str">
        <x:f>IF($A98="","",(($K98+$L98)/10)*25)</x:f>
      </x:c>
      <x:c r="AE98" s="58" t="str">
        <x:f>IF($A98="","",$M98*5)</x:f>
      </x:c>
      <x:c r="AF98" s="58" t="str">
        <x:f>IF($A98="","",MAX(0,AB98+AC98+AD98-AE98))</x:f>
      </x:c>
      <x:c r="AG98" s="37" t="str">
        <x:f>IF($A98="","",IF(AF98&gt;=70,"P0",IF(AF98&gt;=55,"P1",IF(AF98&gt;=40,"P2","P3"))))</x:f>
      </x:c>
      <x:c r="AH98" s="38" t="str">
        <x:f>IF($A98="","",IF(AG98="P0","立即规划",IF(AG98="P1","进入本批内容日历",IF(AG98="P2","观察/做FAQ或长尾","暂不做或合并"))))</x:f>
      </x:c>
    </x:row>
    <x:row r="99">
      <x:c r="A99" s="36"/>
      <x:c r="B99" s="37"/>
      <x:c r="C99" s="37"/>
      <x:c r="D99" s="49"/>
      <x:c r="E99" s="52"/>
      <x:c r="F99" s="55"/>
      <x:c r="G99" s="55"/>
      <x:c r="H99" s="55"/>
      <x:c r="I99" s="55"/>
      <x:c r="J99" s="55"/>
      <x:c r="K99" s="55"/>
      <x:c r="L99" s="55"/>
      <x:c r="M99" s="55"/>
      <x:c r="N99" s="37" t="str">
        <x:f>IF($A99="","",IF(OR($G99="Transactional",$H99="商品/分类页",$H99="集合页",$H99="品牌页"),"主站",IF(OR($H99="博客/榜单",$H99="博客/对比",$G99="Commercial"),"博客站C-对比评测",IF($H99="博客/场景","博客站B-人群场景",IF(OR($H99="教程/FAQ",$H99="博客/指南",$G99="Informational"),"博客站A-知识教程","暂不做")))))</x:f>
      </x:c>
      <x:c r="O99" s="37"/>
      <x:c r="P99" s="37" t="str">
        <x:f>IF($A99="","",IF($O99&lt;&gt;"",$O99,$N99))</x:f>
      </x:c>
      <x:c r="Q99" s="37" t="str">
        <x:f>IF($A99="","",IF($P99="主站","分类页/集合页/商品页",IF($P99="博客站C-对比评测",IF($H99="博客/对比","对比文","购买指南"),IF($P99="博客站B-人群场景","场景解决方案",IF($P99="博客站A-知识教程",IF($H99="教程/FAQ","教程文","价值解释文"),"暂不做")))))</x:f>
      </x:c>
      <x:c r="R99" s="37" t="str">
        <x:f>IF($A99="","",IF($Q99="分类页/集合页/商品页","不写文章",IF($Q99="暂不做","暂不做",$Q99)))</x:f>
      </x:c>
      <x:c r="S99" s="37"/>
      <x:c r="T99" s="37"/>
      <x:c r="U99" s="37"/>
      <x:c r="V99" s="37"/>
      <x:c r="W99" s="37"/>
      <x:c r="X99" s="37"/>
      <x:c r="Y99" s="37"/>
      <x:c r="Z99" s="37"/>
      <x:c r="AA99" s="37"/>
      <x:c r="AB99" s="58" t="str">
        <x:f>IF($A99="","",IF($D99&gt;=1000,15,IF($D99&gt;=300,12,IF($D99&gt;=100,9,IF($D99&gt;0,5,0)))))</x:f>
      </x:c>
      <x:c r="AC99" s="58" t="str">
        <x:f>IF($A99="","",(($I99+$J99)/10)*25)</x:f>
      </x:c>
      <x:c r="AD99" s="58" t="str">
        <x:f>IF($A99="","",(($K99+$L99)/10)*25)</x:f>
      </x:c>
      <x:c r="AE99" s="58" t="str">
        <x:f>IF($A99="","",$M99*5)</x:f>
      </x:c>
      <x:c r="AF99" s="58" t="str">
        <x:f>IF($A99="","",MAX(0,AB99+AC99+AD99-AE99))</x:f>
      </x:c>
      <x:c r="AG99" s="37" t="str">
        <x:f>IF($A99="","",IF(AF99&gt;=70,"P0",IF(AF99&gt;=55,"P1",IF(AF99&gt;=40,"P2","P3"))))</x:f>
      </x:c>
      <x:c r="AH99" s="38" t="str">
        <x:f>IF($A99="","",IF(AG99="P0","立即规划",IF(AG99="P1","进入本批内容日历",IF(AG99="P2","观察/做FAQ或长尾","暂不做或合并"))))</x:f>
      </x:c>
    </x:row>
    <x:row r="100">
      <x:c r="A100" s="36"/>
      <x:c r="B100" s="37"/>
      <x:c r="C100" s="37"/>
      <x:c r="D100" s="49"/>
      <x:c r="E100" s="52"/>
      <x:c r="F100" s="55"/>
      <x:c r="G100" s="55"/>
      <x:c r="H100" s="55"/>
      <x:c r="I100" s="55"/>
      <x:c r="J100" s="55"/>
      <x:c r="K100" s="55"/>
      <x:c r="L100" s="55"/>
      <x:c r="M100" s="55"/>
      <x:c r="N100" s="37" t="str">
        <x:f>IF($A100="","",IF(OR($G100="Transactional",$H100="商品/分类页",$H100="集合页",$H100="品牌页"),"主站",IF(OR($H100="博客/榜单",$H100="博客/对比",$G100="Commercial"),"博客站C-对比评测",IF($H100="博客/场景","博客站B-人群场景",IF(OR($H100="教程/FAQ",$H100="博客/指南",$G100="Informational"),"博客站A-知识教程","暂不做")))))</x:f>
      </x:c>
      <x:c r="O100" s="37"/>
      <x:c r="P100" s="37" t="str">
        <x:f>IF($A100="","",IF($O100&lt;&gt;"",$O100,$N100))</x:f>
      </x:c>
      <x:c r="Q100" s="37" t="str">
        <x:f>IF($A100="","",IF($P100="主站","分类页/集合页/商品页",IF($P100="博客站C-对比评测",IF($H100="博客/对比","对比文","购买指南"),IF($P100="博客站B-人群场景","场景解决方案",IF($P100="博客站A-知识教程",IF($H100="教程/FAQ","教程文","价值解释文"),"暂不做")))))</x:f>
      </x:c>
      <x:c r="R100" s="37" t="str">
        <x:f>IF($A100="","",IF($Q100="分类页/集合页/商品页","不写文章",IF($Q100="暂不做","暂不做",$Q100)))</x:f>
      </x:c>
      <x:c r="S100" s="37"/>
      <x:c r="T100" s="37"/>
      <x:c r="U100" s="37"/>
      <x:c r="V100" s="37"/>
      <x:c r="W100" s="37"/>
      <x:c r="X100" s="37"/>
      <x:c r="Y100" s="37"/>
      <x:c r="Z100" s="37"/>
      <x:c r="AA100" s="37"/>
      <x:c r="AB100" s="58" t="str">
        <x:f>IF($A100="","",IF($D100&gt;=1000,15,IF($D100&gt;=300,12,IF($D100&gt;=100,9,IF($D100&gt;0,5,0)))))</x:f>
      </x:c>
      <x:c r="AC100" s="58" t="str">
        <x:f>IF($A100="","",(($I100+$J100)/10)*25)</x:f>
      </x:c>
      <x:c r="AD100" s="58" t="str">
        <x:f>IF($A100="","",(($K100+$L100)/10)*25)</x:f>
      </x:c>
      <x:c r="AE100" s="58" t="str">
        <x:f>IF($A100="","",$M100*5)</x:f>
      </x:c>
      <x:c r="AF100" s="58" t="str">
        <x:f>IF($A100="","",MAX(0,AB100+AC100+AD100-AE100))</x:f>
      </x:c>
      <x:c r="AG100" s="37" t="str">
        <x:f>IF($A100="","",IF(AF100&gt;=70,"P0",IF(AF100&gt;=55,"P1",IF(AF100&gt;=40,"P2","P3"))))</x:f>
      </x:c>
      <x:c r="AH100" s="38" t="str">
        <x:f>IF($A100="","",IF(AG100="P0","立即规划",IF(AG100="P1","进入本批内容日历",IF(AG100="P2","观察/做FAQ或长尾","暂不做或合并"))))</x:f>
      </x:c>
    </x:row>
    <x:row r="101">
      <x:c r="A101" s="36"/>
      <x:c r="B101" s="37"/>
      <x:c r="C101" s="37"/>
      <x:c r="D101" s="49"/>
      <x:c r="E101" s="52"/>
      <x:c r="F101" s="55"/>
      <x:c r="G101" s="55"/>
      <x:c r="H101" s="55"/>
      <x:c r="I101" s="55"/>
      <x:c r="J101" s="55"/>
      <x:c r="K101" s="55"/>
      <x:c r="L101" s="55"/>
      <x:c r="M101" s="55"/>
      <x:c r="N101" s="37" t="str">
        <x:f>IF($A101="","",IF(OR($G101="Transactional",$H101="商品/分类页",$H101="集合页",$H101="品牌页"),"主站",IF(OR($H101="博客/榜单",$H101="博客/对比",$G101="Commercial"),"博客站C-对比评测",IF($H101="博客/场景","博客站B-人群场景",IF(OR($H101="教程/FAQ",$H101="博客/指南",$G101="Informational"),"博客站A-知识教程","暂不做")))))</x:f>
      </x:c>
      <x:c r="O101" s="37"/>
      <x:c r="P101" s="37" t="str">
        <x:f>IF($A101="","",IF($O101&lt;&gt;"",$O101,$N101))</x:f>
      </x:c>
      <x:c r="Q101" s="37" t="str">
        <x:f>IF($A101="","",IF($P101="主站","分类页/集合页/商品页",IF($P101="博客站C-对比评测",IF($H101="博客/对比","对比文","购买指南"),IF($P101="博客站B-人群场景","场景解决方案",IF($P101="博客站A-知识教程",IF($H101="教程/FAQ","教程文","价值解释文"),"暂不做")))))</x:f>
      </x:c>
      <x:c r="R101" s="37" t="str">
        <x:f>IF($A101="","",IF($Q101="分类页/集合页/商品页","不写文章",IF($Q101="暂不做","暂不做",$Q101)))</x:f>
      </x:c>
      <x:c r="S101" s="37"/>
      <x:c r="T101" s="37"/>
      <x:c r="U101" s="37"/>
      <x:c r="V101" s="37"/>
      <x:c r="W101" s="37"/>
      <x:c r="X101" s="37"/>
      <x:c r="Y101" s="37"/>
      <x:c r="Z101" s="37"/>
      <x:c r="AA101" s="37"/>
      <x:c r="AB101" s="58" t="str">
        <x:f>IF($A101="","",IF($D101&gt;=1000,15,IF($D101&gt;=300,12,IF($D101&gt;=100,9,IF($D101&gt;0,5,0)))))</x:f>
      </x:c>
      <x:c r="AC101" s="58" t="str">
        <x:f>IF($A101="","",(($I101+$J101)/10)*25)</x:f>
      </x:c>
      <x:c r="AD101" s="58" t="str">
        <x:f>IF($A101="","",(($K101+$L101)/10)*25)</x:f>
      </x:c>
      <x:c r="AE101" s="58" t="str">
        <x:f>IF($A101="","",$M101*5)</x:f>
      </x:c>
      <x:c r="AF101" s="58" t="str">
        <x:f>IF($A101="","",MAX(0,AB101+AC101+AD101-AE101))</x:f>
      </x:c>
      <x:c r="AG101" s="37" t="str">
        <x:f>IF($A101="","",IF(AF101&gt;=70,"P0",IF(AF101&gt;=55,"P1",IF(AF101&gt;=40,"P2","P3"))))</x:f>
      </x:c>
      <x:c r="AH101" s="38" t="str">
        <x:f>IF($A101="","",IF(AG101="P0","立即规划",IF(AG101="P1","进入本批内容日历",IF(AG101="P2","观察/做FAQ或长尾","暂不做或合并"))))</x:f>
      </x:c>
    </x:row>
    <x:row r="102">
      <x:c r="A102" s="36"/>
      <x:c r="B102" s="37"/>
      <x:c r="C102" s="37"/>
      <x:c r="D102" s="49"/>
      <x:c r="E102" s="52"/>
      <x:c r="F102" s="55"/>
      <x:c r="G102" s="55"/>
      <x:c r="H102" s="55"/>
      <x:c r="I102" s="55"/>
      <x:c r="J102" s="55"/>
      <x:c r="K102" s="55"/>
      <x:c r="L102" s="55"/>
      <x:c r="M102" s="55"/>
      <x:c r="N102" s="37" t="str">
        <x:f>IF($A102="","",IF(OR($G102="Transactional",$H102="商品/分类页",$H102="集合页",$H102="品牌页"),"主站",IF(OR($H102="博客/榜单",$H102="博客/对比",$G102="Commercial"),"博客站C-对比评测",IF($H102="博客/场景","博客站B-人群场景",IF(OR($H102="教程/FAQ",$H102="博客/指南",$G102="Informational"),"博客站A-知识教程","暂不做")))))</x:f>
      </x:c>
      <x:c r="O102" s="37"/>
      <x:c r="P102" s="37" t="str">
        <x:f>IF($A102="","",IF($O102&lt;&gt;"",$O102,$N102))</x:f>
      </x:c>
      <x:c r="Q102" s="37" t="str">
        <x:f>IF($A102="","",IF($P102="主站","分类页/集合页/商品页",IF($P102="博客站C-对比评测",IF($H102="博客/对比","对比文","购买指南"),IF($P102="博客站B-人群场景","场景解决方案",IF($P102="博客站A-知识教程",IF($H102="教程/FAQ","教程文","价值解释文"),"暂不做")))))</x:f>
      </x:c>
      <x:c r="R102" s="37" t="str">
        <x:f>IF($A102="","",IF($Q102="分类页/集合页/商品页","不写文章",IF($Q102="暂不做","暂不做",$Q102)))</x:f>
      </x:c>
      <x:c r="S102" s="37"/>
      <x:c r="T102" s="37"/>
      <x:c r="U102" s="37"/>
      <x:c r="V102" s="37"/>
      <x:c r="W102" s="37"/>
      <x:c r="X102" s="37"/>
      <x:c r="Y102" s="37"/>
      <x:c r="Z102" s="37"/>
      <x:c r="AA102" s="37"/>
      <x:c r="AB102" s="58" t="str">
        <x:f>IF($A102="","",IF($D102&gt;=1000,15,IF($D102&gt;=300,12,IF($D102&gt;=100,9,IF($D102&gt;0,5,0)))))</x:f>
      </x:c>
      <x:c r="AC102" s="58" t="str">
        <x:f>IF($A102="","",(($I102+$J102)/10)*25)</x:f>
      </x:c>
      <x:c r="AD102" s="58" t="str">
        <x:f>IF($A102="","",(($K102+$L102)/10)*25)</x:f>
      </x:c>
      <x:c r="AE102" s="58" t="str">
        <x:f>IF($A102="","",$M102*5)</x:f>
      </x:c>
      <x:c r="AF102" s="58" t="str">
        <x:f>IF($A102="","",MAX(0,AB102+AC102+AD102-AE102))</x:f>
      </x:c>
      <x:c r="AG102" s="37" t="str">
        <x:f>IF($A102="","",IF(AF102&gt;=70,"P0",IF(AF102&gt;=55,"P1",IF(AF102&gt;=40,"P2","P3"))))</x:f>
      </x:c>
      <x:c r="AH102" s="38" t="str">
        <x:f>IF($A102="","",IF(AG102="P0","立即规划",IF(AG102="P1","进入本批内容日历",IF(AG102="P2","观察/做FAQ或长尾","暂不做或合并"))))</x:f>
      </x:c>
    </x:row>
    <x:row r="103">
      <x:c r="A103" s="36"/>
      <x:c r="B103" s="37"/>
      <x:c r="C103" s="37"/>
      <x:c r="D103" s="49"/>
      <x:c r="E103" s="52"/>
      <x:c r="F103" s="55"/>
      <x:c r="G103" s="55"/>
      <x:c r="H103" s="55"/>
      <x:c r="I103" s="55"/>
      <x:c r="J103" s="55"/>
      <x:c r="K103" s="55"/>
      <x:c r="L103" s="55"/>
      <x:c r="M103" s="55"/>
      <x:c r="N103" s="37" t="str">
        <x:f>IF($A103="","",IF(OR($G103="Transactional",$H103="商品/分类页",$H103="集合页",$H103="品牌页"),"主站",IF(OR($H103="博客/榜单",$H103="博客/对比",$G103="Commercial"),"博客站C-对比评测",IF($H103="博客/场景","博客站B-人群场景",IF(OR($H103="教程/FAQ",$H103="博客/指南",$G103="Informational"),"博客站A-知识教程","暂不做")))))</x:f>
      </x:c>
      <x:c r="O103" s="37"/>
      <x:c r="P103" s="37" t="str">
        <x:f>IF($A103="","",IF($O103&lt;&gt;"",$O103,$N103))</x:f>
      </x:c>
      <x:c r="Q103" s="37" t="str">
        <x:f>IF($A103="","",IF($P103="主站","分类页/集合页/商品页",IF($P103="博客站C-对比评测",IF($H103="博客/对比","对比文","购买指南"),IF($P103="博客站B-人群场景","场景解决方案",IF($P103="博客站A-知识教程",IF($H103="教程/FAQ","教程文","价值解释文"),"暂不做")))))</x:f>
      </x:c>
      <x:c r="R103" s="37" t="str">
        <x:f>IF($A103="","",IF($Q103="分类页/集合页/商品页","不写文章",IF($Q103="暂不做","暂不做",$Q103)))</x:f>
      </x:c>
      <x:c r="S103" s="37"/>
      <x:c r="T103" s="37"/>
      <x:c r="U103" s="37"/>
      <x:c r="V103" s="37"/>
      <x:c r="W103" s="37"/>
      <x:c r="X103" s="37"/>
      <x:c r="Y103" s="37"/>
      <x:c r="Z103" s="37"/>
      <x:c r="AA103" s="37"/>
      <x:c r="AB103" s="58" t="str">
        <x:f>IF($A103="","",IF($D103&gt;=1000,15,IF($D103&gt;=300,12,IF($D103&gt;=100,9,IF($D103&gt;0,5,0)))))</x:f>
      </x:c>
      <x:c r="AC103" s="58" t="str">
        <x:f>IF($A103="","",(($I103+$J103)/10)*25)</x:f>
      </x:c>
      <x:c r="AD103" s="58" t="str">
        <x:f>IF($A103="","",(($K103+$L103)/10)*25)</x:f>
      </x:c>
      <x:c r="AE103" s="58" t="str">
        <x:f>IF($A103="","",$M103*5)</x:f>
      </x:c>
      <x:c r="AF103" s="58" t="str">
        <x:f>IF($A103="","",MAX(0,AB103+AC103+AD103-AE103))</x:f>
      </x:c>
      <x:c r="AG103" s="37" t="str">
        <x:f>IF($A103="","",IF(AF103&gt;=70,"P0",IF(AF103&gt;=55,"P1",IF(AF103&gt;=40,"P2","P3"))))</x:f>
      </x:c>
      <x:c r="AH103" s="38" t="str">
        <x:f>IF($A103="","",IF(AG103="P0","立即规划",IF(AG103="P1","进入本批内容日历",IF(AG103="P2","观察/做FAQ或长尾","暂不做或合并"))))</x:f>
      </x:c>
    </x:row>
    <x:row r="104">
      <x:c r="A104" s="36"/>
      <x:c r="B104" s="37"/>
      <x:c r="C104" s="37"/>
      <x:c r="D104" s="49"/>
      <x:c r="E104" s="52"/>
      <x:c r="F104" s="55"/>
      <x:c r="G104" s="55"/>
      <x:c r="H104" s="55"/>
      <x:c r="I104" s="55"/>
      <x:c r="J104" s="55"/>
      <x:c r="K104" s="55"/>
      <x:c r="L104" s="55"/>
      <x:c r="M104" s="55"/>
      <x:c r="N104" s="37" t="str">
        <x:f>IF($A104="","",IF(OR($G104="Transactional",$H104="商品/分类页",$H104="集合页",$H104="品牌页"),"主站",IF(OR($H104="博客/榜单",$H104="博客/对比",$G104="Commercial"),"博客站C-对比评测",IF($H104="博客/场景","博客站B-人群场景",IF(OR($H104="教程/FAQ",$H104="博客/指南",$G104="Informational"),"博客站A-知识教程","暂不做")))))</x:f>
      </x:c>
      <x:c r="O104" s="37"/>
      <x:c r="P104" s="37" t="str">
        <x:f>IF($A104="","",IF($O104&lt;&gt;"",$O104,$N104))</x:f>
      </x:c>
      <x:c r="Q104" s="37" t="str">
        <x:f>IF($A104="","",IF($P104="主站","分类页/集合页/商品页",IF($P104="博客站C-对比评测",IF($H104="博客/对比","对比文","购买指南"),IF($P104="博客站B-人群场景","场景解决方案",IF($P104="博客站A-知识教程",IF($H104="教程/FAQ","教程文","价值解释文"),"暂不做")))))</x:f>
      </x:c>
      <x:c r="R104" s="37" t="str">
        <x:f>IF($A104="","",IF($Q104="分类页/集合页/商品页","不写文章",IF($Q104="暂不做","暂不做",$Q104)))</x:f>
      </x:c>
      <x:c r="S104" s="37"/>
      <x:c r="T104" s="37"/>
      <x:c r="U104" s="37"/>
      <x:c r="V104" s="37"/>
      <x:c r="W104" s="37"/>
      <x:c r="X104" s="37"/>
      <x:c r="Y104" s="37"/>
      <x:c r="Z104" s="37"/>
      <x:c r="AA104" s="37"/>
      <x:c r="AB104" s="58" t="str">
        <x:f>IF($A104="","",IF($D104&gt;=1000,15,IF($D104&gt;=300,12,IF($D104&gt;=100,9,IF($D104&gt;0,5,0)))))</x:f>
      </x:c>
      <x:c r="AC104" s="58" t="str">
        <x:f>IF($A104="","",(($I104+$J104)/10)*25)</x:f>
      </x:c>
      <x:c r="AD104" s="58" t="str">
        <x:f>IF($A104="","",(($K104+$L104)/10)*25)</x:f>
      </x:c>
      <x:c r="AE104" s="58" t="str">
        <x:f>IF($A104="","",$M104*5)</x:f>
      </x:c>
      <x:c r="AF104" s="58" t="str">
        <x:f>IF($A104="","",MAX(0,AB104+AC104+AD104-AE104))</x:f>
      </x:c>
      <x:c r="AG104" s="37" t="str">
        <x:f>IF($A104="","",IF(AF104&gt;=70,"P0",IF(AF104&gt;=55,"P1",IF(AF104&gt;=40,"P2","P3"))))</x:f>
      </x:c>
      <x:c r="AH104" s="38" t="str">
        <x:f>IF($A104="","",IF(AG104="P0","立即规划",IF(AG104="P1","进入本批内容日历",IF(AG104="P2","观察/做FAQ或长尾","暂不做或合并"))))</x:f>
      </x:c>
    </x:row>
    <x:row r="105">
      <x:c r="A105" s="36"/>
      <x:c r="B105" s="37"/>
      <x:c r="C105" s="37"/>
      <x:c r="D105" s="49"/>
      <x:c r="E105" s="52"/>
      <x:c r="F105" s="55"/>
      <x:c r="G105" s="55"/>
      <x:c r="H105" s="55"/>
      <x:c r="I105" s="55"/>
      <x:c r="J105" s="55"/>
      <x:c r="K105" s="55"/>
      <x:c r="L105" s="55"/>
      <x:c r="M105" s="55"/>
      <x:c r="N105" s="37" t="str">
        <x:f>IF($A105="","",IF(OR($G105="Transactional",$H105="商品/分类页",$H105="集合页",$H105="品牌页"),"主站",IF(OR($H105="博客/榜单",$H105="博客/对比",$G105="Commercial"),"博客站C-对比评测",IF($H105="博客/场景","博客站B-人群场景",IF(OR($H105="教程/FAQ",$H105="博客/指南",$G105="Informational"),"博客站A-知识教程","暂不做")))))</x:f>
      </x:c>
      <x:c r="O105" s="37"/>
      <x:c r="P105" s="37" t="str">
        <x:f>IF($A105="","",IF($O105&lt;&gt;"",$O105,$N105))</x:f>
      </x:c>
      <x:c r="Q105" s="37" t="str">
        <x:f>IF($A105="","",IF($P105="主站","分类页/集合页/商品页",IF($P105="博客站C-对比评测",IF($H105="博客/对比","对比文","购买指南"),IF($P105="博客站B-人群场景","场景解决方案",IF($P105="博客站A-知识教程",IF($H105="教程/FAQ","教程文","价值解释文"),"暂不做")))))</x:f>
      </x:c>
      <x:c r="R105" s="37" t="str">
        <x:f>IF($A105="","",IF($Q105="分类页/集合页/商品页","不写文章",IF($Q105="暂不做","暂不做",$Q105)))</x:f>
      </x:c>
      <x:c r="S105" s="37"/>
      <x:c r="T105" s="37"/>
      <x:c r="U105" s="37"/>
      <x:c r="V105" s="37"/>
      <x:c r="W105" s="37"/>
      <x:c r="X105" s="37"/>
      <x:c r="Y105" s="37"/>
      <x:c r="Z105" s="37"/>
      <x:c r="AA105" s="37"/>
      <x:c r="AB105" s="58" t="str">
        <x:f>IF($A105="","",IF($D105&gt;=1000,15,IF($D105&gt;=300,12,IF($D105&gt;=100,9,IF($D105&gt;0,5,0)))))</x:f>
      </x:c>
      <x:c r="AC105" s="58" t="str">
        <x:f>IF($A105="","",(($I105+$J105)/10)*25)</x:f>
      </x:c>
      <x:c r="AD105" s="58" t="str">
        <x:f>IF($A105="","",(($K105+$L105)/10)*25)</x:f>
      </x:c>
      <x:c r="AE105" s="58" t="str">
        <x:f>IF($A105="","",$M105*5)</x:f>
      </x:c>
      <x:c r="AF105" s="58" t="str">
        <x:f>IF($A105="","",MAX(0,AB105+AC105+AD105-AE105))</x:f>
      </x:c>
      <x:c r="AG105" s="37" t="str">
        <x:f>IF($A105="","",IF(AF105&gt;=70,"P0",IF(AF105&gt;=55,"P1",IF(AF105&gt;=40,"P2","P3"))))</x:f>
      </x:c>
      <x:c r="AH105" s="38" t="str">
        <x:f>IF($A105="","",IF(AG105="P0","立即规划",IF(AG105="P1","进入本批内容日历",IF(AG105="P2","观察/做FAQ或长尾","暂不做或合并"))))</x:f>
      </x:c>
    </x:row>
    <x:row r="106">
      <x:c r="A106" s="36"/>
      <x:c r="B106" s="37"/>
      <x:c r="C106" s="37"/>
      <x:c r="D106" s="49"/>
      <x:c r="E106" s="52"/>
      <x:c r="F106" s="55"/>
      <x:c r="G106" s="55"/>
      <x:c r="H106" s="55"/>
      <x:c r="I106" s="55"/>
      <x:c r="J106" s="55"/>
      <x:c r="K106" s="55"/>
      <x:c r="L106" s="55"/>
      <x:c r="M106" s="55"/>
      <x:c r="N106" s="37" t="str">
        <x:f>IF($A106="","",IF(OR($G106="Transactional",$H106="商品/分类页",$H106="集合页",$H106="品牌页"),"主站",IF(OR($H106="博客/榜单",$H106="博客/对比",$G106="Commercial"),"博客站C-对比评测",IF($H106="博客/场景","博客站B-人群场景",IF(OR($H106="教程/FAQ",$H106="博客/指南",$G106="Informational"),"博客站A-知识教程","暂不做")))))</x:f>
      </x:c>
      <x:c r="O106" s="37"/>
      <x:c r="P106" s="37" t="str">
        <x:f>IF($A106="","",IF($O106&lt;&gt;"",$O106,$N106))</x:f>
      </x:c>
      <x:c r="Q106" s="37" t="str">
        <x:f>IF($A106="","",IF($P106="主站","分类页/集合页/商品页",IF($P106="博客站C-对比评测",IF($H106="博客/对比","对比文","购买指南"),IF($P106="博客站B-人群场景","场景解决方案",IF($P106="博客站A-知识教程",IF($H106="教程/FAQ","教程文","价值解释文"),"暂不做")))))</x:f>
      </x:c>
      <x:c r="R106" s="37" t="str">
        <x:f>IF($A106="","",IF($Q106="分类页/集合页/商品页","不写文章",IF($Q106="暂不做","暂不做",$Q106)))</x:f>
      </x:c>
      <x:c r="S106" s="37"/>
      <x:c r="T106" s="37"/>
      <x:c r="U106" s="37"/>
      <x:c r="V106" s="37"/>
      <x:c r="W106" s="37"/>
      <x:c r="X106" s="37"/>
      <x:c r="Y106" s="37"/>
      <x:c r="Z106" s="37"/>
      <x:c r="AA106" s="37"/>
      <x:c r="AB106" s="58" t="str">
        <x:f>IF($A106="","",IF($D106&gt;=1000,15,IF($D106&gt;=300,12,IF($D106&gt;=100,9,IF($D106&gt;0,5,0)))))</x:f>
      </x:c>
      <x:c r="AC106" s="58" t="str">
        <x:f>IF($A106="","",(($I106+$J106)/10)*25)</x:f>
      </x:c>
      <x:c r="AD106" s="58" t="str">
        <x:f>IF($A106="","",(($K106+$L106)/10)*25)</x:f>
      </x:c>
      <x:c r="AE106" s="58" t="str">
        <x:f>IF($A106="","",$M106*5)</x:f>
      </x:c>
      <x:c r="AF106" s="58" t="str">
        <x:f>IF($A106="","",MAX(0,AB106+AC106+AD106-AE106))</x:f>
      </x:c>
      <x:c r="AG106" s="37" t="str">
        <x:f>IF($A106="","",IF(AF106&gt;=70,"P0",IF(AF106&gt;=55,"P1",IF(AF106&gt;=40,"P2","P3"))))</x:f>
      </x:c>
      <x:c r="AH106" s="38" t="str">
        <x:f>IF($A106="","",IF(AG106="P0","立即规划",IF(AG106="P1","进入本批内容日历",IF(AG106="P2","观察/做FAQ或长尾","暂不做或合并"))))</x:f>
      </x:c>
    </x:row>
    <x:row r="107">
      <x:c r="A107" s="36"/>
      <x:c r="B107" s="37"/>
      <x:c r="C107" s="37"/>
      <x:c r="D107" s="49"/>
      <x:c r="E107" s="52"/>
      <x:c r="F107" s="55"/>
      <x:c r="G107" s="55"/>
      <x:c r="H107" s="55"/>
      <x:c r="I107" s="55"/>
      <x:c r="J107" s="55"/>
      <x:c r="K107" s="55"/>
      <x:c r="L107" s="55"/>
      <x:c r="M107" s="55"/>
      <x:c r="N107" s="37" t="str">
        <x:f>IF($A107="","",IF(OR($G107="Transactional",$H107="商品/分类页",$H107="集合页",$H107="品牌页"),"主站",IF(OR($H107="博客/榜单",$H107="博客/对比",$G107="Commercial"),"博客站C-对比评测",IF($H107="博客/场景","博客站B-人群场景",IF(OR($H107="教程/FAQ",$H107="博客/指南",$G107="Informational"),"博客站A-知识教程","暂不做")))))</x:f>
      </x:c>
      <x:c r="O107" s="37"/>
      <x:c r="P107" s="37" t="str">
        <x:f>IF($A107="","",IF($O107&lt;&gt;"",$O107,$N107))</x:f>
      </x:c>
      <x:c r="Q107" s="37" t="str">
        <x:f>IF($A107="","",IF($P107="主站","分类页/集合页/商品页",IF($P107="博客站C-对比评测",IF($H107="博客/对比","对比文","购买指南"),IF($P107="博客站B-人群场景","场景解决方案",IF($P107="博客站A-知识教程",IF($H107="教程/FAQ","教程文","价值解释文"),"暂不做")))))</x:f>
      </x:c>
      <x:c r="R107" s="37" t="str">
        <x:f>IF($A107="","",IF($Q107="分类页/集合页/商品页","不写文章",IF($Q107="暂不做","暂不做",$Q107)))</x:f>
      </x:c>
      <x:c r="S107" s="37"/>
      <x:c r="T107" s="37"/>
      <x:c r="U107" s="37"/>
      <x:c r="V107" s="37"/>
      <x:c r="W107" s="37"/>
      <x:c r="X107" s="37"/>
      <x:c r="Y107" s="37"/>
      <x:c r="Z107" s="37"/>
      <x:c r="AA107" s="37"/>
      <x:c r="AB107" s="58" t="str">
        <x:f>IF($A107="","",IF($D107&gt;=1000,15,IF($D107&gt;=300,12,IF($D107&gt;=100,9,IF($D107&gt;0,5,0)))))</x:f>
      </x:c>
      <x:c r="AC107" s="58" t="str">
        <x:f>IF($A107="","",(($I107+$J107)/10)*25)</x:f>
      </x:c>
      <x:c r="AD107" s="58" t="str">
        <x:f>IF($A107="","",(($K107+$L107)/10)*25)</x:f>
      </x:c>
      <x:c r="AE107" s="58" t="str">
        <x:f>IF($A107="","",$M107*5)</x:f>
      </x:c>
      <x:c r="AF107" s="58" t="str">
        <x:f>IF($A107="","",MAX(0,AB107+AC107+AD107-AE107))</x:f>
      </x:c>
      <x:c r="AG107" s="37" t="str">
        <x:f>IF($A107="","",IF(AF107&gt;=70,"P0",IF(AF107&gt;=55,"P1",IF(AF107&gt;=40,"P2","P3"))))</x:f>
      </x:c>
      <x:c r="AH107" s="38" t="str">
        <x:f>IF($A107="","",IF(AG107="P0","立即规划",IF(AG107="P1","进入本批内容日历",IF(AG107="P2","观察/做FAQ或长尾","暂不做或合并"))))</x:f>
      </x:c>
    </x:row>
    <x:row r="108">
      <x:c r="A108" s="36"/>
      <x:c r="B108" s="37"/>
      <x:c r="C108" s="37"/>
      <x:c r="D108" s="49"/>
      <x:c r="E108" s="52"/>
      <x:c r="F108" s="55"/>
      <x:c r="G108" s="55"/>
      <x:c r="H108" s="55"/>
      <x:c r="I108" s="55"/>
      <x:c r="J108" s="55"/>
      <x:c r="K108" s="55"/>
      <x:c r="L108" s="55"/>
      <x:c r="M108" s="55"/>
      <x:c r="N108" s="37" t="str">
        <x:f>IF($A108="","",IF(OR($G108="Transactional",$H108="商品/分类页",$H108="集合页",$H108="品牌页"),"主站",IF(OR($H108="博客/榜单",$H108="博客/对比",$G108="Commercial"),"博客站C-对比评测",IF($H108="博客/场景","博客站B-人群场景",IF(OR($H108="教程/FAQ",$H108="博客/指南",$G108="Informational"),"博客站A-知识教程","暂不做")))))</x:f>
      </x:c>
      <x:c r="O108" s="37"/>
      <x:c r="P108" s="37" t="str">
        <x:f>IF($A108="","",IF($O108&lt;&gt;"",$O108,$N108))</x:f>
      </x:c>
      <x:c r="Q108" s="37" t="str">
        <x:f>IF($A108="","",IF($P108="主站","分类页/集合页/商品页",IF($P108="博客站C-对比评测",IF($H108="博客/对比","对比文","购买指南"),IF($P108="博客站B-人群场景","场景解决方案",IF($P108="博客站A-知识教程",IF($H108="教程/FAQ","教程文","价值解释文"),"暂不做")))))</x:f>
      </x:c>
      <x:c r="R108" s="37" t="str">
        <x:f>IF($A108="","",IF($Q108="分类页/集合页/商品页","不写文章",IF($Q108="暂不做","暂不做",$Q108)))</x:f>
      </x:c>
      <x:c r="S108" s="37"/>
      <x:c r="T108" s="37"/>
      <x:c r="U108" s="37"/>
      <x:c r="V108" s="37"/>
      <x:c r="W108" s="37"/>
      <x:c r="X108" s="37"/>
      <x:c r="Y108" s="37"/>
      <x:c r="Z108" s="37"/>
      <x:c r="AA108" s="37"/>
      <x:c r="AB108" s="58" t="str">
        <x:f>IF($A108="","",IF($D108&gt;=1000,15,IF($D108&gt;=300,12,IF($D108&gt;=100,9,IF($D108&gt;0,5,0)))))</x:f>
      </x:c>
      <x:c r="AC108" s="58" t="str">
        <x:f>IF($A108="","",(($I108+$J108)/10)*25)</x:f>
      </x:c>
      <x:c r="AD108" s="58" t="str">
        <x:f>IF($A108="","",(($K108+$L108)/10)*25)</x:f>
      </x:c>
      <x:c r="AE108" s="58" t="str">
        <x:f>IF($A108="","",$M108*5)</x:f>
      </x:c>
      <x:c r="AF108" s="58" t="str">
        <x:f>IF($A108="","",MAX(0,AB108+AC108+AD108-AE108))</x:f>
      </x:c>
      <x:c r="AG108" s="37" t="str">
        <x:f>IF($A108="","",IF(AF108&gt;=70,"P0",IF(AF108&gt;=55,"P1",IF(AF108&gt;=40,"P2","P3"))))</x:f>
      </x:c>
      <x:c r="AH108" s="38" t="str">
        <x:f>IF($A108="","",IF(AG108="P0","立即规划",IF(AG108="P1","进入本批内容日历",IF(AG108="P2","观察/做FAQ或长尾","暂不做或合并"))))</x:f>
      </x:c>
    </x:row>
    <x:row r="109">
      <x:c r="A109" s="36"/>
      <x:c r="B109" s="37"/>
      <x:c r="C109" s="37"/>
      <x:c r="D109" s="49"/>
      <x:c r="E109" s="52"/>
      <x:c r="F109" s="55"/>
      <x:c r="G109" s="55"/>
      <x:c r="H109" s="55"/>
      <x:c r="I109" s="55"/>
      <x:c r="J109" s="55"/>
      <x:c r="K109" s="55"/>
      <x:c r="L109" s="55"/>
      <x:c r="M109" s="55"/>
      <x:c r="N109" s="37" t="str">
        <x:f>IF($A109="","",IF(OR($G109="Transactional",$H109="商品/分类页",$H109="集合页",$H109="品牌页"),"主站",IF(OR($H109="博客/榜单",$H109="博客/对比",$G109="Commercial"),"博客站C-对比评测",IF($H109="博客/场景","博客站B-人群场景",IF(OR($H109="教程/FAQ",$H109="博客/指南",$G109="Informational"),"博客站A-知识教程","暂不做")))))</x:f>
      </x:c>
      <x:c r="O109" s="37"/>
      <x:c r="P109" s="37" t="str">
        <x:f>IF($A109="","",IF($O109&lt;&gt;"",$O109,$N109))</x:f>
      </x:c>
      <x:c r="Q109" s="37" t="str">
        <x:f>IF($A109="","",IF($P109="主站","分类页/集合页/商品页",IF($P109="博客站C-对比评测",IF($H109="博客/对比","对比文","购买指南"),IF($P109="博客站B-人群场景","场景解决方案",IF($P109="博客站A-知识教程",IF($H109="教程/FAQ","教程文","价值解释文"),"暂不做")))))</x:f>
      </x:c>
      <x:c r="R109" s="37" t="str">
        <x:f>IF($A109="","",IF($Q109="分类页/集合页/商品页","不写文章",IF($Q109="暂不做","暂不做",$Q109)))</x:f>
      </x:c>
      <x:c r="S109" s="37"/>
      <x:c r="T109" s="37"/>
      <x:c r="U109" s="37"/>
      <x:c r="V109" s="37"/>
      <x:c r="W109" s="37"/>
      <x:c r="X109" s="37"/>
      <x:c r="Y109" s="37"/>
      <x:c r="Z109" s="37"/>
      <x:c r="AA109" s="37"/>
      <x:c r="AB109" s="58" t="str">
        <x:f>IF($A109="","",IF($D109&gt;=1000,15,IF($D109&gt;=300,12,IF($D109&gt;=100,9,IF($D109&gt;0,5,0)))))</x:f>
      </x:c>
      <x:c r="AC109" s="58" t="str">
        <x:f>IF($A109="","",(($I109+$J109)/10)*25)</x:f>
      </x:c>
      <x:c r="AD109" s="58" t="str">
        <x:f>IF($A109="","",(($K109+$L109)/10)*25)</x:f>
      </x:c>
      <x:c r="AE109" s="58" t="str">
        <x:f>IF($A109="","",$M109*5)</x:f>
      </x:c>
      <x:c r="AF109" s="58" t="str">
        <x:f>IF($A109="","",MAX(0,AB109+AC109+AD109-AE109))</x:f>
      </x:c>
      <x:c r="AG109" s="37" t="str">
        <x:f>IF($A109="","",IF(AF109&gt;=70,"P0",IF(AF109&gt;=55,"P1",IF(AF109&gt;=40,"P2","P3"))))</x:f>
      </x:c>
      <x:c r="AH109" s="38" t="str">
        <x:f>IF($A109="","",IF(AG109="P0","立即规划",IF(AG109="P1","进入本批内容日历",IF(AG109="P2","观察/做FAQ或长尾","暂不做或合并"))))</x:f>
      </x:c>
    </x:row>
    <x:row r="110">
      <x:c r="A110" s="36"/>
      <x:c r="B110" s="37"/>
      <x:c r="C110" s="37"/>
      <x:c r="D110" s="49"/>
      <x:c r="E110" s="52"/>
      <x:c r="F110" s="55"/>
      <x:c r="G110" s="55"/>
      <x:c r="H110" s="55"/>
      <x:c r="I110" s="55"/>
      <x:c r="J110" s="55"/>
      <x:c r="K110" s="55"/>
      <x:c r="L110" s="55"/>
      <x:c r="M110" s="55"/>
      <x:c r="N110" s="37" t="str">
        <x:f>IF($A110="","",IF(OR($G110="Transactional",$H110="商品/分类页",$H110="集合页",$H110="品牌页"),"主站",IF(OR($H110="博客/榜单",$H110="博客/对比",$G110="Commercial"),"博客站C-对比评测",IF($H110="博客/场景","博客站B-人群场景",IF(OR($H110="教程/FAQ",$H110="博客/指南",$G110="Informational"),"博客站A-知识教程","暂不做")))))</x:f>
      </x:c>
      <x:c r="O110" s="37"/>
      <x:c r="P110" s="37" t="str">
        <x:f>IF($A110="","",IF($O110&lt;&gt;"",$O110,$N110))</x:f>
      </x:c>
      <x:c r="Q110" s="37" t="str">
        <x:f>IF($A110="","",IF($P110="主站","分类页/集合页/商品页",IF($P110="博客站C-对比评测",IF($H110="博客/对比","对比文","购买指南"),IF($P110="博客站B-人群场景","场景解决方案",IF($P110="博客站A-知识教程",IF($H110="教程/FAQ","教程文","价值解释文"),"暂不做")))))</x:f>
      </x:c>
      <x:c r="R110" s="37" t="str">
        <x:f>IF($A110="","",IF($Q110="分类页/集合页/商品页","不写文章",IF($Q110="暂不做","暂不做",$Q110)))</x:f>
      </x:c>
      <x:c r="S110" s="37"/>
      <x:c r="T110" s="37"/>
      <x:c r="U110" s="37"/>
      <x:c r="V110" s="37"/>
      <x:c r="W110" s="37"/>
      <x:c r="X110" s="37"/>
      <x:c r="Y110" s="37"/>
      <x:c r="Z110" s="37"/>
      <x:c r="AA110" s="37"/>
      <x:c r="AB110" s="58" t="str">
        <x:f>IF($A110="","",IF($D110&gt;=1000,15,IF($D110&gt;=300,12,IF($D110&gt;=100,9,IF($D110&gt;0,5,0)))))</x:f>
      </x:c>
      <x:c r="AC110" s="58" t="str">
        <x:f>IF($A110="","",(($I110+$J110)/10)*25)</x:f>
      </x:c>
      <x:c r="AD110" s="58" t="str">
        <x:f>IF($A110="","",(($K110+$L110)/10)*25)</x:f>
      </x:c>
      <x:c r="AE110" s="58" t="str">
        <x:f>IF($A110="","",$M110*5)</x:f>
      </x:c>
      <x:c r="AF110" s="58" t="str">
        <x:f>IF($A110="","",MAX(0,AB110+AC110+AD110-AE110))</x:f>
      </x:c>
      <x:c r="AG110" s="37" t="str">
        <x:f>IF($A110="","",IF(AF110&gt;=70,"P0",IF(AF110&gt;=55,"P1",IF(AF110&gt;=40,"P2","P3"))))</x:f>
      </x:c>
      <x:c r="AH110" s="38" t="str">
        <x:f>IF($A110="","",IF(AG110="P0","立即规划",IF(AG110="P1","进入本批内容日历",IF(AG110="P2","观察/做FAQ或长尾","暂不做或合并"))))</x:f>
      </x:c>
    </x:row>
    <x:row r="111">
      <x:c r="A111" s="36"/>
      <x:c r="B111" s="37"/>
      <x:c r="C111" s="37"/>
      <x:c r="D111" s="49"/>
      <x:c r="E111" s="52"/>
      <x:c r="F111" s="55"/>
      <x:c r="G111" s="55"/>
      <x:c r="H111" s="55"/>
      <x:c r="I111" s="55"/>
      <x:c r="J111" s="55"/>
      <x:c r="K111" s="55"/>
      <x:c r="L111" s="55"/>
      <x:c r="M111" s="55"/>
      <x:c r="N111" s="37" t="str">
        <x:f>IF($A111="","",IF(OR($G111="Transactional",$H111="商品/分类页",$H111="集合页",$H111="品牌页"),"主站",IF(OR($H111="博客/榜单",$H111="博客/对比",$G111="Commercial"),"博客站C-对比评测",IF($H111="博客/场景","博客站B-人群场景",IF(OR($H111="教程/FAQ",$H111="博客/指南",$G111="Informational"),"博客站A-知识教程","暂不做")))))</x:f>
      </x:c>
      <x:c r="O111" s="37"/>
      <x:c r="P111" s="37" t="str">
        <x:f>IF($A111="","",IF($O111&lt;&gt;"",$O111,$N111))</x:f>
      </x:c>
      <x:c r="Q111" s="37" t="str">
        <x:f>IF($A111="","",IF($P111="主站","分类页/集合页/商品页",IF($P111="博客站C-对比评测",IF($H111="博客/对比","对比文","购买指南"),IF($P111="博客站B-人群场景","场景解决方案",IF($P111="博客站A-知识教程",IF($H111="教程/FAQ","教程文","价值解释文"),"暂不做")))))</x:f>
      </x:c>
      <x:c r="R111" s="37" t="str">
        <x:f>IF($A111="","",IF($Q111="分类页/集合页/商品页","不写文章",IF($Q111="暂不做","暂不做",$Q111)))</x:f>
      </x:c>
      <x:c r="S111" s="37"/>
      <x:c r="T111" s="37"/>
      <x:c r="U111" s="37"/>
      <x:c r="V111" s="37"/>
      <x:c r="W111" s="37"/>
      <x:c r="X111" s="37"/>
      <x:c r="Y111" s="37"/>
      <x:c r="Z111" s="37"/>
      <x:c r="AA111" s="37"/>
      <x:c r="AB111" s="58" t="str">
        <x:f>IF($A111="","",IF($D111&gt;=1000,15,IF($D111&gt;=300,12,IF($D111&gt;=100,9,IF($D111&gt;0,5,0)))))</x:f>
      </x:c>
      <x:c r="AC111" s="58" t="str">
        <x:f>IF($A111="","",(($I111+$J111)/10)*25)</x:f>
      </x:c>
      <x:c r="AD111" s="58" t="str">
        <x:f>IF($A111="","",(($K111+$L111)/10)*25)</x:f>
      </x:c>
      <x:c r="AE111" s="58" t="str">
        <x:f>IF($A111="","",$M111*5)</x:f>
      </x:c>
      <x:c r="AF111" s="58" t="str">
        <x:f>IF($A111="","",MAX(0,AB111+AC111+AD111-AE111))</x:f>
      </x:c>
      <x:c r="AG111" s="37" t="str">
        <x:f>IF($A111="","",IF(AF111&gt;=70,"P0",IF(AF111&gt;=55,"P1",IF(AF111&gt;=40,"P2","P3"))))</x:f>
      </x:c>
      <x:c r="AH111" s="38" t="str">
        <x:f>IF($A111="","",IF(AG111="P0","立即规划",IF(AG111="P1","进入本批内容日历",IF(AG111="P2","观察/做FAQ或长尾","暂不做或合并"))))</x:f>
      </x:c>
    </x:row>
    <x:row r="112">
      <x:c r="A112" s="36"/>
      <x:c r="B112" s="37"/>
      <x:c r="C112" s="37"/>
      <x:c r="D112" s="49"/>
      <x:c r="E112" s="52"/>
      <x:c r="F112" s="55"/>
      <x:c r="G112" s="55"/>
      <x:c r="H112" s="55"/>
      <x:c r="I112" s="55"/>
      <x:c r="J112" s="55"/>
      <x:c r="K112" s="55"/>
      <x:c r="L112" s="55"/>
      <x:c r="M112" s="55"/>
      <x:c r="N112" s="37" t="str">
        <x:f>IF($A112="","",IF(OR($G112="Transactional",$H112="商品/分类页",$H112="集合页",$H112="品牌页"),"主站",IF(OR($H112="博客/榜单",$H112="博客/对比",$G112="Commercial"),"博客站C-对比评测",IF($H112="博客/场景","博客站B-人群场景",IF(OR($H112="教程/FAQ",$H112="博客/指南",$G112="Informational"),"博客站A-知识教程","暂不做")))))</x:f>
      </x:c>
      <x:c r="O112" s="37"/>
      <x:c r="P112" s="37" t="str">
        <x:f>IF($A112="","",IF($O112&lt;&gt;"",$O112,$N112))</x:f>
      </x:c>
      <x:c r="Q112" s="37" t="str">
        <x:f>IF($A112="","",IF($P112="主站","分类页/集合页/商品页",IF($P112="博客站C-对比评测",IF($H112="博客/对比","对比文","购买指南"),IF($P112="博客站B-人群场景","场景解决方案",IF($P112="博客站A-知识教程",IF($H112="教程/FAQ","教程文","价值解释文"),"暂不做")))))</x:f>
      </x:c>
      <x:c r="R112" s="37" t="str">
        <x:f>IF($A112="","",IF($Q112="分类页/集合页/商品页","不写文章",IF($Q112="暂不做","暂不做",$Q112)))</x:f>
      </x:c>
      <x:c r="S112" s="37"/>
      <x:c r="T112" s="37"/>
      <x:c r="U112" s="37"/>
      <x:c r="V112" s="37"/>
      <x:c r="W112" s="37"/>
      <x:c r="X112" s="37"/>
      <x:c r="Y112" s="37"/>
      <x:c r="Z112" s="37"/>
      <x:c r="AA112" s="37"/>
      <x:c r="AB112" s="58" t="str">
        <x:f>IF($A112="","",IF($D112&gt;=1000,15,IF($D112&gt;=300,12,IF($D112&gt;=100,9,IF($D112&gt;0,5,0)))))</x:f>
      </x:c>
      <x:c r="AC112" s="58" t="str">
        <x:f>IF($A112="","",(($I112+$J112)/10)*25)</x:f>
      </x:c>
      <x:c r="AD112" s="58" t="str">
        <x:f>IF($A112="","",(($K112+$L112)/10)*25)</x:f>
      </x:c>
      <x:c r="AE112" s="58" t="str">
        <x:f>IF($A112="","",$M112*5)</x:f>
      </x:c>
      <x:c r="AF112" s="58" t="str">
        <x:f>IF($A112="","",MAX(0,AB112+AC112+AD112-AE112))</x:f>
      </x:c>
      <x:c r="AG112" s="37" t="str">
        <x:f>IF($A112="","",IF(AF112&gt;=70,"P0",IF(AF112&gt;=55,"P1",IF(AF112&gt;=40,"P2","P3"))))</x:f>
      </x:c>
      <x:c r="AH112" s="38" t="str">
        <x:f>IF($A112="","",IF(AG112="P0","立即规划",IF(AG112="P1","进入本批内容日历",IF(AG112="P2","观察/做FAQ或长尾","暂不做或合并"))))</x:f>
      </x:c>
    </x:row>
    <x:row r="113">
      <x:c r="A113" s="36"/>
      <x:c r="B113" s="37"/>
      <x:c r="C113" s="37"/>
      <x:c r="D113" s="49"/>
      <x:c r="E113" s="52"/>
      <x:c r="F113" s="55"/>
      <x:c r="G113" s="55"/>
      <x:c r="H113" s="55"/>
      <x:c r="I113" s="55"/>
      <x:c r="J113" s="55"/>
      <x:c r="K113" s="55"/>
      <x:c r="L113" s="55"/>
      <x:c r="M113" s="55"/>
      <x:c r="N113" s="37" t="str">
        <x:f>IF($A113="","",IF(OR($G113="Transactional",$H113="商品/分类页",$H113="集合页",$H113="品牌页"),"主站",IF(OR($H113="博客/榜单",$H113="博客/对比",$G113="Commercial"),"博客站C-对比评测",IF($H113="博客/场景","博客站B-人群场景",IF(OR($H113="教程/FAQ",$H113="博客/指南",$G113="Informational"),"博客站A-知识教程","暂不做")))))</x:f>
      </x:c>
      <x:c r="O113" s="37"/>
      <x:c r="P113" s="37" t="str">
        <x:f>IF($A113="","",IF($O113&lt;&gt;"",$O113,$N113))</x:f>
      </x:c>
      <x:c r="Q113" s="37" t="str">
        <x:f>IF($A113="","",IF($P113="主站","分类页/集合页/商品页",IF($P113="博客站C-对比评测",IF($H113="博客/对比","对比文","购买指南"),IF($P113="博客站B-人群场景","场景解决方案",IF($P113="博客站A-知识教程",IF($H113="教程/FAQ","教程文","价值解释文"),"暂不做")))))</x:f>
      </x:c>
      <x:c r="R113" s="37" t="str">
        <x:f>IF($A113="","",IF($Q113="分类页/集合页/商品页","不写文章",IF($Q113="暂不做","暂不做",$Q113)))</x:f>
      </x:c>
      <x:c r="S113" s="37"/>
      <x:c r="T113" s="37"/>
      <x:c r="U113" s="37"/>
      <x:c r="V113" s="37"/>
      <x:c r="W113" s="37"/>
      <x:c r="X113" s="37"/>
      <x:c r="Y113" s="37"/>
      <x:c r="Z113" s="37"/>
      <x:c r="AA113" s="37"/>
      <x:c r="AB113" s="58" t="str">
        <x:f>IF($A113="","",IF($D113&gt;=1000,15,IF($D113&gt;=300,12,IF($D113&gt;=100,9,IF($D113&gt;0,5,0)))))</x:f>
      </x:c>
      <x:c r="AC113" s="58" t="str">
        <x:f>IF($A113="","",(($I113+$J113)/10)*25)</x:f>
      </x:c>
      <x:c r="AD113" s="58" t="str">
        <x:f>IF($A113="","",(($K113+$L113)/10)*25)</x:f>
      </x:c>
      <x:c r="AE113" s="58" t="str">
        <x:f>IF($A113="","",$M113*5)</x:f>
      </x:c>
      <x:c r="AF113" s="58" t="str">
        <x:f>IF($A113="","",MAX(0,AB113+AC113+AD113-AE113))</x:f>
      </x:c>
      <x:c r="AG113" s="37" t="str">
        <x:f>IF($A113="","",IF(AF113&gt;=70,"P0",IF(AF113&gt;=55,"P1",IF(AF113&gt;=40,"P2","P3"))))</x:f>
      </x:c>
      <x:c r="AH113" s="38" t="str">
        <x:f>IF($A113="","",IF(AG113="P0","立即规划",IF(AG113="P1","进入本批内容日历",IF(AG113="P2","观察/做FAQ或长尾","暂不做或合并"))))</x:f>
      </x:c>
    </x:row>
    <x:row r="114">
      <x:c r="A114" s="36"/>
      <x:c r="B114" s="37"/>
      <x:c r="C114" s="37"/>
      <x:c r="D114" s="49"/>
      <x:c r="E114" s="52"/>
      <x:c r="F114" s="55"/>
      <x:c r="G114" s="55"/>
      <x:c r="H114" s="55"/>
      <x:c r="I114" s="55"/>
      <x:c r="J114" s="55"/>
      <x:c r="K114" s="55"/>
      <x:c r="L114" s="55"/>
      <x:c r="M114" s="55"/>
      <x:c r="N114" s="37" t="str">
        <x:f>IF($A114="","",IF(OR($G114="Transactional",$H114="商品/分类页",$H114="集合页",$H114="品牌页"),"主站",IF(OR($H114="博客/榜单",$H114="博客/对比",$G114="Commercial"),"博客站C-对比评测",IF($H114="博客/场景","博客站B-人群场景",IF(OR($H114="教程/FAQ",$H114="博客/指南",$G114="Informational"),"博客站A-知识教程","暂不做")))))</x:f>
      </x:c>
      <x:c r="O114" s="37"/>
      <x:c r="P114" s="37" t="str">
        <x:f>IF($A114="","",IF($O114&lt;&gt;"",$O114,$N114))</x:f>
      </x:c>
      <x:c r="Q114" s="37" t="str">
        <x:f>IF($A114="","",IF($P114="主站","分类页/集合页/商品页",IF($P114="博客站C-对比评测",IF($H114="博客/对比","对比文","购买指南"),IF($P114="博客站B-人群场景","场景解决方案",IF($P114="博客站A-知识教程",IF($H114="教程/FAQ","教程文","价值解释文"),"暂不做")))))</x:f>
      </x:c>
      <x:c r="R114" s="37" t="str">
        <x:f>IF($A114="","",IF($Q114="分类页/集合页/商品页","不写文章",IF($Q114="暂不做","暂不做",$Q114)))</x:f>
      </x:c>
      <x:c r="S114" s="37"/>
      <x:c r="T114" s="37"/>
      <x:c r="U114" s="37"/>
      <x:c r="V114" s="37"/>
      <x:c r="W114" s="37"/>
      <x:c r="X114" s="37"/>
      <x:c r="Y114" s="37"/>
      <x:c r="Z114" s="37"/>
      <x:c r="AA114" s="37"/>
      <x:c r="AB114" s="58" t="str">
        <x:f>IF($A114="","",IF($D114&gt;=1000,15,IF($D114&gt;=300,12,IF($D114&gt;=100,9,IF($D114&gt;0,5,0)))))</x:f>
      </x:c>
      <x:c r="AC114" s="58" t="str">
        <x:f>IF($A114="","",(($I114+$J114)/10)*25)</x:f>
      </x:c>
      <x:c r="AD114" s="58" t="str">
        <x:f>IF($A114="","",(($K114+$L114)/10)*25)</x:f>
      </x:c>
      <x:c r="AE114" s="58" t="str">
        <x:f>IF($A114="","",$M114*5)</x:f>
      </x:c>
      <x:c r="AF114" s="58" t="str">
        <x:f>IF($A114="","",MAX(0,AB114+AC114+AD114-AE114))</x:f>
      </x:c>
      <x:c r="AG114" s="37" t="str">
        <x:f>IF($A114="","",IF(AF114&gt;=70,"P0",IF(AF114&gt;=55,"P1",IF(AF114&gt;=40,"P2","P3"))))</x:f>
      </x:c>
      <x:c r="AH114" s="38" t="str">
        <x:f>IF($A114="","",IF(AG114="P0","立即规划",IF(AG114="P1","进入本批内容日历",IF(AG114="P2","观察/做FAQ或长尾","暂不做或合并"))))</x:f>
      </x:c>
    </x:row>
    <x:row r="115">
      <x:c r="A115" s="36"/>
      <x:c r="B115" s="37"/>
      <x:c r="C115" s="37"/>
      <x:c r="D115" s="49"/>
      <x:c r="E115" s="52"/>
      <x:c r="F115" s="55"/>
      <x:c r="G115" s="55"/>
      <x:c r="H115" s="55"/>
      <x:c r="I115" s="55"/>
      <x:c r="J115" s="55"/>
      <x:c r="K115" s="55"/>
      <x:c r="L115" s="55"/>
      <x:c r="M115" s="55"/>
      <x:c r="N115" s="37" t="str">
        <x:f>IF($A115="","",IF(OR($G115="Transactional",$H115="商品/分类页",$H115="集合页",$H115="品牌页"),"主站",IF(OR($H115="博客/榜单",$H115="博客/对比",$G115="Commercial"),"博客站C-对比评测",IF($H115="博客/场景","博客站B-人群场景",IF(OR($H115="教程/FAQ",$H115="博客/指南",$G115="Informational"),"博客站A-知识教程","暂不做")))))</x:f>
      </x:c>
      <x:c r="O115" s="37"/>
      <x:c r="P115" s="37" t="str">
        <x:f>IF($A115="","",IF($O115&lt;&gt;"",$O115,$N115))</x:f>
      </x:c>
      <x:c r="Q115" s="37" t="str">
        <x:f>IF($A115="","",IF($P115="主站","分类页/集合页/商品页",IF($P115="博客站C-对比评测",IF($H115="博客/对比","对比文","购买指南"),IF($P115="博客站B-人群场景","场景解决方案",IF($P115="博客站A-知识教程",IF($H115="教程/FAQ","教程文","价值解释文"),"暂不做")))))</x:f>
      </x:c>
      <x:c r="R115" s="37" t="str">
        <x:f>IF($A115="","",IF($Q115="分类页/集合页/商品页","不写文章",IF($Q115="暂不做","暂不做",$Q115)))</x:f>
      </x:c>
      <x:c r="S115" s="37"/>
      <x:c r="T115" s="37"/>
      <x:c r="U115" s="37"/>
      <x:c r="V115" s="37"/>
      <x:c r="W115" s="37"/>
      <x:c r="X115" s="37"/>
      <x:c r="Y115" s="37"/>
      <x:c r="Z115" s="37"/>
      <x:c r="AA115" s="37"/>
      <x:c r="AB115" s="58" t="str">
        <x:f>IF($A115="","",IF($D115&gt;=1000,15,IF($D115&gt;=300,12,IF($D115&gt;=100,9,IF($D115&gt;0,5,0)))))</x:f>
      </x:c>
      <x:c r="AC115" s="58" t="str">
        <x:f>IF($A115="","",(($I115+$J115)/10)*25)</x:f>
      </x:c>
      <x:c r="AD115" s="58" t="str">
        <x:f>IF($A115="","",(($K115+$L115)/10)*25)</x:f>
      </x:c>
      <x:c r="AE115" s="58" t="str">
        <x:f>IF($A115="","",$M115*5)</x:f>
      </x:c>
      <x:c r="AF115" s="58" t="str">
        <x:f>IF($A115="","",MAX(0,AB115+AC115+AD115-AE115))</x:f>
      </x:c>
      <x:c r="AG115" s="37" t="str">
        <x:f>IF($A115="","",IF(AF115&gt;=70,"P0",IF(AF115&gt;=55,"P1",IF(AF115&gt;=40,"P2","P3"))))</x:f>
      </x:c>
      <x:c r="AH115" s="38" t="str">
        <x:f>IF($A115="","",IF(AG115="P0","立即规划",IF(AG115="P1","进入本批内容日历",IF(AG115="P2","观察/做FAQ或长尾","暂不做或合并"))))</x:f>
      </x:c>
    </x:row>
    <x:row r="116">
      <x:c r="A116" s="36"/>
      <x:c r="B116" s="37"/>
      <x:c r="C116" s="37"/>
      <x:c r="D116" s="49"/>
      <x:c r="E116" s="52"/>
      <x:c r="F116" s="55"/>
      <x:c r="G116" s="55"/>
      <x:c r="H116" s="55"/>
      <x:c r="I116" s="55"/>
      <x:c r="J116" s="55"/>
      <x:c r="K116" s="55"/>
      <x:c r="L116" s="55"/>
      <x:c r="M116" s="55"/>
      <x:c r="N116" s="37" t="str">
        <x:f>IF($A116="","",IF(OR($G116="Transactional",$H116="商品/分类页",$H116="集合页",$H116="品牌页"),"主站",IF(OR($H116="博客/榜单",$H116="博客/对比",$G116="Commercial"),"博客站C-对比评测",IF($H116="博客/场景","博客站B-人群场景",IF(OR($H116="教程/FAQ",$H116="博客/指南",$G116="Informational"),"博客站A-知识教程","暂不做")))))</x:f>
      </x:c>
      <x:c r="O116" s="37"/>
      <x:c r="P116" s="37" t="str">
        <x:f>IF($A116="","",IF($O116&lt;&gt;"",$O116,$N116))</x:f>
      </x:c>
      <x:c r="Q116" s="37" t="str">
        <x:f>IF($A116="","",IF($P116="主站","分类页/集合页/商品页",IF($P116="博客站C-对比评测",IF($H116="博客/对比","对比文","购买指南"),IF($P116="博客站B-人群场景","场景解决方案",IF($P116="博客站A-知识教程",IF($H116="教程/FAQ","教程文","价值解释文"),"暂不做")))))</x:f>
      </x:c>
      <x:c r="R116" s="37" t="str">
        <x:f>IF($A116="","",IF($Q116="分类页/集合页/商品页","不写文章",IF($Q116="暂不做","暂不做",$Q116)))</x:f>
      </x:c>
      <x:c r="S116" s="37"/>
      <x:c r="T116" s="37"/>
      <x:c r="U116" s="37"/>
      <x:c r="V116" s="37"/>
      <x:c r="W116" s="37"/>
      <x:c r="X116" s="37"/>
      <x:c r="Y116" s="37"/>
      <x:c r="Z116" s="37"/>
      <x:c r="AA116" s="37"/>
      <x:c r="AB116" s="58" t="str">
        <x:f>IF($A116="","",IF($D116&gt;=1000,15,IF($D116&gt;=300,12,IF($D116&gt;=100,9,IF($D116&gt;0,5,0)))))</x:f>
      </x:c>
      <x:c r="AC116" s="58" t="str">
        <x:f>IF($A116="","",(($I116+$J116)/10)*25)</x:f>
      </x:c>
      <x:c r="AD116" s="58" t="str">
        <x:f>IF($A116="","",(($K116+$L116)/10)*25)</x:f>
      </x:c>
      <x:c r="AE116" s="58" t="str">
        <x:f>IF($A116="","",$M116*5)</x:f>
      </x:c>
      <x:c r="AF116" s="58" t="str">
        <x:f>IF($A116="","",MAX(0,AB116+AC116+AD116-AE116))</x:f>
      </x:c>
      <x:c r="AG116" s="37" t="str">
        <x:f>IF($A116="","",IF(AF116&gt;=70,"P0",IF(AF116&gt;=55,"P1",IF(AF116&gt;=40,"P2","P3"))))</x:f>
      </x:c>
      <x:c r="AH116" s="38" t="str">
        <x:f>IF($A116="","",IF(AG116="P0","立即规划",IF(AG116="P1","进入本批内容日历",IF(AG116="P2","观察/做FAQ或长尾","暂不做或合并"))))</x:f>
      </x:c>
    </x:row>
    <x:row r="117">
      <x:c r="A117" s="36"/>
      <x:c r="B117" s="37"/>
      <x:c r="C117" s="37"/>
      <x:c r="D117" s="49"/>
      <x:c r="E117" s="52"/>
      <x:c r="F117" s="55"/>
      <x:c r="G117" s="55"/>
      <x:c r="H117" s="55"/>
      <x:c r="I117" s="55"/>
      <x:c r="J117" s="55"/>
      <x:c r="K117" s="55"/>
      <x:c r="L117" s="55"/>
      <x:c r="M117" s="55"/>
      <x:c r="N117" s="37" t="str">
        <x:f>IF($A117="","",IF(OR($G117="Transactional",$H117="商品/分类页",$H117="集合页",$H117="品牌页"),"主站",IF(OR($H117="博客/榜单",$H117="博客/对比",$G117="Commercial"),"博客站C-对比评测",IF($H117="博客/场景","博客站B-人群场景",IF(OR($H117="教程/FAQ",$H117="博客/指南",$G117="Informational"),"博客站A-知识教程","暂不做")))))</x:f>
      </x:c>
      <x:c r="O117" s="37"/>
      <x:c r="P117" s="37" t="str">
        <x:f>IF($A117="","",IF($O117&lt;&gt;"",$O117,$N117))</x:f>
      </x:c>
      <x:c r="Q117" s="37" t="str">
        <x:f>IF($A117="","",IF($P117="主站","分类页/集合页/商品页",IF($P117="博客站C-对比评测",IF($H117="博客/对比","对比文","购买指南"),IF($P117="博客站B-人群场景","场景解决方案",IF($P117="博客站A-知识教程",IF($H117="教程/FAQ","教程文","价值解释文"),"暂不做")))))</x:f>
      </x:c>
      <x:c r="R117" s="37" t="str">
        <x:f>IF($A117="","",IF($Q117="分类页/集合页/商品页","不写文章",IF($Q117="暂不做","暂不做",$Q117)))</x:f>
      </x:c>
      <x:c r="S117" s="37"/>
      <x:c r="T117" s="37"/>
      <x:c r="U117" s="37"/>
      <x:c r="V117" s="37"/>
      <x:c r="W117" s="37"/>
      <x:c r="X117" s="37"/>
      <x:c r="Y117" s="37"/>
      <x:c r="Z117" s="37"/>
      <x:c r="AA117" s="37"/>
      <x:c r="AB117" s="58" t="str">
        <x:f>IF($A117="","",IF($D117&gt;=1000,15,IF($D117&gt;=300,12,IF($D117&gt;=100,9,IF($D117&gt;0,5,0)))))</x:f>
      </x:c>
      <x:c r="AC117" s="58" t="str">
        <x:f>IF($A117="","",(($I117+$J117)/10)*25)</x:f>
      </x:c>
      <x:c r="AD117" s="58" t="str">
        <x:f>IF($A117="","",(($K117+$L117)/10)*25)</x:f>
      </x:c>
      <x:c r="AE117" s="58" t="str">
        <x:f>IF($A117="","",$M117*5)</x:f>
      </x:c>
      <x:c r="AF117" s="58" t="str">
        <x:f>IF($A117="","",MAX(0,AB117+AC117+AD117-AE117))</x:f>
      </x:c>
      <x:c r="AG117" s="37" t="str">
        <x:f>IF($A117="","",IF(AF117&gt;=70,"P0",IF(AF117&gt;=55,"P1",IF(AF117&gt;=40,"P2","P3"))))</x:f>
      </x:c>
      <x:c r="AH117" s="38" t="str">
        <x:f>IF($A117="","",IF(AG117="P0","立即规划",IF(AG117="P1","进入本批内容日历",IF(AG117="P2","观察/做FAQ或长尾","暂不做或合并"))))</x:f>
      </x:c>
    </x:row>
    <x:row r="118">
      <x:c r="A118" s="36"/>
      <x:c r="B118" s="37"/>
      <x:c r="C118" s="37"/>
      <x:c r="D118" s="49"/>
      <x:c r="E118" s="52"/>
      <x:c r="F118" s="55"/>
      <x:c r="G118" s="55"/>
      <x:c r="H118" s="55"/>
      <x:c r="I118" s="55"/>
      <x:c r="J118" s="55"/>
      <x:c r="K118" s="55"/>
      <x:c r="L118" s="55"/>
      <x:c r="M118" s="55"/>
      <x:c r="N118" s="37" t="str">
        <x:f>IF($A118="","",IF(OR($G118="Transactional",$H118="商品/分类页",$H118="集合页",$H118="品牌页"),"主站",IF(OR($H118="博客/榜单",$H118="博客/对比",$G118="Commercial"),"博客站C-对比评测",IF($H118="博客/场景","博客站B-人群场景",IF(OR($H118="教程/FAQ",$H118="博客/指南",$G118="Informational"),"博客站A-知识教程","暂不做")))))</x:f>
      </x:c>
      <x:c r="O118" s="37"/>
      <x:c r="P118" s="37" t="str">
        <x:f>IF($A118="","",IF($O118&lt;&gt;"",$O118,$N118))</x:f>
      </x:c>
      <x:c r="Q118" s="37" t="str">
        <x:f>IF($A118="","",IF($P118="主站","分类页/集合页/商品页",IF($P118="博客站C-对比评测",IF($H118="博客/对比","对比文","购买指南"),IF($P118="博客站B-人群场景","场景解决方案",IF($P118="博客站A-知识教程",IF($H118="教程/FAQ","教程文","价值解释文"),"暂不做")))))</x:f>
      </x:c>
      <x:c r="R118" s="37" t="str">
        <x:f>IF($A118="","",IF($Q118="分类页/集合页/商品页","不写文章",IF($Q118="暂不做","暂不做",$Q118)))</x:f>
      </x:c>
      <x:c r="S118" s="37"/>
      <x:c r="T118" s="37"/>
      <x:c r="U118" s="37"/>
      <x:c r="V118" s="37"/>
      <x:c r="W118" s="37"/>
      <x:c r="X118" s="37"/>
      <x:c r="Y118" s="37"/>
      <x:c r="Z118" s="37"/>
      <x:c r="AA118" s="37"/>
      <x:c r="AB118" s="58" t="str">
        <x:f>IF($A118="","",IF($D118&gt;=1000,15,IF($D118&gt;=300,12,IF($D118&gt;=100,9,IF($D118&gt;0,5,0)))))</x:f>
      </x:c>
      <x:c r="AC118" s="58" t="str">
        <x:f>IF($A118="","",(($I118+$J118)/10)*25)</x:f>
      </x:c>
      <x:c r="AD118" s="58" t="str">
        <x:f>IF($A118="","",(($K118+$L118)/10)*25)</x:f>
      </x:c>
      <x:c r="AE118" s="58" t="str">
        <x:f>IF($A118="","",$M118*5)</x:f>
      </x:c>
      <x:c r="AF118" s="58" t="str">
        <x:f>IF($A118="","",MAX(0,AB118+AC118+AD118-AE118))</x:f>
      </x:c>
      <x:c r="AG118" s="37" t="str">
        <x:f>IF($A118="","",IF(AF118&gt;=70,"P0",IF(AF118&gt;=55,"P1",IF(AF118&gt;=40,"P2","P3"))))</x:f>
      </x:c>
      <x:c r="AH118" s="38" t="str">
        <x:f>IF($A118="","",IF(AG118="P0","立即规划",IF(AG118="P1","进入本批内容日历",IF(AG118="P2","观察/做FAQ或长尾","暂不做或合并"))))</x:f>
      </x:c>
    </x:row>
    <x:row r="119">
      <x:c r="A119" s="36"/>
      <x:c r="B119" s="37"/>
      <x:c r="C119" s="37"/>
      <x:c r="D119" s="49"/>
      <x:c r="E119" s="52"/>
      <x:c r="F119" s="55"/>
      <x:c r="G119" s="55"/>
      <x:c r="H119" s="55"/>
      <x:c r="I119" s="55"/>
      <x:c r="J119" s="55"/>
      <x:c r="K119" s="55"/>
      <x:c r="L119" s="55"/>
      <x:c r="M119" s="55"/>
      <x:c r="N119" s="37" t="str">
        <x:f>IF($A119="","",IF(OR($G119="Transactional",$H119="商品/分类页",$H119="集合页",$H119="品牌页"),"主站",IF(OR($H119="博客/榜单",$H119="博客/对比",$G119="Commercial"),"博客站C-对比评测",IF($H119="博客/场景","博客站B-人群场景",IF(OR($H119="教程/FAQ",$H119="博客/指南",$G119="Informational"),"博客站A-知识教程","暂不做")))))</x:f>
      </x:c>
      <x:c r="O119" s="37"/>
      <x:c r="P119" s="37" t="str">
        <x:f>IF($A119="","",IF($O119&lt;&gt;"",$O119,$N119))</x:f>
      </x:c>
      <x:c r="Q119" s="37" t="str">
        <x:f>IF($A119="","",IF($P119="主站","分类页/集合页/商品页",IF($P119="博客站C-对比评测",IF($H119="博客/对比","对比文","购买指南"),IF($P119="博客站B-人群场景","场景解决方案",IF($P119="博客站A-知识教程",IF($H119="教程/FAQ","教程文","价值解释文"),"暂不做")))))</x:f>
      </x:c>
      <x:c r="R119" s="37" t="str">
        <x:f>IF($A119="","",IF($Q119="分类页/集合页/商品页","不写文章",IF($Q119="暂不做","暂不做",$Q119)))</x:f>
      </x:c>
      <x:c r="S119" s="37"/>
      <x:c r="T119" s="37"/>
      <x:c r="U119" s="37"/>
      <x:c r="V119" s="37"/>
      <x:c r="W119" s="37"/>
      <x:c r="X119" s="37"/>
      <x:c r="Y119" s="37"/>
      <x:c r="Z119" s="37"/>
      <x:c r="AA119" s="37"/>
      <x:c r="AB119" s="58" t="str">
        <x:f>IF($A119="","",IF($D119&gt;=1000,15,IF($D119&gt;=300,12,IF($D119&gt;=100,9,IF($D119&gt;0,5,0)))))</x:f>
      </x:c>
      <x:c r="AC119" s="58" t="str">
        <x:f>IF($A119="","",(($I119+$J119)/10)*25)</x:f>
      </x:c>
      <x:c r="AD119" s="58" t="str">
        <x:f>IF($A119="","",(($K119+$L119)/10)*25)</x:f>
      </x:c>
      <x:c r="AE119" s="58" t="str">
        <x:f>IF($A119="","",$M119*5)</x:f>
      </x:c>
      <x:c r="AF119" s="58" t="str">
        <x:f>IF($A119="","",MAX(0,AB119+AC119+AD119-AE119))</x:f>
      </x:c>
      <x:c r="AG119" s="37" t="str">
        <x:f>IF($A119="","",IF(AF119&gt;=70,"P0",IF(AF119&gt;=55,"P1",IF(AF119&gt;=40,"P2","P3"))))</x:f>
      </x:c>
      <x:c r="AH119" s="38" t="str">
        <x:f>IF($A119="","",IF(AG119="P0","立即规划",IF(AG119="P1","进入本批内容日历",IF(AG119="P2","观察/做FAQ或长尾","暂不做或合并"))))</x:f>
      </x:c>
    </x:row>
    <x:row r="120">
      <x:c r="A120" s="36"/>
      <x:c r="B120" s="37"/>
      <x:c r="C120" s="37"/>
      <x:c r="D120" s="49"/>
      <x:c r="E120" s="52"/>
      <x:c r="F120" s="55"/>
      <x:c r="G120" s="55"/>
      <x:c r="H120" s="55"/>
      <x:c r="I120" s="55"/>
      <x:c r="J120" s="55"/>
      <x:c r="K120" s="55"/>
      <x:c r="L120" s="55"/>
      <x:c r="M120" s="55"/>
      <x:c r="N120" s="37" t="str">
        <x:f>IF($A120="","",IF(OR($G120="Transactional",$H120="商品/分类页",$H120="集合页",$H120="品牌页"),"主站",IF(OR($H120="博客/榜单",$H120="博客/对比",$G120="Commercial"),"博客站C-对比评测",IF($H120="博客/场景","博客站B-人群场景",IF(OR($H120="教程/FAQ",$H120="博客/指南",$G120="Informational"),"博客站A-知识教程","暂不做")))))</x:f>
      </x:c>
      <x:c r="O120" s="37"/>
      <x:c r="P120" s="37" t="str">
        <x:f>IF($A120="","",IF($O120&lt;&gt;"",$O120,$N120))</x:f>
      </x:c>
      <x:c r="Q120" s="37" t="str">
        <x:f>IF($A120="","",IF($P120="主站","分类页/集合页/商品页",IF($P120="博客站C-对比评测",IF($H120="博客/对比","对比文","购买指南"),IF($P120="博客站B-人群场景","场景解决方案",IF($P120="博客站A-知识教程",IF($H120="教程/FAQ","教程文","价值解释文"),"暂不做")))))</x:f>
      </x:c>
      <x:c r="R120" s="37" t="str">
        <x:f>IF($A120="","",IF($Q120="分类页/集合页/商品页","不写文章",IF($Q120="暂不做","暂不做",$Q120)))</x:f>
      </x:c>
      <x:c r="S120" s="37"/>
      <x:c r="T120" s="37"/>
      <x:c r="U120" s="37"/>
      <x:c r="V120" s="37"/>
      <x:c r="W120" s="37"/>
      <x:c r="X120" s="37"/>
      <x:c r="Y120" s="37"/>
      <x:c r="Z120" s="37"/>
      <x:c r="AA120" s="37"/>
      <x:c r="AB120" s="58" t="str">
        <x:f>IF($A120="","",IF($D120&gt;=1000,15,IF($D120&gt;=300,12,IF($D120&gt;=100,9,IF($D120&gt;0,5,0)))))</x:f>
      </x:c>
      <x:c r="AC120" s="58" t="str">
        <x:f>IF($A120="","",(($I120+$J120)/10)*25)</x:f>
      </x:c>
      <x:c r="AD120" s="58" t="str">
        <x:f>IF($A120="","",(($K120+$L120)/10)*25)</x:f>
      </x:c>
      <x:c r="AE120" s="58" t="str">
        <x:f>IF($A120="","",$M120*5)</x:f>
      </x:c>
      <x:c r="AF120" s="58" t="str">
        <x:f>IF($A120="","",MAX(0,AB120+AC120+AD120-AE120))</x:f>
      </x:c>
      <x:c r="AG120" s="37" t="str">
        <x:f>IF($A120="","",IF(AF120&gt;=70,"P0",IF(AF120&gt;=55,"P1",IF(AF120&gt;=40,"P2","P3"))))</x:f>
      </x:c>
      <x:c r="AH120" s="38" t="str">
        <x:f>IF($A120="","",IF(AG120="P0","立即规划",IF(AG120="P1","进入本批内容日历",IF(AG120="P2","观察/做FAQ或长尾","暂不做或合并"))))</x:f>
      </x:c>
    </x:row>
    <x:row r="121">
      <x:c r="A121" s="36"/>
      <x:c r="B121" s="37"/>
      <x:c r="C121" s="37"/>
      <x:c r="D121" s="49"/>
      <x:c r="E121" s="52"/>
      <x:c r="F121" s="55"/>
      <x:c r="G121" s="55"/>
      <x:c r="H121" s="55"/>
      <x:c r="I121" s="55"/>
      <x:c r="J121" s="55"/>
      <x:c r="K121" s="55"/>
      <x:c r="L121" s="55"/>
      <x:c r="M121" s="55"/>
      <x:c r="N121" s="37" t="str">
        <x:f>IF($A121="","",IF(OR($G121="Transactional",$H121="商品/分类页",$H121="集合页",$H121="品牌页"),"主站",IF(OR($H121="博客/榜单",$H121="博客/对比",$G121="Commercial"),"博客站C-对比评测",IF($H121="博客/场景","博客站B-人群场景",IF(OR($H121="教程/FAQ",$H121="博客/指南",$G121="Informational"),"博客站A-知识教程","暂不做")))))</x:f>
      </x:c>
      <x:c r="O121" s="37"/>
      <x:c r="P121" s="37" t="str">
        <x:f>IF($A121="","",IF($O121&lt;&gt;"",$O121,$N121))</x:f>
      </x:c>
      <x:c r="Q121" s="37" t="str">
        <x:f>IF($A121="","",IF($P121="主站","分类页/集合页/商品页",IF($P121="博客站C-对比评测",IF($H121="博客/对比","对比文","购买指南"),IF($P121="博客站B-人群场景","场景解决方案",IF($P121="博客站A-知识教程",IF($H121="教程/FAQ","教程文","价值解释文"),"暂不做")))))</x:f>
      </x:c>
      <x:c r="R121" s="37" t="str">
        <x:f>IF($A121="","",IF($Q121="分类页/集合页/商品页","不写文章",IF($Q121="暂不做","暂不做",$Q121)))</x:f>
      </x:c>
      <x:c r="S121" s="37"/>
      <x:c r="T121" s="37"/>
      <x:c r="U121" s="37"/>
      <x:c r="V121" s="37"/>
      <x:c r="W121" s="37"/>
      <x:c r="X121" s="37"/>
      <x:c r="Y121" s="37"/>
      <x:c r="Z121" s="37"/>
      <x:c r="AA121" s="37"/>
      <x:c r="AB121" s="58" t="str">
        <x:f>IF($A121="","",IF($D121&gt;=1000,15,IF($D121&gt;=300,12,IF($D121&gt;=100,9,IF($D121&gt;0,5,0)))))</x:f>
      </x:c>
      <x:c r="AC121" s="58" t="str">
        <x:f>IF($A121="","",(($I121+$J121)/10)*25)</x:f>
      </x:c>
      <x:c r="AD121" s="58" t="str">
        <x:f>IF($A121="","",(($K121+$L121)/10)*25)</x:f>
      </x:c>
      <x:c r="AE121" s="58" t="str">
        <x:f>IF($A121="","",$M121*5)</x:f>
      </x:c>
      <x:c r="AF121" s="58" t="str">
        <x:f>IF($A121="","",MAX(0,AB121+AC121+AD121-AE121))</x:f>
      </x:c>
      <x:c r="AG121" s="37" t="str">
        <x:f>IF($A121="","",IF(AF121&gt;=70,"P0",IF(AF121&gt;=55,"P1",IF(AF121&gt;=40,"P2","P3"))))</x:f>
      </x:c>
      <x:c r="AH121" s="38" t="str">
        <x:f>IF($A121="","",IF(AG121="P0","立即规划",IF(AG121="P1","进入本批内容日历",IF(AG121="P2","观察/做FAQ或长尾","暂不做或合并"))))</x:f>
      </x:c>
    </x:row>
    <x:row r="122">
      <x:c r="A122" s="36"/>
      <x:c r="B122" s="37"/>
      <x:c r="C122" s="37"/>
      <x:c r="D122" s="49"/>
      <x:c r="E122" s="52"/>
      <x:c r="F122" s="55"/>
      <x:c r="G122" s="55"/>
      <x:c r="H122" s="55"/>
      <x:c r="I122" s="55"/>
      <x:c r="J122" s="55"/>
      <x:c r="K122" s="55"/>
      <x:c r="L122" s="55"/>
      <x:c r="M122" s="55"/>
      <x:c r="N122" s="37" t="str">
        <x:f>IF($A122="","",IF(OR($G122="Transactional",$H122="商品/分类页",$H122="集合页",$H122="品牌页"),"主站",IF(OR($H122="博客/榜单",$H122="博客/对比",$G122="Commercial"),"博客站C-对比评测",IF($H122="博客/场景","博客站B-人群场景",IF(OR($H122="教程/FAQ",$H122="博客/指南",$G122="Informational"),"博客站A-知识教程","暂不做")))))</x:f>
      </x:c>
      <x:c r="O122" s="37"/>
      <x:c r="P122" s="37" t="str">
        <x:f>IF($A122="","",IF($O122&lt;&gt;"",$O122,$N122))</x:f>
      </x:c>
      <x:c r="Q122" s="37" t="str">
        <x:f>IF($A122="","",IF($P122="主站","分类页/集合页/商品页",IF($P122="博客站C-对比评测",IF($H122="博客/对比","对比文","购买指南"),IF($P122="博客站B-人群场景","场景解决方案",IF($P122="博客站A-知识教程",IF($H122="教程/FAQ","教程文","价值解释文"),"暂不做")))))</x:f>
      </x:c>
      <x:c r="R122" s="37" t="str">
        <x:f>IF($A122="","",IF($Q122="分类页/集合页/商品页","不写文章",IF($Q122="暂不做","暂不做",$Q122)))</x:f>
      </x:c>
      <x:c r="S122" s="37"/>
      <x:c r="T122" s="37"/>
      <x:c r="U122" s="37"/>
      <x:c r="V122" s="37"/>
      <x:c r="W122" s="37"/>
      <x:c r="X122" s="37"/>
      <x:c r="Y122" s="37"/>
      <x:c r="Z122" s="37"/>
      <x:c r="AA122" s="37"/>
      <x:c r="AB122" s="58" t="str">
        <x:f>IF($A122="","",IF($D122&gt;=1000,15,IF($D122&gt;=300,12,IF($D122&gt;=100,9,IF($D122&gt;0,5,0)))))</x:f>
      </x:c>
      <x:c r="AC122" s="58" t="str">
        <x:f>IF($A122="","",(($I122+$J122)/10)*25)</x:f>
      </x:c>
      <x:c r="AD122" s="58" t="str">
        <x:f>IF($A122="","",(($K122+$L122)/10)*25)</x:f>
      </x:c>
      <x:c r="AE122" s="58" t="str">
        <x:f>IF($A122="","",$M122*5)</x:f>
      </x:c>
      <x:c r="AF122" s="58" t="str">
        <x:f>IF($A122="","",MAX(0,AB122+AC122+AD122-AE122))</x:f>
      </x:c>
      <x:c r="AG122" s="37" t="str">
        <x:f>IF($A122="","",IF(AF122&gt;=70,"P0",IF(AF122&gt;=55,"P1",IF(AF122&gt;=40,"P2","P3"))))</x:f>
      </x:c>
      <x:c r="AH122" s="38" t="str">
        <x:f>IF($A122="","",IF(AG122="P0","立即规划",IF(AG122="P1","进入本批内容日历",IF(AG122="P2","观察/做FAQ或长尾","暂不做或合并"))))</x:f>
      </x:c>
    </x:row>
    <x:row r="123">
      <x:c r="A123" s="36"/>
      <x:c r="B123" s="37"/>
      <x:c r="C123" s="37"/>
      <x:c r="D123" s="49"/>
      <x:c r="E123" s="52"/>
      <x:c r="F123" s="55"/>
      <x:c r="G123" s="55"/>
      <x:c r="H123" s="55"/>
      <x:c r="I123" s="55"/>
      <x:c r="J123" s="55"/>
      <x:c r="K123" s="55"/>
      <x:c r="L123" s="55"/>
      <x:c r="M123" s="55"/>
      <x:c r="N123" s="37" t="str">
        <x:f>IF($A123="","",IF(OR($G123="Transactional",$H123="商品/分类页",$H123="集合页",$H123="品牌页"),"主站",IF(OR($H123="博客/榜单",$H123="博客/对比",$G123="Commercial"),"博客站C-对比评测",IF($H123="博客/场景","博客站B-人群场景",IF(OR($H123="教程/FAQ",$H123="博客/指南",$G123="Informational"),"博客站A-知识教程","暂不做")))))</x:f>
      </x:c>
      <x:c r="O123" s="37"/>
      <x:c r="P123" s="37" t="str">
        <x:f>IF($A123="","",IF($O123&lt;&gt;"",$O123,$N123))</x:f>
      </x:c>
      <x:c r="Q123" s="37" t="str">
        <x:f>IF($A123="","",IF($P123="主站","分类页/集合页/商品页",IF($P123="博客站C-对比评测",IF($H123="博客/对比","对比文","购买指南"),IF($P123="博客站B-人群场景","场景解决方案",IF($P123="博客站A-知识教程",IF($H123="教程/FAQ","教程文","价值解释文"),"暂不做")))))</x:f>
      </x:c>
      <x:c r="R123" s="37" t="str">
        <x:f>IF($A123="","",IF($Q123="分类页/集合页/商品页","不写文章",IF($Q123="暂不做","暂不做",$Q123)))</x:f>
      </x:c>
      <x:c r="S123" s="37"/>
      <x:c r="T123" s="37"/>
      <x:c r="U123" s="37"/>
      <x:c r="V123" s="37"/>
      <x:c r="W123" s="37"/>
      <x:c r="X123" s="37"/>
      <x:c r="Y123" s="37"/>
      <x:c r="Z123" s="37"/>
      <x:c r="AA123" s="37"/>
      <x:c r="AB123" s="58" t="str">
        <x:f>IF($A123="","",IF($D123&gt;=1000,15,IF($D123&gt;=300,12,IF($D123&gt;=100,9,IF($D123&gt;0,5,0)))))</x:f>
      </x:c>
      <x:c r="AC123" s="58" t="str">
        <x:f>IF($A123="","",(($I123+$J123)/10)*25)</x:f>
      </x:c>
      <x:c r="AD123" s="58" t="str">
        <x:f>IF($A123="","",(($K123+$L123)/10)*25)</x:f>
      </x:c>
      <x:c r="AE123" s="58" t="str">
        <x:f>IF($A123="","",$M123*5)</x:f>
      </x:c>
      <x:c r="AF123" s="58" t="str">
        <x:f>IF($A123="","",MAX(0,AB123+AC123+AD123-AE123))</x:f>
      </x:c>
      <x:c r="AG123" s="37" t="str">
        <x:f>IF($A123="","",IF(AF123&gt;=70,"P0",IF(AF123&gt;=55,"P1",IF(AF123&gt;=40,"P2","P3"))))</x:f>
      </x:c>
      <x:c r="AH123" s="38" t="str">
        <x:f>IF($A123="","",IF(AG123="P0","立即规划",IF(AG123="P1","进入本批内容日历",IF(AG123="P2","观察/做FAQ或长尾","暂不做或合并"))))</x:f>
      </x:c>
    </x:row>
    <x:row r="124">
      <x:c r="A124" s="36"/>
      <x:c r="B124" s="37"/>
      <x:c r="C124" s="37"/>
      <x:c r="D124" s="49"/>
      <x:c r="E124" s="52"/>
      <x:c r="F124" s="55"/>
      <x:c r="G124" s="55"/>
      <x:c r="H124" s="55"/>
      <x:c r="I124" s="55"/>
      <x:c r="J124" s="55"/>
      <x:c r="K124" s="55"/>
      <x:c r="L124" s="55"/>
      <x:c r="M124" s="55"/>
      <x:c r="N124" s="37" t="str">
        <x:f>IF($A124="","",IF(OR($G124="Transactional",$H124="商品/分类页",$H124="集合页",$H124="品牌页"),"主站",IF(OR($H124="博客/榜单",$H124="博客/对比",$G124="Commercial"),"博客站C-对比评测",IF($H124="博客/场景","博客站B-人群场景",IF(OR($H124="教程/FAQ",$H124="博客/指南",$G124="Informational"),"博客站A-知识教程","暂不做")))))</x:f>
      </x:c>
      <x:c r="O124" s="37"/>
      <x:c r="P124" s="37" t="str">
        <x:f>IF($A124="","",IF($O124&lt;&gt;"",$O124,$N124))</x:f>
      </x:c>
      <x:c r="Q124" s="37" t="str">
        <x:f>IF($A124="","",IF($P124="主站","分类页/集合页/商品页",IF($P124="博客站C-对比评测",IF($H124="博客/对比","对比文","购买指南"),IF($P124="博客站B-人群场景","场景解决方案",IF($P124="博客站A-知识教程",IF($H124="教程/FAQ","教程文","价值解释文"),"暂不做")))))</x:f>
      </x:c>
      <x:c r="R124" s="37" t="str">
        <x:f>IF($A124="","",IF($Q124="分类页/集合页/商品页","不写文章",IF($Q124="暂不做","暂不做",$Q124)))</x:f>
      </x:c>
      <x:c r="S124" s="37"/>
      <x:c r="T124" s="37"/>
      <x:c r="U124" s="37"/>
      <x:c r="V124" s="37"/>
      <x:c r="W124" s="37"/>
      <x:c r="X124" s="37"/>
      <x:c r="Y124" s="37"/>
      <x:c r="Z124" s="37"/>
      <x:c r="AA124" s="37"/>
      <x:c r="AB124" s="58" t="str">
        <x:f>IF($A124="","",IF($D124&gt;=1000,15,IF($D124&gt;=300,12,IF($D124&gt;=100,9,IF($D124&gt;0,5,0)))))</x:f>
      </x:c>
      <x:c r="AC124" s="58" t="str">
        <x:f>IF($A124="","",(($I124+$J124)/10)*25)</x:f>
      </x:c>
      <x:c r="AD124" s="58" t="str">
        <x:f>IF($A124="","",(($K124+$L124)/10)*25)</x:f>
      </x:c>
      <x:c r="AE124" s="58" t="str">
        <x:f>IF($A124="","",$M124*5)</x:f>
      </x:c>
      <x:c r="AF124" s="58" t="str">
        <x:f>IF($A124="","",MAX(0,AB124+AC124+AD124-AE124))</x:f>
      </x:c>
      <x:c r="AG124" s="37" t="str">
        <x:f>IF($A124="","",IF(AF124&gt;=70,"P0",IF(AF124&gt;=55,"P1",IF(AF124&gt;=40,"P2","P3"))))</x:f>
      </x:c>
      <x:c r="AH124" s="38" t="str">
        <x:f>IF($A124="","",IF(AG124="P0","立即规划",IF(AG124="P1","进入本批内容日历",IF(AG124="P2","观察/做FAQ或长尾","暂不做或合并"))))</x:f>
      </x:c>
    </x:row>
    <x:row r="125">
      <x:c r="A125" s="36"/>
      <x:c r="B125" s="37"/>
      <x:c r="C125" s="37"/>
      <x:c r="D125" s="49"/>
      <x:c r="E125" s="52"/>
      <x:c r="F125" s="55"/>
      <x:c r="G125" s="55"/>
      <x:c r="H125" s="55"/>
      <x:c r="I125" s="55"/>
      <x:c r="J125" s="55"/>
      <x:c r="K125" s="55"/>
      <x:c r="L125" s="55"/>
      <x:c r="M125" s="55"/>
      <x:c r="N125" s="37" t="str">
        <x:f>IF($A125="","",IF(OR($G125="Transactional",$H125="商品/分类页",$H125="集合页",$H125="品牌页"),"主站",IF(OR($H125="博客/榜单",$H125="博客/对比",$G125="Commercial"),"博客站C-对比评测",IF($H125="博客/场景","博客站B-人群场景",IF(OR($H125="教程/FAQ",$H125="博客/指南",$G125="Informational"),"博客站A-知识教程","暂不做")))))</x:f>
      </x:c>
      <x:c r="O125" s="37"/>
      <x:c r="P125" s="37" t="str">
        <x:f>IF($A125="","",IF($O125&lt;&gt;"",$O125,$N125))</x:f>
      </x:c>
      <x:c r="Q125" s="37" t="str">
        <x:f>IF($A125="","",IF($P125="主站","分类页/集合页/商品页",IF($P125="博客站C-对比评测",IF($H125="博客/对比","对比文","购买指南"),IF($P125="博客站B-人群场景","场景解决方案",IF($P125="博客站A-知识教程",IF($H125="教程/FAQ","教程文","价值解释文"),"暂不做")))))</x:f>
      </x:c>
      <x:c r="R125" s="37" t="str">
        <x:f>IF($A125="","",IF($Q125="分类页/集合页/商品页","不写文章",IF($Q125="暂不做","暂不做",$Q125)))</x:f>
      </x:c>
      <x:c r="S125" s="37"/>
      <x:c r="T125" s="37"/>
      <x:c r="U125" s="37"/>
      <x:c r="V125" s="37"/>
      <x:c r="W125" s="37"/>
      <x:c r="X125" s="37"/>
      <x:c r="Y125" s="37"/>
      <x:c r="Z125" s="37"/>
      <x:c r="AA125" s="37"/>
      <x:c r="AB125" s="58" t="str">
        <x:f>IF($A125="","",IF($D125&gt;=1000,15,IF($D125&gt;=300,12,IF($D125&gt;=100,9,IF($D125&gt;0,5,0)))))</x:f>
      </x:c>
      <x:c r="AC125" s="58" t="str">
        <x:f>IF($A125="","",(($I125+$J125)/10)*25)</x:f>
      </x:c>
      <x:c r="AD125" s="58" t="str">
        <x:f>IF($A125="","",(($K125+$L125)/10)*25)</x:f>
      </x:c>
      <x:c r="AE125" s="58" t="str">
        <x:f>IF($A125="","",$M125*5)</x:f>
      </x:c>
      <x:c r="AF125" s="58" t="str">
        <x:f>IF($A125="","",MAX(0,AB125+AC125+AD125-AE125))</x:f>
      </x:c>
      <x:c r="AG125" s="37" t="str">
        <x:f>IF($A125="","",IF(AF125&gt;=70,"P0",IF(AF125&gt;=55,"P1",IF(AF125&gt;=40,"P2","P3"))))</x:f>
      </x:c>
      <x:c r="AH125" s="38" t="str">
        <x:f>IF($A125="","",IF(AG125="P0","立即规划",IF(AG125="P1","进入本批内容日历",IF(AG125="P2","观察/做FAQ或长尾","暂不做或合并"))))</x:f>
      </x:c>
    </x:row>
    <x:row r="126">
      <x:c r="A126" s="36"/>
      <x:c r="B126" s="37"/>
      <x:c r="C126" s="37"/>
      <x:c r="D126" s="49"/>
      <x:c r="E126" s="52"/>
      <x:c r="F126" s="55"/>
      <x:c r="G126" s="55"/>
      <x:c r="H126" s="55"/>
      <x:c r="I126" s="55"/>
      <x:c r="J126" s="55"/>
      <x:c r="K126" s="55"/>
      <x:c r="L126" s="55"/>
      <x:c r="M126" s="55"/>
      <x:c r="N126" s="37" t="str">
        <x:f>IF($A126="","",IF(OR($G126="Transactional",$H126="商品/分类页",$H126="集合页",$H126="品牌页"),"主站",IF(OR($H126="博客/榜单",$H126="博客/对比",$G126="Commercial"),"博客站C-对比评测",IF($H126="博客/场景","博客站B-人群场景",IF(OR($H126="教程/FAQ",$H126="博客/指南",$G126="Informational"),"博客站A-知识教程","暂不做")))))</x:f>
      </x:c>
      <x:c r="O126" s="37"/>
      <x:c r="P126" s="37" t="str">
        <x:f>IF($A126="","",IF($O126&lt;&gt;"",$O126,$N126))</x:f>
      </x:c>
      <x:c r="Q126" s="37" t="str">
        <x:f>IF($A126="","",IF($P126="主站","分类页/集合页/商品页",IF($P126="博客站C-对比评测",IF($H126="博客/对比","对比文","购买指南"),IF($P126="博客站B-人群场景","场景解决方案",IF($P126="博客站A-知识教程",IF($H126="教程/FAQ","教程文","价值解释文"),"暂不做")))))</x:f>
      </x:c>
      <x:c r="R126" s="37" t="str">
        <x:f>IF($A126="","",IF($Q126="分类页/集合页/商品页","不写文章",IF($Q126="暂不做","暂不做",$Q126)))</x:f>
      </x:c>
      <x:c r="S126" s="37"/>
      <x:c r="T126" s="37"/>
      <x:c r="U126" s="37"/>
      <x:c r="V126" s="37"/>
      <x:c r="W126" s="37"/>
      <x:c r="X126" s="37"/>
      <x:c r="Y126" s="37"/>
      <x:c r="Z126" s="37"/>
      <x:c r="AA126" s="37"/>
      <x:c r="AB126" s="58" t="str">
        <x:f>IF($A126="","",IF($D126&gt;=1000,15,IF($D126&gt;=300,12,IF($D126&gt;=100,9,IF($D126&gt;0,5,0)))))</x:f>
      </x:c>
      <x:c r="AC126" s="58" t="str">
        <x:f>IF($A126="","",(($I126+$J126)/10)*25)</x:f>
      </x:c>
      <x:c r="AD126" s="58" t="str">
        <x:f>IF($A126="","",(($K126+$L126)/10)*25)</x:f>
      </x:c>
      <x:c r="AE126" s="58" t="str">
        <x:f>IF($A126="","",$M126*5)</x:f>
      </x:c>
      <x:c r="AF126" s="58" t="str">
        <x:f>IF($A126="","",MAX(0,AB126+AC126+AD126-AE126))</x:f>
      </x:c>
      <x:c r="AG126" s="37" t="str">
        <x:f>IF($A126="","",IF(AF126&gt;=70,"P0",IF(AF126&gt;=55,"P1",IF(AF126&gt;=40,"P2","P3"))))</x:f>
      </x:c>
      <x:c r="AH126" s="38" t="str">
        <x:f>IF($A126="","",IF(AG126="P0","立即规划",IF(AG126="P1","进入本批内容日历",IF(AG126="P2","观察/做FAQ或长尾","暂不做或合并"))))</x:f>
      </x:c>
    </x:row>
    <x:row r="127">
      <x:c r="A127" s="36"/>
      <x:c r="B127" s="37"/>
      <x:c r="C127" s="37"/>
      <x:c r="D127" s="49"/>
      <x:c r="E127" s="52"/>
      <x:c r="F127" s="55"/>
      <x:c r="G127" s="55"/>
      <x:c r="H127" s="55"/>
      <x:c r="I127" s="55"/>
      <x:c r="J127" s="55"/>
      <x:c r="K127" s="55"/>
      <x:c r="L127" s="55"/>
      <x:c r="M127" s="55"/>
      <x:c r="N127" s="37" t="str">
        <x:f>IF($A127="","",IF(OR($G127="Transactional",$H127="商品/分类页",$H127="集合页",$H127="品牌页"),"主站",IF(OR($H127="博客/榜单",$H127="博客/对比",$G127="Commercial"),"博客站C-对比评测",IF($H127="博客/场景","博客站B-人群场景",IF(OR($H127="教程/FAQ",$H127="博客/指南",$G127="Informational"),"博客站A-知识教程","暂不做")))))</x:f>
      </x:c>
      <x:c r="O127" s="37"/>
      <x:c r="P127" s="37" t="str">
        <x:f>IF($A127="","",IF($O127&lt;&gt;"",$O127,$N127))</x:f>
      </x:c>
      <x:c r="Q127" s="37" t="str">
        <x:f>IF($A127="","",IF($P127="主站","分类页/集合页/商品页",IF($P127="博客站C-对比评测",IF($H127="博客/对比","对比文","购买指南"),IF($P127="博客站B-人群场景","场景解决方案",IF($P127="博客站A-知识教程",IF($H127="教程/FAQ","教程文","价值解释文"),"暂不做")))))</x:f>
      </x:c>
      <x:c r="R127" s="37" t="str">
        <x:f>IF($A127="","",IF($Q127="分类页/集合页/商品页","不写文章",IF($Q127="暂不做","暂不做",$Q127)))</x:f>
      </x:c>
      <x:c r="S127" s="37"/>
      <x:c r="T127" s="37"/>
      <x:c r="U127" s="37"/>
      <x:c r="V127" s="37"/>
      <x:c r="W127" s="37"/>
      <x:c r="X127" s="37"/>
      <x:c r="Y127" s="37"/>
      <x:c r="Z127" s="37"/>
      <x:c r="AA127" s="37"/>
      <x:c r="AB127" s="58" t="str">
        <x:f>IF($A127="","",IF($D127&gt;=1000,15,IF($D127&gt;=300,12,IF($D127&gt;=100,9,IF($D127&gt;0,5,0)))))</x:f>
      </x:c>
      <x:c r="AC127" s="58" t="str">
        <x:f>IF($A127="","",(($I127+$J127)/10)*25)</x:f>
      </x:c>
      <x:c r="AD127" s="58" t="str">
        <x:f>IF($A127="","",(($K127+$L127)/10)*25)</x:f>
      </x:c>
      <x:c r="AE127" s="58" t="str">
        <x:f>IF($A127="","",$M127*5)</x:f>
      </x:c>
      <x:c r="AF127" s="58" t="str">
        <x:f>IF($A127="","",MAX(0,AB127+AC127+AD127-AE127))</x:f>
      </x:c>
      <x:c r="AG127" s="37" t="str">
        <x:f>IF($A127="","",IF(AF127&gt;=70,"P0",IF(AF127&gt;=55,"P1",IF(AF127&gt;=40,"P2","P3"))))</x:f>
      </x:c>
      <x:c r="AH127" s="38" t="str">
        <x:f>IF($A127="","",IF(AG127="P0","立即规划",IF(AG127="P1","进入本批内容日历",IF(AG127="P2","观察/做FAQ或长尾","暂不做或合并"))))</x:f>
      </x:c>
    </x:row>
    <x:row r="128">
      <x:c r="A128" s="36"/>
      <x:c r="B128" s="37"/>
      <x:c r="C128" s="37"/>
      <x:c r="D128" s="49"/>
      <x:c r="E128" s="52"/>
      <x:c r="F128" s="55"/>
      <x:c r="G128" s="55"/>
      <x:c r="H128" s="55"/>
      <x:c r="I128" s="55"/>
      <x:c r="J128" s="55"/>
      <x:c r="K128" s="55"/>
      <x:c r="L128" s="55"/>
      <x:c r="M128" s="55"/>
      <x:c r="N128" s="37" t="str">
        <x:f>IF($A128="","",IF(OR($G128="Transactional",$H128="商品/分类页",$H128="集合页",$H128="品牌页"),"主站",IF(OR($H128="博客/榜单",$H128="博客/对比",$G128="Commercial"),"博客站C-对比评测",IF($H128="博客/场景","博客站B-人群场景",IF(OR($H128="教程/FAQ",$H128="博客/指南",$G128="Informational"),"博客站A-知识教程","暂不做")))))</x:f>
      </x:c>
      <x:c r="O128" s="37"/>
      <x:c r="P128" s="37" t="str">
        <x:f>IF($A128="","",IF($O128&lt;&gt;"",$O128,$N128))</x:f>
      </x:c>
      <x:c r="Q128" s="37" t="str">
        <x:f>IF($A128="","",IF($P128="主站","分类页/集合页/商品页",IF($P128="博客站C-对比评测",IF($H128="博客/对比","对比文","购买指南"),IF($P128="博客站B-人群场景","场景解决方案",IF($P128="博客站A-知识教程",IF($H128="教程/FAQ","教程文","价值解释文"),"暂不做")))))</x:f>
      </x:c>
      <x:c r="R128" s="37" t="str">
        <x:f>IF($A128="","",IF($Q128="分类页/集合页/商品页","不写文章",IF($Q128="暂不做","暂不做",$Q128)))</x:f>
      </x:c>
      <x:c r="S128" s="37"/>
      <x:c r="T128" s="37"/>
      <x:c r="U128" s="37"/>
      <x:c r="V128" s="37"/>
      <x:c r="W128" s="37"/>
      <x:c r="X128" s="37"/>
      <x:c r="Y128" s="37"/>
      <x:c r="Z128" s="37"/>
      <x:c r="AA128" s="37"/>
      <x:c r="AB128" s="58" t="str">
        <x:f>IF($A128="","",IF($D128&gt;=1000,15,IF($D128&gt;=300,12,IF($D128&gt;=100,9,IF($D128&gt;0,5,0)))))</x:f>
      </x:c>
      <x:c r="AC128" s="58" t="str">
        <x:f>IF($A128="","",(($I128+$J128)/10)*25)</x:f>
      </x:c>
      <x:c r="AD128" s="58" t="str">
        <x:f>IF($A128="","",(($K128+$L128)/10)*25)</x:f>
      </x:c>
      <x:c r="AE128" s="58" t="str">
        <x:f>IF($A128="","",$M128*5)</x:f>
      </x:c>
      <x:c r="AF128" s="58" t="str">
        <x:f>IF($A128="","",MAX(0,AB128+AC128+AD128-AE128))</x:f>
      </x:c>
      <x:c r="AG128" s="37" t="str">
        <x:f>IF($A128="","",IF(AF128&gt;=70,"P0",IF(AF128&gt;=55,"P1",IF(AF128&gt;=40,"P2","P3"))))</x:f>
      </x:c>
      <x:c r="AH128" s="38" t="str">
        <x:f>IF($A128="","",IF(AG128="P0","立即规划",IF(AG128="P1","进入本批内容日历",IF(AG128="P2","观察/做FAQ或长尾","暂不做或合并"))))</x:f>
      </x:c>
    </x:row>
    <x:row r="129">
      <x:c r="A129" s="36"/>
      <x:c r="B129" s="37"/>
      <x:c r="C129" s="37"/>
      <x:c r="D129" s="49"/>
      <x:c r="E129" s="52"/>
      <x:c r="F129" s="55"/>
      <x:c r="G129" s="55"/>
      <x:c r="H129" s="55"/>
      <x:c r="I129" s="55"/>
      <x:c r="J129" s="55"/>
      <x:c r="K129" s="55"/>
      <x:c r="L129" s="55"/>
      <x:c r="M129" s="55"/>
      <x:c r="N129" s="37" t="str">
        <x:f>IF($A129="","",IF(OR($G129="Transactional",$H129="商品/分类页",$H129="集合页",$H129="品牌页"),"主站",IF(OR($H129="博客/榜单",$H129="博客/对比",$G129="Commercial"),"博客站C-对比评测",IF($H129="博客/场景","博客站B-人群场景",IF(OR($H129="教程/FAQ",$H129="博客/指南",$G129="Informational"),"博客站A-知识教程","暂不做")))))</x:f>
      </x:c>
      <x:c r="O129" s="37"/>
      <x:c r="P129" s="37" t="str">
        <x:f>IF($A129="","",IF($O129&lt;&gt;"",$O129,$N129))</x:f>
      </x:c>
      <x:c r="Q129" s="37" t="str">
        <x:f>IF($A129="","",IF($P129="主站","分类页/集合页/商品页",IF($P129="博客站C-对比评测",IF($H129="博客/对比","对比文","购买指南"),IF($P129="博客站B-人群场景","场景解决方案",IF($P129="博客站A-知识教程",IF($H129="教程/FAQ","教程文","价值解释文"),"暂不做")))))</x:f>
      </x:c>
      <x:c r="R129" s="37" t="str">
        <x:f>IF($A129="","",IF($Q129="分类页/集合页/商品页","不写文章",IF($Q129="暂不做","暂不做",$Q129)))</x:f>
      </x:c>
      <x:c r="S129" s="37"/>
      <x:c r="T129" s="37"/>
      <x:c r="U129" s="37"/>
      <x:c r="V129" s="37"/>
      <x:c r="W129" s="37"/>
      <x:c r="X129" s="37"/>
      <x:c r="Y129" s="37"/>
      <x:c r="Z129" s="37"/>
      <x:c r="AA129" s="37"/>
      <x:c r="AB129" s="58" t="str">
        <x:f>IF($A129="","",IF($D129&gt;=1000,15,IF($D129&gt;=300,12,IF($D129&gt;=100,9,IF($D129&gt;0,5,0)))))</x:f>
      </x:c>
      <x:c r="AC129" s="58" t="str">
        <x:f>IF($A129="","",(($I129+$J129)/10)*25)</x:f>
      </x:c>
      <x:c r="AD129" s="58" t="str">
        <x:f>IF($A129="","",(($K129+$L129)/10)*25)</x:f>
      </x:c>
      <x:c r="AE129" s="58" t="str">
        <x:f>IF($A129="","",$M129*5)</x:f>
      </x:c>
      <x:c r="AF129" s="58" t="str">
        <x:f>IF($A129="","",MAX(0,AB129+AC129+AD129-AE129))</x:f>
      </x:c>
      <x:c r="AG129" s="37" t="str">
        <x:f>IF($A129="","",IF(AF129&gt;=70,"P0",IF(AF129&gt;=55,"P1",IF(AF129&gt;=40,"P2","P3"))))</x:f>
      </x:c>
      <x:c r="AH129" s="38" t="str">
        <x:f>IF($A129="","",IF(AG129="P0","立即规划",IF(AG129="P1","进入本批内容日历",IF(AG129="P2","观察/做FAQ或长尾","暂不做或合并"))))</x:f>
      </x:c>
    </x:row>
    <x:row r="130">
      <x:c r="A130" s="36"/>
      <x:c r="B130" s="37"/>
      <x:c r="C130" s="37"/>
      <x:c r="D130" s="49"/>
      <x:c r="E130" s="52"/>
      <x:c r="F130" s="55"/>
      <x:c r="G130" s="55"/>
      <x:c r="H130" s="55"/>
      <x:c r="I130" s="55"/>
      <x:c r="J130" s="55"/>
      <x:c r="K130" s="55"/>
      <x:c r="L130" s="55"/>
      <x:c r="M130" s="55"/>
      <x:c r="N130" s="37" t="str">
        <x:f>IF($A130="","",IF(OR($G130="Transactional",$H130="商品/分类页",$H130="集合页",$H130="品牌页"),"主站",IF(OR($H130="博客/榜单",$H130="博客/对比",$G130="Commercial"),"博客站C-对比评测",IF($H130="博客/场景","博客站B-人群场景",IF(OR($H130="教程/FAQ",$H130="博客/指南",$G130="Informational"),"博客站A-知识教程","暂不做")))))</x:f>
      </x:c>
      <x:c r="O130" s="37"/>
      <x:c r="P130" s="37" t="str">
        <x:f>IF($A130="","",IF($O130&lt;&gt;"",$O130,$N130))</x:f>
      </x:c>
      <x:c r="Q130" s="37" t="str">
        <x:f>IF($A130="","",IF($P130="主站","分类页/集合页/商品页",IF($P130="博客站C-对比评测",IF($H130="博客/对比","对比文","购买指南"),IF($P130="博客站B-人群场景","场景解决方案",IF($P130="博客站A-知识教程",IF($H130="教程/FAQ","教程文","价值解释文"),"暂不做")))))</x:f>
      </x:c>
      <x:c r="R130" s="37" t="str">
        <x:f>IF($A130="","",IF($Q130="分类页/集合页/商品页","不写文章",IF($Q130="暂不做","暂不做",$Q130)))</x:f>
      </x:c>
      <x:c r="S130" s="37"/>
      <x:c r="T130" s="37"/>
      <x:c r="U130" s="37"/>
      <x:c r="V130" s="37"/>
      <x:c r="W130" s="37"/>
      <x:c r="X130" s="37"/>
      <x:c r="Y130" s="37"/>
      <x:c r="Z130" s="37"/>
      <x:c r="AA130" s="37"/>
      <x:c r="AB130" s="58" t="str">
        <x:f>IF($A130="","",IF($D130&gt;=1000,15,IF($D130&gt;=300,12,IF($D130&gt;=100,9,IF($D130&gt;0,5,0)))))</x:f>
      </x:c>
      <x:c r="AC130" s="58" t="str">
        <x:f>IF($A130="","",(($I130+$J130)/10)*25)</x:f>
      </x:c>
      <x:c r="AD130" s="58" t="str">
        <x:f>IF($A130="","",(($K130+$L130)/10)*25)</x:f>
      </x:c>
      <x:c r="AE130" s="58" t="str">
        <x:f>IF($A130="","",$M130*5)</x:f>
      </x:c>
      <x:c r="AF130" s="58" t="str">
        <x:f>IF($A130="","",MAX(0,AB130+AC130+AD130-AE130))</x:f>
      </x:c>
      <x:c r="AG130" s="37" t="str">
        <x:f>IF($A130="","",IF(AF130&gt;=70,"P0",IF(AF130&gt;=55,"P1",IF(AF130&gt;=40,"P2","P3"))))</x:f>
      </x:c>
      <x:c r="AH130" s="38" t="str">
        <x:f>IF($A130="","",IF(AG130="P0","立即规划",IF(AG130="P1","进入本批内容日历",IF(AG130="P2","观察/做FAQ或长尾","暂不做或合并"))))</x:f>
      </x:c>
    </x:row>
    <x:row r="131">
      <x:c r="A131" s="36"/>
      <x:c r="B131" s="37"/>
      <x:c r="C131" s="37"/>
      <x:c r="D131" s="49"/>
      <x:c r="E131" s="52"/>
      <x:c r="F131" s="55"/>
      <x:c r="G131" s="55"/>
      <x:c r="H131" s="55"/>
      <x:c r="I131" s="55"/>
      <x:c r="J131" s="55"/>
      <x:c r="K131" s="55"/>
      <x:c r="L131" s="55"/>
      <x:c r="M131" s="55"/>
      <x:c r="N131" s="37" t="str">
        <x:f>IF($A131="","",IF(OR($G131="Transactional",$H131="商品/分类页",$H131="集合页",$H131="品牌页"),"主站",IF(OR($H131="博客/榜单",$H131="博客/对比",$G131="Commercial"),"博客站C-对比评测",IF($H131="博客/场景","博客站B-人群场景",IF(OR($H131="教程/FAQ",$H131="博客/指南",$G131="Informational"),"博客站A-知识教程","暂不做")))))</x:f>
      </x:c>
      <x:c r="O131" s="37"/>
      <x:c r="P131" s="37" t="str">
        <x:f>IF($A131="","",IF($O131&lt;&gt;"",$O131,$N131))</x:f>
      </x:c>
      <x:c r="Q131" s="37" t="str">
        <x:f>IF($A131="","",IF($P131="主站","分类页/集合页/商品页",IF($P131="博客站C-对比评测",IF($H131="博客/对比","对比文","购买指南"),IF($P131="博客站B-人群场景","场景解决方案",IF($P131="博客站A-知识教程",IF($H131="教程/FAQ","教程文","价值解释文"),"暂不做")))))</x:f>
      </x:c>
      <x:c r="R131" s="37" t="str">
        <x:f>IF($A131="","",IF($Q131="分类页/集合页/商品页","不写文章",IF($Q131="暂不做","暂不做",$Q131)))</x:f>
      </x:c>
      <x:c r="S131" s="37"/>
      <x:c r="T131" s="37"/>
      <x:c r="U131" s="37"/>
      <x:c r="V131" s="37"/>
      <x:c r="W131" s="37"/>
      <x:c r="X131" s="37"/>
      <x:c r="Y131" s="37"/>
      <x:c r="Z131" s="37"/>
      <x:c r="AA131" s="37"/>
      <x:c r="AB131" s="58" t="str">
        <x:f>IF($A131="","",IF($D131&gt;=1000,15,IF($D131&gt;=300,12,IF($D131&gt;=100,9,IF($D131&gt;0,5,0)))))</x:f>
      </x:c>
      <x:c r="AC131" s="58" t="str">
        <x:f>IF($A131="","",(($I131+$J131)/10)*25)</x:f>
      </x:c>
      <x:c r="AD131" s="58" t="str">
        <x:f>IF($A131="","",(($K131+$L131)/10)*25)</x:f>
      </x:c>
      <x:c r="AE131" s="58" t="str">
        <x:f>IF($A131="","",$M131*5)</x:f>
      </x:c>
      <x:c r="AF131" s="58" t="str">
        <x:f>IF($A131="","",MAX(0,AB131+AC131+AD131-AE131))</x:f>
      </x:c>
      <x:c r="AG131" s="37" t="str">
        <x:f>IF($A131="","",IF(AF131&gt;=70,"P0",IF(AF131&gt;=55,"P1",IF(AF131&gt;=40,"P2","P3"))))</x:f>
      </x:c>
      <x:c r="AH131" s="38" t="str">
        <x:f>IF($A131="","",IF(AG131="P0","立即规划",IF(AG131="P1","进入本批内容日历",IF(AG131="P2","观察/做FAQ或长尾","暂不做或合并"))))</x:f>
      </x:c>
    </x:row>
    <x:row r="132">
      <x:c r="A132" s="36"/>
      <x:c r="B132" s="37"/>
      <x:c r="C132" s="37"/>
      <x:c r="D132" s="49"/>
      <x:c r="E132" s="52"/>
      <x:c r="F132" s="55"/>
      <x:c r="G132" s="55"/>
      <x:c r="H132" s="55"/>
      <x:c r="I132" s="55"/>
      <x:c r="J132" s="55"/>
      <x:c r="K132" s="55"/>
      <x:c r="L132" s="55"/>
      <x:c r="M132" s="55"/>
      <x:c r="N132" s="37" t="str">
        <x:f>IF($A132="","",IF(OR($G132="Transactional",$H132="商品/分类页",$H132="集合页",$H132="品牌页"),"主站",IF(OR($H132="博客/榜单",$H132="博客/对比",$G132="Commercial"),"博客站C-对比评测",IF($H132="博客/场景","博客站B-人群场景",IF(OR($H132="教程/FAQ",$H132="博客/指南",$G132="Informational"),"博客站A-知识教程","暂不做")))))</x:f>
      </x:c>
      <x:c r="O132" s="37"/>
      <x:c r="P132" s="37" t="str">
        <x:f>IF($A132="","",IF($O132&lt;&gt;"",$O132,$N132))</x:f>
      </x:c>
      <x:c r="Q132" s="37" t="str">
        <x:f>IF($A132="","",IF($P132="主站","分类页/集合页/商品页",IF($P132="博客站C-对比评测",IF($H132="博客/对比","对比文","购买指南"),IF($P132="博客站B-人群场景","场景解决方案",IF($P132="博客站A-知识教程",IF($H132="教程/FAQ","教程文","价值解释文"),"暂不做")))))</x:f>
      </x:c>
      <x:c r="R132" s="37" t="str">
        <x:f>IF($A132="","",IF($Q132="分类页/集合页/商品页","不写文章",IF($Q132="暂不做","暂不做",$Q132)))</x:f>
      </x:c>
      <x:c r="S132" s="37"/>
      <x:c r="T132" s="37"/>
      <x:c r="U132" s="37"/>
      <x:c r="V132" s="37"/>
      <x:c r="W132" s="37"/>
      <x:c r="X132" s="37"/>
      <x:c r="Y132" s="37"/>
      <x:c r="Z132" s="37"/>
      <x:c r="AA132" s="37"/>
      <x:c r="AB132" s="58" t="str">
        <x:f>IF($A132="","",IF($D132&gt;=1000,15,IF($D132&gt;=300,12,IF($D132&gt;=100,9,IF($D132&gt;0,5,0)))))</x:f>
      </x:c>
      <x:c r="AC132" s="58" t="str">
        <x:f>IF($A132="","",(($I132+$J132)/10)*25)</x:f>
      </x:c>
      <x:c r="AD132" s="58" t="str">
        <x:f>IF($A132="","",(($K132+$L132)/10)*25)</x:f>
      </x:c>
      <x:c r="AE132" s="58" t="str">
        <x:f>IF($A132="","",$M132*5)</x:f>
      </x:c>
      <x:c r="AF132" s="58" t="str">
        <x:f>IF($A132="","",MAX(0,AB132+AC132+AD132-AE132))</x:f>
      </x:c>
      <x:c r="AG132" s="37" t="str">
        <x:f>IF($A132="","",IF(AF132&gt;=70,"P0",IF(AF132&gt;=55,"P1",IF(AF132&gt;=40,"P2","P3"))))</x:f>
      </x:c>
      <x:c r="AH132" s="38" t="str">
        <x:f>IF($A132="","",IF(AG132="P0","立即规划",IF(AG132="P1","进入本批内容日历",IF(AG132="P2","观察/做FAQ或长尾","暂不做或合并"))))</x:f>
      </x:c>
    </x:row>
    <x:row r="133">
      <x:c r="A133" s="36"/>
      <x:c r="B133" s="37"/>
      <x:c r="C133" s="37"/>
      <x:c r="D133" s="49"/>
      <x:c r="E133" s="52"/>
      <x:c r="F133" s="55"/>
      <x:c r="G133" s="55"/>
      <x:c r="H133" s="55"/>
      <x:c r="I133" s="55"/>
      <x:c r="J133" s="55"/>
      <x:c r="K133" s="55"/>
      <x:c r="L133" s="55"/>
      <x:c r="M133" s="55"/>
      <x:c r="N133" s="37" t="str">
        <x:f>IF($A133="","",IF(OR($G133="Transactional",$H133="商品/分类页",$H133="集合页",$H133="品牌页"),"主站",IF(OR($H133="博客/榜单",$H133="博客/对比",$G133="Commercial"),"博客站C-对比评测",IF($H133="博客/场景","博客站B-人群场景",IF(OR($H133="教程/FAQ",$H133="博客/指南",$G133="Informational"),"博客站A-知识教程","暂不做")))))</x:f>
      </x:c>
      <x:c r="O133" s="37"/>
      <x:c r="P133" s="37" t="str">
        <x:f>IF($A133="","",IF($O133&lt;&gt;"",$O133,$N133))</x:f>
      </x:c>
      <x:c r="Q133" s="37" t="str">
        <x:f>IF($A133="","",IF($P133="主站","分类页/集合页/商品页",IF($P133="博客站C-对比评测",IF($H133="博客/对比","对比文","购买指南"),IF($P133="博客站B-人群场景","场景解决方案",IF($P133="博客站A-知识教程",IF($H133="教程/FAQ","教程文","价值解释文"),"暂不做")))))</x:f>
      </x:c>
      <x:c r="R133" s="37" t="str">
        <x:f>IF($A133="","",IF($Q133="分类页/集合页/商品页","不写文章",IF($Q133="暂不做","暂不做",$Q133)))</x:f>
      </x:c>
      <x:c r="S133" s="37"/>
      <x:c r="T133" s="37"/>
      <x:c r="U133" s="37"/>
      <x:c r="V133" s="37"/>
      <x:c r="W133" s="37"/>
      <x:c r="X133" s="37"/>
      <x:c r="Y133" s="37"/>
      <x:c r="Z133" s="37"/>
      <x:c r="AA133" s="37"/>
      <x:c r="AB133" s="58" t="str">
        <x:f>IF($A133="","",IF($D133&gt;=1000,15,IF($D133&gt;=300,12,IF($D133&gt;=100,9,IF($D133&gt;0,5,0)))))</x:f>
      </x:c>
      <x:c r="AC133" s="58" t="str">
        <x:f>IF($A133="","",(($I133+$J133)/10)*25)</x:f>
      </x:c>
      <x:c r="AD133" s="58" t="str">
        <x:f>IF($A133="","",(($K133+$L133)/10)*25)</x:f>
      </x:c>
      <x:c r="AE133" s="58" t="str">
        <x:f>IF($A133="","",$M133*5)</x:f>
      </x:c>
      <x:c r="AF133" s="58" t="str">
        <x:f>IF($A133="","",MAX(0,AB133+AC133+AD133-AE133))</x:f>
      </x:c>
      <x:c r="AG133" s="37" t="str">
        <x:f>IF($A133="","",IF(AF133&gt;=70,"P0",IF(AF133&gt;=55,"P1",IF(AF133&gt;=40,"P2","P3"))))</x:f>
      </x:c>
      <x:c r="AH133" s="38" t="str">
        <x:f>IF($A133="","",IF(AG133="P0","立即规划",IF(AG133="P1","进入本批内容日历",IF(AG133="P2","观察/做FAQ或长尾","暂不做或合并"))))</x:f>
      </x:c>
    </x:row>
    <x:row r="134">
      <x:c r="A134" s="36"/>
      <x:c r="B134" s="37"/>
      <x:c r="C134" s="37"/>
      <x:c r="D134" s="49"/>
      <x:c r="E134" s="52"/>
      <x:c r="F134" s="55"/>
      <x:c r="G134" s="55"/>
      <x:c r="H134" s="55"/>
      <x:c r="I134" s="55"/>
      <x:c r="J134" s="55"/>
      <x:c r="K134" s="55"/>
      <x:c r="L134" s="55"/>
      <x:c r="M134" s="55"/>
      <x:c r="N134" s="37" t="str">
        <x:f>IF($A134="","",IF(OR($G134="Transactional",$H134="商品/分类页",$H134="集合页",$H134="品牌页"),"主站",IF(OR($H134="博客/榜单",$H134="博客/对比",$G134="Commercial"),"博客站C-对比评测",IF($H134="博客/场景","博客站B-人群场景",IF(OR($H134="教程/FAQ",$H134="博客/指南",$G134="Informational"),"博客站A-知识教程","暂不做")))))</x:f>
      </x:c>
      <x:c r="O134" s="37"/>
      <x:c r="P134" s="37" t="str">
        <x:f>IF($A134="","",IF($O134&lt;&gt;"",$O134,$N134))</x:f>
      </x:c>
      <x:c r="Q134" s="37" t="str">
        <x:f>IF($A134="","",IF($P134="主站","分类页/集合页/商品页",IF($P134="博客站C-对比评测",IF($H134="博客/对比","对比文","购买指南"),IF($P134="博客站B-人群场景","场景解决方案",IF($P134="博客站A-知识教程",IF($H134="教程/FAQ","教程文","价值解释文"),"暂不做")))))</x:f>
      </x:c>
      <x:c r="R134" s="37" t="str">
        <x:f>IF($A134="","",IF($Q134="分类页/集合页/商品页","不写文章",IF($Q134="暂不做","暂不做",$Q134)))</x:f>
      </x:c>
      <x:c r="S134" s="37"/>
      <x:c r="T134" s="37"/>
      <x:c r="U134" s="37"/>
      <x:c r="V134" s="37"/>
      <x:c r="W134" s="37"/>
      <x:c r="X134" s="37"/>
      <x:c r="Y134" s="37"/>
      <x:c r="Z134" s="37"/>
      <x:c r="AA134" s="37"/>
      <x:c r="AB134" s="58" t="str">
        <x:f>IF($A134="","",IF($D134&gt;=1000,15,IF($D134&gt;=300,12,IF($D134&gt;=100,9,IF($D134&gt;0,5,0)))))</x:f>
      </x:c>
      <x:c r="AC134" s="58" t="str">
        <x:f>IF($A134="","",(($I134+$J134)/10)*25)</x:f>
      </x:c>
      <x:c r="AD134" s="58" t="str">
        <x:f>IF($A134="","",(($K134+$L134)/10)*25)</x:f>
      </x:c>
      <x:c r="AE134" s="58" t="str">
        <x:f>IF($A134="","",$M134*5)</x:f>
      </x:c>
      <x:c r="AF134" s="58" t="str">
        <x:f>IF($A134="","",MAX(0,AB134+AC134+AD134-AE134))</x:f>
      </x:c>
      <x:c r="AG134" s="37" t="str">
        <x:f>IF($A134="","",IF(AF134&gt;=70,"P0",IF(AF134&gt;=55,"P1",IF(AF134&gt;=40,"P2","P3"))))</x:f>
      </x:c>
      <x:c r="AH134" s="38" t="str">
        <x:f>IF($A134="","",IF(AG134="P0","立即规划",IF(AG134="P1","进入本批内容日历",IF(AG134="P2","观察/做FAQ或长尾","暂不做或合并"))))</x:f>
      </x:c>
    </x:row>
    <x:row r="135">
      <x:c r="A135" s="36"/>
      <x:c r="B135" s="37"/>
      <x:c r="C135" s="37"/>
      <x:c r="D135" s="49"/>
      <x:c r="E135" s="52"/>
      <x:c r="F135" s="55"/>
      <x:c r="G135" s="55"/>
      <x:c r="H135" s="55"/>
      <x:c r="I135" s="55"/>
      <x:c r="J135" s="55"/>
      <x:c r="K135" s="55"/>
      <x:c r="L135" s="55"/>
      <x:c r="M135" s="55"/>
      <x:c r="N135" s="37" t="str">
        <x:f>IF($A135="","",IF(OR($G135="Transactional",$H135="商品/分类页",$H135="集合页",$H135="品牌页"),"主站",IF(OR($H135="博客/榜单",$H135="博客/对比",$G135="Commercial"),"博客站C-对比评测",IF($H135="博客/场景","博客站B-人群场景",IF(OR($H135="教程/FAQ",$H135="博客/指南",$G135="Informational"),"博客站A-知识教程","暂不做")))))</x:f>
      </x:c>
      <x:c r="O135" s="37"/>
      <x:c r="P135" s="37" t="str">
        <x:f>IF($A135="","",IF($O135&lt;&gt;"",$O135,$N135))</x:f>
      </x:c>
      <x:c r="Q135" s="37" t="str">
        <x:f>IF($A135="","",IF($P135="主站","分类页/集合页/商品页",IF($P135="博客站C-对比评测",IF($H135="博客/对比","对比文","购买指南"),IF($P135="博客站B-人群场景","场景解决方案",IF($P135="博客站A-知识教程",IF($H135="教程/FAQ","教程文","价值解释文"),"暂不做")))))</x:f>
      </x:c>
      <x:c r="R135" s="37" t="str">
        <x:f>IF($A135="","",IF($Q135="分类页/集合页/商品页","不写文章",IF($Q135="暂不做","暂不做",$Q135)))</x:f>
      </x:c>
      <x:c r="S135" s="37"/>
      <x:c r="T135" s="37"/>
      <x:c r="U135" s="37"/>
      <x:c r="V135" s="37"/>
      <x:c r="W135" s="37"/>
      <x:c r="X135" s="37"/>
      <x:c r="Y135" s="37"/>
      <x:c r="Z135" s="37"/>
      <x:c r="AA135" s="37"/>
      <x:c r="AB135" s="58" t="str">
        <x:f>IF($A135="","",IF($D135&gt;=1000,15,IF($D135&gt;=300,12,IF($D135&gt;=100,9,IF($D135&gt;0,5,0)))))</x:f>
      </x:c>
      <x:c r="AC135" s="58" t="str">
        <x:f>IF($A135="","",(($I135+$J135)/10)*25)</x:f>
      </x:c>
      <x:c r="AD135" s="58" t="str">
        <x:f>IF($A135="","",(($K135+$L135)/10)*25)</x:f>
      </x:c>
      <x:c r="AE135" s="58" t="str">
        <x:f>IF($A135="","",$M135*5)</x:f>
      </x:c>
      <x:c r="AF135" s="58" t="str">
        <x:f>IF($A135="","",MAX(0,AB135+AC135+AD135-AE135))</x:f>
      </x:c>
      <x:c r="AG135" s="37" t="str">
        <x:f>IF($A135="","",IF(AF135&gt;=70,"P0",IF(AF135&gt;=55,"P1",IF(AF135&gt;=40,"P2","P3"))))</x:f>
      </x:c>
      <x:c r="AH135" s="38" t="str">
        <x:f>IF($A135="","",IF(AG135="P0","立即规划",IF(AG135="P1","进入本批内容日历",IF(AG135="P2","观察/做FAQ或长尾","暂不做或合并"))))</x:f>
      </x:c>
    </x:row>
    <x:row r="136">
      <x:c r="A136" s="36"/>
      <x:c r="B136" s="37"/>
      <x:c r="C136" s="37"/>
      <x:c r="D136" s="49"/>
      <x:c r="E136" s="52"/>
      <x:c r="F136" s="55"/>
      <x:c r="G136" s="55"/>
      <x:c r="H136" s="55"/>
      <x:c r="I136" s="55"/>
      <x:c r="J136" s="55"/>
      <x:c r="K136" s="55"/>
      <x:c r="L136" s="55"/>
      <x:c r="M136" s="55"/>
      <x:c r="N136" s="37" t="str">
        <x:f>IF($A136="","",IF(OR($G136="Transactional",$H136="商品/分类页",$H136="集合页",$H136="品牌页"),"主站",IF(OR($H136="博客/榜单",$H136="博客/对比",$G136="Commercial"),"博客站C-对比评测",IF($H136="博客/场景","博客站B-人群场景",IF(OR($H136="教程/FAQ",$H136="博客/指南",$G136="Informational"),"博客站A-知识教程","暂不做")))))</x:f>
      </x:c>
      <x:c r="O136" s="37"/>
      <x:c r="P136" s="37" t="str">
        <x:f>IF($A136="","",IF($O136&lt;&gt;"",$O136,$N136))</x:f>
      </x:c>
      <x:c r="Q136" s="37" t="str">
        <x:f>IF($A136="","",IF($P136="主站","分类页/集合页/商品页",IF($P136="博客站C-对比评测",IF($H136="博客/对比","对比文","购买指南"),IF($P136="博客站B-人群场景","场景解决方案",IF($P136="博客站A-知识教程",IF($H136="教程/FAQ","教程文","价值解释文"),"暂不做")))))</x:f>
      </x:c>
      <x:c r="R136" s="37" t="str">
        <x:f>IF($A136="","",IF($Q136="分类页/集合页/商品页","不写文章",IF($Q136="暂不做","暂不做",$Q136)))</x:f>
      </x:c>
      <x:c r="S136" s="37"/>
      <x:c r="T136" s="37"/>
      <x:c r="U136" s="37"/>
      <x:c r="V136" s="37"/>
      <x:c r="W136" s="37"/>
      <x:c r="X136" s="37"/>
      <x:c r="Y136" s="37"/>
      <x:c r="Z136" s="37"/>
      <x:c r="AA136" s="37"/>
      <x:c r="AB136" s="58" t="str">
        <x:f>IF($A136="","",IF($D136&gt;=1000,15,IF($D136&gt;=300,12,IF($D136&gt;=100,9,IF($D136&gt;0,5,0)))))</x:f>
      </x:c>
      <x:c r="AC136" s="58" t="str">
        <x:f>IF($A136="","",(($I136+$J136)/10)*25)</x:f>
      </x:c>
      <x:c r="AD136" s="58" t="str">
        <x:f>IF($A136="","",(($K136+$L136)/10)*25)</x:f>
      </x:c>
      <x:c r="AE136" s="58" t="str">
        <x:f>IF($A136="","",$M136*5)</x:f>
      </x:c>
      <x:c r="AF136" s="58" t="str">
        <x:f>IF($A136="","",MAX(0,AB136+AC136+AD136-AE136))</x:f>
      </x:c>
      <x:c r="AG136" s="37" t="str">
        <x:f>IF($A136="","",IF(AF136&gt;=70,"P0",IF(AF136&gt;=55,"P1",IF(AF136&gt;=40,"P2","P3"))))</x:f>
      </x:c>
      <x:c r="AH136" s="38" t="str">
        <x:f>IF($A136="","",IF(AG136="P0","立即规划",IF(AG136="P1","进入本批内容日历",IF(AG136="P2","观察/做FAQ或长尾","暂不做或合并"))))</x:f>
      </x:c>
    </x:row>
    <x:row r="137">
      <x:c r="A137" s="36"/>
      <x:c r="B137" s="37"/>
      <x:c r="C137" s="37"/>
      <x:c r="D137" s="49"/>
      <x:c r="E137" s="52"/>
      <x:c r="F137" s="55"/>
      <x:c r="G137" s="55"/>
      <x:c r="H137" s="55"/>
      <x:c r="I137" s="55"/>
      <x:c r="J137" s="55"/>
      <x:c r="K137" s="55"/>
      <x:c r="L137" s="55"/>
      <x:c r="M137" s="55"/>
      <x:c r="N137" s="37" t="str">
        <x:f>IF($A137="","",IF(OR($G137="Transactional",$H137="商品/分类页",$H137="集合页",$H137="品牌页"),"主站",IF(OR($H137="博客/榜单",$H137="博客/对比",$G137="Commercial"),"博客站C-对比评测",IF($H137="博客/场景","博客站B-人群场景",IF(OR($H137="教程/FAQ",$H137="博客/指南",$G137="Informational"),"博客站A-知识教程","暂不做")))))</x:f>
      </x:c>
      <x:c r="O137" s="37"/>
      <x:c r="P137" s="37" t="str">
        <x:f>IF($A137="","",IF($O137&lt;&gt;"",$O137,$N137))</x:f>
      </x:c>
      <x:c r="Q137" s="37" t="str">
        <x:f>IF($A137="","",IF($P137="主站","分类页/集合页/商品页",IF($P137="博客站C-对比评测",IF($H137="博客/对比","对比文","购买指南"),IF($P137="博客站B-人群场景","场景解决方案",IF($P137="博客站A-知识教程",IF($H137="教程/FAQ","教程文","价值解释文"),"暂不做")))))</x:f>
      </x:c>
      <x:c r="R137" s="37" t="str">
        <x:f>IF($A137="","",IF($Q137="分类页/集合页/商品页","不写文章",IF($Q137="暂不做","暂不做",$Q137)))</x:f>
      </x:c>
      <x:c r="S137" s="37"/>
      <x:c r="T137" s="37"/>
      <x:c r="U137" s="37"/>
      <x:c r="V137" s="37"/>
      <x:c r="W137" s="37"/>
      <x:c r="X137" s="37"/>
      <x:c r="Y137" s="37"/>
      <x:c r="Z137" s="37"/>
      <x:c r="AA137" s="37"/>
      <x:c r="AB137" s="58" t="str">
        <x:f>IF($A137="","",IF($D137&gt;=1000,15,IF($D137&gt;=300,12,IF($D137&gt;=100,9,IF($D137&gt;0,5,0)))))</x:f>
      </x:c>
      <x:c r="AC137" s="58" t="str">
        <x:f>IF($A137="","",(($I137+$J137)/10)*25)</x:f>
      </x:c>
      <x:c r="AD137" s="58" t="str">
        <x:f>IF($A137="","",(($K137+$L137)/10)*25)</x:f>
      </x:c>
      <x:c r="AE137" s="58" t="str">
        <x:f>IF($A137="","",$M137*5)</x:f>
      </x:c>
      <x:c r="AF137" s="58" t="str">
        <x:f>IF($A137="","",MAX(0,AB137+AC137+AD137-AE137))</x:f>
      </x:c>
      <x:c r="AG137" s="37" t="str">
        <x:f>IF($A137="","",IF(AF137&gt;=70,"P0",IF(AF137&gt;=55,"P1",IF(AF137&gt;=40,"P2","P3"))))</x:f>
      </x:c>
      <x:c r="AH137" s="38" t="str">
        <x:f>IF($A137="","",IF(AG137="P0","立即规划",IF(AG137="P1","进入本批内容日历",IF(AG137="P2","观察/做FAQ或长尾","暂不做或合并"))))</x:f>
      </x:c>
    </x:row>
    <x:row r="138">
      <x:c r="A138" s="36"/>
      <x:c r="B138" s="37"/>
      <x:c r="C138" s="37"/>
      <x:c r="D138" s="49"/>
      <x:c r="E138" s="52"/>
      <x:c r="F138" s="55"/>
      <x:c r="G138" s="55"/>
      <x:c r="H138" s="55"/>
      <x:c r="I138" s="55"/>
      <x:c r="J138" s="55"/>
      <x:c r="K138" s="55"/>
      <x:c r="L138" s="55"/>
      <x:c r="M138" s="55"/>
      <x:c r="N138" s="37" t="str">
        <x:f>IF($A138="","",IF(OR($G138="Transactional",$H138="商品/分类页",$H138="集合页",$H138="品牌页"),"主站",IF(OR($H138="博客/榜单",$H138="博客/对比",$G138="Commercial"),"博客站C-对比评测",IF($H138="博客/场景","博客站B-人群场景",IF(OR($H138="教程/FAQ",$H138="博客/指南",$G138="Informational"),"博客站A-知识教程","暂不做")))))</x:f>
      </x:c>
      <x:c r="O138" s="37"/>
      <x:c r="P138" s="37" t="str">
        <x:f>IF($A138="","",IF($O138&lt;&gt;"",$O138,$N138))</x:f>
      </x:c>
      <x:c r="Q138" s="37" t="str">
        <x:f>IF($A138="","",IF($P138="主站","分类页/集合页/商品页",IF($P138="博客站C-对比评测",IF($H138="博客/对比","对比文","购买指南"),IF($P138="博客站B-人群场景","场景解决方案",IF($P138="博客站A-知识教程",IF($H138="教程/FAQ","教程文","价值解释文"),"暂不做")))))</x:f>
      </x:c>
      <x:c r="R138" s="37" t="str">
        <x:f>IF($A138="","",IF($Q138="分类页/集合页/商品页","不写文章",IF($Q138="暂不做","暂不做",$Q138)))</x:f>
      </x:c>
      <x:c r="S138" s="37"/>
      <x:c r="T138" s="37"/>
      <x:c r="U138" s="37"/>
      <x:c r="V138" s="37"/>
      <x:c r="W138" s="37"/>
      <x:c r="X138" s="37"/>
      <x:c r="Y138" s="37"/>
      <x:c r="Z138" s="37"/>
      <x:c r="AA138" s="37"/>
      <x:c r="AB138" s="58" t="str">
        <x:f>IF($A138="","",IF($D138&gt;=1000,15,IF($D138&gt;=300,12,IF($D138&gt;=100,9,IF($D138&gt;0,5,0)))))</x:f>
      </x:c>
      <x:c r="AC138" s="58" t="str">
        <x:f>IF($A138="","",(($I138+$J138)/10)*25)</x:f>
      </x:c>
      <x:c r="AD138" s="58" t="str">
        <x:f>IF($A138="","",(($K138+$L138)/10)*25)</x:f>
      </x:c>
      <x:c r="AE138" s="58" t="str">
        <x:f>IF($A138="","",$M138*5)</x:f>
      </x:c>
      <x:c r="AF138" s="58" t="str">
        <x:f>IF($A138="","",MAX(0,AB138+AC138+AD138-AE138))</x:f>
      </x:c>
      <x:c r="AG138" s="37" t="str">
        <x:f>IF($A138="","",IF(AF138&gt;=70,"P0",IF(AF138&gt;=55,"P1",IF(AF138&gt;=40,"P2","P3"))))</x:f>
      </x:c>
      <x:c r="AH138" s="38" t="str">
        <x:f>IF($A138="","",IF(AG138="P0","立即规划",IF(AG138="P1","进入本批内容日历",IF(AG138="P2","观察/做FAQ或长尾","暂不做或合并"))))</x:f>
      </x:c>
    </x:row>
    <x:row r="139">
      <x:c r="A139" s="36"/>
      <x:c r="B139" s="37"/>
      <x:c r="C139" s="37"/>
      <x:c r="D139" s="49"/>
      <x:c r="E139" s="52"/>
      <x:c r="F139" s="55"/>
      <x:c r="G139" s="55"/>
      <x:c r="H139" s="55"/>
      <x:c r="I139" s="55"/>
      <x:c r="J139" s="55"/>
      <x:c r="K139" s="55"/>
      <x:c r="L139" s="55"/>
      <x:c r="M139" s="55"/>
      <x:c r="N139" s="37" t="str">
        <x:f>IF($A139="","",IF(OR($G139="Transactional",$H139="商品/分类页",$H139="集合页",$H139="品牌页"),"主站",IF(OR($H139="博客/榜单",$H139="博客/对比",$G139="Commercial"),"博客站C-对比评测",IF($H139="博客/场景","博客站B-人群场景",IF(OR($H139="教程/FAQ",$H139="博客/指南",$G139="Informational"),"博客站A-知识教程","暂不做")))))</x:f>
      </x:c>
      <x:c r="O139" s="37"/>
      <x:c r="P139" s="37" t="str">
        <x:f>IF($A139="","",IF($O139&lt;&gt;"",$O139,$N139))</x:f>
      </x:c>
      <x:c r="Q139" s="37" t="str">
        <x:f>IF($A139="","",IF($P139="主站","分类页/集合页/商品页",IF($P139="博客站C-对比评测",IF($H139="博客/对比","对比文","购买指南"),IF($P139="博客站B-人群场景","场景解决方案",IF($P139="博客站A-知识教程",IF($H139="教程/FAQ","教程文","价值解释文"),"暂不做")))))</x:f>
      </x:c>
      <x:c r="R139" s="37" t="str">
        <x:f>IF($A139="","",IF($Q139="分类页/集合页/商品页","不写文章",IF($Q139="暂不做","暂不做",$Q139)))</x:f>
      </x:c>
      <x:c r="S139" s="37"/>
      <x:c r="T139" s="37"/>
      <x:c r="U139" s="37"/>
      <x:c r="V139" s="37"/>
      <x:c r="W139" s="37"/>
      <x:c r="X139" s="37"/>
      <x:c r="Y139" s="37"/>
      <x:c r="Z139" s="37"/>
      <x:c r="AA139" s="37"/>
      <x:c r="AB139" s="58" t="str">
        <x:f>IF($A139="","",IF($D139&gt;=1000,15,IF($D139&gt;=300,12,IF($D139&gt;=100,9,IF($D139&gt;0,5,0)))))</x:f>
      </x:c>
      <x:c r="AC139" s="58" t="str">
        <x:f>IF($A139="","",(($I139+$J139)/10)*25)</x:f>
      </x:c>
      <x:c r="AD139" s="58" t="str">
        <x:f>IF($A139="","",(($K139+$L139)/10)*25)</x:f>
      </x:c>
      <x:c r="AE139" s="58" t="str">
        <x:f>IF($A139="","",$M139*5)</x:f>
      </x:c>
      <x:c r="AF139" s="58" t="str">
        <x:f>IF($A139="","",MAX(0,AB139+AC139+AD139-AE139))</x:f>
      </x:c>
      <x:c r="AG139" s="37" t="str">
        <x:f>IF($A139="","",IF(AF139&gt;=70,"P0",IF(AF139&gt;=55,"P1",IF(AF139&gt;=40,"P2","P3"))))</x:f>
      </x:c>
      <x:c r="AH139" s="38" t="str">
        <x:f>IF($A139="","",IF(AG139="P0","立即规划",IF(AG139="P1","进入本批内容日历",IF(AG139="P2","观察/做FAQ或长尾","暂不做或合并"))))</x:f>
      </x:c>
    </x:row>
    <x:row r="140">
      <x:c r="A140" s="36"/>
      <x:c r="B140" s="37"/>
      <x:c r="C140" s="37"/>
      <x:c r="D140" s="49"/>
      <x:c r="E140" s="52"/>
      <x:c r="F140" s="55"/>
      <x:c r="G140" s="55"/>
      <x:c r="H140" s="55"/>
      <x:c r="I140" s="55"/>
      <x:c r="J140" s="55"/>
      <x:c r="K140" s="55"/>
      <x:c r="L140" s="55"/>
      <x:c r="M140" s="55"/>
      <x:c r="N140" s="37" t="str">
        <x:f>IF($A140="","",IF(OR($G140="Transactional",$H140="商品/分类页",$H140="集合页",$H140="品牌页"),"主站",IF(OR($H140="博客/榜单",$H140="博客/对比",$G140="Commercial"),"博客站C-对比评测",IF($H140="博客/场景","博客站B-人群场景",IF(OR($H140="教程/FAQ",$H140="博客/指南",$G140="Informational"),"博客站A-知识教程","暂不做")))))</x:f>
      </x:c>
      <x:c r="O140" s="37"/>
      <x:c r="P140" s="37" t="str">
        <x:f>IF($A140="","",IF($O140&lt;&gt;"",$O140,$N140))</x:f>
      </x:c>
      <x:c r="Q140" s="37" t="str">
        <x:f>IF($A140="","",IF($P140="主站","分类页/集合页/商品页",IF($P140="博客站C-对比评测",IF($H140="博客/对比","对比文","购买指南"),IF($P140="博客站B-人群场景","场景解决方案",IF($P140="博客站A-知识教程",IF($H140="教程/FAQ","教程文","价值解释文"),"暂不做")))))</x:f>
      </x:c>
      <x:c r="R140" s="37" t="str">
        <x:f>IF($A140="","",IF($Q140="分类页/集合页/商品页","不写文章",IF($Q140="暂不做","暂不做",$Q140)))</x:f>
      </x:c>
      <x:c r="S140" s="37"/>
      <x:c r="T140" s="37"/>
      <x:c r="U140" s="37"/>
      <x:c r="V140" s="37"/>
      <x:c r="W140" s="37"/>
      <x:c r="X140" s="37"/>
      <x:c r="Y140" s="37"/>
      <x:c r="Z140" s="37"/>
      <x:c r="AA140" s="37"/>
      <x:c r="AB140" s="58" t="str">
        <x:f>IF($A140="","",IF($D140&gt;=1000,15,IF($D140&gt;=300,12,IF($D140&gt;=100,9,IF($D140&gt;0,5,0)))))</x:f>
      </x:c>
      <x:c r="AC140" s="58" t="str">
        <x:f>IF($A140="","",(($I140+$J140)/10)*25)</x:f>
      </x:c>
      <x:c r="AD140" s="58" t="str">
        <x:f>IF($A140="","",(($K140+$L140)/10)*25)</x:f>
      </x:c>
      <x:c r="AE140" s="58" t="str">
        <x:f>IF($A140="","",$M140*5)</x:f>
      </x:c>
      <x:c r="AF140" s="58" t="str">
        <x:f>IF($A140="","",MAX(0,AB140+AC140+AD140-AE140))</x:f>
      </x:c>
      <x:c r="AG140" s="37" t="str">
        <x:f>IF($A140="","",IF(AF140&gt;=70,"P0",IF(AF140&gt;=55,"P1",IF(AF140&gt;=40,"P2","P3"))))</x:f>
      </x:c>
      <x:c r="AH140" s="38" t="str">
        <x:f>IF($A140="","",IF(AG140="P0","立即规划",IF(AG140="P1","进入本批内容日历",IF(AG140="P2","观察/做FAQ或长尾","暂不做或合并"))))</x:f>
      </x:c>
    </x:row>
    <x:row r="141">
      <x:c r="A141" s="36"/>
      <x:c r="B141" s="37"/>
      <x:c r="C141" s="37"/>
      <x:c r="D141" s="49"/>
      <x:c r="E141" s="52"/>
      <x:c r="F141" s="55"/>
      <x:c r="G141" s="55"/>
      <x:c r="H141" s="55"/>
      <x:c r="I141" s="55"/>
      <x:c r="J141" s="55"/>
      <x:c r="K141" s="55"/>
      <x:c r="L141" s="55"/>
      <x:c r="M141" s="55"/>
      <x:c r="N141" s="37" t="str">
        <x:f>IF($A141="","",IF(OR($G141="Transactional",$H141="商品/分类页",$H141="集合页",$H141="品牌页"),"主站",IF(OR($H141="博客/榜单",$H141="博客/对比",$G141="Commercial"),"博客站C-对比评测",IF($H141="博客/场景","博客站B-人群场景",IF(OR($H141="教程/FAQ",$H141="博客/指南",$G141="Informational"),"博客站A-知识教程","暂不做")))))</x:f>
      </x:c>
      <x:c r="O141" s="37"/>
      <x:c r="P141" s="37" t="str">
        <x:f>IF($A141="","",IF($O141&lt;&gt;"",$O141,$N141))</x:f>
      </x:c>
      <x:c r="Q141" s="37" t="str">
        <x:f>IF($A141="","",IF($P141="主站","分类页/集合页/商品页",IF($P141="博客站C-对比评测",IF($H141="博客/对比","对比文","购买指南"),IF($P141="博客站B-人群场景","场景解决方案",IF($P141="博客站A-知识教程",IF($H141="教程/FAQ","教程文","价值解释文"),"暂不做")))))</x:f>
      </x:c>
      <x:c r="R141" s="37" t="str">
        <x:f>IF($A141="","",IF($Q141="分类页/集合页/商品页","不写文章",IF($Q141="暂不做","暂不做",$Q141)))</x:f>
      </x:c>
      <x:c r="S141" s="37"/>
      <x:c r="T141" s="37"/>
      <x:c r="U141" s="37"/>
      <x:c r="V141" s="37"/>
      <x:c r="W141" s="37"/>
      <x:c r="X141" s="37"/>
      <x:c r="Y141" s="37"/>
      <x:c r="Z141" s="37"/>
      <x:c r="AA141" s="37"/>
      <x:c r="AB141" s="58" t="str">
        <x:f>IF($A141="","",IF($D141&gt;=1000,15,IF($D141&gt;=300,12,IF($D141&gt;=100,9,IF($D141&gt;0,5,0)))))</x:f>
      </x:c>
      <x:c r="AC141" s="58" t="str">
        <x:f>IF($A141="","",(($I141+$J141)/10)*25)</x:f>
      </x:c>
      <x:c r="AD141" s="58" t="str">
        <x:f>IF($A141="","",(($K141+$L141)/10)*25)</x:f>
      </x:c>
      <x:c r="AE141" s="58" t="str">
        <x:f>IF($A141="","",$M141*5)</x:f>
      </x:c>
      <x:c r="AF141" s="58" t="str">
        <x:f>IF($A141="","",MAX(0,AB141+AC141+AD141-AE141))</x:f>
      </x:c>
      <x:c r="AG141" s="37" t="str">
        <x:f>IF($A141="","",IF(AF141&gt;=70,"P0",IF(AF141&gt;=55,"P1",IF(AF141&gt;=40,"P2","P3"))))</x:f>
      </x:c>
      <x:c r="AH141" s="38" t="str">
        <x:f>IF($A141="","",IF(AG141="P0","立即规划",IF(AG141="P1","进入本批内容日历",IF(AG141="P2","观察/做FAQ或长尾","暂不做或合并"))))</x:f>
      </x:c>
    </x:row>
    <x:row r="142">
      <x:c r="A142" s="36"/>
      <x:c r="B142" s="37"/>
      <x:c r="C142" s="37"/>
      <x:c r="D142" s="49"/>
      <x:c r="E142" s="52"/>
      <x:c r="F142" s="55"/>
      <x:c r="G142" s="55"/>
      <x:c r="H142" s="55"/>
      <x:c r="I142" s="55"/>
      <x:c r="J142" s="55"/>
      <x:c r="K142" s="55"/>
      <x:c r="L142" s="55"/>
      <x:c r="M142" s="55"/>
      <x:c r="N142" s="37" t="str">
        <x:f>IF($A142="","",IF(OR($G142="Transactional",$H142="商品/分类页",$H142="集合页",$H142="品牌页"),"主站",IF(OR($H142="博客/榜单",$H142="博客/对比",$G142="Commercial"),"博客站C-对比评测",IF($H142="博客/场景","博客站B-人群场景",IF(OR($H142="教程/FAQ",$H142="博客/指南",$G142="Informational"),"博客站A-知识教程","暂不做")))))</x:f>
      </x:c>
      <x:c r="O142" s="37"/>
      <x:c r="P142" s="37" t="str">
        <x:f>IF($A142="","",IF($O142&lt;&gt;"",$O142,$N142))</x:f>
      </x:c>
      <x:c r="Q142" s="37" t="str">
        <x:f>IF($A142="","",IF($P142="主站","分类页/集合页/商品页",IF($P142="博客站C-对比评测",IF($H142="博客/对比","对比文","购买指南"),IF($P142="博客站B-人群场景","场景解决方案",IF($P142="博客站A-知识教程",IF($H142="教程/FAQ","教程文","价值解释文"),"暂不做")))))</x:f>
      </x:c>
      <x:c r="R142" s="37" t="str">
        <x:f>IF($A142="","",IF($Q142="分类页/集合页/商品页","不写文章",IF($Q142="暂不做","暂不做",$Q142)))</x:f>
      </x:c>
      <x:c r="S142" s="37"/>
      <x:c r="T142" s="37"/>
      <x:c r="U142" s="37"/>
      <x:c r="V142" s="37"/>
      <x:c r="W142" s="37"/>
      <x:c r="X142" s="37"/>
      <x:c r="Y142" s="37"/>
      <x:c r="Z142" s="37"/>
      <x:c r="AA142" s="37"/>
      <x:c r="AB142" s="58" t="str">
        <x:f>IF($A142="","",IF($D142&gt;=1000,15,IF($D142&gt;=300,12,IF($D142&gt;=100,9,IF($D142&gt;0,5,0)))))</x:f>
      </x:c>
      <x:c r="AC142" s="58" t="str">
        <x:f>IF($A142="","",(($I142+$J142)/10)*25)</x:f>
      </x:c>
      <x:c r="AD142" s="58" t="str">
        <x:f>IF($A142="","",(($K142+$L142)/10)*25)</x:f>
      </x:c>
      <x:c r="AE142" s="58" t="str">
        <x:f>IF($A142="","",$M142*5)</x:f>
      </x:c>
      <x:c r="AF142" s="58" t="str">
        <x:f>IF($A142="","",MAX(0,AB142+AC142+AD142-AE142))</x:f>
      </x:c>
      <x:c r="AG142" s="37" t="str">
        <x:f>IF($A142="","",IF(AF142&gt;=70,"P0",IF(AF142&gt;=55,"P1",IF(AF142&gt;=40,"P2","P3"))))</x:f>
      </x:c>
      <x:c r="AH142" s="38" t="str">
        <x:f>IF($A142="","",IF(AG142="P0","立即规划",IF(AG142="P1","进入本批内容日历",IF(AG142="P2","观察/做FAQ或长尾","暂不做或合并"))))</x:f>
      </x:c>
    </x:row>
    <x:row r="143">
      <x:c r="A143" s="36"/>
      <x:c r="B143" s="37"/>
      <x:c r="C143" s="37"/>
      <x:c r="D143" s="49"/>
      <x:c r="E143" s="52"/>
      <x:c r="F143" s="55"/>
      <x:c r="G143" s="55"/>
      <x:c r="H143" s="55"/>
      <x:c r="I143" s="55"/>
      <x:c r="J143" s="55"/>
      <x:c r="K143" s="55"/>
      <x:c r="L143" s="55"/>
      <x:c r="M143" s="55"/>
      <x:c r="N143" s="37" t="str">
        <x:f>IF($A143="","",IF(OR($G143="Transactional",$H143="商品/分类页",$H143="集合页",$H143="品牌页"),"主站",IF(OR($H143="博客/榜单",$H143="博客/对比",$G143="Commercial"),"博客站C-对比评测",IF($H143="博客/场景","博客站B-人群场景",IF(OR($H143="教程/FAQ",$H143="博客/指南",$G143="Informational"),"博客站A-知识教程","暂不做")))))</x:f>
      </x:c>
      <x:c r="O143" s="37"/>
      <x:c r="P143" s="37" t="str">
        <x:f>IF($A143="","",IF($O143&lt;&gt;"",$O143,$N143))</x:f>
      </x:c>
      <x:c r="Q143" s="37" t="str">
        <x:f>IF($A143="","",IF($P143="主站","分类页/集合页/商品页",IF($P143="博客站C-对比评测",IF($H143="博客/对比","对比文","购买指南"),IF($P143="博客站B-人群场景","场景解决方案",IF($P143="博客站A-知识教程",IF($H143="教程/FAQ","教程文","价值解释文"),"暂不做")))))</x:f>
      </x:c>
      <x:c r="R143" s="37" t="str">
        <x:f>IF($A143="","",IF($Q143="分类页/集合页/商品页","不写文章",IF($Q143="暂不做","暂不做",$Q143)))</x:f>
      </x:c>
      <x:c r="S143" s="37"/>
      <x:c r="T143" s="37"/>
      <x:c r="U143" s="37"/>
      <x:c r="V143" s="37"/>
      <x:c r="W143" s="37"/>
      <x:c r="X143" s="37"/>
      <x:c r="Y143" s="37"/>
      <x:c r="Z143" s="37"/>
      <x:c r="AA143" s="37"/>
      <x:c r="AB143" s="58" t="str">
        <x:f>IF($A143="","",IF($D143&gt;=1000,15,IF($D143&gt;=300,12,IF($D143&gt;=100,9,IF($D143&gt;0,5,0)))))</x:f>
      </x:c>
      <x:c r="AC143" s="58" t="str">
        <x:f>IF($A143="","",(($I143+$J143)/10)*25)</x:f>
      </x:c>
      <x:c r="AD143" s="58" t="str">
        <x:f>IF($A143="","",(($K143+$L143)/10)*25)</x:f>
      </x:c>
      <x:c r="AE143" s="58" t="str">
        <x:f>IF($A143="","",$M143*5)</x:f>
      </x:c>
      <x:c r="AF143" s="58" t="str">
        <x:f>IF($A143="","",MAX(0,AB143+AC143+AD143-AE143))</x:f>
      </x:c>
      <x:c r="AG143" s="37" t="str">
        <x:f>IF($A143="","",IF(AF143&gt;=70,"P0",IF(AF143&gt;=55,"P1",IF(AF143&gt;=40,"P2","P3"))))</x:f>
      </x:c>
      <x:c r="AH143" s="38" t="str">
        <x:f>IF($A143="","",IF(AG143="P0","立即规划",IF(AG143="P1","进入本批内容日历",IF(AG143="P2","观察/做FAQ或长尾","暂不做或合并"))))</x:f>
      </x:c>
    </x:row>
    <x:row r="144">
      <x:c r="A144" s="36"/>
      <x:c r="B144" s="37"/>
      <x:c r="C144" s="37"/>
      <x:c r="D144" s="49"/>
      <x:c r="E144" s="52"/>
      <x:c r="F144" s="55"/>
      <x:c r="G144" s="55"/>
      <x:c r="H144" s="55"/>
      <x:c r="I144" s="55"/>
      <x:c r="J144" s="55"/>
      <x:c r="K144" s="55"/>
      <x:c r="L144" s="55"/>
      <x:c r="M144" s="55"/>
      <x:c r="N144" s="37" t="str">
        <x:f>IF($A144="","",IF(OR($G144="Transactional",$H144="商品/分类页",$H144="集合页",$H144="品牌页"),"主站",IF(OR($H144="博客/榜单",$H144="博客/对比",$G144="Commercial"),"博客站C-对比评测",IF($H144="博客/场景","博客站B-人群场景",IF(OR($H144="教程/FAQ",$H144="博客/指南",$G144="Informational"),"博客站A-知识教程","暂不做")))))</x:f>
      </x:c>
      <x:c r="O144" s="37"/>
      <x:c r="P144" s="37" t="str">
        <x:f>IF($A144="","",IF($O144&lt;&gt;"",$O144,$N144))</x:f>
      </x:c>
      <x:c r="Q144" s="37" t="str">
        <x:f>IF($A144="","",IF($P144="主站","分类页/集合页/商品页",IF($P144="博客站C-对比评测",IF($H144="博客/对比","对比文","购买指南"),IF($P144="博客站B-人群场景","场景解决方案",IF($P144="博客站A-知识教程",IF($H144="教程/FAQ","教程文","价值解释文"),"暂不做")))))</x:f>
      </x:c>
      <x:c r="R144" s="37" t="str">
        <x:f>IF($A144="","",IF($Q144="分类页/集合页/商品页","不写文章",IF($Q144="暂不做","暂不做",$Q144)))</x:f>
      </x:c>
      <x:c r="S144" s="37"/>
      <x:c r="T144" s="37"/>
      <x:c r="U144" s="37"/>
      <x:c r="V144" s="37"/>
      <x:c r="W144" s="37"/>
      <x:c r="X144" s="37"/>
      <x:c r="Y144" s="37"/>
      <x:c r="Z144" s="37"/>
      <x:c r="AA144" s="37"/>
      <x:c r="AB144" s="58" t="str">
        <x:f>IF($A144="","",IF($D144&gt;=1000,15,IF($D144&gt;=300,12,IF($D144&gt;=100,9,IF($D144&gt;0,5,0)))))</x:f>
      </x:c>
      <x:c r="AC144" s="58" t="str">
        <x:f>IF($A144="","",(($I144+$J144)/10)*25)</x:f>
      </x:c>
      <x:c r="AD144" s="58" t="str">
        <x:f>IF($A144="","",(($K144+$L144)/10)*25)</x:f>
      </x:c>
      <x:c r="AE144" s="58" t="str">
        <x:f>IF($A144="","",$M144*5)</x:f>
      </x:c>
      <x:c r="AF144" s="58" t="str">
        <x:f>IF($A144="","",MAX(0,AB144+AC144+AD144-AE144))</x:f>
      </x:c>
      <x:c r="AG144" s="37" t="str">
        <x:f>IF($A144="","",IF(AF144&gt;=70,"P0",IF(AF144&gt;=55,"P1",IF(AF144&gt;=40,"P2","P3"))))</x:f>
      </x:c>
      <x:c r="AH144" s="38" t="str">
        <x:f>IF($A144="","",IF(AG144="P0","立即规划",IF(AG144="P1","进入本批内容日历",IF(AG144="P2","观察/做FAQ或长尾","暂不做或合并"))))</x:f>
      </x:c>
    </x:row>
    <x:row r="145">
      <x:c r="A145" s="36"/>
      <x:c r="B145" s="37"/>
      <x:c r="C145" s="37"/>
      <x:c r="D145" s="49"/>
      <x:c r="E145" s="52"/>
      <x:c r="F145" s="55"/>
      <x:c r="G145" s="55"/>
      <x:c r="H145" s="55"/>
      <x:c r="I145" s="55"/>
      <x:c r="J145" s="55"/>
      <x:c r="K145" s="55"/>
      <x:c r="L145" s="55"/>
      <x:c r="M145" s="55"/>
      <x:c r="N145" s="37" t="str">
        <x:f>IF($A145="","",IF(OR($G145="Transactional",$H145="商品/分类页",$H145="集合页",$H145="品牌页"),"主站",IF(OR($H145="博客/榜单",$H145="博客/对比",$G145="Commercial"),"博客站C-对比评测",IF($H145="博客/场景","博客站B-人群场景",IF(OR($H145="教程/FAQ",$H145="博客/指南",$G145="Informational"),"博客站A-知识教程","暂不做")))))</x:f>
      </x:c>
      <x:c r="O145" s="37"/>
      <x:c r="P145" s="37" t="str">
        <x:f>IF($A145="","",IF($O145&lt;&gt;"",$O145,$N145))</x:f>
      </x:c>
      <x:c r="Q145" s="37" t="str">
        <x:f>IF($A145="","",IF($P145="主站","分类页/集合页/商品页",IF($P145="博客站C-对比评测",IF($H145="博客/对比","对比文","购买指南"),IF($P145="博客站B-人群场景","场景解决方案",IF($P145="博客站A-知识教程",IF($H145="教程/FAQ","教程文","价值解释文"),"暂不做")))))</x:f>
      </x:c>
      <x:c r="R145" s="37" t="str">
        <x:f>IF($A145="","",IF($Q145="分类页/集合页/商品页","不写文章",IF($Q145="暂不做","暂不做",$Q145)))</x:f>
      </x:c>
      <x:c r="S145" s="37"/>
      <x:c r="T145" s="37"/>
      <x:c r="U145" s="37"/>
      <x:c r="V145" s="37"/>
      <x:c r="W145" s="37"/>
      <x:c r="X145" s="37"/>
      <x:c r="Y145" s="37"/>
      <x:c r="Z145" s="37"/>
      <x:c r="AA145" s="37"/>
      <x:c r="AB145" s="58" t="str">
        <x:f>IF($A145="","",IF($D145&gt;=1000,15,IF($D145&gt;=300,12,IF($D145&gt;=100,9,IF($D145&gt;0,5,0)))))</x:f>
      </x:c>
      <x:c r="AC145" s="58" t="str">
        <x:f>IF($A145="","",(($I145+$J145)/10)*25)</x:f>
      </x:c>
      <x:c r="AD145" s="58" t="str">
        <x:f>IF($A145="","",(($K145+$L145)/10)*25)</x:f>
      </x:c>
      <x:c r="AE145" s="58" t="str">
        <x:f>IF($A145="","",$M145*5)</x:f>
      </x:c>
      <x:c r="AF145" s="58" t="str">
        <x:f>IF($A145="","",MAX(0,AB145+AC145+AD145-AE145))</x:f>
      </x:c>
      <x:c r="AG145" s="37" t="str">
        <x:f>IF($A145="","",IF(AF145&gt;=70,"P0",IF(AF145&gt;=55,"P1",IF(AF145&gt;=40,"P2","P3"))))</x:f>
      </x:c>
      <x:c r="AH145" s="38" t="str">
        <x:f>IF($A145="","",IF(AG145="P0","立即规划",IF(AG145="P1","进入本批内容日历",IF(AG145="P2","观察/做FAQ或长尾","暂不做或合并"))))</x:f>
      </x:c>
    </x:row>
    <x:row r="146">
      <x:c r="A146" s="36"/>
      <x:c r="B146" s="37"/>
      <x:c r="C146" s="37"/>
      <x:c r="D146" s="49"/>
      <x:c r="E146" s="52"/>
      <x:c r="F146" s="55"/>
      <x:c r="G146" s="55"/>
      <x:c r="H146" s="55"/>
      <x:c r="I146" s="55"/>
      <x:c r="J146" s="55"/>
      <x:c r="K146" s="55"/>
      <x:c r="L146" s="55"/>
      <x:c r="M146" s="55"/>
      <x:c r="N146" s="37" t="str">
        <x:f>IF($A146="","",IF(OR($G146="Transactional",$H146="商品/分类页",$H146="集合页",$H146="品牌页"),"主站",IF(OR($H146="博客/榜单",$H146="博客/对比",$G146="Commercial"),"博客站C-对比评测",IF($H146="博客/场景","博客站B-人群场景",IF(OR($H146="教程/FAQ",$H146="博客/指南",$G146="Informational"),"博客站A-知识教程","暂不做")))))</x:f>
      </x:c>
      <x:c r="O146" s="37"/>
      <x:c r="P146" s="37" t="str">
        <x:f>IF($A146="","",IF($O146&lt;&gt;"",$O146,$N146))</x:f>
      </x:c>
      <x:c r="Q146" s="37" t="str">
        <x:f>IF($A146="","",IF($P146="主站","分类页/集合页/商品页",IF($P146="博客站C-对比评测",IF($H146="博客/对比","对比文","购买指南"),IF($P146="博客站B-人群场景","场景解决方案",IF($P146="博客站A-知识教程",IF($H146="教程/FAQ","教程文","价值解释文"),"暂不做")))))</x:f>
      </x:c>
      <x:c r="R146" s="37" t="str">
        <x:f>IF($A146="","",IF($Q146="分类页/集合页/商品页","不写文章",IF($Q146="暂不做","暂不做",$Q146)))</x:f>
      </x:c>
      <x:c r="S146" s="37"/>
      <x:c r="T146" s="37"/>
      <x:c r="U146" s="37"/>
      <x:c r="V146" s="37"/>
      <x:c r="W146" s="37"/>
      <x:c r="X146" s="37"/>
      <x:c r="Y146" s="37"/>
      <x:c r="Z146" s="37"/>
      <x:c r="AA146" s="37"/>
      <x:c r="AB146" s="58" t="str">
        <x:f>IF($A146="","",IF($D146&gt;=1000,15,IF($D146&gt;=300,12,IF($D146&gt;=100,9,IF($D146&gt;0,5,0)))))</x:f>
      </x:c>
      <x:c r="AC146" s="58" t="str">
        <x:f>IF($A146="","",(($I146+$J146)/10)*25)</x:f>
      </x:c>
      <x:c r="AD146" s="58" t="str">
        <x:f>IF($A146="","",(($K146+$L146)/10)*25)</x:f>
      </x:c>
      <x:c r="AE146" s="58" t="str">
        <x:f>IF($A146="","",$M146*5)</x:f>
      </x:c>
      <x:c r="AF146" s="58" t="str">
        <x:f>IF($A146="","",MAX(0,AB146+AC146+AD146-AE146))</x:f>
      </x:c>
      <x:c r="AG146" s="37" t="str">
        <x:f>IF($A146="","",IF(AF146&gt;=70,"P0",IF(AF146&gt;=55,"P1",IF(AF146&gt;=40,"P2","P3"))))</x:f>
      </x:c>
      <x:c r="AH146" s="38" t="str">
        <x:f>IF($A146="","",IF(AG146="P0","立即规划",IF(AG146="P1","进入本批内容日历",IF(AG146="P2","观察/做FAQ或长尾","暂不做或合并"))))</x:f>
      </x:c>
    </x:row>
    <x:row r="147">
      <x:c r="A147" s="36"/>
      <x:c r="B147" s="37"/>
      <x:c r="C147" s="37"/>
      <x:c r="D147" s="49"/>
      <x:c r="E147" s="52"/>
      <x:c r="F147" s="55"/>
      <x:c r="G147" s="55"/>
      <x:c r="H147" s="55"/>
      <x:c r="I147" s="55"/>
      <x:c r="J147" s="55"/>
      <x:c r="K147" s="55"/>
      <x:c r="L147" s="55"/>
      <x:c r="M147" s="55"/>
      <x:c r="N147" s="37" t="str">
        <x:f>IF($A147="","",IF(OR($G147="Transactional",$H147="商品/分类页",$H147="集合页",$H147="品牌页"),"主站",IF(OR($H147="博客/榜单",$H147="博客/对比",$G147="Commercial"),"博客站C-对比评测",IF($H147="博客/场景","博客站B-人群场景",IF(OR($H147="教程/FAQ",$H147="博客/指南",$G147="Informational"),"博客站A-知识教程","暂不做")))))</x:f>
      </x:c>
      <x:c r="O147" s="37"/>
      <x:c r="P147" s="37" t="str">
        <x:f>IF($A147="","",IF($O147&lt;&gt;"",$O147,$N147))</x:f>
      </x:c>
      <x:c r="Q147" s="37" t="str">
        <x:f>IF($A147="","",IF($P147="主站","分类页/集合页/商品页",IF($P147="博客站C-对比评测",IF($H147="博客/对比","对比文","购买指南"),IF($P147="博客站B-人群场景","场景解决方案",IF($P147="博客站A-知识教程",IF($H147="教程/FAQ","教程文","价值解释文"),"暂不做")))))</x:f>
      </x:c>
      <x:c r="R147" s="37" t="str">
        <x:f>IF($A147="","",IF($Q147="分类页/集合页/商品页","不写文章",IF($Q147="暂不做","暂不做",$Q147)))</x:f>
      </x:c>
      <x:c r="S147" s="37"/>
      <x:c r="T147" s="37"/>
      <x:c r="U147" s="37"/>
      <x:c r="V147" s="37"/>
      <x:c r="W147" s="37"/>
      <x:c r="X147" s="37"/>
      <x:c r="Y147" s="37"/>
      <x:c r="Z147" s="37"/>
      <x:c r="AA147" s="37"/>
      <x:c r="AB147" s="58" t="str">
        <x:f>IF($A147="","",IF($D147&gt;=1000,15,IF($D147&gt;=300,12,IF($D147&gt;=100,9,IF($D147&gt;0,5,0)))))</x:f>
      </x:c>
      <x:c r="AC147" s="58" t="str">
        <x:f>IF($A147="","",(($I147+$J147)/10)*25)</x:f>
      </x:c>
      <x:c r="AD147" s="58" t="str">
        <x:f>IF($A147="","",(($K147+$L147)/10)*25)</x:f>
      </x:c>
      <x:c r="AE147" s="58" t="str">
        <x:f>IF($A147="","",$M147*5)</x:f>
      </x:c>
      <x:c r="AF147" s="58" t="str">
        <x:f>IF($A147="","",MAX(0,AB147+AC147+AD147-AE147))</x:f>
      </x:c>
      <x:c r="AG147" s="37" t="str">
        <x:f>IF($A147="","",IF(AF147&gt;=70,"P0",IF(AF147&gt;=55,"P1",IF(AF147&gt;=40,"P2","P3"))))</x:f>
      </x:c>
      <x:c r="AH147" s="38" t="str">
        <x:f>IF($A147="","",IF(AG147="P0","立即规划",IF(AG147="P1","进入本批内容日历",IF(AG147="P2","观察/做FAQ或长尾","暂不做或合并"))))</x:f>
      </x:c>
    </x:row>
    <x:row r="148">
      <x:c r="A148" s="36"/>
      <x:c r="B148" s="37"/>
      <x:c r="C148" s="37"/>
      <x:c r="D148" s="49"/>
      <x:c r="E148" s="52"/>
      <x:c r="F148" s="55"/>
      <x:c r="G148" s="55"/>
      <x:c r="H148" s="55"/>
      <x:c r="I148" s="55"/>
      <x:c r="J148" s="55"/>
      <x:c r="K148" s="55"/>
      <x:c r="L148" s="55"/>
      <x:c r="M148" s="55"/>
      <x:c r="N148" s="37" t="str">
        <x:f>IF($A148="","",IF(OR($G148="Transactional",$H148="商品/分类页",$H148="集合页",$H148="品牌页"),"主站",IF(OR($H148="博客/榜单",$H148="博客/对比",$G148="Commercial"),"博客站C-对比评测",IF($H148="博客/场景","博客站B-人群场景",IF(OR($H148="教程/FAQ",$H148="博客/指南",$G148="Informational"),"博客站A-知识教程","暂不做")))))</x:f>
      </x:c>
      <x:c r="O148" s="37"/>
      <x:c r="P148" s="37" t="str">
        <x:f>IF($A148="","",IF($O148&lt;&gt;"",$O148,$N148))</x:f>
      </x:c>
      <x:c r="Q148" s="37" t="str">
        <x:f>IF($A148="","",IF($P148="主站","分类页/集合页/商品页",IF($P148="博客站C-对比评测",IF($H148="博客/对比","对比文","购买指南"),IF($P148="博客站B-人群场景","场景解决方案",IF($P148="博客站A-知识教程",IF($H148="教程/FAQ","教程文","价值解释文"),"暂不做")))))</x:f>
      </x:c>
      <x:c r="R148" s="37" t="str">
        <x:f>IF($A148="","",IF($Q148="分类页/集合页/商品页","不写文章",IF($Q148="暂不做","暂不做",$Q148)))</x:f>
      </x:c>
      <x:c r="S148" s="37"/>
      <x:c r="T148" s="37"/>
      <x:c r="U148" s="37"/>
      <x:c r="V148" s="37"/>
      <x:c r="W148" s="37"/>
      <x:c r="X148" s="37"/>
      <x:c r="Y148" s="37"/>
      <x:c r="Z148" s="37"/>
      <x:c r="AA148" s="37"/>
      <x:c r="AB148" s="58" t="str">
        <x:f>IF($A148="","",IF($D148&gt;=1000,15,IF($D148&gt;=300,12,IF($D148&gt;=100,9,IF($D148&gt;0,5,0)))))</x:f>
      </x:c>
      <x:c r="AC148" s="58" t="str">
        <x:f>IF($A148="","",(($I148+$J148)/10)*25)</x:f>
      </x:c>
      <x:c r="AD148" s="58" t="str">
        <x:f>IF($A148="","",(($K148+$L148)/10)*25)</x:f>
      </x:c>
      <x:c r="AE148" s="58" t="str">
        <x:f>IF($A148="","",$M148*5)</x:f>
      </x:c>
      <x:c r="AF148" s="58" t="str">
        <x:f>IF($A148="","",MAX(0,AB148+AC148+AD148-AE148))</x:f>
      </x:c>
      <x:c r="AG148" s="37" t="str">
        <x:f>IF($A148="","",IF(AF148&gt;=70,"P0",IF(AF148&gt;=55,"P1",IF(AF148&gt;=40,"P2","P3"))))</x:f>
      </x:c>
      <x:c r="AH148" s="38" t="str">
        <x:f>IF($A148="","",IF(AG148="P0","立即规划",IF(AG148="P1","进入本批内容日历",IF(AG148="P2","观察/做FAQ或长尾","暂不做或合并"))))</x:f>
      </x:c>
    </x:row>
    <x:row r="149">
      <x:c r="A149" s="36"/>
      <x:c r="B149" s="37"/>
      <x:c r="C149" s="37"/>
      <x:c r="D149" s="49"/>
      <x:c r="E149" s="52"/>
      <x:c r="F149" s="55"/>
      <x:c r="G149" s="55"/>
      <x:c r="H149" s="55"/>
      <x:c r="I149" s="55"/>
      <x:c r="J149" s="55"/>
      <x:c r="K149" s="55"/>
      <x:c r="L149" s="55"/>
      <x:c r="M149" s="55"/>
      <x:c r="N149" s="37" t="str">
        <x:f>IF($A149="","",IF(OR($G149="Transactional",$H149="商品/分类页",$H149="集合页",$H149="品牌页"),"主站",IF(OR($H149="博客/榜单",$H149="博客/对比",$G149="Commercial"),"博客站C-对比评测",IF($H149="博客/场景","博客站B-人群场景",IF(OR($H149="教程/FAQ",$H149="博客/指南",$G149="Informational"),"博客站A-知识教程","暂不做")))))</x:f>
      </x:c>
      <x:c r="O149" s="37"/>
      <x:c r="P149" s="37" t="str">
        <x:f>IF($A149="","",IF($O149&lt;&gt;"",$O149,$N149))</x:f>
      </x:c>
      <x:c r="Q149" s="37" t="str">
        <x:f>IF($A149="","",IF($P149="主站","分类页/集合页/商品页",IF($P149="博客站C-对比评测",IF($H149="博客/对比","对比文","购买指南"),IF($P149="博客站B-人群场景","场景解决方案",IF($P149="博客站A-知识教程",IF($H149="教程/FAQ","教程文","价值解释文"),"暂不做")))))</x:f>
      </x:c>
      <x:c r="R149" s="37" t="str">
        <x:f>IF($A149="","",IF($Q149="分类页/集合页/商品页","不写文章",IF($Q149="暂不做","暂不做",$Q149)))</x:f>
      </x:c>
      <x:c r="S149" s="37"/>
      <x:c r="T149" s="37"/>
      <x:c r="U149" s="37"/>
      <x:c r="V149" s="37"/>
      <x:c r="W149" s="37"/>
      <x:c r="X149" s="37"/>
      <x:c r="Y149" s="37"/>
      <x:c r="Z149" s="37"/>
      <x:c r="AA149" s="37"/>
      <x:c r="AB149" s="58" t="str">
        <x:f>IF($A149="","",IF($D149&gt;=1000,15,IF($D149&gt;=300,12,IF($D149&gt;=100,9,IF($D149&gt;0,5,0)))))</x:f>
      </x:c>
      <x:c r="AC149" s="58" t="str">
        <x:f>IF($A149="","",(($I149+$J149)/10)*25)</x:f>
      </x:c>
      <x:c r="AD149" s="58" t="str">
        <x:f>IF($A149="","",(($K149+$L149)/10)*25)</x:f>
      </x:c>
      <x:c r="AE149" s="58" t="str">
        <x:f>IF($A149="","",$M149*5)</x:f>
      </x:c>
      <x:c r="AF149" s="58" t="str">
        <x:f>IF($A149="","",MAX(0,AB149+AC149+AD149-AE149))</x:f>
      </x:c>
      <x:c r="AG149" s="37" t="str">
        <x:f>IF($A149="","",IF(AF149&gt;=70,"P0",IF(AF149&gt;=55,"P1",IF(AF149&gt;=40,"P2","P3"))))</x:f>
      </x:c>
      <x:c r="AH149" s="38" t="str">
        <x:f>IF($A149="","",IF(AG149="P0","立即规划",IF(AG149="P1","进入本批内容日历",IF(AG149="P2","观察/做FAQ或长尾","暂不做或合并"))))</x:f>
      </x:c>
    </x:row>
    <x:row r="150">
      <x:c r="A150" s="36"/>
      <x:c r="B150" s="37"/>
      <x:c r="C150" s="37"/>
      <x:c r="D150" s="49"/>
      <x:c r="E150" s="52"/>
      <x:c r="F150" s="55"/>
      <x:c r="G150" s="55"/>
      <x:c r="H150" s="55"/>
      <x:c r="I150" s="55"/>
      <x:c r="J150" s="55"/>
      <x:c r="K150" s="55"/>
      <x:c r="L150" s="55"/>
      <x:c r="M150" s="55"/>
      <x:c r="N150" s="37" t="str">
        <x:f>IF($A150="","",IF(OR($G150="Transactional",$H150="商品/分类页",$H150="集合页",$H150="品牌页"),"主站",IF(OR($H150="博客/榜单",$H150="博客/对比",$G150="Commercial"),"博客站C-对比评测",IF($H150="博客/场景","博客站B-人群场景",IF(OR($H150="教程/FAQ",$H150="博客/指南",$G150="Informational"),"博客站A-知识教程","暂不做")))))</x:f>
      </x:c>
      <x:c r="O150" s="37"/>
      <x:c r="P150" s="37" t="str">
        <x:f>IF($A150="","",IF($O150&lt;&gt;"",$O150,$N150))</x:f>
      </x:c>
      <x:c r="Q150" s="37" t="str">
        <x:f>IF($A150="","",IF($P150="主站","分类页/集合页/商品页",IF($P150="博客站C-对比评测",IF($H150="博客/对比","对比文","购买指南"),IF($P150="博客站B-人群场景","场景解决方案",IF($P150="博客站A-知识教程",IF($H150="教程/FAQ","教程文","价值解释文"),"暂不做")))))</x:f>
      </x:c>
      <x:c r="R150" s="37" t="str">
        <x:f>IF($A150="","",IF($Q150="分类页/集合页/商品页","不写文章",IF($Q150="暂不做","暂不做",$Q150)))</x:f>
      </x:c>
      <x:c r="S150" s="37"/>
      <x:c r="T150" s="37"/>
      <x:c r="U150" s="37"/>
      <x:c r="V150" s="37"/>
      <x:c r="W150" s="37"/>
      <x:c r="X150" s="37"/>
      <x:c r="Y150" s="37"/>
      <x:c r="Z150" s="37"/>
      <x:c r="AA150" s="37"/>
      <x:c r="AB150" s="58" t="str">
        <x:f>IF($A150="","",IF($D150&gt;=1000,15,IF($D150&gt;=300,12,IF($D150&gt;=100,9,IF($D150&gt;0,5,0)))))</x:f>
      </x:c>
      <x:c r="AC150" s="58" t="str">
        <x:f>IF($A150="","",(($I150+$J150)/10)*25)</x:f>
      </x:c>
      <x:c r="AD150" s="58" t="str">
        <x:f>IF($A150="","",(($K150+$L150)/10)*25)</x:f>
      </x:c>
      <x:c r="AE150" s="58" t="str">
        <x:f>IF($A150="","",$M150*5)</x:f>
      </x:c>
      <x:c r="AF150" s="58" t="str">
        <x:f>IF($A150="","",MAX(0,AB150+AC150+AD150-AE150))</x:f>
      </x:c>
      <x:c r="AG150" s="37" t="str">
        <x:f>IF($A150="","",IF(AF150&gt;=70,"P0",IF(AF150&gt;=55,"P1",IF(AF150&gt;=40,"P2","P3"))))</x:f>
      </x:c>
      <x:c r="AH150" s="38" t="str">
        <x:f>IF($A150="","",IF(AG150="P0","立即规划",IF(AG150="P1","进入本批内容日历",IF(AG150="P2","观察/做FAQ或长尾","暂不做或合并"))))</x:f>
      </x:c>
    </x:row>
    <x:row r="151">
      <x:c r="A151" s="36"/>
      <x:c r="B151" s="37"/>
      <x:c r="C151" s="37"/>
      <x:c r="D151" s="49"/>
      <x:c r="E151" s="52"/>
      <x:c r="F151" s="55"/>
      <x:c r="G151" s="55"/>
      <x:c r="H151" s="55"/>
      <x:c r="I151" s="55"/>
      <x:c r="J151" s="55"/>
      <x:c r="K151" s="55"/>
      <x:c r="L151" s="55"/>
      <x:c r="M151" s="55"/>
      <x:c r="N151" s="37" t="str">
        <x:f>IF($A151="","",IF(OR($G151="Transactional",$H151="商品/分类页",$H151="集合页",$H151="品牌页"),"主站",IF(OR($H151="博客/榜单",$H151="博客/对比",$G151="Commercial"),"博客站C-对比评测",IF($H151="博客/场景","博客站B-人群场景",IF(OR($H151="教程/FAQ",$H151="博客/指南",$G151="Informational"),"博客站A-知识教程","暂不做")))))</x:f>
      </x:c>
      <x:c r="O151" s="37"/>
      <x:c r="P151" s="37" t="str">
        <x:f>IF($A151="","",IF($O151&lt;&gt;"",$O151,$N151))</x:f>
      </x:c>
      <x:c r="Q151" s="37" t="str">
        <x:f>IF($A151="","",IF($P151="主站","分类页/集合页/商品页",IF($P151="博客站C-对比评测",IF($H151="博客/对比","对比文","购买指南"),IF($P151="博客站B-人群场景","场景解决方案",IF($P151="博客站A-知识教程",IF($H151="教程/FAQ","教程文","价值解释文"),"暂不做")))))</x:f>
      </x:c>
      <x:c r="R151" s="37" t="str">
        <x:f>IF($A151="","",IF($Q151="分类页/集合页/商品页","不写文章",IF($Q151="暂不做","暂不做",$Q151)))</x:f>
      </x:c>
      <x:c r="S151" s="37"/>
      <x:c r="T151" s="37"/>
      <x:c r="U151" s="37"/>
      <x:c r="V151" s="37"/>
      <x:c r="W151" s="37"/>
      <x:c r="X151" s="37"/>
      <x:c r="Y151" s="37"/>
      <x:c r="Z151" s="37"/>
      <x:c r="AA151" s="37"/>
      <x:c r="AB151" s="58" t="str">
        <x:f>IF($A151="","",IF($D151&gt;=1000,15,IF($D151&gt;=300,12,IF($D151&gt;=100,9,IF($D151&gt;0,5,0)))))</x:f>
      </x:c>
      <x:c r="AC151" s="58" t="str">
        <x:f>IF($A151="","",(($I151+$J151)/10)*25)</x:f>
      </x:c>
      <x:c r="AD151" s="58" t="str">
        <x:f>IF($A151="","",(($K151+$L151)/10)*25)</x:f>
      </x:c>
      <x:c r="AE151" s="58" t="str">
        <x:f>IF($A151="","",$M151*5)</x:f>
      </x:c>
      <x:c r="AF151" s="58" t="str">
        <x:f>IF($A151="","",MAX(0,AB151+AC151+AD151-AE151))</x:f>
      </x:c>
      <x:c r="AG151" s="37" t="str">
        <x:f>IF($A151="","",IF(AF151&gt;=70,"P0",IF(AF151&gt;=55,"P1",IF(AF151&gt;=40,"P2","P3"))))</x:f>
      </x:c>
      <x:c r="AH151" s="38" t="str">
        <x:f>IF($A151="","",IF(AG151="P0","立即规划",IF(AG151="P1","进入本批内容日历",IF(AG151="P2","观察/做FAQ或长尾","暂不做或合并"))))</x:f>
      </x:c>
    </x:row>
    <x:row r="152">
      <x:c r="A152" s="36"/>
      <x:c r="B152" s="37"/>
      <x:c r="C152" s="37"/>
      <x:c r="D152" s="49"/>
      <x:c r="E152" s="52"/>
      <x:c r="F152" s="55"/>
      <x:c r="G152" s="55"/>
      <x:c r="H152" s="55"/>
      <x:c r="I152" s="55"/>
      <x:c r="J152" s="55"/>
      <x:c r="K152" s="55"/>
      <x:c r="L152" s="55"/>
      <x:c r="M152" s="55"/>
      <x:c r="N152" s="37" t="str">
        <x:f>IF($A152="","",IF(OR($G152="Transactional",$H152="商品/分类页",$H152="集合页",$H152="品牌页"),"主站",IF(OR($H152="博客/榜单",$H152="博客/对比",$G152="Commercial"),"博客站C-对比评测",IF($H152="博客/场景","博客站B-人群场景",IF(OR($H152="教程/FAQ",$H152="博客/指南",$G152="Informational"),"博客站A-知识教程","暂不做")))))</x:f>
      </x:c>
      <x:c r="O152" s="37"/>
      <x:c r="P152" s="37" t="str">
        <x:f>IF($A152="","",IF($O152&lt;&gt;"",$O152,$N152))</x:f>
      </x:c>
      <x:c r="Q152" s="37" t="str">
        <x:f>IF($A152="","",IF($P152="主站","分类页/集合页/商品页",IF($P152="博客站C-对比评测",IF($H152="博客/对比","对比文","购买指南"),IF($P152="博客站B-人群场景","场景解决方案",IF($P152="博客站A-知识教程",IF($H152="教程/FAQ","教程文","价值解释文"),"暂不做")))))</x:f>
      </x:c>
      <x:c r="R152" s="37" t="str">
        <x:f>IF($A152="","",IF($Q152="分类页/集合页/商品页","不写文章",IF($Q152="暂不做","暂不做",$Q152)))</x:f>
      </x:c>
      <x:c r="S152" s="37"/>
      <x:c r="T152" s="37"/>
      <x:c r="U152" s="37"/>
      <x:c r="V152" s="37"/>
      <x:c r="W152" s="37"/>
      <x:c r="X152" s="37"/>
      <x:c r="Y152" s="37"/>
      <x:c r="Z152" s="37"/>
      <x:c r="AA152" s="37"/>
      <x:c r="AB152" s="58" t="str">
        <x:f>IF($A152="","",IF($D152&gt;=1000,15,IF($D152&gt;=300,12,IF($D152&gt;=100,9,IF($D152&gt;0,5,0)))))</x:f>
      </x:c>
      <x:c r="AC152" s="58" t="str">
        <x:f>IF($A152="","",(($I152+$J152)/10)*25)</x:f>
      </x:c>
      <x:c r="AD152" s="58" t="str">
        <x:f>IF($A152="","",(($K152+$L152)/10)*25)</x:f>
      </x:c>
      <x:c r="AE152" s="58" t="str">
        <x:f>IF($A152="","",$M152*5)</x:f>
      </x:c>
      <x:c r="AF152" s="58" t="str">
        <x:f>IF($A152="","",MAX(0,AB152+AC152+AD152-AE152))</x:f>
      </x:c>
      <x:c r="AG152" s="37" t="str">
        <x:f>IF($A152="","",IF(AF152&gt;=70,"P0",IF(AF152&gt;=55,"P1",IF(AF152&gt;=40,"P2","P3"))))</x:f>
      </x:c>
      <x:c r="AH152" s="38" t="str">
        <x:f>IF($A152="","",IF(AG152="P0","立即规划",IF(AG152="P1","进入本批内容日历",IF(AG152="P2","观察/做FAQ或长尾","暂不做或合并"))))</x:f>
      </x:c>
    </x:row>
    <x:row r="153">
      <x:c r="A153" s="36"/>
      <x:c r="B153" s="37"/>
      <x:c r="C153" s="37"/>
      <x:c r="D153" s="49"/>
      <x:c r="E153" s="52"/>
      <x:c r="F153" s="55"/>
      <x:c r="G153" s="55"/>
      <x:c r="H153" s="55"/>
      <x:c r="I153" s="55"/>
      <x:c r="J153" s="55"/>
      <x:c r="K153" s="55"/>
      <x:c r="L153" s="55"/>
      <x:c r="M153" s="55"/>
      <x:c r="N153" s="37" t="str">
        <x:f>IF($A153="","",IF(OR($G153="Transactional",$H153="商品/分类页",$H153="集合页",$H153="品牌页"),"主站",IF(OR($H153="博客/榜单",$H153="博客/对比",$G153="Commercial"),"博客站C-对比评测",IF($H153="博客/场景","博客站B-人群场景",IF(OR($H153="教程/FAQ",$H153="博客/指南",$G153="Informational"),"博客站A-知识教程","暂不做")))))</x:f>
      </x:c>
      <x:c r="O153" s="37"/>
      <x:c r="P153" s="37" t="str">
        <x:f>IF($A153="","",IF($O153&lt;&gt;"",$O153,$N153))</x:f>
      </x:c>
      <x:c r="Q153" s="37" t="str">
        <x:f>IF($A153="","",IF($P153="主站","分类页/集合页/商品页",IF($P153="博客站C-对比评测",IF($H153="博客/对比","对比文","购买指南"),IF($P153="博客站B-人群场景","场景解决方案",IF($P153="博客站A-知识教程",IF($H153="教程/FAQ","教程文","价值解释文"),"暂不做")))))</x:f>
      </x:c>
      <x:c r="R153" s="37" t="str">
        <x:f>IF($A153="","",IF($Q153="分类页/集合页/商品页","不写文章",IF($Q153="暂不做","暂不做",$Q153)))</x:f>
      </x:c>
      <x:c r="S153" s="37"/>
      <x:c r="T153" s="37"/>
      <x:c r="U153" s="37"/>
      <x:c r="V153" s="37"/>
      <x:c r="W153" s="37"/>
      <x:c r="X153" s="37"/>
      <x:c r="Y153" s="37"/>
      <x:c r="Z153" s="37"/>
      <x:c r="AA153" s="37"/>
      <x:c r="AB153" s="58" t="str">
        <x:f>IF($A153="","",IF($D153&gt;=1000,15,IF($D153&gt;=300,12,IF($D153&gt;=100,9,IF($D153&gt;0,5,0)))))</x:f>
      </x:c>
      <x:c r="AC153" s="58" t="str">
        <x:f>IF($A153="","",(($I153+$J153)/10)*25)</x:f>
      </x:c>
      <x:c r="AD153" s="58" t="str">
        <x:f>IF($A153="","",(($K153+$L153)/10)*25)</x:f>
      </x:c>
      <x:c r="AE153" s="58" t="str">
        <x:f>IF($A153="","",$M153*5)</x:f>
      </x:c>
      <x:c r="AF153" s="58" t="str">
        <x:f>IF($A153="","",MAX(0,AB153+AC153+AD153-AE153))</x:f>
      </x:c>
      <x:c r="AG153" s="37" t="str">
        <x:f>IF($A153="","",IF(AF153&gt;=70,"P0",IF(AF153&gt;=55,"P1",IF(AF153&gt;=40,"P2","P3"))))</x:f>
      </x:c>
      <x:c r="AH153" s="38" t="str">
        <x:f>IF($A153="","",IF(AG153="P0","立即规划",IF(AG153="P1","进入本批内容日历",IF(AG153="P2","观察/做FAQ或长尾","暂不做或合并"))))</x:f>
      </x:c>
    </x:row>
    <x:row r="154">
      <x:c r="A154" s="36"/>
      <x:c r="B154" s="37"/>
      <x:c r="C154" s="37"/>
      <x:c r="D154" s="49"/>
      <x:c r="E154" s="52"/>
      <x:c r="F154" s="55"/>
      <x:c r="G154" s="55"/>
      <x:c r="H154" s="55"/>
      <x:c r="I154" s="55"/>
      <x:c r="J154" s="55"/>
      <x:c r="K154" s="55"/>
      <x:c r="L154" s="55"/>
      <x:c r="M154" s="55"/>
      <x:c r="N154" s="37" t="str">
        <x:f>IF($A154="","",IF(OR($G154="Transactional",$H154="商品/分类页",$H154="集合页",$H154="品牌页"),"主站",IF(OR($H154="博客/榜单",$H154="博客/对比",$G154="Commercial"),"博客站C-对比评测",IF($H154="博客/场景","博客站B-人群场景",IF(OR($H154="教程/FAQ",$H154="博客/指南",$G154="Informational"),"博客站A-知识教程","暂不做")))))</x:f>
      </x:c>
      <x:c r="O154" s="37"/>
      <x:c r="P154" s="37" t="str">
        <x:f>IF($A154="","",IF($O154&lt;&gt;"",$O154,$N154))</x:f>
      </x:c>
      <x:c r="Q154" s="37" t="str">
        <x:f>IF($A154="","",IF($P154="主站","分类页/集合页/商品页",IF($P154="博客站C-对比评测",IF($H154="博客/对比","对比文","购买指南"),IF($P154="博客站B-人群场景","场景解决方案",IF($P154="博客站A-知识教程",IF($H154="教程/FAQ","教程文","价值解释文"),"暂不做")))))</x:f>
      </x:c>
      <x:c r="R154" s="37" t="str">
        <x:f>IF($A154="","",IF($Q154="分类页/集合页/商品页","不写文章",IF($Q154="暂不做","暂不做",$Q154)))</x:f>
      </x:c>
      <x:c r="S154" s="37"/>
      <x:c r="T154" s="37"/>
      <x:c r="U154" s="37"/>
      <x:c r="V154" s="37"/>
      <x:c r="W154" s="37"/>
      <x:c r="X154" s="37"/>
      <x:c r="Y154" s="37"/>
      <x:c r="Z154" s="37"/>
      <x:c r="AA154" s="37"/>
      <x:c r="AB154" s="58" t="str">
        <x:f>IF($A154="","",IF($D154&gt;=1000,15,IF($D154&gt;=300,12,IF($D154&gt;=100,9,IF($D154&gt;0,5,0)))))</x:f>
      </x:c>
      <x:c r="AC154" s="58" t="str">
        <x:f>IF($A154="","",(($I154+$J154)/10)*25)</x:f>
      </x:c>
      <x:c r="AD154" s="58" t="str">
        <x:f>IF($A154="","",(($K154+$L154)/10)*25)</x:f>
      </x:c>
      <x:c r="AE154" s="58" t="str">
        <x:f>IF($A154="","",$M154*5)</x:f>
      </x:c>
      <x:c r="AF154" s="58" t="str">
        <x:f>IF($A154="","",MAX(0,AB154+AC154+AD154-AE154))</x:f>
      </x:c>
      <x:c r="AG154" s="37" t="str">
        <x:f>IF($A154="","",IF(AF154&gt;=70,"P0",IF(AF154&gt;=55,"P1",IF(AF154&gt;=40,"P2","P3"))))</x:f>
      </x:c>
      <x:c r="AH154" s="38" t="str">
        <x:f>IF($A154="","",IF(AG154="P0","立即规划",IF(AG154="P1","进入本批内容日历",IF(AG154="P2","观察/做FAQ或长尾","暂不做或合并"))))</x:f>
      </x:c>
    </x:row>
    <x:row r="155">
      <x:c r="A155" s="36"/>
      <x:c r="B155" s="37"/>
      <x:c r="C155" s="37"/>
      <x:c r="D155" s="49"/>
      <x:c r="E155" s="52"/>
      <x:c r="F155" s="55"/>
      <x:c r="G155" s="55"/>
      <x:c r="H155" s="55"/>
      <x:c r="I155" s="55"/>
      <x:c r="J155" s="55"/>
      <x:c r="K155" s="55"/>
      <x:c r="L155" s="55"/>
      <x:c r="M155" s="55"/>
      <x:c r="N155" s="37" t="str">
        <x:f>IF($A155="","",IF(OR($G155="Transactional",$H155="商品/分类页",$H155="集合页",$H155="品牌页"),"主站",IF(OR($H155="博客/榜单",$H155="博客/对比",$G155="Commercial"),"博客站C-对比评测",IF($H155="博客/场景","博客站B-人群场景",IF(OR($H155="教程/FAQ",$H155="博客/指南",$G155="Informational"),"博客站A-知识教程","暂不做")))))</x:f>
      </x:c>
      <x:c r="O155" s="37"/>
      <x:c r="P155" s="37" t="str">
        <x:f>IF($A155="","",IF($O155&lt;&gt;"",$O155,$N155))</x:f>
      </x:c>
      <x:c r="Q155" s="37" t="str">
        <x:f>IF($A155="","",IF($P155="主站","分类页/集合页/商品页",IF($P155="博客站C-对比评测",IF($H155="博客/对比","对比文","购买指南"),IF($P155="博客站B-人群场景","场景解决方案",IF($P155="博客站A-知识教程",IF($H155="教程/FAQ","教程文","价值解释文"),"暂不做")))))</x:f>
      </x:c>
      <x:c r="R155" s="37" t="str">
        <x:f>IF($A155="","",IF($Q155="分类页/集合页/商品页","不写文章",IF($Q155="暂不做","暂不做",$Q155)))</x:f>
      </x:c>
      <x:c r="S155" s="37"/>
      <x:c r="T155" s="37"/>
      <x:c r="U155" s="37"/>
      <x:c r="V155" s="37"/>
      <x:c r="W155" s="37"/>
      <x:c r="X155" s="37"/>
      <x:c r="Y155" s="37"/>
      <x:c r="Z155" s="37"/>
      <x:c r="AA155" s="37"/>
      <x:c r="AB155" s="58" t="str">
        <x:f>IF($A155="","",IF($D155&gt;=1000,15,IF($D155&gt;=300,12,IF($D155&gt;=100,9,IF($D155&gt;0,5,0)))))</x:f>
      </x:c>
      <x:c r="AC155" s="58" t="str">
        <x:f>IF($A155="","",(($I155+$J155)/10)*25)</x:f>
      </x:c>
      <x:c r="AD155" s="58" t="str">
        <x:f>IF($A155="","",(($K155+$L155)/10)*25)</x:f>
      </x:c>
      <x:c r="AE155" s="58" t="str">
        <x:f>IF($A155="","",$M155*5)</x:f>
      </x:c>
      <x:c r="AF155" s="58" t="str">
        <x:f>IF($A155="","",MAX(0,AB155+AC155+AD155-AE155))</x:f>
      </x:c>
      <x:c r="AG155" s="37" t="str">
        <x:f>IF($A155="","",IF(AF155&gt;=70,"P0",IF(AF155&gt;=55,"P1",IF(AF155&gt;=40,"P2","P3"))))</x:f>
      </x:c>
      <x:c r="AH155" s="38" t="str">
        <x:f>IF($A155="","",IF(AG155="P0","立即规划",IF(AG155="P1","进入本批内容日历",IF(AG155="P2","观察/做FAQ或长尾","暂不做或合并"))))</x:f>
      </x:c>
    </x:row>
    <x:row r="156">
      <x:c r="A156" s="36"/>
      <x:c r="B156" s="37"/>
      <x:c r="C156" s="37"/>
      <x:c r="D156" s="49"/>
      <x:c r="E156" s="52"/>
      <x:c r="F156" s="55"/>
      <x:c r="G156" s="55"/>
      <x:c r="H156" s="55"/>
      <x:c r="I156" s="55"/>
      <x:c r="J156" s="55"/>
      <x:c r="K156" s="55"/>
      <x:c r="L156" s="55"/>
      <x:c r="M156" s="55"/>
      <x:c r="N156" s="37" t="str">
        <x:f>IF($A156="","",IF(OR($G156="Transactional",$H156="商品/分类页",$H156="集合页",$H156="品牌页"),"主站",IF(OR($H156="博客/榜单",$H156="博客/对比",$G156="Commercial"),"博客站C-对比评测",IF($H156="博客/场景","博客站B-人群场景",IF(OR($H156="教程/FAQ",$H156="博客/指南",$G156="Informational"),"博客站A-知识教程","暂不做")))))</x:f>
      </x:c>
      <x:c r="O156" s="37"/>
      <x:c r="P156" s="37" t="str">
        <x:f>IF($A156="","",IF($O156&lt;&gt;"",$O156,$N156))</x:f>
      </x:c>
      <x:c r="Q156" s="37" t="str">
        <x:f>IF($A156="","",IF($P156="主站","分类页/集合页/商品页",IF($P156="博客站C-对比评测",IF($H156="博客/对比","对比文","购买指南"),IF($P156="博客站B-人群场景","场景解决方案",IF($P156="博客站A-知识教程",IF($H156="教程/FAQ","教程文","价值解释文"),"暂不做")))))</x:f>
      </x:c>
      <x:c r="R156" s="37" t="str">
        <x:f>IF($A156="","",IF($Q156="分类页/集合页/商品页","不写文章",IF($Q156="暂不做","暂不做",$Q156)))</x:f>
      </x:c>
      <x:c r="S156" s="37"/>
      <x:c r="T156" s="37"/>
      <x:c r="U156" s="37"/>
      <x:c r="V156" s="37"/>
      <x:c r="W156" s="37"/>
      <x:c r="X156" s="37"/>
      <x:c r="Y156" s="37"/>
      <x:c r="Z156" s="37"/>
      <x:c r="AA156" s="37"/>
      <x:c r="AB156" s="58" t="str">
        <x:f>IF($A156="","",IF($D156&gt;=1000,15,IF($D156&gt;=300,12,IF($D156&gt;=100,9,IF($D156&gt;0,5,0)))))</x:f>
      </x:c>
      <x:c r="AC156" s="58" t="str">
        <x:f>IF($A156="","",(($I156+$J156)/10)*25)</x:f>
      </x:c>
      <x:c r="AD156" s="58" t="str">
        <x:f>IF($A156="","",(($K156+$L156)/10)*25)</x:f>
      </x:c>
      <x:c r="AE156" s="58" t="str">
        <x:f>IF($A156="","",$M156*5)</x:f>
      </x:c>
      <x:c r="AF156" s="58" t="str">
        <x:f>IF($A156="","",MAX(0,AB156+AC156+AD156-AE156))</x:f>
      </x:c>
      <x:c r="AG156" s="37" t="str">
        <x:f>IF($A156="","",IF(AF156&gt;=70,"P0",IF(AF156&gt;=55,"P1",IF(AF156&gt;=40,"P2","P3"))))</x:f>
      </x:c>
      <x:c r="AH156" s="38" t="str">
        <x:f>IF($A156="","",IF(AG156="P0","立即规划",IF(AG156="P1","进入本批内容日历",IF(AG156="P2","观察/做FAQ或长尾","暂不做或合并"))))</x:f>
      </x:c>
    </x:row>
    <x:row r="157">
      <x:c r="A157" s="36"/>
      <x:c r="B157" s="37"/>
      <x:c r="C157" s="37"/>
      <x:c r="D157" s="49"/>
      <x:c r="E157" s="52"/>
      <x:c r="F157" s="55"/>
      <x:c r="G157" s="55"/>
      <x:c r="H157" s="55"/>
      <x:c r="I157" s="55"/>
      <x:c r="J157" s="55"/>
      <x:c r="K157" s="55"/>
      <x:c r="L157" s="55"/>
      <x:c r="M157" s="55"/>
      <x:c r="N157" s="37" t="str">
        <x:f>IF($A157="","",IF(OR($G157="Transactional",$H157="商品/分类页",$H157="集合页",$H157="品牌页"),"主站",IF(OR($H157="博客/榜单",$H157="博客/对比",$G157="Commercial"),"博客站C-对比评测",IF($H157="博客/场景","博客站B-人群场景",IF(OR($H157="教程/FAQ",$H157="博客/指南",$G157="Informational"),"博客站A-知识教程","暂不做")))))</x:f>
      </x:c>
      <x:c r="O157" s="37"/>
      <x:c r="P157" s="37" t="str">
        <x:f>IF($A157="","",IF($O157&lt;&gt;"",$O157,$N157))</x:f>
      </x:c>
      <x:c r="Q157" s="37" t="str">
        <x:f>IF($A157="","",IF($P157="主站","分类页/集合页/商品页",IF($P157="博客站C-对比评测",IF($H157="博客/对比","对比文","购买指南"),IF($P157="博客站B-人群场景","场景解决方案",IF($P157="博客站A-知识教程",IF($H157="教程/FAQ","教程文","价值解释文"),"暂不做")))))</x:f>
      </x:c>
      <x:c r="R157" s="37" t="str">
        <x:f>IF($A157="","",IF($Q157="分类页/集合页/商品页","不写文章",IF($Q157="暂不做","暂不做",$Q157)))</x:f>
      </x:c>
      <x:c r="S157" s="37"/>
      <x:c r="T157" s="37"/>
      <x:c r="U157" s="37"/>
      <x:c r="V157" s="37"/>
      <x:c r="W157" s="37"/>
      <x:c r="X157" s="37"/>
      <x:c r="Y157" s="37"/>
      <x:c r="Z157" s="37"/>
      <x:c r="AA157" s="37"/>
      <x:c r="AB157" s="58" t="str">
        <x:f>IF($A157="","",IF($D157&gt;=1000,15,IF($D157&gt;=300,12,IF($D157&gt;=100,9,IF($D157&gt;0,5,0)))))</x:f>
      </x:c>
      <x:c r="AC157" s="58" t="str">
        <x:f>IF($A157="","",(($I157+$J157)/10)*25)</x:f>
      </x:c>
      <x:c r="AD157" s="58" t="str">
        <x:f>IF($A157="","",(($K157+$L157)/10)*25)</x:f>
      </x:c>
      <x:c r="AE157" s="58" t="str">
        <x:f>IF($A157="","",$M157*5)</x:f>
      </x:c>
      <x:c r="AF157" s="58" t="str">
        <x:f>IF($A157="","",MAX(0,AB157+AC157+AD157-AE157))</x:f>
      </x:c>
      <x:c r="AG157" s="37" t="str">
        <x:f>IF($A157="","",IF(AF157&gt;=70,"P0",IF(AF157&gt;=55,"P1",IF(AF157&gt;=40,"P2","P3"))))</x:f>
      </x:c>
      <x:c r="AH157" s="38" t="str">
        <x:f>IF($A157="","",IF(AG157="P0","立即规划",IF(AG157="P1","进入本批内容日历",IF(AG157="P2","观察/做FAQ或长尾","暂不做或合并"))))</x:f>
      </x:c>
    </x:row>
    <x:row r="158">
      <x:c r="A158" s="36"/>
      <x:c r="B158" s="37"/>
      <x:c r="C158" s="37"/>
      <x:c r="D158" s="49"/>
      <x:c r="E158" s="52"/>
      <x:c r="F158" s="55"/>
      <x:c r="G158" s="55"/>
      <x:c r="H158" s="55"/>
      <x:c r="I158" s="55"/>
      <x:c r="J158" s="55"/>
      <x:c r="K158" s="55"/>
      <x:c r="L158" s="55"/>
      <x:c r="M158" s="55"/>
      <x:c r="N158" s="37" t="str">
        <x:f>IF($A158="","",IF(OR($G158="Transactional",$H158="商品/分类页",$H158="集合页",$H158="品牌页"),"主站",IF(OR($H158="博客/榜单",$H158="博客/对比",$G158="Commercial"),"博客站C-对比评测",IF($H158="博客/场景","博客站B-人群场景",IF(OR($H158="教程/FAQ",$H158="博客/指南",$G158="Informational"),"博客站A-知识教程","暂不做")))))</x:f>
      </x:c>
      <x:c r="O158" s="37"/>
      <x:c r="P158" s="37" t="str">
        <x:f>IF($A158="","",IF($O158&lt;&gt;"",$O158,$N158))</x:f>
      </x:c>
      <x:c r="Q158" s="37" t="str">
        <x:f>IF($A158="","",IF($P158="主站","分类页/集合页/商品页",IF($P158="博客站C-对比评测",IF($H158="博客/对比","对比文","购买指南"),IF($P158="博客站B-人群场景","场景解决方案",IF($P158="博客站A-知识教程",IF($H158="教程/FAQ","教程文","价值解释文"),"暂不做")))))</x:f>
      </x:c>
      <x:c r="R158" s="37" t="str">
        <x:f>IF($A158="","",IF($Q158="分类页/集合页/商品页","不写文章",IF($Q158="暂不做","暂不做",$Q158)))</x:f>
      </x:c>
      <x:c r="S158" s="37"/>
      <x:c r="T158" s="37"/>
      <x:c r="U158" s="37"/>
      <x:c r="V158" s="37"/>
      <x:c r="W158" s="37"/>
      <x:c r="X158" s="37"/>
      <x:c r="Y158" s="37"/>
      <x:c r="Z158" s="37"/>
      <x:c r="AA158" s="37"/>
      <x:c r="AB158" s="58" t="str">
        <x:f>IF($A158="","",IF($D158&gt;=1000,15,IF($D158&gt;=300,12,IF($D158&gt;=100,9,IF($D158&gt;0,5,0)))))</x:f>
      </x:c>
      <x:c r="AC158" s="58" t="str">
        <x:f>IF($A158="","",(($I158+$J158)/10)*25)</x:f>
      </x:c>
      <x:c r="AD158" s="58" t="str">
        <x:f>IF($A158="","",(($K158+$L158)/10)*25)</x:f>
      </x:c>
      <x:c r="AE158" s="58" t="str">
        <x:f>IF($A158="","",$M158*5)</x:f>
      </x:c>
      <x:c r="AF158" s="58" t="str">
        <x:f>IF($A158="","",MAX(0,AB158+AC158+AD158-AE158))</x:f>
      </x:c>
      <x:c r="AG158" s="37" t="str">
        <x:f>IF($A158="","",IF(AF158&gt;=70,"P0",IF(AF158&gt;=55,"P1",IF(AF158&gt;=40,"P2","P3"))))</x:f>
      </x:c>
      <x:c r="AH158" s="38" t="str">
        <x:f>IF($A158="","",IF(AG158="P0","立即规划",IF(AG158="P1","进入本批内容日历",IF(AG158="P2","观察/做FAQ或长尾","暂不做或合并"))))</x:f>
      </x:c>
    </x:row>
    <x:row r="159">
      <x:c r="A159" s="36"/>
      <x:c r="B159" s="37"/>
      <x:c r="C159" s="37"/>
      <x:c r="D159" s="49"/>
      <x:c r="E159" s="52"/>
      <x:c r="F159" s="55"/>
      <x:c r="G159" s="55"/>
      <x:c r="H159" s="55"/>
      <x:c r="I159" s="55"/>
      <x:c r="J159" s="55"/>
      <x:c r="K159" s="55"/>
      <x:c r="L159" s="55"/>
      <x:c r="M159" s="55"/>
      <x:c r="N159" s="37" t="str">
        <x:f>IF($A159="","",IF(OR($G159="Transactional",$H159="商品/分类页",$H159="集合页",$H159="品牌页"),"主站",IF(OR($H159="博客/榜单",$H159="博客/对比",$G159="Commercial"),"博客站C-对比评测",IF($H159="博客/场景","博客站B-人群场景",IF(OR($H159="教程/FAQ",$H159="博客/指南",$G159="Informational"),"博客站A-知识教程","暂不做")))))</x:f>
      </x:c>
      <x:c r="O159" s="37"/>
      <x:c r="P159" s="37" t="str">
        <x:f>IF($A159="","",IF($O159&lt;&gt;"",$O159,$N159))</x:f>
      </x:c>
      <x:c r="Q159" s="37" t="str">
        <x:f>IF($A159="","",IF($P159="主站","分类页/集合页/商品页",IF($P159="博客站C-对比评测",IF($H159="博客/对比","对比文","购买指南"),IF($P159="博客站B-人群场景","场景解决方案",IF($P159="博客站A-知识教程",IF($H159="教程/FAQ","教程文","价值解释文"),"暂不做")))))</x:f>
      </x:c>
      <x:c r="R159" s="37" t="str">
        <x:f>IF($A159="","",IF($Q159="分类页/集合页/商品页","不写文章",IF($Q159="暂不做","暂不做",$Q159)))</x:f>
      </x:c>
      <x:c r="S159" s="37"/>
      <x:c r="T159" s="37"/>
      <x:c r="U159" s="37"/>
      <x:c r="V159" s="37"/>
      <x:c r="W159" s="37"/>
      <x:c r="X159" s="37"/>
      <x:c r="Y159" s="37"/>
      <x:c r="Z159" s="37"/>
      <x:c r="AA159" s="37"/>
      <x:c r="AB159" s="58" t="str">
        <x:f>IF($A159="","",IF($D159&gt;=1000,15,IF($D159&gt;=300,12,IF($D159&gt;=100,9,IF($D159&gt;0,5,0)))))</x:f>
      </x:c>
      <x:c r="AC159" s="58" t="str">
        <x:f>IF($A159="","",(($I159+$J159)/10)*25)</x:f>
      </x:c>
      <x:c r="AD159" s="58" t="str">
        <x:f>IF($A159="","",(($K159+$L159)/10)*25)</x:f>
      </x:c>
      <x:c r="AE159" s="58" t="str">
        <x:f>IF($A159="","",$M159*5)</x:f>
      </x:c>
      <x:c r="AF159" s="58" t="str">
        <x:f>IF($A159="","",MAX(0,AB159+AC159+AD159-AE159))</x:f>
      </x:c>
      <x:c r="AG159" s="37" t="str">
        <x:f>IF($A159="","",IF(AF159&gt;=70,"P0",IF(AF159&gt;=55,"P1",IF(AF159&gt;=40,"P2","P3"))))</x:f>
      </x:c>
      <x:c r="AH159" s="38" t="str">
        <x:f>IF($A159="","",IF(AG159="P0","立即规划",IF(AG159="P1","进入本批内容日历",IF(AG159="P2","观察/做FAQ或长尾","暂不做或合并"))))</x:f>
      </x:c>
    </x:row>
    <x:row r="160">
      <x:c r="A160" s="36"/>
      <x:c r="B160" s="37"/>
      <x:c r="C160" s="37"/>
      <x:c r="D160" s="49"/>
      <x:c r="E160" s="52"/>
      <x:c r="F160" s="55"/>
      <x:c r="G160" s="55"/>
      <x:c r="H160" s="55"/>
      <x:c r="I160" s="55"/>
      <x:c r="J160" s="55"/>
      <x:c r="K160" s="55"/>
      <x:c r="L160" s="55"/>
      <x:c r="M160" s="55"/>
      <x:c r="N160" s="37" t="str">
        <x:f>IF($A160="","",IF(OR($G160="Transactional",$H160="商品/分类页",$H160="集合页",$H160="品牌页"),"主站",IF(OR($H160="博客/榜单",$H160="博客/对比",$G160="Commercial"),"博客站C-对比评测",IF($H160="博客/场景","博客站B-人群场景",IF(OR($H160="教程/FAQ",$H160="博客/指南",$G160="Informational"),"博客站A-知识教程","暂不做")))))</x:f>
      </x:c>
      <x:c r="O160" s="37"/>
      <x:c r="P160" s="37" t="str">
        <x:f>IF($A160="","",IF($O160&lt;&gt;"",$O160,$N160))</x:f>
      </x:c>
      <x:c r="Q160" s="37" t="str">
        <x:f>IF($A160="","",IF($P160="主站","分类页/集合页/商品页",IF($P160="博客站C-对比评测",IF($H160="博客/对比","对比文","购买指南"),IF($P160="博客站B-人群场景","场景解决方案",IF($P160="博客站A-知识教程",IF($H160="教程/FAQ","教程文","价值解释文"),"暂不做")))))</x:f>
      </x:c>
      <x:c r="R160" s="37" t="str">
        <x:f>IF($A160="","",IF($Q160="分类页/集合页/商品页","不写文章",IF($Q160="暂不做","暂不做",$Q160)))</x:f>
      </x:c>
      <x:c r="S160" s="37"/>
      <x:c r="T160" s="37"/>
      <x:c r="U160" s="37"/>
      <x:c r="V160" s="37"/>
      <x:c r="W160" s="37"/>
      <x:c r="X160" s="37"/>
      <x:c r="Y160" s="37"/>
      <x:c r="Z160" s="37"/>
      <x:c r="AA160" s="37"/>
      <x:c r="AB160" s="58" t="str">
        <x:f>IF($A160="","",IF($D160&gt;=1000,15,IF($D160&gt;=300,12,IF($D160&gt;=100,9,IF($D160&gt;0,5,0)))))</x:f>
      </x:c>
      <x:c r="AC160" s="58" t="str">
        <x:f>IF($A160="","",(($I160+$J160)/10)*25)</x:f>
      </x:c>
      <x:c r="AD160" s="58" t="str">
        <x:f>IF($A160="","",(($K160+$L160)/10)*25)</x:f>
      </x:c>
      <x:c r="AE160" s="58" t="str">
        <x:f>IF($A160="","",$M160*5)</x:f>
      </x:c>
      <x:c r="AF160" s="58" t="str">
        <x:f>IF($A160="","",MAX(0,AB160+AC160+AD160-AE160))</x:f>
      </x:c>
      <x:c r="AG160" s="37" t="str">
        <x:f>IF($A160="","",IF(AF160&gt;=70,"P0",IF(AF160&gt;=55,"P1",IF(AF160&gt;=40,"P2","P3"))))</x:f>
      </x:c>
      <x:c r="AH160" s="38" t="str">
        <x:f>IF($A160="","",IF(AG160="P0","立即规划",IF(AG160="P1","进入本批内容日历",IF(AG160="P2","观察/做FAQ或长尾","暂不做或合并"))))</x:f>
      </x:c>
    </x:row>
    <x:row r="161">
      <x:c r="A161" s="36"/>
      <x:c r="B161" s="37"/>
      <x:c r="C161" s="37"/>
      <x:c r="D161" s="49"/>
      <x:c r="E161" s="52"/>
      <x:c r="F161" s="55"/>
      <x:c r="G161" s="55"/>
      <x:c r="H161" s="55"/>
      <x:c r="I161" s="55"/>
      <x:c r="J161" s="55"/>
      <x:c r="K161" s="55"/>
      <x:c r="L161" s="55"/>
      <x:c r="M161" s="55"/>
      <x:c r="N161" s="37" t="str">
        <x:f>IF($A161="","",IF(OR($G161="Transactional",$H161="商品/分类页",$H161="集合页",$H161="品牌页"),"主站",IF(OR($H161="博客/榜单",$H161="博客/对比",$G161="Commercial"),"博客站C-对比评测",IF($H161="博客/场景","博客站B-人群场景",IF(OR($H161="教程/FAQ",$H161="博客/指南",$G161="Informational"),"博客站A-知识教程","暂不做")))))</x:f>
      </x:c>
      <x:c r="O161" s="37"/>
      <x:c r="P161" s="37" t="str">
        <x:f>IF($A161="","",IF($O161&lt;&gt;"",$O161,$N161))</x:f>
      </x:c>
      <x:c r="Q161" s="37" t="str">
        <x:f>IF($A161="","",IF($P161="主站","分类页/集合页/商品页",IF($P161="博客站C-对比评测",IF($H161="博客/对比","对比文","购买指南"),IF($P161="博客站B-人群场景","场景解决方案",IF($P161="博客站A-知识教程",IF($H161="教程/FAQ","教程文","价值解释文"),"暂不做")))))</x:f>
      </x:c>
      <x:c r="R161" s="37" t="str">
        <x:f>IF($A161="","",IF($Q161="分类页/集合页/商品页","不写文章",IF($Q161="暂不做","暂不做",$Q161)))</x:f>
      </x:c>
      <x:c r="S161" s="37"/>
      <x:c r="T161" s="37"/>
      <x:c r="U161" s="37"/>
      <x:c r="V161" s="37"/>
      <x:c r="W161" s="37"/>
      <x:c r="X161" s="37"/>
      <x:c r="Y161" s="37"/>
      <x:c r="Z161" s="37"/>
      <x:c r="AA161" s="37"/>
      <x:c r="AB161" s="58" t="str">
        <x:f>IF($A161="","",IF($D161&gt;=1000,15,IF($D161&gt;=300,12,IF($D161&gt;=100,9,IF($D161&gt;0,5,0)))))</x:f>
      </x:c>
      <x:c r="AC161" s="58" t="str">
        <x:f>IF($A161="","",(($I161+$J161)/10)*25)</x:f>
      </x:c>
      <x:c r="AD161" s="58" t="str">
        <x:f>IF($A161="","",(($K161+$L161)/10)*25)</x:f>
      </x:c>
      <x:c r="AE161" s="58" t="str">
        <x:f>IF($A161="","",$M161*5)</x:f>
      </x:c>
      <x:c r="AF161" s="58" t="str">
        <x:f>IF($A161="","",MAX(0,AB161+AC161+AD161-AE161))</x:f>
      </x:c>
      <x:c r="AG161" s="37" t="str">
        <x:f>IF($A161="","",IF(AF161&gt;=70,"P0",IF(AF161&gt;=55,"P1",IF(AF161&gt;=40,"P2","P3"))))</x:f>
      </x:c>
      <x:c r="AH161" s="38" t="str">
        <x:f>IF($A161="","",IF(AG161="P0","立即规划",IF(AG161="P1","进入本批内容日历",IF(AG161="P2","观察/做FAQ或长尾","暂不做或合并"))))</x:f>
      </x:c>
    </x:row>
    <x:row r="162">
      <x:c r="A162" s="36"/>
      <x:c r="B162" s="37"/>
      <x:c r="C162" s="37"/>
      <x:c r="D162" s="49"/>
      <x:c r="E162" s="52"/>
      <x:c r="F162" s="55"/>
      <x:c r="G162" s="55"/>
      <x:c r="H162" s="55"/>
      <x:c r="I162" s="55"/>
      <x:c r="J162" s="55"/>
      <x:c r="K162" s="55"/>
      <x:c r="L162" s="55"/>
      <x:c r="M162" s="55"/>
      <x:c r="N162" s="37" t="str">
        <x:f>IF($A162="","",IF(OR($G162="Transactional",$H162="商品/分类页",$H162="集合页",$H162="品牌页"),"主站",IF(OR($H162="博客/榜单",$H162="博客/对比",$G162="Commercial"),"博客站C-对比评测",IF($H162="博客/场景","博客站B-人群场景",IF(OR($H162="教程/FAQ",$H162="博客/指南",$G162="Informational"),"博客站A-知识教程","暂不做")))))</x:f>
      </x:c>
      <x:c r="O162" s="37"/>
      <x:c r="P162" s="37" t="str">
        <x:f>IF($A162="","",IF($O162&lt;&gt;"",$O162,$N162))</x:f>
      </x:c>
      <x:c r="Q162" s="37" t="str">
        <x:f>IF($A162="","",IF($P162="主站","分类页/集合页/商品页",IF($P162="博客站C-对比评测",IF($H162="博客/对比","对比文","购买指南"),IF($P162="博客站B-人群场景","场景解决方案",IF($P162="博客站A-知识教程",IF($H162="教程/FAQ","教程文","价值解释文"),"暂不做")))))</x:f>
      </x:c>
      <x:c r="R162" s="37" t="str">
        <x:f>IF($A162="","",IF($Q162="分类页/集合页/商品页","不写文章",IF($Q162="暂不做","暂不做",$Q162)))</x:f>
      </x:c>
      <x:c r="S162" s="37"/>
      <x:c r="T162" s="37"/>
      <x:c r="U162" s="37"/>
      <x:c r="V162" s="37"/>
      <x:c r="W162" s="37"/>
      <x:c r="X162" s="37"/>
      <x:c r="Y162" s="37"/>
      <x:c r="Z162" s="37"/>
      <x:c r="AA162" s="37"/>
      <x:c r="AB162" s="58" t="str">
        <x:f>IF($A162="","",IF($D162&gt;=1000,15,IF($D162&gt;=300,12,IF($D162&gt;=100,9,IF($D162&gt;0,5,0)))))</x:f>
      </x:c>
      <x:c r="AC162" s="58" t="str">
        <x:f>IF($A162="","",(($I162+$J162)/10)*25)</x:f>
      </x:c>
      <x:c r="AD162" s="58" t="str">
        <x:f>IF($A162="","",(($K162+$L162)/10)*25)</x:f>
      </x:c>
      <x:c r="AE162" s="58" t="str">
        <x:f>IF($A162="","",$M162*5)</x:f>
      </x:c>
      <x:c r="AF162" s="58" t="str">
        <x:f>IF($A162="","",MAX(0,AB162+AC162+AD162-AE162))</x:f>
      </x:c>
      <x:c r="AG162" s="37" t="str">
        <x:f>IF($A162="","",IF(AF162&gt;=70,"P0",IF(AF162&gt;=55,"P1",IF(AF162&gt;=40,"P2","P3"))))</x:f>
      </x:c>
      <x:c r="AH162" s="38" t="str">
        <x:f>IF($A162="","",IF(AG162="P0","立即规划",IF(AG162="P1","进入本批内容日历",IF(AG162="P2","观察/做FAQ或长尾","暂不做或合并"))))</x:f>
      </x:c>
    </x:row>
    <x:row r="163">
      <x:c r="A163" s="36"/>
      <x:c r="B163" s="37"/>
      <x:c r="C163" s="37"/>
      <x:c r="D163" s="49"/>
      <x:c r="E163" s="52"/>
      <x:c r="F163" s="55"/>
      <x:c r="G163" s="55"/>
      <x:c r="H163" s="55"/>
      <x:c r="I163" s="55"/>
      <x:c r="J163" s="55"/>
      <x:c r="K163" s="55"/>
      <x:c r="L163" s="55"/>
      <x:c r="M163" s="55"/>
      <x:c r="N163" s="37" t="str">
        <x:f>IF($A163="","",IF(OR($G163="Transactional",$H163="商品/分类页",$H163="集合页",$H163="品牌页"),"主站",IF(OR($H163="博客/榜单",$H163="博客/对比",$G163="Commercial"),"博客站C-对比评测",IF($H163="博客/场景","博客站B-人群场景",IF(OR($H163="教程/FAQ",$H163="博客/指南",$G163="Informational"),"博客站A-知识教程","暂不做")))))</x:f>
      </x:c>
      <x:c r="O163" s="37"/>
      <x:c r="P163" s="37" t="str">
        <x:f>IF($A163="","",IF($O163&lt;&gt;"",$O163,$N163))</x:f>
      </x:c>
      <x:c r="Q163" s="37" t="str">
        <x:f>IF($A163="","",IF($P163="主站","分类页/集合页/商品页",IF($P163="博客站C-对比评测",IF($H163="博客/对比","对比文","购买指南"),IF($P163="博客站B-人群场景","场景解决方案",IF($P163="博客站A-知识教程",IF($H163="教程/FAQ","教程文","价值解释文"),"暂不做")))))</x:f>
      </x:c>
      <x:c r="R163" s="37" t="str">
        <x:f>IF($A163="","",IF($Q163="分类页/集合页/商品页","不写文章",IF($Q163="暂不做","暂不做",$Q163)))</x:f>
      </x:c>
      <x:c r="S163" s="37"/>
      <x:c r="T163" s="37"/>
      <x:c r="U163" s="37"/>
      <x:c r="V163" s="37"/>
      <x:c r="W163" s="37"/>
      <x:c r="X163" s="37"/>
      <x:c r="Y163" s="37"/>
      <x:c r="Z163" s="37"/>
      <x:c r="AA163" s="37"/>
      <x:c r="AB163" s="58" t="str">
        <x:f>IF($A163="","",IF($D163&gt;=1000,15,IF($D163&gt;=300,12,IF($D163&gt;=100,9,IF($D163&gt;0,5,0)))))</x:f>
      </x:c>
      <x:c r="AC163" s="58" t="str">
        <x:f>IF($A163="","",(($I163+$J163)/10)*25)</x:f>
      </x:c>
      <x:c r="AD163" s="58" t="str">
        <x:f>IF($A163="","",(($K163+$L163)/10)*25)</x:f>
      </x:c>
      <x:c r="AE163" s="58" t="str">
        <x:f>IF($A163="","",$M163*5)</x:f>
      </x:c>
      <x:c r="AF163" s="58" t="str">
        <x:f>IF($A163="","",MAX(0,AB163+AC163+AD163-AE163))</x:f>
      </x:c>
      <x:c r="AG163" s="37" t="str">
        <x:f>IF($A163="","",IF(AF163&gt;=70,"P0",IF(AF163&gt;=55,"P1",IF(AF163&gt;=40,"P2","P3"))))</x:f>
      </x:c>
      <x:c r="AH163" s="38" t="str">
        <x:f>IF($A163="","",IF(AG163="P0","立即规划",IF(AG163="P1","进入本批内容日历",IF(AG163="P2","观察/做FAQ或长尾","暂不做或合并"))))</x:f>
      </x:c>
    </x:row>
    <x:row r="164">
      <x:c r="A164" s="36"/>
      <x:c r="B164" s="37"/>
      <x:c r="C164" s="37"/>
      <x:c r="D164" s="49"/>
      <x:c r="E164" s="52"/>
      <x:c r="F164" s="55"/>
      <x:c r="G164" s="55"/>
      <x:c r="H164" s="55"/>
      <x:c r="I164" s="55"/>
      <x:c r="J164" s="55"/>
      <x:c r="K164" s="55"/>
      <x:c r="L164" s="55"/>
      <x:c r="M164" s="55"/>
      <x:c r="N164" s="37" t="str">
        <x:f>IF($A164="","",IF(OR($G164="Transactional",$H164="商品/分类页",$H164="集合页",$H164="品牌页"),"主站",IF(OR($H164="博客/榜单",$H164="博客/对比",$G164="Commercial"),"博客站C-对比评测",IF($H164="博客/场景","博客站B-人群场景",IF(OR($H164="教程/FAQ",$H164="博客/指南",$G164="Informational"),"博客站A-知识教程","暂不做")))))</x:f>
      </x:c>
      <x:c r="O164" s="37"/>
      <x:c r="P164" s="37" t="str">
        <x:f>IF($A164="","",IF($O164&lt;&gt;"",$O164,$N164))</x:f>
      </x:c>
      <x:c r="Q164" s="37" t="str">
        <x:f>IF($A164="","",IF($P164="主站","分类页/集合页/商品页",IF($P164="博客站C-对比评测",IF($H164="博客/对比","对比文","购买指南"),IF($P164="博客站B-人群场景","场景解决方案",IF($P164="博客站A-知识教程",IF($H164="教程/FAQ","教程文","价值解释文"),"暂不做")))))</x:f>
      </x:c>
      <x:c r="R164" s="37" t="str">
        <x:f>IF($A164="","",IF($Q164="分类页/集合页/商品页","不写文章",IF($Q164="暂不做","暂不做",$Q164)))</x:f>
      </x:c>
      <x:c r="S164" s="37"/>
      <x:c r="T164" s="37"/>
      <x:c r="U164" s="37"/>
      <x:c r="V164" s="37"/>
      <x:c r="W164" s="37"/>
      <x:c r="X164" s="37"/>
      <x:c r="Y164" s="37"/>
      <x:c r="Z164" s="37"/>
      <x:c r="AA164" s="37"/>
      <x:c r="AB164" s="58" t="str">
        <x:f>IF($A164="","",IF($D164&gt;=1000,15,IF($D164&gt;=300,12,IF($D164&gt;=100,9,IF($D164&gt;0,5,0)))))</x:f>
      </x:c>
      <x:c r="AC164" s="58" t="str">
        <x:f>IF($A164="","",(($I164+$J164)/10)*25)</x:f>
      </x:c>
      <x:c r="AD164" s="58" t="str">
        <x:f>IF($A164="","",(($K164+$L164)/10)*25)</x:f>
      </x:c>
      <x:c r="AE164" s="58" t="str">
        <x:f>IF($A164="","",$M164*5)</x:f>
      </x:c>
      <x:c r="AF164" s="58" t="str">
        <x:f>IF($A164="","",MAX(0,AB164+AC164+AD164-AE164))</x:f>
      </x:c>
      <x:c r="AG164" s="37" t="str">
        <x:f>IF($A164="","",IF(AF164&gt;=70,"P0",IF(AF164&gt;=55,"P1",IF(AF164&gt;=40,"P2","P3"))))</x:f>
      </x:c>
      <x:c r="AH164" s="38" t="str">
        <x:f>IF($A164="","",IF(AG164="P0","立即规划",IF(AG164="P1","进入本批内容日历",IF(AG164="P2","观察/做FAQ或长尾","暂不做或合并"))))</x:f>
      </x:c>
    </x:row>
    <x:row r="165">
      <x:c r="A165" s="36"/>
      <x:c r="B165" s="37"/>
      <x:c r="C165" s="37"/>
      <x:c r="D165" s="49"/>
      <x:c r="E165" s="52"/>
      <x:c r="F165" s="55"/>
      <x:c r="G165" s="55"/>
      <x:c r="H165" s="55"/>
      <x:c r="I165" s="55"/>
      <x:c r="J165" s="55"/>
      <x:c r="K165" s="55"/>
      <x:c r="L165" s="55"/>
      <x:c r="M165" s="55"/>
      <x:c r="N165" s="37" t="str">
        <x:f>IF($A165="","",IF(OR($G165="Transactional",$H165="商品/分类页",$H165="集合页",$H165="品牌页"),"主站",IF(OR($H165="博客/榜单",$H165="博客/对比",$G165="Commercial"),"博客站C-对比评测",IF($H165="博客/场景","博客站B-人群场景",IF(OR($H165="教程/FAQ",$H165="博客/指南",$G165="Informational"),"博客站A-知识教程","暂不做")))))</x:f>
      </x:c>
      <x:c r="O165" s="37"/>
      <x:c r="P165" s="37" t="str">
        <x:f>IF($A165="","",IF($O165&lt;&gt;"",$O165,$N165))</x:f>
      </x:c>
      <x:c r="Q165" s="37" t="str">
        <x:f>IF($A165="","",IF($P165="主站","分类页/集合页/商品页",IF($P165="博客站C-对比评测",IF($H165="博客/对比","对比文","购买指南"),IF($P165="博客站B-人群场景","场景解决方案",IF($P165="博客站A-知识教程",IF($H165="教程/FAQ","教程文","价值解释文"),"暂不做")))))</x:f>
      </x:c>
      <x:c r="R165" s="37" t="str">
        <x:f>IF($A165="","",IF($Q165="分类页/集合页/商品页","不写文章",IF($Q165="暂不做","暂不做",$Q165)))</x:f>
      </x:c>
      <x:c r="S165" s="37"/>
      <x:c r="T165" s="37"/>
      <x:c r="U165" s="37"/>
      <x:c r="V165" s="37"/>
      <x:c r="W165" s="37"/>
      <x:c r="X165" s="37"/>
      <x:c r="Y165" s="37"/>
      <x:c r="Z165" s="37"/>
      <x:c r="AA165" s="37"/>
      <x:c r="AB165" s="58" t="str">
        <x:f>IF($A165="","",IF($D165&gt;=1000,15,IF($D165&gt;=300,12,IF($D165&gt;=100,9,IF($D165&gt;0,5,0)))))</x:f>
      </x:c>
      <x:c r="AC165" s="58" t="str">
        <x:f>IF($A165="","",(($I165+$J165)/10)*25)</x:f>
      </x:c>
      <x:c r="AD165" s="58" t="str">
        <x:f>IF($A165="","",(($K165+$L165)/10)*25)</x:f>
      </x:c>
      <x:c r="AE165" s="58" t="str">
        <x:f>IF($A165="","",$M165*5)</x:f>
      </x:c>
      <x:c r="AF165" s="58" t="str">
        <x:f>IF($A165="","",MAX(0,AB165+AC165+AD165-AE165))</x:f>
      </x:c>
      <x:c r="AG165" s="37" t="str">
        <x:f>IF($A165="","",IF(AF165&gt;=70,"P0",IF(AF165&gt;=55,"P1",IF(AF165&gt;=40,"P2","P3"))))</x:f>
      </x:c>
      <x:c r="AH165" s="38" t="str">
        <x:f>IF($A165="","",IF(AG165="P0","立即规划",IF(AG165="P1","进入本批内容日历",IF(AG165="P2","观察/做FAQ或长尾","暂不做或合并"))))</x:f>
      </x:c>
    </x:row>
    <x:row r="166">
      <x:c r="A166" s="36"/>
      <x:c r="B166" s="37"/>
      <x:c r="C166" s="37"/>
      <x:c r="D166" s="49"/>
      <x:c r="E166" s="52"/>
      <x:c r="F166" s="55"/>
      <x:c r="G166" s="55"/>
      <x:c r="H166" s="55"/>
      <x:c r="I166" s="55"/>
      <x:c r="J166" s="55"/>
      <x:c r="K166" s="55"/>
      <x:c r="L166" s="55"/>
      <x:c r="M166" s="55"/>
      <x:c r="N166" s="37" t="str">
        <x:f>IF($A166="","",IF(OR($G166="Transactional",$H166="商品/分类页",$H166="集合页",$H166="品牌页"),"主站",IF(OR($H166="博客/榜单",$H166="博客/对比",$G166="Commercial"),"博客站C-对比评测",IF($H166="博客/场景","博客站B-人群场景",IF(OR($H166="教程/FAQ",$H166="博客/指南",$G166="Informational"),"博客站A-知识教程","暂不做")))))</x:f>
      </x:c>
      <x:c r="O166" s="37"/>
      <x:c r="P166" s="37" t="str">
        <x:f>IF($A166="","",IF($O166&lt;&gt;"",$O166,$N166))</x:f>
      </x:c>
      <x:c r="Q166" s="37" t="str">
        <x:f>IF($A166="","",IF($P166="主站","分类页/集合页/商品页",IF($P166="博客站C-对比评测",IF($H166="博客/对比","对比文","购买指南"),IF($P166="博客站B-人群场景","场景解决方案",IF($P166="博客站A-知识教程",IF($H166="教程/FAQ","教程文","价值解释文"),"暂不做")))))</x:f>
      </x:c>
      <x:c r="R166" s="37" t="str">
        <x:f>IF($A166="","",IF($Q166="分类页/集合页/商品页","不写文章",IF($Q166="暂不做","暂不做",$Q166)))</x:f>
      </x:c>
      <x:c r="S166" s="37"/>
      <x:c r="T166" s="37"/>
      <x:c r="U166" s="37"/>
      <x:c r="V166" s="37"/>
      <x:c r="W166" s="37"/>
      <x:c r="X166" s="37"/>
      <x:c r="Y166" s="37"/>
      <x:c r="Z166" s="37"/>
      <x:c r="AA166" s="37"/>
      <x:c r="AB166" s="58" t="str">
        <x:f>IF($A166="","",IF($D166&gt;=1000,15,IF($D166&gt;=300,12,IF($D166&gt;=100,9,IF($D166&gt;0,5,0)))))</x:f>
      </x:c>
      <x:c r="AC166" s="58" t="str">
        <x:f>IF($A166="","",(($I166+$J166)/10)*25)</x:f>
      </x:c>
      <x:c r="AD166" s="58" t="str">
        <x:f>IF($A166="","",(($K166+$L166)/10)*25)</x:f>
      </x:c>
      <x:c r="AE166" s="58" t="str">
        <x:f>IF($A166="","",$M166*5)</x:f>
      </x:c>
      <x:c r="AF166" s="58" t="str">
        <x:f>IF($A166="","",MAX(0,AB166+AC166+AD166-AE166))</x:f>
      </x:c>
      <x:c r="AG166" s="37" t="str">
        <x:f>IF($A166="","",IF(AF166&gt;=70,"P0",IF(AF166&gt;=55,"P1",IF(AF166&gt;=40,"P2","P3"))))</x:f>
      </x:c>
      <x:c r="AH166" s="38" t="str">
        <x:f>IF($A166="","",IF(AG166="P0","立即规划",IF(AG166="P1","进入本批内容日历",IF(AG166="P2","观察/做FAQ或长尾","暂不做或合并"))))</x:f>
      </x:c>
    </x:row>
    <x:row r="167">
      <x:c r="A167" s="36"/>
      <x:c r="B167" s="37"/>
      <x:c r="C167" s="37"/>
      <x:c r="D167" s="49"/>
      <x:c r="E167" s="52"/>
      <x:c r="F167" s="55"/>
      <x:c r="G167" s="55"/>
      <x:c r="H167" s="55"/>
      <x:c r="I167" s="55"/>
      <x:c r="J167" s="55"/>
      <x:c r="K167" s="55"/>
      <x:c r="L167" s="55"/>
      <x:c r="M167" s="55"/>
      <x:c r="N167" s="37" t="str">
        <x:f>IF($A167="","",IF(OR($G167="Transactional",$H167="商品/分类页",$H167="集合页",$H167="品牌页"),"主站",IF(OR($H167="博客/榜单",$H167="博客/对比",$G167="Commercial"),"博客站C-对比评测",IF($H167="博客/场景","博客站B-人群场景",IF(OR($H167="教程/FAQ",$H167="博客/指南",$G167="Informational"),"博客站A-知识教程","暂不做")))))</x:f>
      </x:c>
      <x:c r="O167" s="37"/>
      <x:c r="P167" s="37" t="str">
        <x:f>IF($A167="","",IF($O167&lt;&gt;"",$O167,$N167))</x:f>
      </x:c>
      <x:c r="Q167" s="37" t="str">
        <x:f>IF($A167="","",IF($P167="主站","分类页/集合页/商品页",IF($P167="博客站C-对比评测",IF($H167="博客/对比","对比文","购买指南"),IF($P167="博客站B-人群场景","场景解决方案",IF($P167="博客站A-知识教程",IF($H167="教程/FAQ","教程文","价值解释文"),"暂不做")))))</x:f>
      </x:c>
      <x:c r="R167" s="37" t="str">
        <x:f>IF($A167="","",IF($Q167="分类页/集合页/商品页","不写文章",IF($Q167="暂不做","暂不做",$Q167)))</x:f>
      </x:c>
      <x:c r="S167" s="37"/>
      <x:c r="T167" s="37"/>
      <x:c r="U167" s="37"/>
      <x:c r="V167" s="37"/>
      <x:c r="W167" s="37"/>
      <x:c r="X167" s="37"/>
      <x:c r="Y167" s="37"/>
      <x:c r="Z167" s="37"/>
      <x:c r="AA167" s="37"/>
      <x:c r="AB167" s="58" t="str">
        <x:f>IF($A167="","",IF($D167&gt;=1000,15,IF($D167&gt;=300,12,IF($D167&gt;=100,9,IF($D167&gt;0,5,0)))))</x:f>
      </x:c>
      <x:c r="AC167" s="58" t="str">
        <x:f>IF($A167="","",(($I167+$J167)/10)*25)</x:f>
      </x:c>
      <x:c r="AD167" s="58" t="str">
        <x:f>IF($A167="","",(($K167+$L167)/10)*25)</x:f>
      </x:c>
      <x:c r="AE167" s="58" t="str">
        <x:f>IF($A167="","",$M167*5)</x:f>
      </x:c>
      <x:c r="AF167" s="58" t="str">
        <x:f>IF($A167="","",MAX(0,AB167+AC167+AD167-AE167))</x:f>
      </x:c>
      <x:c r="AG167" s="37" t="str">
        <x:f>IF($A167="","",IF(AF167&gt;=70,"P0",IF(AF167&gt;=55,"P1",IF(AF167&gt;=40,"P2","P3"))))</x:f>
      </x:c>
      <x:c r="AH167" s="38" t="str">
        <x:f>IF($A167="","",IF(AG167="P0","立即规划",IF(AG167="P1","进入本批内容日历",IF(AG167="P2","观察/做FAQ或长尾","暂不做或合并"))))</x:f>
      </x:c>
    </x:row>
    <x:row r="168">
      <x:c r="A168" s="36"/>
      <x:c r="B168" s="37"/>
      <x:c r="C168" s="37"/>
      <x:c r="D168" s="49"/>
      <x:c r="E168" s="52"/>
      <x:c r="F168" s="55"/>
      <x:c r="G168" s="55"/>
      <x:c r="H168" s="55"/>
      <x:c r="I168" s="55"/>
      <x:c r="J168" s="55"/>
      <x:c r="K168" s="55"/>
      <x:c r="L168" s="55"/>
      <x:c r="M168" s="55"/>
      <x:c r="N168" s="37" t="str">
        <x:f>IF($A168="","",IF(OR($G168="Transactional",$H168="商品/分类页",$H168="集合页",$H168="品牌页"),"主站",IF(OR($H168="博客/榜单",$H168="博客/对比",$G168="Commercial"),"博客站C-对比评测",IF($H168="博客/场景","博客站B-人群场景",IF(OR($H168="教程/FAQ",$H168="博客/指南",$G168="Informational"),"博客站A-知识教程","暂不做")))))</x:f>
      </x:c>
      <x:c r="O168" s="37"/>
      <x:c r="P168" s="37" t="str">
        <x:f>IF($A168="","",IF($O168&lt;&gt;"",$O168,$N168))</x:f>
      </x:c>
      <x:c r="Q168" s="37" t="str">
        <x:f>IF($A168="","",IF($P168="主站","分类页/集合页/商品页",IF($P168="博客站C-对比评测",IF($H168="博客/对比","对比文","购买指南"),IF($P168="博客站B-人群场景","场景解决方案",IF($P168="博客站A-知识教程",IF($H168="教程/FAQ","教程文","价值解释文"),"暂不做")))))</x:f>
      </x:c>
      <x:c r="R168" s="37" t="str">
        <x:f>IF($A168="","",IF($Q168="分类页/集合页/商品页","不写文章",IF($Q168="暂不做","暂不做",$Q168)))</x:f>
      </x:c>
      <x:c r="S168" s="37"/>
      <x:c r="T168" s="37"/>
      <x:c r="U168" s="37"/>
      <x:c r="V168" s="37"/>
      <x:c r="W168" s="37"/>
      <x:c r="X168" s="37"/>
      <x:c r="Y168" s="37"/>
      <x:c r="Z168" s="37"/>
      <x:c r="AA168" s="37"/>
      <x:c r="AB168" s="58" t="str">
        <x:f>IF($A168="","",IF($D168&gt;=1000,15,IF($D168&gt;=300,12,IF($D168&gt;=100,9,IF($D168&gt;0,5,0)))))</x:f>
      </x:c>
      <x:c r="AC168" s="58" t="str">
        <x:f>IF($A168="","",(($I168+$J168)/10)*25)</x:f>
      </x:c>
      <x:c r="AD168" s="58" t="str">
        <x:f>IF($A168="","",(($K168+$L168)/10)*25)</x:f>
      </x:c>
      <x:c r="AE168" s="58" t="str">
        <x:f>IF($A168="","",$M168*5)</x:f>
      </x:c>
      <x:c r="AF168" s="58" t="str">
        <x:f>IF($A168="","",MAX(0,AB168+AC168+AD168-AE168))</x:f>
      </x:c>
      <x:c r="AG168" s="37" t="str">
        <x:f>IF($A168="","",IF(AF168&gt;=70,"P0",IF(AF168&gt;=55,"P1",IF(AF168&gt;=40,"P2","P3"))))</x:f>
      </x:c>
      <x:c r="AH168" s="38" t="str">
        <x:f>IF($A168="","",IF(AG168="P0","立即规划",IF(AG168="P1","进入本批内容日历",IF(AG168="P2","观察/做FAQ或长尾","暂不做或合并"))))</x:f>
      </x:c>
    </x:row>
    <x:row r="169">
      <x:c r="A169" s="36"/>
      <x:c r="B169" s="37"/>
      <x:c r="C169" s="37"/>
      <x:c r="D169" s="49"/>
      <x:c r="E169" s="52"/>
      <x:c r="F169" s="55"/>
      <x:c r="G169" s="55"/>
      <x:c r="H169" s="55"/>
      <x:c r="I169" s="55"/>
      <x:c r="J169" s="55"/>
      <x:c r="K169" s="55"/>
      <x:c r="L169" s="55"/>
      <x:c r="M169" s="55"/>
      <x:c r="N169" s="37" t="str">
        <x:f>IF($A169="","",IF(OR($G169="Transactional",$H169="商品/分类页",$H169="集合页",$H169="品牌页"),"主站",IF(OR($H169="博客/榜单",$H169="博客/对比",$G169="Commercial"),"博客站C-对比评测",IF($H169="博客/场景","博客站B-人群场景",IF(OR($H169="教程/FAQ",$H169="博客/指南",$G169="Informational"),"博客站A-知识教程","暂不做")))))</x:f>
      </x:c>
      <x:c r="O169" s="37"/>
      <x:c r="P169" s="37" t="str">
        <x:f>IF($A169="","",IF($O169&lt;&gt;"",$O169,$N169))</x:f>
      </x:c>
      <x:c r="Q169" s="37" t="str">
        <x:f>IF($A169="","",IF($P169="主站","分类页/集合页/商品页",IF($P169="博客站C-对比评测",IF($H169="博客/对比","对比文","购买指南"),IF($P169="博客站B-人群场景","场景解决方案",IF($P169="博客站A-知识教程",IF($H169="教程/FAQ","教程文","价值解释文"),"暂不做")))))</x:f>
      </x:c>
      <x:c r="R169" s="37" t="str">
        <x:f>IF($A169="","",IF($Q169="分类页/集合页/商品页","不写文章",IF($Q169="暂不做","暂不做",$Q169)))</x:f>
      </x:c>
      <x:c r="S169" s="37"/>
      <x:c r="T169" s="37"/>
      <x:c r="U169" s="37"/>
      <x:c r="V169" s="37"/>
      <x:c r="W169" s="37"/>
      <x:c r="X169" s="37"/>
      <x:c r="Y169" s="37"/>
      <x:c r="Z169" s="37"/>
      <x:c r="AA169" s="37"/>
      <x:c r="AB169" s="58" t="str">
        <x:f>IF($A169="","",IF($D169&gt;=1000,15,IF($D169&gt;=300,12,IF($D169&gt;=100,9,IF($D169&gt;0,5,0)))))</x:f>
      </x:c>
      <x:c r="AC169" s="58" t="str">
        <x:f>IF($A169="","",(($I169+$J169)/10)*25)</x:f>
      </x:c>
      <x:c r="AD169" s="58" t="str">
        <x:f>IF($A169="","",(($K169+$L169)/10)*25)</x:f>
      </x:c>
      <x:c r="AE169" s="58" t="str">
        <x:f>IF($A169="","",$M169*5)</x:f>
      </x:c>
      <x:c r="AF169" s="58" t="str">
        <x:f>IF($A169="","",MAX(0,AB169+AC169+AD169-AE169))</x:f>
      </x:c>
      <x:c r="AG169" s="37" t="str">
        <x:f>IF($A169="","",IF(AF169&gt;=70,"P0",IF(AF169&gt;=55,"P1",IF(AF169&gt;=40,"P2","P3"))))</x:f>
      </x:c>
      <x:c r="AH169" s="38" t="str">
        <x:f>IF($A169="","",IF(AG169="P0","立即规划",IF(AG169="P1","进入本批内容日历",IF(AG169="P2","观察/做FAQ或长尾","暂不做或合并"))))</x:f>
      </x:c>
    </x:row>
    <x:row r="170">
      <x:c r="A170" s="36"/>
      <x:c r="B170" s="37"/>
      <x:c r="C170" s="37"/>
      <x:c r="D170" s="49"/>
      <x:c r="E170" s="52"/>
      <x:c r="F170" s="55"/>
      <x:c r="G170" s="55"/>
      <x:c r="H170" s="55"/>
      <x:c r="I170" s="55"/>
      <x:c r="J170" s="55"/>
      <x:c r="K170" s="55"/>
      <x:c r="L170" s="55"/>
      <x:c r="M170" s="55"/>
      <x:c r="N170" s="37" t="str">
        <x:f>IF($A170="","",IF(OR($G170="Transactional",$H170="商品/分类页",$H170="集合页",$H170="品牌页"),"主站",IF(OR($H170="博客/榜单",$H170="博客/对比",$G170="Commercial"),"博客站C-对比评测",IF($H170="博客/场景","博客站B-人群场景",IF(OR($H170="教程/FAQ",$H170="博客/指南",$G170="Informational"),"博客站A-知识教程","暂不做")))))</x:f>
      </x:c>
      <x:c r="O170" s="37"/>
      <x:c r="P170" s="37" t="str">
        <x:f>IF($A170="","",IF($O170&lt;&gt;"",$O170,$N170))</x:f>
      </x:c>
      <x:c r="Q170" s="37" t="str">
        <x:f>IF($A170="","",IF($P170="主站","分类页/集合页/商品页",IF($P170="博客站C-对比评测",IF($H170="博客/对比","对比文","购买指南"),IF($P170="博客站B-人群场景","场景解决方案",IF($P170="博客站A-知识教程",IF($H170="教程/FAQ","教程文","价值解释文"),"暂不做")))))</x:f>
      </x:c>
      <x:c r="R170" s="37" t="str">
        <x:f>IF($A170="","",IF($Q170="分类页/集合页/商品页","不写文章",IF($Q170="暂不做","暂不做",$Q170)))</x:f>
      </x:c>
      <x:c r="S170" s="37"/>
      <x:c r="T170" s="37"/>
      <x:c r="U170" s="37"/>
      <x:c r="V170" s="37"/>
      <x:c r="W170" s="37"/>
      <x:c r="X170" s="37"/>
      <x:c r="Y170" s="37"/>
      <x:c r="Z170" s="37"/>
      <x:c r="AA170" s="37"/>
      <x:c r="AB170" s="58" t="str">
        <x:f>IF($A170="","",IF($D170&gt;=1000,15,IF($D170&gt;=300,12,IF($D170&gt;=100,9,IF($D170&gt;0,5,0)))))</x:f>
      </x:c>
      <x:c r="AC170" s="58" t="str">
        <x:f>IF($A170="","",(($I170+$J170)/10)*25)</x:f>
      </x:c>
      <x:c r="AD170" s="58" t="str">
        <x:f>IF($A170="","",(($K170+$L170)/10)*25)</x:f>
      </x:c>
      <x:c r="AE170" s="58" t="str">
        <x:f>IF($A170="","",$M170*5)</x:f>
      </x:c>
      <x:c r="AF170" s="58" t="str">
        <x:f>IF($A170="","",MAX(0,AB170+AC170+AD170-AE170))</x:f>
      </x:c>
      <x:c r="AG170" s="37" t="str">
        <x:f>IF($A170="","",IF(AF170&gt;=70,"P0",IF(AF170&gt;=55,"P1",IF(AF170&gt;=40,"P2","P3"))))</x:f>
      </x:c>
      <x:c r="AH170" s="38" t="str">
        <x:f>IF($A170="","",IF(AG170="P0","立即规划",IF(AG170="P1","进入本批内容日历",IF(AG170="P2","观察/做FAQ或长尾","暂不做或合并"))))</x:f>
      </x:c>
    </x:row>
    <x:row r="171">
      <x:c r="A171" s="36"/>
      <x:c r="B171" s="37"/>
      <x:c r="C171" s="37"/>
      <x:c r="D171" s="49"/>
      <x:c r="E171" s="52"/>
      <x:c r="F171" s="55"/>
      <x:c r="G171" s="55"/>
      <x:c r="H171" s="55"/>
      <x:c r="I171" s="55"/>
      <x:c r="J171" s="55"/>
      <x:c r="K171" s="55"/>
      <x:c r="L171" s="55"/>
      <x:c r="M171" s="55"/>
      <x:c r="N171" s="37" t="str">
        <x:f>IF($A171="","",IF(OR($G171="Transactional",$H171="商品/分类页",$H171="集合页",$H171="品牌页"),"主站",IF(OR($H171="博客/榜单",$H171="博客/对比",$G171="Commercial"),"博客站C-对比评测",IF($H171="博客/场景","博客站B-人群场景",IF(OR($H171="教程/FAQ",$H171="博客/指南",$G171="Informational"),"博客站A-知识教程","暂不做")))))</x:f>
      </x:c>
      <x:c r="O171" s="37"/>
      <x:c r="P171" s="37" t="str">
        <x:f>IF($A171="","",IF($O171&lt;&gt;"",$O171,$N171))</x:f>
      </x:c>
      <x:c r="Q171" s="37" t="str">
        <x:f>IF($A171="","",IF($P171="主站","分类页/集合页/商品页",IF($P171="博客站C-对比评测",IF($H171="博客/对比","对比文","购买指南"),IF($P171="博客站B-人群场景","场景解决方案",IF($P171="博客站A-知识教程",IF($H171="教程/FAQ","教程文","价值解释文"),"暂不做")))))</x:f>
      </x:c>
      <x:c r="R171" s="37" t="str">
        <x:f>IF($A171="","",IF($Q171="分类页/集合页/商品页","不写文章",IF($Q171="暂不做","暂不做",$Q171)))</x:f>
      </x:c>
      <x:c r="S171" s="37"/>
      <x:c r="T171" s="37"/>
      <x:c r="U171" s="37"/>
      <x:c r="V171" s="37"/>
      <x:c r="W171" s="37"/>
      <x:c r="X171" s="37"/>
      <x:c r="Y171" s="37"/>
      <x:c r="Z171" s="37"/>
      <x:c r="AA171" s="37"/>
      <x:c r="AB171" s="58" t="str">
        <x:f>IF($A171="","",IF($D171&gt;=1000,15,IF($D171&gt;=300,12,IF($D171&gt;=100,9,IF($D171&gt;0,5,0)))))</x:f>
      </x:c>
      <x:c r="AC171" s="58" t="str">
        <x:f>IF($A171="","",(($I171+$J171)/10)*25)</x:f>
      </x:c>
      <x:c r="AD171" s="58" t="str">
        <x:f>IF($A171="","",(($K171+$L171)/10)*25)</x:f>
      </x:c>
      <x:c r="AE171" s="58" t="str">
        <x:f>IF($A171="","",$M171*5)</x:f>
      </x:c>
      <x:c r="AF171" s="58" t="str">
        <x:f>IF($A171="","",MAX(0,AB171+AC171+AD171-AE171))</x:f>
      </x:c>
      <x:c r="AG171" s="37" t="str">
        <x:f>IF($A171="","",IF(AF171&gt;=70,"P0",IF(AF171&gt;=55,"P1",IF(AF171&gt;=40,"P2","P3"))))</x:f>
      </x:c>
      <x:c r="AH171" s="38" t="str">
        <x:f>IF($A171="","",IF(AG171="P0","立即规划",IF(AG171="P1","进入本批内容日历",IF(AG171="P2","观察/做FAQ或长尾","暂不做或合并"))))</x:f>
      </x:c>
    </x:row>
    <x:row r="172">
      <x:c r="A172" s="36"/>
      <x:c r="B172" s="37"/>
      <x:c r="C172" s="37"/>
      <x:c r="D172" s="49"/>
      <x:c r="E172" s="52"/>
      <x:c r="F172" s="55"/>
      <x:c r="G172" s="55"/>
      <x:c r="H172" s="55"/>
      <x:c r="I172" s="55"/>
      <x:c r="J172" s="55"/>
      <x:c r="K172" s="55"/>
      <x:c r="L172" s="55"/>
      <x:c r="M172" s="55"/>
      <x:c r="N172" s="37" t="str">
        <x:f>IF($A172="","",IF(OR($G172="Transactional",$H172="商品/分类页",$H172="集合页",$H172="品牌页"),"主站",IF(OR($H172="博客/榜单",$H172="博客/对比",$G172="Commercial"),"博客站C-对比评测",IF($H172="博客/场景","博客站B-人群场景",IF(OR($H172="教程/FAQ",$H172="博客/指南",$G172="Informational"),"博客站A-知识教程","暂不做")))))</x:f>
      </x:c>
      <x:c r="O172" s="37"/>
      <x:c r="P172" s="37" t="str">
        <x:f>IF($A172="","",IF($O172&lt;&gt;"",$O172,$N172))</x:f>
      </x:c>
      <x:c r="Q172" s="37" t="str">
        <x:f>IF($A172="","",IF($P172="主站","分类页/集合页/商品页",IF($P172="博客站C-对比评测",IF($H172="博客/对比","对比文","购买指南"),IF($P172="博客站B-人群场景","场景解决方案",IF($P172="博客站A-知识教程",IF($H172="教程/FAQ","教程文","价值解释文"),"暂不做")))))</x:f>
      </x:c>
      <x:c r="R172" s="37" t="str">
        <x:f>IF($A172="","",IF($Q172="分类页/集合页/商品页","不写文章",IF($Q172="暂不做","暂不做",$Q172)))</x:f>
      </x:c>
      <x:c r="S172" s="37"/>
      <x:c r="T172" s="37"/>
      <x:c r="U172" s="37"/>
      <x:c r="V172" s="37"/>
      <x:c r="W172" s="37"/>
      <x:c r="X172" s="37"/>
      <x:c r="Y172" s="37"/>
      <x:c r="Z172" s="37"/>
      <x:c r="AA172" s="37"/>
      <x:c r="AB172" s="58" t="str">
        <x:f>IF($A172="","",IF($D172&gt;=1000,15,IF($D172&gt;=300,12,IF($D172&gt;=100,9,IF($D172&gt;0,5,0)))))</x:f>
      </x:c>
      <x:c r="AC172" s="58" t="str">
        <x:f>IF($A172="","",(($I172+$J172)/10)*25)</x:f>
      </x:c>
      <x:c r="AD172" s="58" t="str">
        <x:f>IF($A172="","",(($K172+$L172)/10)*25)</x:f>
      </x:c>
      <x:c r="AE172" s="58" t="str">
        <x:f>IF($A172="","",$M172*5)</x:f>
      </x:c>
      <x:c r="AF172" s="58" t="str">
        <x:f>IF($A172="","",MAX(0,AB172+AC172+AD172-AE172))</x:f>
      </x:c>
      <x:c r="AG172" s="37" t="str">
        <x:f>IF($A172="","",IF(AF172&gt;=70,"P0",IF(AF172&gt;=55,"P1",IF(AF172&gt;=40,"P2","P3"))))</x:f>
      </x:c>
      <x:c r="AH172" s="38" t="str">
        <x:f>IF($A172="","",IF(AG172="P0","立即规划",IF(AG172="P1","进入本批内容日历",IF(AG172="P2","观察/做FAQ或长尾","暂不做或合并"))))</x:f>
      </x:c>
    </x:row>
    <x:row r="173">
      <x:c r="A173" s="36"/>
      <x:c r="B173" s="37"/>
      <x:c r="C173" s="37"/>
      <x:c r="D173" s="49"/>
      <x:c r="E173" s="52"/>
      <x:c r="F173" s="55"/>
      <x:c r="G173" s="55"/>
      <x:c r="H173" s="55"/>
      <x:c r="I173" s="55"/>
      <x:c r="J173" s="55"/>
      <x:c r="K173" s="55"/>
      <x:c r="L173" s="55"/>
      <x:c r="M173" s="55"/>
      <x:c r="N173" s="37" t="str">
        <x:f>IF($A173="","",IF(OR($G173="Transactional",$H173="商品/分类页",$H173="集合页",$H173="品牌页"),"主站",IF(OR($H173="博客/榜单",$H173="博客/对比",$G173="Commercial"),"博客站C-对比评测",IF($H173="博客/场景","博客站B-人群场景",IF(OR($H173="教程/FAQ",$H173="博客/指南",$G173="Informational"),"博客站A-知识教程","暂不做")))))</x:f>
      </x:c>
      <x:c r="O173" s="37"/>
      <x:c r="P173" s="37" t="str">
        <x:f>IF($A173="","",IF($O173&lt;&gt;"",$O173,$N173))</x:f>
      </x:c>
      <x:c r="Q173" s="37" t="str">
        <x:f>IF($A173="","",IF($P173="主站","分类页/集合页/商品页",IF($P173="博客站C-对比评测",IF($H173="博客/对比","对比文","购买指南"),IF($P173="博客站B-人群场景","场景解决方案",IF($P173="博客站A-知识教程",IF($H173="教程/FAQ","教程文","价值解释文"),"暂不做")))))</x:f>
      </x:c>
      <x:c r="R173" s="37" t="str">
        <x:f>IF($A173="","",IF($Q173="分类页/集合页/商品页","不写文章",IF($Q173="暂不做","暂不做",$Q173)))</x:f>
      </x:c>
      <x:c r="S173" s="37"/>
      <x:c r="T173" s="37"/>
      <x:c r="U173" s="37"/>
      <x:c r="V173" s="37"/>
      <x:c r="W173" s="37"/>
      <x:c r="X173" s="37"/>
      <x:c r="Y173" s="37"/>
      <x:c r="Z173" s="37"/>
      <x:c r="AA173" s="37"/>
      <x:c r="AB173" s="58" t="str">
        <x:f>IF($A173="","",IF($D173&gt;=1000,15,IF($D173&gt;=300,12,IF($D173&gt;=100,9,IF($D173&gt;0,5,0)))))</x:f>
      </x:c>
      <x:c r="AC173" s="58" t="str">
        <x:f>IF($A173="","",(($I173+$J173)/10)*25)</x:f>
      </x:c>
      <x:c r="AD173" s="58" t="str">
        <x:f>IF($A173="","",(($K173+$L173)/10)*25)</x:f>
      </x:c>
      <x:c r="AE173" s="58" t="str">
        <x:f>IF($A173="","",$M173*5)</x:f>
      </x:c>
      <x:c r="AF173" s="58" t="str">
        <x:f>IF($A173="","",MAX(0,AB173+AC173+AD173-AE173))</x:f>
      </x:c>
      <x:c r="AG173" s="37" t="str">
        <x:f>IF($A173="","",IF(AF173&gt;=70,"P0",IF(AF173&gt;=55,"P1",IF(AF173&gt;=40,"P2","P3"))))</x:f>
      </x:c>
      <x:c r="AH173" s="38" t="str">
        <x:f>IF($A173="","",IF(AG173="P0","立即规划",IF(AG173="P1","进入本批内容日历",IF(AG173="P2","观察/做FAQ或长尾","暂不做或合并"))))</x:f>
      </x:c>
    </x:row>
    <x:row r="174">
      <x:c r="A174" s="36"/>
      <x:c r="B174" s="37"/>
      <x:c r="C174" s="37"/>
      <x:c r="D174" s="49"/>
      <x:c r="E174" s="52"/>
      <x:c r="F174" s="55"/>
      <x:c r="G174" s="55"/>
      <x:c r="H174" s="55"/>
      <x:c r="I174" s="55"/>
      <x:c r="J174" s="55"/>
      <x:c r="K174" s="55"/>
      <x:c r="L174" s="55"/>
      <x:c r="M174" s="55"/>
      <x:c r="N174" s="37" t="str">
        <x:f>IF($A174="","",IF(OR($G174="Transactional",$H174="商品/分类页",$H174="集合页",$H174="品牌页"),"主站",IF(OR($H174="博客/榜单",$H174="博客/对比",$G174="Commercial"),"博客站C-对比评测",IF($H174="博客/场景","博客站B-人群场景",IF(OR($H174="教程/FAQ",$H174="博客/指南",$G174="Informational"),"博客站A-知识教程","暂不做")))))</x:f>
      </x:c>
      <x:c r="O174" s="37"/>
      <x:c r="P174" s="37" t="str">
        <x:f>IF($A174="","",IF($O174&lt;&gt;"",$O174,$N174))</x:f>
      </x:c>
      <x:c r="Q174" s="37" t="str">
        <x:f>IF($A174="","",IF($P174="主站","分类页/集合页/商品页",IF($P174="博客站C-对比评测",IF($H174="博客/对比","对比文","购买指南"),IF($P174="博客站B-人群场景","场景解决方案",IF($P174="博客站A-知识教程",IF($H174="教程/FAQ","教程文","价值解释文"),"暂不做")))))</x:f>
      </x:c>
      <x:c r="R174" s="37" t="str">
        <x:f>IF($A174="","",IF($Q174="分类页/集合页/商品页","不写文章",IF($Q174="暂不做","暂不做",$Q174)))</x:f>
      </x:c>
      <x:c r="S174" s="37"/>
      <x:c r="T174" s="37"/>
      <x:c r="U174" s="37"/>
      <x:c r="V174" s="37"/>
      <x:c r="W174" s="37"/>
      <x:c r="X174" s="37"/>
      <x:c r="Y174" s="37"/>
      <x:c r="Z174" s="37"/>
      <x:c r="AA174" s="37"/>
      <x:c r="AB174" s="58" t="str">
        <x:f>IF($A174="","",IF($D174&gt;=1000,15,IF($D174&gt;=300,12,IF($D174&gt;=100,9,IF($D174&gt;0,5,0)))))</x:f>
      </x:c>
      <x:c r="AC174" s="58" t="str">
        <x:f>IF($A174="","",(($I174+$J174)/10)*25)</x:f>
      </x:c>
      <x:c r="AD174" s="58" t="str">
        <x:f>IF($A174="","",(($K174+$L174)/10)*25)</x:f>
      </x:c>
      <x:c r="AE174" s="58" t="str">
        <x:f>IF($A174="","",$M174*5)</x:f>
      </x:c>
      <x:c r="AF174" s="58" t="str">
        <x:f>IF($A174="","",MAX(0,AB174+AC174+AD174-AE174))</x:f>
      </x:c>
      <x:c r="AG174" s="37" t="str">
        <x:f>IF($A174="","",IF(AF174&gt;=70,"P0",IF(AF174&gt;=55,"P1",IF(AF174&gt;=40,"P2","P3"))))</x:f>
      </x:c>
      <x:c r="AH174" s="38" t="str">
        <x:f>IF($A174="","",IF(AG174="P0","立即规划",IF(AG174="P1","进入本批内容日历",IF(AG174="P2","观察/做FAQ或长尾","暂不做或合并"))))</x:f>
      </x:c>
    </x:row>
    <x:row r="175">
      <x:c r="A175" s="36"/>
      <x:c r="B175" s="37"/>
      <x:c r="C175" s="37"/>
      <x:c r="D175" s="49"/>
      <x:c r="E175" s="52"/>
      <x:c r="F175" s="55"/>
      <x:c r="G175" s="55"/>
      <x:c r="H175" s="55"/>
      <x:c r="I175" s="55"/>
      <x:c r="J175" s="55"/>
      <x:c r="K175" s="55"/>
      <x:c r="L175" s="55"/>
      <x:c r="M175" s="55"/>
      <x:c r="N175" s="37" t="str">
        <x:f>IF($A175="","",IF(OR($G175="Transactional",$H175="商品/分类页",$H175="集合页",$H175="品牌页"),"主站",IF(OR($H175="博客/榜单",$H175="博客/对比",$G175="Commercial"),"博客站C-对比评测",IF($H175="博客/场景","博客站B-人群场景",IF(OR($H175="教程/FAQ",$H175="博客/指南",$G175="Informational"),"博客站A-知识教程","暂不做")))))</x:f>
      </x:c>
      <x:c r="O175" s="37"/>
      <x:c r="P175" s="37" t="str">
        <x:f>IF($A175="","",IF($O175&lt;&gt;"",$O175,$N175))</x:f>
      </x:c>
      <x:c r="Q175" s="37" t="str">
        <x:f>IF($A175="","",IF($P175="主站","分类页/集合页/商品页",IF($P175="博客站C-对比评测",IF($H175="博客/对比","对比文","购买指南"),IF($P175="博客站B-人群场景","场景解决方案",IF($P175="博客站A-知识教程",IF($H175="教程/FAQ","教程文","价值解释文"),"暂不做")))))</x:f>
      </x:c>
      <x:c r="R175" s="37" t="str">
        <x:f>IF($A175="","",IF($Q175="分类页/集合页/商品页","不写文章",IF($Q175="暂不做","暂不做",$Q175)))</x:f>
      </x:c>
      <x:c r="S175" s="37"/>
      <x:c r="T175" s="37"/>
      <x:c r="U175" s="37"/>
      <x:c r="V175" s="37"/>
      <x:c r="W175" s="37"/>
      <x:c r="X175" s="37"/>
      <x:c r="Y175" s="37"/>
      <x:c r="Z175" s="37"/>
      <x:c r="AA175" s="37"/>
      <x:c r="AB175" s="58" t="str">
        <x:f>IF($A175="","",IF($D175&gt;=1000,15,IF($D175&gt;=300,12,IF($D175&gt;=100,9,IF($D175&gt;0,5,0)))))</x:f>
      </x:c>
      <x:c r="AC175" s="58" t="str">
        <x:f>IF($A175="","",(($I175+$J175)/10)*25)</x:f>
      </x:c>
      <x:c r="AD175" s="58" t="str">
        <x:f>IF($A175="","",(($K175+$L175)/10)*25)</x:f>
      </x:c>
      <x:c r="AE175" s="58" t="str">
        <x:f>IF($A175="","",$M175*5)</x:f>
      </x:c>
      <x:c r="AF175" s="58" t="str">
        <x:f>IF($A175="","",MAX(0,AB175+AC175+AD175-AE175))</x:f>
      </x:c>
      <x:c r="AG175" s="37" t="str">
        <x:f>IF($A175="","",IF(AF175&gt;=70,"P0",IF(AF175&gt;=55,"P1",IF(AF175&gt;=40,"P2","P3"))))</x:f>
      </x:c>
      <x:c r="AH175" s="38" t="str">
        <x:f>IF($A175="","",IF(AG175="P0","立即规划",IF(AG175="P1","进入本批内容日历",IF(AG175="P2","观察/做FAQ或长尾","暂不做或合并"))))</x:f>
      </x:c>
    </x:row>
    <x:row r="176">
      <x:c r="A176" s="36"/>
      <x:c r="B176" s="37"/>
      <x:c r="C176" s="37"/>
      <x:c r="D176" s="49"/>
      <x:c r="E176" s="52"/>
      <x:c r="F176" s="55"/>
      <x:c r="G176" s="55"/>
      <x:c r="H176" s="55"/>
      <x:c r="I176" s="55"/>
      <x:c r="J176" s="55"/>
      <x:c r="K176" s="55"/>
      <x:c r="L176" s="55"/>
      <x:c r="M176" s="55"/>
      <x:c r="N176" s="37" t="str">
        <x:f>IF($A176="","",IF(OR($G176="Transactional",$H176="商品/分类页",$H176="集合页",$H176="品牌页"),"主站",IF(OR($H176="博客/榜单",$H176="博客/对比",$G176="Commercial"),"博客站C-对比评测",IF($H176="博客/场景","博客站B-人群场景",IF(OR($H176="教程/FAQ",$H176="博客/指南",$G176="Informational"),"博客站A-知识教程","暂不做")))))</x:f>
      </x:c>
      <x:c r="O176" s="37"/>
      <x:c r="P176" s="37" t="str">
        <x:f>IF($A176="","",IF($O176&lt;&gt;"",$O176,$N176))</x:f>
      </x:c>
      <x:c r="Q176" s="37" t="str">
        <x:f>IF($A176="","",IF($P176="主站","分类页/集合页/商品页",IF($P176="博客站C-对比评测",IF($H176="博客/对比","对比文","购买指南"),IF($P176="博客站B-人群场景","场景解决方案",IF($P176="博客站A-知识教程",IF($H176="教程/FAQ","教程文","价值解释文"),"暂不做")))))</x:f>
      </x:c>
      <x:c r="R176" s="37" t="str">
        <x:f>IF($A176="","",IF($Q176="分类页/集合页/商品页","不写文章",IF($Q176="暂不做","暂不做",$Q176)))</x:f>
      </x:c>
      <x:c r="S176" s="37"/>
      <x:c r="T176" s="37"/>
      <x:c r="U176" s="37"/>
      <x:c r="V176" s="37"/>
      <x:c r="W176" s="37"/>
      <x:c r="X176" s="37"/>
      <x:c r="Y176" s="37"/>
      <x:c r="Z176" s="37"/>
      <x:c r="AA176" s="37"/>
      <x:c r="AB176" s="58" t="str">
        <x:f>IF($A176="","",IF($D176&gt;=1000,15,IF($D176&gt;=300,12,IF($D176&gt;=100,9,IF($D176&gt;0,5,0)))))</x:f>
      </x:c>
      <x:c r="AC176" s="58" t="str">
        <x:f>IF($A176="","",(($I176+$J176)/10)*25)</x:f>
      </x:c>
      <x:c r="AD176" s="58" t="str">
        <x:f>IF($A176="","",(($K176+$L176)/10)*25)</x:f>
      </x:c>
      <x:c r="AE176" s="58" t="str">
        <x:f>IF($A176="","",$M176*5)</x:f>
      </x:c>
      <x:c r="AF176" s="58" t="str">
        <x:f>IF($A176="","",MAX(0,AB176+AC176+AD176-AE176))</x:f>
      </x:c>
      <x:c r="AG176" s="37" t="str">
        <x:f>IF($A176="","",IF(AF176&gt;=70,"P0",IF(AF176&gt;=55,"P1",IF(AF176&gt;=40,"P2","P3"))))</x:f>
      </x:c>
      <x:c r="AH176" s="38" t="str">
        <x:f>IF($A176="","",IF(AG176="P0","立即规划",IF(AG176="P1","进入本批内容日历",IF(AG176="P2","观察/做FAQ或长尾","暂不做或合并"))))</x:f>
      </x:c>
    </x:row>
    <x:row r="177">
      <x:c r="A177" s="36"/>
      <x:c r="B177" s="37"/>
      <x:c r="C177" s="37"/>
      <x:c r="D177" s="49"/>
      <x:c r="E177" s="52"/>
      <x:c r="F177" s="55"/>
      <x:c r="G177" s="55"/>
      <x:c r="H177" s="55"/>
      <x:c r="I177" s="55"/>
      <x:c r="J177" s="55"/>
      <x:c r="K177" s="55"/>
      <x:c r="L177" s="55"/>
      <x:c r="M177" s="55"/>
      <x:c r="N177" s="37" t="str">
        <x:f>IF($A177="","",IF(OR($G177="Transactional",$H177="商品/分类页",$H177="集合页",$H177="品牌页"),"主站",IF(OR($H177="博客/榜单",$H177="博客/对比",$G177="Commercial"),"博客站C-对比评测",IF($H177="博客/场景","博客站B-人群场景",IF(OR($H177="教程/FAQ",$H177="博客/指南",$G177="Informational"),"博客站A-知识教程","暂不做")))))</x:f>
      </x:c>
      <x:c r="O177" s="37"/>
      <x:c r="P177" s="37" t="str">
        <x:f>IF($A177="","",IF($O177&lt;&gt;"",$O177,$N177))</x:f>
      </x:c>
      <x:c r="Q177" s="37" t="str">
        <x:f>IF($A177="","",IF($P177="主站","分类页/集合页/商品页",IF($P177="博客站C-对比评测",IF($H177="博客/对比","对比文","购买指南"),IF($P177="博客站B-人群场景","场景解决方案",IF($P177="博客站A-知识教程",IF($H177="教程/FAQ","教程文","价值解释文"),"暂不做")))))</x:f>
      </x:c>
      <x:c r="R177" s="37" t="str">
        <x:f>IF($A177="","",IF($Q177="分类页/集合页/商品页","不写文章",IF($Q177="暂不做","暂不做",$Q177)))</x:f>
      </x:c>
      <x:c r="S177" s="37"/>
      <x:c r="T177" s="37"/>
      <x:c r="U177" s="37"/>
      <x:c r="V177" s="37"/>
      <x:c r="W177" s="37"/>
      <x:c r="X177" s="37"/>
      <x:c r="Y177" s="37"/>
      <x:c r="Z177" s="37"/>
      <x:c r="AA177" s="37"/>
      <x:c r="AB177" s="58" t="str">
        <x:f>IF($A177="","",IF($D177&gt;=1000,15,IF($D177&gt;=300,12,IF($D177&gt;=100,9,IF($D177&gt;0,5,0)))))</x:f>
      </x:c>
      <x:c r="AC177" s="58" t="str">
        <x:f>IF($A177="","",(($I177+$J177)/10)*25)</x:f>
      </x:c>
      <x:c r="AD177" s="58" t="str">
        <x:f>IF($A177="","",(($K177+$L177)/10)*25)</x:f>
      </x:c>
      <x:c r="AE177" s="58" t="str">
        <x:f>IF($A177="","",$M177*5)</x:f>
      </x:c>
      <x:c r="AF177" s="58" t="str">
        <x:f>IF($A177="","",MAX(0,AB177+AC177+AD177-AE177))</x:f>
      </x:c>
      <x:c r="AG177" s="37" t="str">
        <x:f>IF($A177="","",IF(AF177&gt;=70,"P0",IF(AF177&gt;=55,"P1",IF(AF177&gt;=40,"P2","P3"))))</x:f>
      </x:c>
      <x:c r="AH177" s="38" t="str">
        <x:f>IF($A177="","",IF(AG177="P0","立即规划",IF(AG177="P1","进入本批内容日历",IF(AG177="P2","观察/做FAQ或长尾","暂不做或合并"))))</x:f>
      </x:c>
    </x:row>
    <x:row r="178">
      <x:c r="A178" s="36"/>
      <x:c r="B178" s="37"/>
      <x:c r="C178" s="37"/>
      <x:c r="D178" s="49"/>
      <x:c r="E178" s="52"/>
      <x:c r="F178" s="55"/>
      <x:c r="G178" s="55"/>
      <x:c r="H178" s="55"/>
      <x:c r="I178" s="55"/>
      <x:c r="J178" s="55"/>
      <x:c r="K178" s="55"/>
      <x:c r="L178" s="55"/>
      <x:c r="M178" s="55"/>
      <x:c r="N178" s="37" t="str">
        <x:f>IF($A178="","",IF(OR($G178="Transactional",$H178="商品/分类页",$H178="集合页",$H178="品牌页"),"主站",IF(OR($H178="博客/榜单",$H178="博客/对比",$G178="Commercial"),"博客站C-对比评测",IF($H178="博客/场景","博客站B-人群场景",IF(OR($H178="教程/FAQ",$H178="博客/指南",$G178="Informational"),"博客站A-知识教程","暂不做")))))</x:f>
      </x:c>
      <x:c r="O178" s="37"/>
      <x:c r="P178" s="37" t="str">
        <x:f>IF($A178="","",IF($O178&lt;&gt;"",$O178,$N178))</x:f>
      </x:c>
      <x:c r="Q178" s="37" t="str">
        <x:f>IF($A178="","",IF($P178="主站","分类页/集合页/商品页",IF($P178="博客站C-对比评测",IF($H178="博客/对比","对比文","购买指南"),IF($P178="博客站B-人群场景","场景解决方案",IF($P178="博客站A-知识教程",IF($H178="教程/FAQ","教程文","价值解释文"),"暂不做")))))</x:f>
      </x:c>
      <x:c r="R178" s="37" t="str">
        <x:f>IF($A178="","",IF($Q178="分类页/集合页/商品页","不写文章",IF($Q178="暂不做","暂不做",$Q178)))</x:f>
      </x:c>
      <x:c r="S178" s="37"/>
      <x:c r="T178" s="37"/>
      <x:c r="U178" s="37"/>
      <x:c r="V178" s="37"/>
      <x:c r="W178" s="37"/>
      <x:c r="X178" s="37"/>
      <x:c r="Y178" s="37"/>
      <x:c r="Z178" s="37"/>
      <x:c r="AA178" s="37"/>
      <x:c r="AB178" s="58" t="str">
        <x:f>IF($A178="","",IF($D178&gt;=1000,15,IF($D178&gt;=300,12,IF($D178&gt;=100,9,IF($D178&gt;0,5,0)))))</x:f>
      </x:c>
      <x:c r="AC178" s="58" t="str">
        <x:f>IF($A178="","",(($I178+$J178)/10)*25)</x:f>
      </x:c>
      <x:c r="AD178" s="58" t="str">
        <x:f>IF($A178="","",(($K178+$L178)/10)*25)</x:f>
      </x:c>
      <x:c r="AE178" s="58" t="str">
        <x:f>IF($A178="","",$M178*5)</x:f>
      </x:c>
      <x:c r="AF178" s="58" t="str">
        <x:f>IF($A178="","",MAX(0,AB178+AC178+AD178-AE178))</x:f>
      </x:c>
      <x:c r="AG178" s="37" t="str">
        <x:f>IF($A178="","",IF(AF178&gt;=70,"P0",IF(AF178&gt;=55,"P1",IF(AF178&gt;=40,"P2","P3"))))</x:f>
      </x:c>
      <x:c r="AH178" s="38" t="str">
        <x:f>IF($A178="","",IF(AG178="P0","立即规划",IF(AG178="P1","进入本批内容日历",IF(AG178="P2","观察/做FAQ或长尾","暂不做或合并"))))</x:f>
      </x:c>
    </x:row>
    <x:row r="179">
      <x:c r="A179" s="36"/>
      <x:c r="B179" s="37"/>
      <x:c r="C179" s="37"/>
      <x:c r="D179" s="49"/>
      <x:c r="E179" s="52"/>
      <x:c r="F179" s="55"/>
      <x:c r="G179" s="55"/>
      <x:c r="H179" s="55"/>
      <x:c r="I179" s="55"/>
      <x:c r="J179" s="55"/>
      <x:c r="K179" s="55"/>
      <x:c r="L179" s="55"/>
      <x:c r="M179" s="55"/>
      <x:c r="N179" s="37" t="str">
        <x:f>IF($A179="","",IF(OR($G179="Transactional",$H179="商品/分类页",$H179="集合页",$H179="品牌页"),"主站",IF(OR($H179="博客/榜单",$H179="博客/对比",$G179="Commercial"),"博客站C-对比评测",IF($H179="博客/场景","博客站B-人群场景",IF(OR($H179="教程/FAQ",$H179="博客/指南",$G179="Informational"),"博客站A-知识教程","暂不做")))))</x:f>
      </x:c>
      <x:c r="O179" s="37"/>
      <x:c r="P179" s="37" t="str">
        <x:f>IF($A179="","",IF($O179&lt;&gt;"",$O179,$N179))</x:f>
      </x:c>
      <x:c r="Q179" s="37" t="str">
        <x:f>IF($A179="","",IF($P179="主站","分类页/集合页/商品页",IF($P179="博客站C-对比评测",IF($H179="博客/对比","对比文","购买指南"),IF($P179="博客站B-人群场景","场景解决方案",IF($P179="博客站A-知识教程",IF($H179="教程/FAQ","教程文","价值解释文"),"暂不做")))))</x:f>
      </x:c>
      <x:c r="R179" s="37" t="str">
        <x:f>IF($A179="","",IF($Q179="分类页/集合页/商品页","不写文章",IF($Q179="暂不做","暂不做",$Q179)))</x:f>
      </x:c>
      <x:c r="S179" s="37"/>
      <x:c r="T179" s="37"/>
      <x:c r="U179" s="37"/>
      <x:c r="V179" s="37"/>
      <x:c r="W179" s="37"/>
      <x:c r="X179" s="37"/>
      <x:c r="Y179" s="37"/>
      <x:c r="Z179" s="37"/>
      <x:c r="AA179" s="37"/>
      <x:c r="AB179" s="58" t="str">
        <x:f>IF($A179="","",IF($D179&gt;=1000,15,IF($D179&gt;=300,12,IF($D179&gt;=100,9,IF($D179&gt;0,5,0)))))</x:f>
      </x:c>
      <x:c r="AC179" s="58" t="str">
        <x:f>IF($A179="","",(($I179+$J179)/10)*25)</x:f>
      </x:c>
      <x:c r="AD179" s="58" t="str">
        <x:f>IF($A179="","",(($K179+$L179)/10)*25)</x:f>
      </x:c>
      <x:c r="AE179" s="58" t="str">
        <x:f>IF($A179="","",$M179*5)</x:f>
      </x:c>
      <x:c r="AF179" s="58" t="str">
        <x:f>IF($A179="","",MAX(0,AB179+AC179+AD179-AE179))</x:f>
      </x:c>
      <x:c r="AG179" s="37" t="str">
        <x:f>IF($A179="","",IF(AF179&gt;=70,"P0",IF(AF179&gt;=55,"P1",IF(AF179&gt;=40,"P2","P3"))))</x:f>
      </x:c>
      <x:c r="AH179" s="38" t="str">
        <x:f>IF($A179="","",IF(AG179="P0","立即规划",IF(AG179="P1","进入本批内容日历",IF(AG179="P2","观察/做FAQ或长尾","暂不做或合并"))))</x:f>
      </x:c>
    </x:row>
    <x:row r="180">
      <x:c r="A180" s="36"/>
      <x:c r="B180" s="37"/>
      <x:c r="C180" s="37"/>
      <x:c r="D180" s="49"/>
      <x:c r="E180" s="52"/>
      <x:c r="F180" s="55"/>
      <x:c r="G180" s="55"/>
      <x:c r="H180" s="55"/>
      <x:c r="I180" s="55"/>
      <x:c r="J180" s="55"/>
      <x:c r="K180" s="55"/>
      <x:c r="L180" s="55"/>
      <x:c r="M180" s="55"/>
      <x:c r="N180" s="37" t="str">
        <x:f>IF($A180="","",IF(OR($G180="Transactional",$H180="商品/分类页",$H180="集合页",$H180="品牌页"),"主站",IF(OR($H180="博客/榜单",$H180="博客/对比",$G180="Commercial"),"博客站C-对比评测",IF($H180="博客/场景","博客站B-人群场景",IF(OR($H180="教程/FAQ",$H180="博客/指南",$G180="Informational"),"博客站A-知识教程","暂不做")))))</x:f>
      </x:c>
      <x:c r="O180" s="37"/>
      <x:c r="P180" s="37" t="str">
        <x:f>IF($A180="","",IF($O180&lt;&gt;"",$O180,$N180))</x:f>
      </x:c>
      <x:c r="Q180" s="37" t="str">
        <x:f>IF($A180="","",IF($P180="主站","分类页/集合页/商品页",IF($P180="博客站C-对比评测",IF($H180="博客/对比","对比文","购买指南"),IF($P180="博客站B-人群场景","场景解决方案",IF($P180="博客站A-知识教程",IF($H180="教程/FAQ","教程文","价值解释文"),"暂不做")))))</x:f>
      </x:c>
      <x:c r="R180" s="37" t="str">
        <x:f>IF($A180="","",IF($Q180="分类页/集合页/商品页","不写文章",IF($Q180="暂不做","暂不做",$Q180)))</x:f>
      </x:c>
      <x:c r="S180" s="37"/>
      <x:c r="T180" s="37"/>
      <x:c r="U180" s="37"/>
      <x:c r="V180" s="37"/>
      <x:c r="W180" s="37"/>
      <x:c r="X180" s="37"/>
      <x:c r="Y180" s="37"/>
      <x:c r="Z180" s="37"/>
      <x:c r="AA180" s="37"/>
      <x:c r="AB180" s="58" t="str">
        <x:f>IF($A180="","",IF($D180&gt;=1000,15,IF($D180&gt;=300,12,IF($D180&gt;=100,9,IF($D180&gt;0,5,0)))))</x:f>
      </x:c>
      <x:c r="AC180" s="58" t="str">
        <x:f>IF($A180="","",(($I180+$J180)/10)*25)</x:f>
      </x:c>
      <x:c r="AD180" s="58" t="str">
        <x:f>IF($A180="","",(($K180+$L180)/10)*25)</x:f>
      </x:c>
      <x:c r="AE180" s="58" t="str">
        <x:f>IF($A180="","",$M180*5)</x:f>
      </x:c>
      <x:c r="AF180" s="58" t="str">
        <x:f>IF($A180="","",MAX(0,AB180+AC180+AD180-AE180))</x:f>
      </x:c>
      <x:c r="AG180" s="37" t="str">
        <x:f>IF($A180="","",IF(AF180&gt;=70,"P0",IF(AF180&gt;=55,"P1",IF(AF180&gt;=40,"P2","P3"))))</x:f>
      </x:c>
      <x:c r="AH180" s="38" t="str">
        <x:f>IF($A180="","",IF(AG180="P0","立即规划",IF(AG180="P1","进入本批内容日历",IF(AG180="P2","观察/做FAQ或长尾","暂不做或合并"))))</x:f>
      </x:c>
    </x:row>
    <x:row r="181">
      <x:c r="A181" s="36"/>
      <x:c r="B181" s="37"/>
      <x:c r="C181" s="37"/>
      <x:c r="D181" s="49"/>
      <x:c r="E181" s="52"/>
      <x:c r="F181" s="55"/>
      <x:c r="G181" s="55"/>
      <x:c r="H181" s="55"/>
      <x:c r="I181" s="55"/>
      <x:c r="J181" s="55"/>
      <x:c r="K181" s="55"/>
      <x:c r="L181" s="55"/>
      <x:c r="M181" s="55"/>
      <x:c r="N181" s="37" t="str">
        <x:f>IF($A181="","",IF(OR($G181="Transactional",$H181="商品/分类页",$H181="集合页",$H181="品牌页"),"主站",IF(OR($H181="博客/榜单",$H181="博客/对比",$G181="Commercial"),"博客站C-对比评测",IF($H181="博客/场景","博客站B-人群场景",IF(OR($H181="教程/FAQ",$H181="博客/指南",$G181="Informational"),"博客站A-知识教程","暂不做")))))</x:f>
      </x:c>
      <x:c r="O181" s="37"/>
      <x:c r="P181" s="37" t="str">
        <x:f>IF($A181="","",IF($O181&lt;&gt;"",$O181,$N181))</x:f>
      </x:c>
      <x:c r="Q181" s="37" t="str">
        <x:f>IF($A181="","",IF($P181="主站","分类页/集合页/商品页",IF($P181="博客站C-对比评测",IF($H181="博客/对比","对比文","购买指南"),IF($P181="博客站B-人群场景","场景解决方案",IF($P181="博客站A-知识教程",IF($H181="教程/FAQ","教程文","价值解释文"),"暂不做")))))</x:f>
      </x:c>
      <x:c r="R181" s="37" t="str">
        <x:f>IF($A181="","",IF($Q181="分类页/集合页/商品页","不写文章",IF($Q181="暂不做","暂不做",$Q181)))</x:f>
      </x:c>
      <x:c r="S181" s="37"/>
      <x:c r="T181" s="37"/>
      <x:c r="U181" s="37"/>
      <x:c r="V181" s="37"/>
      <x:c r="W181" s="37"/>
      <x:c r="X181" s="37"/>
      <x:c r="Y181" s="37"/>
      <x:c r="Z181" s="37"/>
      <x:c r="AA181" s="37"/>
      <x:c r="AB181" s="58" t="str">
        <x:f>IF($A181="","",IF($D181&gt;=1000,15,IF($D181&gt;=300,12,IF($D181&gt;=100,9,IF($D181&gt;0,5,0)))))</x:f>
      </x:c>
      <x:c r="AC181" s="58" t="str">
        <x:f>IF($A181="","",(($I181+$J181)/10)*25)</x:f>
      </x:c>
      <x:c r="AD181" s="58" t="str">
        <x:f>IF($A181="","",(($K181+$L181)/10)*25)</x:f>
      </x:c>
      <x:c r="AE181" s="58" t="str">
        <x:f>IF($A181="","",$M181*5)</x:f>
      </x:c>
      <x:c r="AF181" s="58" t="str">
        <x:f>IF($A181="","",MAX(0,AB181+AC181+AD181-AE181))</x:f>
      </x:c>
      <x:c r="AG181" s="37" t="str">
        <x:f>IF($A181="","",IF(AF181&gt;=70,"P0",IF(AF181&gt;=55,"P1",IF(AF181&gt;=40,"P2","P3"))))</x:f>
      </x:c>
      <x:c r="AH181" s="38" t="str">
        <x:f>IF($A181="","",IF(AG181="P0","立即规划",IF(AG181="P1","进入本批内容日历",IF(AG181="P2","观察/做FAQ或长尾","暂不做或合并"))))</x:f>
      </x:c>
    </x:row>
    <x:row r="182">
      <x:c r="A182" s="36"/>
      <x:c r="B182" s="37"/>
      <x:c r="C182" s="37"/>
      <x:c r="D182" s="49"/>
      <x:c r="E182" s="52"/>
      <x:c r="F182" s="55"/>
      <x:c r="G182" s="55"/>
      <x:c r="H182" s="55"/>
      <x:c r="I182" s="55"/>
      <x:c r="J182" s="55"/>
      <x:c r="K182" s="55"/>
      <x:c r="L182" s="55"/>
      <x:c r="M182" s="55"/>
      <x:c r="N182" s="37" t="str">
        <x:f>IF($A182="","",IF(OR($G182="Transactional",$H182="商品/分类页",$H182="集合页",$H182="品牌页"),"主站",IF(OR($H182="博客/榜单",$H182="博客/对比",$G182="Commercial"),"博客站C-对比评测",IF($H182="博客/场景","博客站B-人群场景",IF(OR($H182="教程/FAQ",$H182="博客/指南",$G182="Informational"),"博客站A-知识教程","暂不做")))))</x:f>
      </x:c>
      <x:c r="O182" s="37"/>
      <x:c r="P182" s="37" t="str">
        <x:f>IF($A182="","",IF($O182&lt;&gt;"",$O182,$N182))</x:f>
      </x:c>
      <x:c r="Q182" s="37" t="str">
        <x:f>IF($A182="","",IF($P182="主站","分类页/集合页/商品页",IF($P182="博客站C-对比评测",IF($H182="博客/对比","对比文","购买指南"),IF($P182="博客站B-人群场景","场景解决方案",IF($P182="博客站A-知识教程",IF($H182="教程/FAQ","教程文","价值解释文"),"暂不做")))))</x:f>
      </x:c>
      <x:c r="R182" s="37" t="str">
        <x:f>IF($A182="","",IF($Q182="分类页/集合页/商品页","不写文章",IF($Q182="暂不做","暂不做",$Q182)))</x:f>
      </x:c>
      <x:c r="S182" s="37"/>
      <x:c r="T182" s="37"/>
      <x:c r="U182" s="37"/>
      <x:c r="V182" s="37"/>
      <x:c r="W182" s="37"/>
      <x:c r="X182" s="37"/>
      <x:c r="Y182" s="37"/>
      <x:c r="Z182" s="37"/>
      <x:c r="AA182" s="37"/>
      <x:c r="AB182" s="58" t="str">
        <x:f>IF($A182="","",IF($D182&gt;=1000,15,IF($D182&gt;=300,12,IF($D182&gt;=100,9,IF($D182&gt;0,5,0)))))</x:f>
      </x:c>
      <x:c r="AC182" s="58" t="str">
        <x:f>IF($A182="","",(($I182+$J182)/10)*25)</x:f>
      </x:c>
      <x:c r="AD182" s="58" t="str">
        <x:f>IF($A182="","",(($K182+$L182)/10)*25)</x:f>
      </x:c>
      <x:c r="AE182" s="58" t="str">
        <x:f>IF($A182="","",$M182*5)</x:f>
      </x:c>
      <x:c r="AF182" s="58" t="str">
        <x:f>IF($A182="","",MAX(0,AB182+AC182+AD182-AE182))</x:f>
      </x:c>
      <x:c r="AG182" s="37" t="str">
        <x:f>IF($A182="","",IF(AF182&gt;=70,"P0",IF(AF182&gt;=55,"P1",IF(AF182&gt;=40,"P2","P3"))))</x:f>
      </x:c>
      <x:c r="AH182" s="38" t="str">
        <x:f>IF($A182="","",IF(AG182="P0","立即规划",IF(AG182="P1","进入本批内容日历",IF(AG182="P2","观察/做FAQ或长尾","暂不做或合并"))))</x:f>
      </x:c>
    </x:row>
    <x:row r="183">
      <x:c r="A183" s="36"/>
      <x:c r="B183" s="37"/>
      <x:c r="C183" s="37"/>
      <x:c r="D183" s="49"/>
      <x:c r="E183" s="52"/>
      <x:c r="F183" s="55"/>
      <x:c r="G183" s="55"/>
      <x:c r="H183" s="55"/>
      <x:c r="I183" s="55"/>
      <x:c r="J183" s="55"/>
      <x:c r="K183" s="55"/>
      <x:c r="L183" s="55"/>
      <x:c r="M183" s="55"/>
      <x:c r="N183" s="37" t="str">
        <x:f>IF($A183="","",IF(OR($G183="Transactional",$H183="商品/分类页",$H183="集合页",$H183="品牌页"),"主站",IF(OR($H183="博客/榜单",$H183="博客/对比",$G183="Commercial"),"博客站C-对比评测",IF($H183="博客/场景","博客站B-人群场景",IF(OR($H183="教程/FAQ",$H183="博客/指南",$G183="Informational"),"博客站A-知识教程","暂不做")))))</x:f>
      </x:c>
      <x:c r="O183" s="37"/>
      <x:c r="P183" s="37" t="str">
        <x:f>IF($A183="","",IF($O183&lt;&gt;"",$O183,$N183))</x:f>
      </x:c>
      <x:c r="Q183" s="37" t="str">
        <x:f>IF($A183="","",IF($P183="主站","分类页/集合页/商品页",IF($P183="博客站C-对比评测",IF($H183="博客/对比","对比文","购买指南"),IF($P183="博客站B-人群场景","场景解决方案",IF($P183="博客站A-知识教程",IF($H183="教程/FAQ","教程文","价值解释文"),"暂不做")))))</x:f>
      </x:c>
      <x:c r="R183" s="37" t="str">
        <x:f>IF($A183="","",IF($Q183="分类页/集合页/商品页","不写文章",IF($Q183="暂不做","暂不做",$Q183)))</x:f>
      </x:c>
      <x:c r="S183" s="37"/>
      <x:c r="T183" s="37"/>
      <x:c r="U183" s="37"/>
      <x:c r="V183" s="37"/>
      <x:c r="W183" s="37"/>
      <x:c r="X183" s="37"/>
      <x:c r="Y183" s="37"/>
      <x:c r="Z183" s="37"/>
      <x:c r="AA183" s="37"/>
      <x:c r="AB183" s="58" t="str">
        <x:f>IF($A183="","",IF($D183&gt;=1000,15,IF($D183&gt;=300,12,IF($D183&gt;=100,9,IF($D183&gt;0,5,0)))))</x:f>
      </x:c>
      <x:c r="AC183" s="58" t="str">
        <x:f>IF($A183="","",(($I183+$J183)/10)*25)</x:f>
      </x:c>
      <x:c r="AD183" s="58" t="str">
        <x:f>IF($A183="","",(($K183+$L183)/10)*25)</x:f>
      </x:c>
      <x:c r="AE183" s="58" t="str">
        <x:f>IF($A183="","",$M183*5)</x:f>
      </x:c>
      <x:c r="AF183" s="58" t="str">
        <x:f>IF($A183="","",MAX(0,AB183+AC183+AD183-AE183))</x:f>
      </x:c>
      <x:c r="AG183" s="37" t="str">
        <x:f>IF($A183="","",IF(AF183&gt;=70,"P0",IF(AF183&gt;=55,"P1",IF(AF183&gt;=40,"P2","P3"))))</x:f>
      </x:c>
      <x:c r="AH183" s="38" t="str">
        <x:f>IF($A183="","",IF(AG183="P0","立即规划",IF(AG183="P1","进入本批内容日历",IF(AG183="P2","观察/做FAQ或长尾","暂不做或合并"))))</x:f>
      </x:c>
    </x:row>
    <x:row r="184">
      <x:c r="A184" s="36"/>
      <x:c r="B184" s="37"/>
      <x:c r="C184" s="37"/>
      <x:c r="D184" s="49"/>
      <x:c r="E184" s="52"/>
      <x:c r="F184" s="55"/>
      <x:c r="G184" s="55"/>
      <x:c r="H184" s="55"/>
      <x:c r="I184" s="55"/>
      <x:c r="J184" s="55"/>
      <x:c r="K184" s="55"/>
      <x:c r="L184" s="55"/>
      <x:c r="M184" s="55"/>
      <x:c r="N184" s="37" t="str">
        <x:f>IF($A184="","",IF(OR($G184="Transactional",$H184="商品/分类页",$H184="集合页",$H184="品牌页"),"主站",IF(OR($H184="博客/榜单",$H184="博客/对比",$G184="Commercial"),"博客站C-对比评测",IF($H184="博客/场景","博客站B-人群场景",IF(OR($H184="教程/FAQ",$H184="博客/指南",$G184="Informational"),"博客站A-知识教程","暂不做")))))</x:f>
      </x:c>
      <x:c r="O184" s="37"/>
      <x:c r="P184" s="37" t="str">
        <x:f>IF($A184="","",IF($O184&lt;&gt;"",$O184,$N184))</x:f>
      </x:c>
      <x:c r="Q184" s="37" t="str">
        <x:f>IF($A184="","",IF($P184="主站","分类页/集合页/商品页",IF($P184="博客站C-对比评测",IF($H184="博客/对比","对比文","购买指南"),IF($P184="博客站B-人群场景","场景解决方案",IF($P184="博客站A-知识教程",IF($H184="教程/FAQ","教程文","价值解释文"),"暂不做")))))</x:f>
      </x:c>
      <x:c r="R184" s="37" t="str">
        <x:f>IF($A184="","",IF($Q184="分类页/集合页/商品页","不写文章",IF($Q184="暂不做","暂不做",$Q184)))</x:f>
      </x:c>
      <x:c r="S184" s="37"/>
      <x:c r="T184" s="37"/>
      <x:c r="U184" s="37"/>
      <x:c r="V184" s="37"/>
      <x:c r="W184" s="37"/>
      <x:c r="X184" s="37"/>
      <x:c r="Y184" s="37"/>
      <x:c r="Z184" s="37"/>
      <x:c r="AA184" s="37"/>
      <x:c r="AB184" s="58" t="str">
        <x:f>IF($A184="","",IF($D184&gt;=1000,15,IF($D184&gt;=300,12,IF($D184&gt;=100,9,IF($D184&gt;0,5,0)))))</x:f>
      </x:c>
      <x:c r="AC184" s="58" t="str">
        <x:f>IF($A184="","",(($I184+$J184)/10)*25)</x:f>
      </x:c>
      <x:c r="AD184" s="58" t="str">
        <x:f>IF($A184="","",(($K184+$L184)/10)*25)</x:f>
      </x:c>
      <x:c r="AE184" s="58" t="str">
        <x:f>IF($A184="","",$M184*5)</x:f>
      </x:c>
      <x:c r="AF184" s="58" t="str">
        <x:f>IF($A184="","",MAX(0,AB184+AC184+AD184-AE184))</x:f>
      </x:c>
      <x:c r="AG184" s="37" t="str">
        <x:f>IF($A184="","",IF(AF184&gt;=70,"P0",IF(AF184&gt;=55,"P1",IF(AF184&gt;=40,"P2","P3"))))</x:f>
      </x:c>
      <x:c r="AH184" s="38" t="str">
        <x:f>IF($A184="","",IF(AG184="P0","立即规划",IF(AG184="P1","进入本批内容日历",IF(AG184="P2","观察/做FAQ或长尾","暂不做或合并"))))</x:f>
      </x:c>
    </x:row>
    <x:row r="185">
      <x:c r="A185" s="36"/>
      <x:c r="B185" s="37"/>
      <x:c r="C185" s="37"/>
      <x:c r="D185" s="49"/>
      <x:c r="E185" s="52"/>
      <x:c r="F185" s="55"/>
      <x:c r="G185" s="55"/>
      <x:c r="H185" s="55"/>
      <x:c r="I185" s="55"/>
      <x:c r="J185" s="55"/>
      <x:c r="K185" s="55"/>
      <x:c r="L185" s="55"/>
      <x:c r="M185" s="55"/>
      <x:c r="N185" s="37" t="str">
        <x:f>IF($A185="","",IF(OR($G185="Transactional",$H185="商品/分类页",$H185="集合页",$H185="品牌页"),"主站",IF(OR($H185="博客/榜单",$H185="博客/对比",$G185="Commercial"),"博客站C-对比评测",IF($H185="博客/场景","博客站B-人群场景",IF(OR($H185="教程/FAQ",$H185="博客/指南",$G185="Informational"),"博客站A-知识教程","暂不做")))))</x:f>
      </x:c>
      <x:c r="O185" s="37"/>
      <x:c r="P185" s="37" t="str">
        <x:f>IF($A185="","",IF($O185&lt;&gt;"",$O185,$N185))</x:f>
      </x:c>
      <x:c r="Q185" s="37" t="str">
        <x:f>IF($A185="","",IF($P185="主站","分类页/集合页/商品页",IF($P185="博客站C-对比评测",IF($H185="博客/对比","对比文","购买指南"),IF($P185="博客站B-人群场景","场景解决方案",IF($P185="博客站A-知识教程",IF($H185="教程/FAQ","教程文","价值解释文"),"暂不做")))))</x:f>
      </x:c>
      <x:c r="R185" s="37" t="str">
        <x:f>IF($A185="","",IF($Q185="分类页/集合页/商品页","不写文章",IF($Q185="暂不做","暂不做",$Q185)))</x:f>
      </x:c>
      <x:c r="S185" s="37"/>
      <x:c r="T185" s="37"/>
      <x:c r="U185" s="37"/>
      <x:c r="V185" s="37"/>
      <x:c r="W185" s="37"/>
      <x:c r="X185" s="37"/>
      <x:c r="Y185" s="37"/>
      <x:c r="Z185" s="37"/>
      <x:c r="AA185" s="37"/>
      <x:c r="AB185" s="58" t="str">
        <x:f>IF($A185="","",IF($D185&gt;=1000,15,IF($D185&gt;=300,12,IF($D185&gt;=100,9,IF($D185&gt;0,5,0)))))</x:f>
      </x:c>
      <x:c r="AC185" s="58" t="str">
        <x:f>IF($A185="","",(($I185+$J185)/10)*25)</x:f>
      </x:c>
      <x:c r="AD185" s="58" t="str">
        <x:f>IF($A185="","",(($K185+$L185)/10)*25)</x:f>
      </x:c>
      <x:c r="AE185" s="58" t="str">
        <x:f>IF($A185="","",$M185*5)</x:f>
      </x:c>
      <x:c r="AF185" s="58" t="str">
        <x:f>IF($A185="","",MAX(0,AB185+AC185+AD185-AE185))</x:f>
      </x:c>
      <x:c r="AG185" s="37" t="str">
        <x:f>IF($A185="","",IF(AF185&gt;=70,"P0",IF(AF185&gt;=55,"P1",IF(AF185&gt;=40,"P2","P3"))))</x:f>
      </x:c>
      <x:c r="AH185" s="38" t="str">
        <x:f>IF($A185="","",IF(AG185="P0","立即规划",IF(AG185="P1","进入本批内容日历",IF(AG185="P2","观察/做FAQ或长尾","暂不做或合并"))))</x:f>
      </x:c>
    </x:row>
    <x:row r="186">
      <x:c r="A186" s="36"/>
      <x:c r="B186" s="37"/>
      <x:c r="C186" s="37"/>
      <x:c r="D186" s="49"/>
      <x:c r="E186" s="52"/>
      <x:c r="F186" s="55"/>
      <x:c r="G186" s="55"/>
      <x:c r="H186" s="55"/>
      <x:c r="I186" s="55"/>
      <x:c r="J186" s="55"/>
      <x:c r="K186" s="55"/>
      <x:c r="L186" s="55"/>
      <x:c r="M186" s="55"/>
      <x:c r="N186" s="37" t="str">
        <x:f>IF($A186="","",IF(OR($G186="Transactional",$H186="商品/分类页",$H186="集合页",$H186="品牌页"),"主站",IF(OR($H186="博客/榜单",$H186="博客/对比",$G186="Commercial"),"博客站C-对比评测",IF($H186="博客/场景","博客站B-人群场景",IF(OR($H186="教程/FAQ",$H186="博客/指南",$G186="Informational"),"博客站A-知识教程","暂不做")))))</x:f>
      </x:c>
      <x:c r="O186" s="37"/>
      <x:c r="P186" s="37" t="str">
        <x:f>IF($A186="","",IF($O186&lt;&gt;"",$O186,$N186))</x:f>
      </x:c>
      <x:c r="Q186" s="37" t="str">
        <x:f>IF($A186="","",IF($P186="主站","分类页/集合页/商品页",IF($P186="博客站C-对比评测",IF($H186="博客/对比","对比文","购买指南"),IF($P186="博客站B-人群场景","场景解决方案",IF($P186="博客站A-知识教程",IF($H186="教程/FAQ","教程文","价值解释文"),"暂不做")))))</x:f>
      </x:c>
      <x:c r="R186" s="37" t="str">
        <x:f>IF($A186="","",IF($Q186="分类页/集合页/商品页","不写文章",IF($Q186="暂不做","暂不做",$Q186)))</x:f>
      </x:c>
      <x:c r="S186" s="37"/>
      <x:c r="T186" s="37"/>
      <x:c r="U186" s="37"/>
      <x:c r="V186" s="37"/>
      <x:c r="W186" s="37"/>
      <x:c r="X186" s="37"/>
      <x:c r="Y186" s="37"/>
      <x:c r="Z186" s="37"/>
      <x:c r="AA186" s="37"/>
      <x:c r="AB186" s="58" t="str">
        <x:f>IF($A186="","",IF($D186&gt;=1000,15,IF($D186&gt;=300,12,IF($D186&gt;=100,9,IF($D186&gt;0,5,0)))))</x:f>
      </x:c>
      <x:c r="AC186" s="58" t="str">
        <x:f>IF($A186="","",(($I186+$J186)/10)*25)</x:f>
      </x:c>
      <x:c r="AD186" s="58" t="str">
        <x:f>IF($A186="","",(($K186+$L186)/10)*25)</x:f>
      </x:c>
      <x:c r="AE186" s="58" t="str">
        <x:f>IF($A186="","",$M186*5)</x:f>
      </x:c>
      <x:c r="AF186" s="58" t="str">
        <x:f>IF($A186="","",MAX(0,AB186+AC186+AD186-AE186))</x:f>
      </x:c>
      <x:c r="AG186" s="37" t="str">
        <x:f>IF($A186="","",IF(AF186&gt;=70,"P0",IF(AF186&gt;=55,"P1",IF(AF186&gt;=40,"P2","P3"))))</x:f>
      </x:c>
      <x:c r="AH186" s="38" t="str">
        <x:f>IF($A186="","",IF(AG186="P0","立即规划",IF(AG186="P1","进入本批内容日历",IF(AG186="P2","观察/做FAQ或长尾","暂不做或合并"))))</x:f>
      </x:c>
    </x:row>
    <x:row r="187">
      <x:c r="A187" s="36"/>
      <x:c r="B187" s="37"/>
      <x:c r="C187" s="37"/>
      <x:c r="D187" s="49"/>
      <x:c r="E187" s="52"/>
      <x:c r="F187" s="55"/>
      <x:c r="G187" s="55"/>
      <x:c r="H187" s="55"/>
      <x:c r="I187" s="55"/>
      <x:c r="J187" s="55"/>
      <x:c r="K187" s="55"/>
      <x:c r="L187" s="55"/>
      <x:c r="M187" s="55"/>
      <x:c r="N187" s="37" t="str">
        <x:f>IF($A187="","",IF(OR($G187="Transactional",$H187="商品/分类页",$H187="集合页",$H187="品牌页"),"主站",IF(OR($H187="博客/榜单",$H187="博客/对比",$G187="Commercial"),"博客站C-对比评测",IF($H187="博客/场景","博客站B-人群场景",IF(OR($H187="教程/FAQ",$H187="博客/指南",$G187="Informational"),"博客站A-知识教程","暂不做")))))</x:f>
      </x:c>
      <x:c r="O187" s="37"/>
      <x:c r="P187" s="37" t="str">
        <x:f>IF($A187="","",IF($O187&lt;&gt;"",$O187,$N187))</x:f>
      </x:c>
      <x:c r="Q187" s="37" t="str">
        <x:f>IF($A187="","",IF($P187="主站","分类页/集合页/商品页",IF($P187="博客站C-对比评测",IF($H187="博客/对比","对比文","购买指南"),IF($P187="博客站B-人群场景","场景解决方案",IF($P187="博客站A-知识教程",IF($H187="教程/FAQ","教程文","价值解释文"),"暂不做")))))</x:f>
      </x:c>
      <x:c r="R187" s="37" t="str">
        <x:f>IF($A187="","",IF($Q187="分类页/集合页/商品页","不写文章",IF($Q187="暂不做","暂不做",$Q187)))</x:f>
      </x:c>
      <x:c r="S187" s="37"/>
      <x:c r="T187" s="37"/>
      <x:c r="U187" s="37"/>
      <x:c r="V187" s="37"/>
      <x:c r="W187" s="37"/>
      <x:c r="X187" s="37"/>
      <x:c r="Y187" s="37"/>
      <x:c r="Z187" s="37"/>
      <x:c r="AA187" s="37"/>
      <x:c r="AB187" s="58" t="str">
        <x:f>IF($A187="","",IF($D187&gt;=1000,15,IF($D187&gt;=300,12,IF($D187&gt;=100,9,IF($D187&gt;0,5,0)))))</x:f>
      </x:c>
      <x:c r="AC187" s="58" t="str">
        <x:f>IF($A187="","",(($I187+$J187)/10)*25)</x:f>
      </x:c>
      <x:c r="AD187" s="58" t="str">
        <x:f>IF($A187="","",(($K187+$L187)/10)*25)</x:f>
      </x:c>
      <x:c r="AE187" s="58" t="str">
        <x:f>IF($A187="","",$M187*5)</x:f>
      </x:c>
      <x:c r="AF187" s="58" t="str">
        <x:f>IF($A187="","",MAX(0,AB187+AC187+AD187-AE187))</x:f>
      </x:c>
      <x:c r="AG187" s="37" t="str">
        <x:f>IF($A187="","",IF(AF187&gt;=70,"P0",IF(AF187&gt;=55,"P1",IF(AF187&gt;=40,"P2","P3"))))</x:f>
      </x:c>
      <x:c r="AH187" s="38" t="str">
        <x:f>IF($A187="","",IF(AG187="P0","立即规划",IF(AG187="P1","进入本批内容日历",IF(AG187="P2","观察/做FAQ或长尾","暂不做或合并"))))</x:f>
      </x:c>
    </x:row>
    <x:row r="188">
      <x:c r="A188" s="36"/>
      <x:c r="B188" s="37"/>
      <x:c r="C188" s="37"/>
      <x:c r="D188" s="49"/>
      <x:c r="E188" s="52"/>
      <x:c r="F188" s="55"/>
      <x:c r="G188" s="55"/>
      <x:c r="H188" s="55"/>
      <x:c r="I188" s="55"/>
      <x:c r="J188" s="55"/>
      <x:c r="K188" s="55"/>
      <x:c r="L188" s="55"/>
      <x:c r="M188" s="55"/>
      <x:c r="N188" s="37" t="str">
        <x:f>IF($A188="","",IF(OR($G188="Transactional",$H188="商品/分类页",$H188="集合页",$H188="品牌页"),"主站",IF(OR($H188="博客/榜单",$H188="博客/对比",$G188="Commercial"),"博客站C-对比评测",IF($H188="博客/场景","博客站B-人群场景",IF(OR($H188="教程/FAQ",$H188="博客/指南",$G188="Informational"),"博客站A-知识教程","暂不做")))))</x:f>
      </x:c>
      <x:c r="O188" s="37"/>
      <x:c r="P188" s="37" t="str">
        <x:f>IF($A188="","",IF($O188&lt;&gt;"",$O188,$N188))</x:f>
      </x:c>
      <x:c r="Q188" s="37" t="str">
        <x:f>IF($A188="","",IF($P188="主站","分类页/集合页/商品页",IF($P188="博客站C-对比评测",IF($H188="博客/对比","对比文","购买指南"),IF($P188="博客站B-人群场景","场景解决方案",IF($P188="博客站A-知识教程",IF($H188="教程/FAQ","教程文","价值解释文"),"暂不做")))))</x:f>
      </x:c>
      <x:c r="R188" s="37" t="str">
        <x:f>IF($A188="","",IF($Q188="分类页/集合页/商品页","不写文章",IF($Q188="暂不做","暂不做",$Q188)))</x:f>
      </x:c>
      <x:c r="S188" s="37"/>
      <x:c r="T188" s="37"/>
      <x:c r="U188" s="37"/>
      <x:c r="V188" s="37"/>
      <x:c r="W188" s="37"/>
      <x:c r="X188" s="37"/>
      <x:c r="Y188" s="37"/>
      <x:c r="Z188" s="37"/>
      <x:c r="AA188" s="37"/>
      <x:c r="AB188" s="58" t="str">
        <x:f>IF($A188="","",IF($D188&gt;=1000,15,IF($D188&gt;=300,12,IF($D188&gt;=100,9,IF($D188&gt;0,5,0)))))</x:f>
      </x:c>
      <x:c r="AC188" s="58" t="str">
        <x:f>IF($A188="","",(($I188+$J188)/10)*25)</x:f>
      </x:c>
      <x:c r="AD188" s="58" t="str">
        <x:f>IF($A188="","",(($K188+$L188)/10)*25)</x:f>
      </x:c>
      <x:c r="AE188" s="58" t="str">
        <x:f>IF($A188="","",$M188*5)</x:f>
      </x:c>
      <x:c r="AF188" s="58" t="str">
        <x:f>IF($A188="","",MAX(0,AB188+AC188+AD188-AE188))</x:f>
      </x:c>
      <x:c r="AG188" s="37" t="str">
        <x:f>IF($A188="","",IF(AF188&gt;=70,"P0",IF(AF188&gt;=55,"P1",IF(AF188&gt;=40,"P2","P3"))))</x:f>
      </x:c>
      <x:c r="AH188" s="38" t="str">
        <x:f>IF($A188="","",IF(AG188="P0","立即规划",IF(AG188="P1","进入本批内容日历",IF(AG188="P2","观察/做FAQ或长尾","暂不做或合并"))))</x:f>
      </x:c>
    </x:row>
    <x:row r="189">
      <x:c r="A189" s="36"/>
      <x:c r="B189" s="37"/>
      <x:c r="C189" s="37"/>
      <x:c r="D189" s="49"/>
      <x:c r="E189" s="52"/>
      <x:c r="F189" s="55"/>
      <x:c r="G189" s="55"/>
      <x:c r="H189" s="55"/>
      <x:c r="I189" s="55"/>
      <x:c r="J189" s="55"/>
      <x:c r="K189" s="55"/>
      <x:c r="L189" s="55"/>
      <x:c r="M189" s="55"/>
      <x:c r="N189" s="37" t="str">
        <x:f>IF($A189="","",IF(OR($G189="Transactional",$H189="商品/分类页",$H189="集合页",$H189="品牌页"),"主站",IF(OR($H189="博客/榜单",$H189="博客/对比",$G189="Commercial"),"博客站C-对比评测",IF($H189="博客/场景","博客站B-人群场景",IF(OR($H189="教程/FAQ",$H189="博客/指南",$G189="Informational"),"博客站A-知识教程","暂不做")))))</x:f>
      </x:c>
      <x:c r="O189" s="37"/>
      <x:c r="P189" s="37" t="str">
        <x:f>IF($A189="","",IF($O189&lt;&gt;"",$O189,$N189))</x:f>
      </x:c>
      <x:c r="Q189" s="37" t="str">
        <x:f>IF($A189="","",IF($P189="主站","分类页/集合页/商品页",IF($P189="博客站C-对比评测",IF($H189="博客/对比","对比文","购买指南"),IF($P189="博客站B-人群场景","场景解决方案",IF($P189="博客站A-知识教程",IF($H189="教程/FAQ","教程文","价值解释文"),"暂不做")))))</x:f>
      </x:c>
      <x:c r="R189" s="37" t="str">
        <x:f>IF($A189="","",IF($Q189="分类页/集合页/商品页","不写文章",IF($Q189="暂不做","暂不做",$Q189)))</x:f>
      </x:c>
      <x:c r="S189" s="37"/>
      <x:c r="T189" s="37"/>
      <x:c r="U189" s="37"/>
      <x:c r="V189" s="37"/>
      <x:c r="W189" s="37"/>
      <x:c r="X189" s="37"/>
      <x:c r="Y189" s="37"/>
      <x:c r="Z189" s="37"/>
      <x:c r="AA189" s="37"/>
      <x:c r="AB189" s="58" t="str">
        <x:f>IF($A189="","",IF($D189&gt;=1000,15,IF($D189&gt;=300,12,IF($D189&gt;=100,9,IF($D189&gt;0,5,0)))))</x:f>
      </x:c>
      <x:c r="AC189" s="58" t="str">
        <x:f>IF($A189="","",(($I189+$J189)/10)*25)</x:f>
      </x:c>
      <x:c r="AD189" s="58" t="str">
        <x:f>IF($A189="","",(($K189+$L189)/10)*25)</x:f>
      </x:c>
      <x:c r="AE189" s="58" t="str">
        <x:f>IF($A189="","",$M189*5)</x:f>
      </x:c>
      <x:c r="AF189" s="58" t="str">
        <x:f>IF($A189="","",MAX(0,AB189+AC189+AD189-AE189))</x:f>
      </x:c>
      <x:c r="AG189" s="37" t="str">
        <x:f>IF($A189="","",IF(AF189&gt;=70,"P0",IF(AF189&gt;=55,"P1",IF(AF189&gt;=40,"P2","P3"))))</x:f>
      </x:c>
      <x:c r="AH189" s="38" t="str">
        <x:f>IF($A189="","",IF(AG189="P0","立即规划",IF(AG189="P1","进入本批内容日历",IF(AG189="P2","观察/做FAQ或长尾","暂不做或合并"))))</x:f>
      </x:c>
    </x:row>
    <x:row r="190">
      <x:c r="A190" s="36"/>
      <x:c r="B190" s="37"/>
      <x:c r="C190" s="37"/>
      <x:c r="D190" s="49"/>
      <x:c r="E190" s="52"/>
      <x:c r="F190" s="55"/>
      <x:c r="G190" s="55"/>
      <x:c r="H190" s="55"/>
      <x:c r="I190" s="55"/>
      <x:c r="J190" s="55"/>
      <x:c r="K190" s="55"/>
      <x:c r="L190" s="55"/>
      <x:c r="M190" s="55"/>
      <x:c r="N190" s="37" t="str">
        <x:f>IF($A190="","",IF(OR($G190="Transactional",$H190="商品/分类页",$H190="集合页",$H190="品牌页"),"主站",IF(OR($H190="博客/榜单",$H190="博客/对比",$G190="Commercial"),"博客站C-对比评测",IF($H190="博客/场景","博客站B-人群场景",IF(OR($H190="教程/FAQ",$H190="博客/指南",$G190="Informational"),"博客站A-知识教程","暂不做")))))</x:f>
      </x:c>
      <x:c r="O190" s="37"/>
      <x:c r="P190" s="37" t="str">
        <x:f>IF($A190="","",IF($O190&lt;&gt;"",$O190,$N190))</x:f>
      </x:c>
      <x:c r="Q190" s="37" t="str">
        <x:f>IF($A190="","",IF($P190="主站","分类页/集合页/商品页",IF($P190="博客站C-对比评测",IF($H190="博客/对比","对比文","购买指南"),IF($P190="博客站B-人群场景","场景解决方案",IF($P190="博客站A-知识教程",IF($H190="教程/FAQ","教程文","价值解释文"),"暂不做")))))</x:f>
      </x:c>
      <x:c r="R190" s="37" t="str">
        <x:f>IF($A190="","",IF($Q190="分类页/集合页/商品页","不写文章",IF($Q190="暂不做","暂不做",$Q190)))</x:f>
      </x:c>
      <x:c r="S190" s="37"/>
      <x:c r="T190" s="37"/>
      <x:c r="U190" s="37"/>
      <x:c r="V190" s="37"/>
      <x:c r="W190" s="37"/>
      <x:c r="X190" s="37"/>
      <x:c r="Y190" s="37"/>
      <x:c r="Z190" s="37"/>
      <x:c r="AA190" s="37"/>
      <x:c r="AB190" s="58" t="str">
        <x:f>IF($A190="","",IF($D190&gt;=1000,15,IF($D190&gt;=300,12,IF($D190&gt;=100,9,IF($D190&gt;0,5,0)))))</x:f>
      </x:c>
      <x:c r="AC190" s="58" t="str">
        <x:f>IF($A190="","",(($I190+$J190)/10)*25)</x:f>
      </x:c>
      <x:c r="AD190" s="58" t="str">
        <x:f>IF($A190="","",(($K190+$L190)/10)*25)</x:f>
      </x:c>
      <x:c r="AE190" s="58" t="str">
        <x:f>IF($A190="","",$M190*5)</x:f>
      </x:c>
      <x:c r="AF190" s="58" t="str">
        <x:f>IF($A190="","",MAX(0,AB190+AC190+AD190-AE190))</x:f>
      </x:c>
      <x:c r="AG190" s="37" t="str">
        <x:f>IF($A190="","",IF(AF190&gt;=70,"P0",IF(AF190&gt;=55,"P1",IF(AF190&gt;=40,"P2","P3"))))</x:f>
      </x:c>
      <x:c r="AH190" s="38" t="str">
        <x:f>IF($A190="","",IF(AG190="P0","立即规划",IF(AG190="P1","进入本批内容日历",IF(AG190="P2","观察/做FAQ或长尾","暂不做或合并"))))</x:f>
      </x:c>
    </x:row>
    <x:row r="191">
      <x:c r="A191" s="36"/>
      <x:c r="B191" s="37"/>
      <x:c r="C191" s="37"/>
      <x:c r="D191" s="49"/>
      <x:c r="E191" s="52"/>
      <x:c r="F191" s="55"/>
      <x:c r="G191" s="55"/>
      <x:c r="H191" s="55"/>
      <x:c r="I191" s="55"/>
      <x:c r="J191" s="55"/>
      <x:c r="K191" s="55"/>
      <x:c r="L191" s="55"/>
      <x:c r="M191" s="55"/>
      <x:c r="N191" s="37" t="str">
        <x:f>IF($A191="","",IF(OR($G191="Transactional",$H191="商品/分类页",$H191="集合页",$H191="品牌页"),"主站",IF(OR($H191="博客/榜单",$H191="博客/对比",$G191="Commercial"),"博客站C-对比评测",IF($H191="博客/场景","博客站B-人群场景",IF(OR($H191="教程/FAQ",$H191="博客/指南",$G191="Informational"),"博客站A-知识教程","暂不做")))))</x:f>
      </x:c>
      <x:c r="O191" s="37"/>
      <x:c r="P191" s="37" t="str">
        <x:f>IF($A191="","",IF($O191&lt;&gt;"",$O191,$N191))</x:f>
      </x:c>
      <x:c r="Q191" s="37" t="str">
        <x:f>IF($A191="","",IF($P191="主站","分类页/集合页/商品页",IF($P191="博客站C-对比评测",IF($H191="博客/对比","对比文","购买指南"),IF($P191="博客站B-人群场景","场景解决方案",IF($P191="博客站A-知识教程",IF($H191="教程/FAQ","教程文","价值解释文"),"暂不做")))))</x:f>
      </x:c>
      <x:c r="R191" s="37" t="str">
        <x:f>IF($A191="","",IF($Q191="分类页/集合页/商品页","不写文章",IF($Q191="暂不做","暂不做",$Q191)))</x:f>
      </x:c>
      <x:c r="S191" s="37"/>
      <x:c r="T191" s="37"/>
      <x:c r="U191" s="37"/>
      <x:c r="V191" s="37"/>
      <x:c r="W191" s="37"/>
      <x:c r="X191" s="37"/>
      <x:c r="Y191" s="37"/>
      <x:c r="Z191" s="37"/>
      <x:c r="AA191" s="37"/>
      <x:c r="AB191" s="58" t="str">
        <x:f>IF($A191="","",IF($D191&gt;=1000,15,IF($D191&gt;=300,12,IF($D191&gt;=100,9,IF($D191&gt;0,5,0)))))</x:f>
      </x:c>
      <x:c r="AC191" s="58" t="str">
        <x:f>IF($A191="","",(($I191+$J191)/10)*25)</x:f>
      </x:c>
      <x:c r="AD191" s="58" t="str">
        <x:f>IF($A191="","",(($K191+$L191)/10)*25)</x:f>
      </x:c>
      <x:c r="AE191" s="58" t="str">
        <x:f>IF($A191="","",$M191*5)</x:f>
      </x:c>
      <x:c r="AF191" s="58" t="str">
        <x:f>IF($A191="","",MAX(0,AB191+AC191+AD191-AE191))</x:f>
      </x:c>
      <x:c r="AG191" s="37" t="str">
        <x:f>IF($A191="","",IF(AF191&gt;=70,"P0",IF(AF191&gt;=55,"P1",IF(AF191&gt;=40,"P2","P3"))))</x:f>
      </x:c>
      <x:c r="AH191" s="38" t="str">
        <x:f>IF($A191="","",IF(AG191="P0","立即规划",IF(AG191="P1","进入本批内容日历",IF(AG191="P2","观察/做FAQ或长尾","暂不做或合并"))))</x:f>
      </x:c>
    </x:row>
    <x:row r="192">
      <x:c r="A192" s="36"/>
      <x:c r="B192" s="37"/>
      <x:c r="C192" s="37"/>
      <x:c r="D192" s="49"/>
      <x:c r="E192" s="52"/>
      <x:c r="F192" s="55"/>
      <x:c r="G192" s="55"/>
      <x:c r="H192" s="55"/>
      <x:c r="I192" s="55"/>
      <x:c r="J192" s="55"/>
      <x:c r="K192" s="55"/>
      <x:c r="L192" s="55"/>
      <x:c r="M192" s="55"/>
      <x:c r="N192" s="37" t="str">
        <x:f>IF($A192="","",IF(OR($G192="Transactional",$H192="商品/分类页",$H192="集合页",$H192="品牌页"),"主站",IF(OR($H192="博客/榜单",$H192="博客/对比",$G192="Commercial"),"博客站C-对比评测",IF($H192="博客/场景","博客站B-人群场景",IF(OR($H192="教程/FAQ",$H192="博客/指南",$G192="Informational"),"博客站A-知识教程","暂不做")))))</x:f>
      </x:c>
      <x:c r="O192" s="37"/>
      <x:c r="P192" s="37" t="str">
        <x:f>IF($A192="","",IF($O192&lt;&gt;"",$O192,$N192))</x:f>
      </x:c>
      <x:c r="Q192" s="37" t="str">
        <x:f>IF($A192="","",IF($P192="主站","分类页/集合页/商品页",IF($P192="博客站C-对比评测",IF($H192="博客/对比","对比文","购买指南"),IF($P192="博客站B-人群场景","场景解决方案",IF($P192="博客站A-知识教程",IF($H192="教程/FAQ","教程文","价值解释文"),"暂不做")))))</x:f>
      </x:c>
      <x:c r="R192" s="37" t="str">
        <x:f>IF($A192="","",IF($Q192="分类页/集合页/商品页","不写文章",IF($Q192="暂不做","暂不做",$Q192)))</x:f>
      </x:c>
      <x:c r="S192" s="37"/>
      <x:c r="T192" s="37"/>
      <x:c r="U192" s="37"/>
      <x:c r="V192" s="37"/>
      <x:c r="W192" s="37"/>
      <x:c r="X192" s="37"/>
      <x:c r="Y192" s="37"/>
      <x:c r="Z192" s="37"/>
      <x:c r="AA192" s="37"/>
      <x:c r="AB192" s="58" t="str">
        <x:f>IF($A192="","",IF($D192&gt;=1000,15,IF($D192&gt;=300,12,IF($D192&gt;=100,9,IF($D192&gt;0,5,0)))))</x:f>
      </x:c>
      <x:c r="AC192" s="58" t="str">
        <x:f>IF($A192="","",(($I192+$J192)/10)*25)</x:f>
      </x:c>
      <x:c r="AD192" s="58" t="str">
        <x:f>IF($A192="","",(($K192+$L192)/10)*25)</x:f>
      </x:c>
      <x:c r="AE192" s="58" t="str">
        <x:f>IF($A192="","",$M192*5)</x:f>
      </x:c>
      <x:c r="AF192" s="58" t="str">
        <x:f>IF($A192="","",MAX(0,AB192+AC192+AD192-AE192))</x:f>
      </x:c>
      <x:c r="AG192" s="37" t="str">
        <x:f>IF($A192="","",IF(AF192&gt;=70,"P0",IF(AF192&gt;=55,"P1",IF(AF192&gt;=40,"P2","P3"))))</x:f>
      </x:c>
      <x:c r="AH192" s="38" t="str">
        <x:f>IF($A192="","",IF(AG192="P0","立即规划",IF(AG192="P1","进入本批内容日历",IF(AG192="P2","观察/做FAQ或长尾","暂不做或合并"))))</x:f>
      </x:c>
    </x:row>
    <x:row r="193">
      <x:c r="A193" s="36"/>
      <x:c r="B193" s="37"/>
      <x:c r="C193" s="37"/>
      <x:c r="D193" s="49"/>
      <x:c r="E193" s="52"/>
      <x:c r="F193" s="55"/>
      <x:c r="G193" s="55"/>
      <x:c r="H193" s="55"/>
      <x:c r="I193" s="55"/>
      <x:c r="J193" s="55"/>
      <x:c r="K193" s="55"/>
      <x:c r="L193" s="55"/>
      <x:c r="M193" s="55"/>
      <x:c r="N193" s="37" t="str">
        <x:f>IF($A193="","",IF(OR($G193="Transactional",$H193="商品/分类页",$H193="集合页",$H193="品牌页"),"主站",IF(OR($H193="博客/榜单",$H193="博客/对比",$G193="Commercial"),"博客站C-对比评测",IF($H193="博客/场景","博客站B-人群场景",IF(OR($H193="教程/FAQ",$H193="博客/指南",$G193="Informational"),"博客站A-知识教程","暂不做")))))</x:f>
      </x:c>
      <x:c r="O193" s="37"/>
      <x:c r="P193" s="37" t="str">
        <x:f>IF($A193="","",IF($O193&lt;&gt;"",$O193,$N193))</x:f>
      </x:c>
      <x:c r="Q193" s="37" t="str">
        <x:f>IF($A193="","",IF($P193="主站","分类页/集合页/商品页",IF($P193="博客站C-对比评测",IF($H193="博客/对比","对比文","购买指南"),IF($P193="博客站B-人群场景","场景解决方案",IF($P193="博客站A-知识教程",IF($H193="教程/FAQ","教程文","价值解释文"),"暂不做")))))</x:f>
      </x:c>
      <x:c r="R193" s="37" t="str">
        <x:f>IF($A193="","",IF($Q193="分类页/集合页/商品页","不写文章",IF($Q193="暂不做","暂不做",$Q193)))</x:f>
      </x:c>
      <x:c r="S193" s="37"/>
      <x:c r="T193" s="37"/>
      <x:c r="U193" s="37"/>
      <x:c r="V193" s="37"/>
      <x:c r="W193" s="37"/>
      <x:c r="X193" s="37"/>
      <x:c r="Y193" s="37"/>
      <x:c r="Z193" s="37"/>
      <x:c r="AA193" s="37"/>
      <x:c r="AB193" s="58" t="str">
        <x:f>IF($A193="","",IF($D193&gt;=1000,15,IF($D193&gt;=300,12,IF($D193&gt;=100,9,IF($D193&gt;0,5,0)))))</x:f>
      </x:c>
      <x:c r="AC193" s="58" t="str">
        <x:f>IF($A193="","",(($I193+$J193)/10)*25)</x:f>
      </x:c>
      <x:c r="AD193" s="58" t="str">
        <x:f>IF($A193="","",(($K193+$L193)/10)*25)</x:f>
      </x:c>
      <x:c r="AE193" s="58" t="str">
        <x:f>IF($A193="","",$M193*5)</x:f>
      </x:c>
      <x:c r="AF193" s="58" t="str">
        <x:f>IF($A193="","",MAX(0,AB193+AC193+AD193-AE193))</x:f>
      </x:c>
      <x:c r="AG193" s="37" t="str">
        <x:f>IF($A193="","",IF(AF193&gt;=70,"P0",IF(AF193&gt;=55,"P1",IF(AF193&gt;=40,"P2","P3"))))</x:f>
      </x:c>
      <x:c r="AH193" s="38" t="str">
        <x:f>IF($A193="","",IF(AG193="P0","立即规划",IF(AG193="P1","进入本批内容日历",IF(AG193="P2","观察/做FAQ或长尾","暂不做或合并"))))</x:f>
      </x:c>
    </x:row>
    <x:row r="194">
      <x:c r="A194" s="36"/>
      <x:c r="B194" s="37"/>
      <x:c r="C194" s="37"/>
      <x:c r="D194" s="49"/>
      <x:c r="E194" s="52"/>
      <x:c r="F194" s="55"/>
      <x:c r="G194" s="55"/>
      <x:c r="H194" s="55"/>
      <x:c r="I194" s="55"/>
      <x:c r="J194" s="55"/>
      <x:c r="K194" s="55"/>
      <x:c r="L194" s="55"/>
      <x:c r="M194" s="55"/>
      <x:c r="N194" s="37" t="str">
        <x:f>IF($A194="","",IF(OR($G194="Transactional",$H194="商品/分类页",$H194="集合页",$H194="品牌页"),"主站",IF(OR($H194="博客/榜单",$H194="博客/对比",$G194="Commercial"),"博客站C-对比评测",IF($H194="博客/场景","博客站B-人群场景",IF(OR($H194="教程/FAQ",$H194="博客/指南",$G194="Informational"),"博客站A-知识教程","暂不做")))))</x:f>
      </x:c>
      <x:c r="O194" s="37"/>
      <x:c r="P194" s="37" t="str">
        <x:f>IF($A194="","",IF($O194&lt;&gt;"",$O194,$N194))</x:f>
      </x:c>
      <x:c r="Q194" s="37" t="str">
        <x:f>IF($A194="","",IF($P194="主站","分类页/集合页/商品页",IF($P194="博客站C-对比评测",IF($H194="博客/对比","对比文","购买指南"),IF($P194="博客站B-人群场景","场景解决方案",IF($P194="博客站A-知识教程",IF($H194="教程/FAQ","教程文","价值解释文"),"暂不做")))))</x:f>
      </x:c>
      <x:c r="R194" s="37" t="str">
        <x:f>IF($A194="","",IF($Q194="分类页/集合页/商品页","不写文章",IF($Q194="暂不做","暂不做",$Q194)))</x:f>
      </x:c>
      <x:c r="S194" s="37"/>
      <x:c r="T194" s="37"/>
      <x:c r="U194" s="37"/>
      <x:c r="V194" s="37"/>
      <x:c r="W194" s="37"/>
      <x:c r="X194" s="37"/>
      <x:c r="Y194" s="37"/>
      <x:c r="Z194" s="37"/>
      <x:c r="AA194" s="37"/>
      <x:c r="AB194" s="58" t="str">
        <x:f>IF($A194="","",IF($D194&gt;=1000,15,IF($D194&gt;=300,12,IF($D194&gt;=100,9,IF($D194&gt;0,5,0)))))</x:f>
      </x:c>
      <x:c r="AC194" s="58" t="str">
        <x:f>IF($A194="","",(($I194+$J194)/10)*25)</x:f>
      </x:c>
      <x:c r="AD194" s="58" t="str">
        <x:f>IF($A194="","",(($K194+$L194)/10)*25)</x:f>
      </x:c>
      <x:c r="AE194" s="58" t="str">
        <x:f>IF($A194="","",$M194*5)</x:f>
      </x:c>
      <x:c r="AF194" s="58" t="str">
        <x:f>IF($A194="","",MAX(0,AB194+AC194+AD194-AE194))</x:f>
      </x:c>
      <x:c r="AG194" s="37" t="str">
        <x:f>IF($A194="","",IF(AF194&gt;=70,"P0",IF(AF194&gt;=55,"P1",IF(AF194&gt;=40,"P2","P3"))))</x:f>
      </x:c>
      <x:c r="AH194" s="38" t="str">
        <x:f>IF($A194="","",IF(AG194="P0","立即规划",IF(AG194="P1","进入本批内容日历",IF(AG194="P2","观察/做FAQ或长尾","暂不做或合并"))))</x:f>
      </x:c>
    </x:row>
    <x:row r="195">
      <x:c r="A195" s="36"/>
      <x:c r="B195" s="37"/>
      <x:c r="C195" s="37"/>
      <x:c r="D195" s="49"/>
      <x:c r="E195" s="52"/>
      <x:c r="F195" s="55"/>
      <x:c r="G195" s="55"/>
      <x:c r="H195" s="55"/>
      <x:c r="I195" s="55"/>
      <x:c r="J195" s="55"/>
      <x:c r="K195" s="55"/>
      <x:c r="L195" s="55"/>
      <x:c r="M195" s="55"/>
      <x:c r="N195" s="37" t="str">
        <x:f>IF($A195="","",IF(OR($G195="Transactional",$H195="商品/分类页",$H195="集合页",$H195="品牌页"),"主站",IF(OR($H195="博客/榜单",$H195="博客/对比",$G195="Commercial"),"博客站C-对比评测",IF($H195="博客/场景","博客站B-人群场景",IF(OR($H195="教程/FAQ",$H195="博客/指南",$G195="Informational"),"博客站A-知识教程","暂不做")))))</x:f>
      </x:c>
      <x:c r="O195" s="37"/>
      <x:c r="P195" s="37" t="str">
        <x:f>IF($A195="","",IF($O195&lt;&gt;"",$O195,$N195))</x:f>
      </x:c>
      <x:c r="Q195" s="37" t="str">
        <x:f>IF($A195="","",IF($P195="主站","分类页/集合页/商品页",IF($P195="博客站C-对比评测",IF($H195="博客/对比","对比文","购买指南"),IF($P195="博客站B-人群场景","场景解决方案",IF($P195="博客站A-知识教程",IF($H195="教程/FAQ","教程文","价值解释文"),"暂不做")))))</x:f>
      </x:c>
      <x:c r="R195" s="37" t="str">
        <x:f>IF($A195="","",IF($Q195="分类页/集合页/商品页","不写文章",IF($Q195="暂不做","暂不做",$Q195)))</x:f>
      </x:c>
      <x:c r="S195" s="37"/>
      <x:c r="T195" s="37"/>
      <x:c r="U195" s="37"/>
      <x:c r="V195" s="37"/>
      <x:c r="W195" s="37"/>
      <x:c r="X195" s="37"/>
      <x:c r="Y195" s="37"/>
      <x:c r="Z195" s="37"/>
      <x:c r="AA195" s="37"/>
      <x:c r="AB195" s="58" t="str">
        <x:f>IF($A195="","",IF($D195&gt;=1000,15,IF($D195&gt;=300,12,IF($D195&gt;=100,9,IF($D195&gt;0,5,0)))))</x:f>
      </x:c>
      <x:c r="AC195" s="58" t="str">
        <x:f>IF($A195="","",(($I195+$J195)/10)*25)</x:f>
      </x:c>
      <x:c r="AD195" s="58" t="str">
        <x:f>IF($A195="","",(($K195+$L195)/10)*25)</x:f>
      </x:c>
      <x:c r="AE195" s="58" t="str">
        <x:f>IF($A195="","",$M195*5)</x:f>
      </x:c>
      <x:c r="AF195" s="58" t="str">
        <x:f>IF($A195="","",MAX(0,AB195+AC195+AD195-AE195))</x:f>
      </x:c>
      <x:c r="AG195" s="37" t="str">
        <x:f>IF($A195="","",IF(AF195&gt;=70,"P0",IF(AF195&gt;=55,"P1",IF(AF195&gt;=40,"P2","P3"))))</x:f>
      </x:c>
      <x:c r="AH195" s="38" t="str">
        <x:f>IF($A195="","",IF(AG195="P0","立即规划",IF(AG195="P1","进入本批内容日历",IF(AG195="P2","观察/做FAQ或长尾","暂不做或合并"))))</x:f>
      </x:c>
    </x:row>
    <x:row r="196">
      <x:c r="A196" s="36"/>
      <x:c r="B196" s="37"/>
      <x:c r="C196" s="37"/>
      <x:c r="D196" s="49"/>
      <x:c r="E196" s="52"/>
      <x:c r="F196" s="55"/>
      <x:c r="G196" s="55"/>
      <x:c r="H196" s="55"/>
      <x:c r="I196" s="55"/>
      <x:c r="J196" s="55"/>
      <x:c r="K196" s="55"/>
      <x:c r="L196" s="55"/>
      <x:c r="M196" s="55"/>
      <x:c r="N196" s="37" t="str">
        <x:f>IF($A196="","",IF(OR($G196="Transactional",$H196="商品/分类页",$H196="集合页",$H196="品牌页"),"主站",IF(OR($H196="博客/榜单",$H196="博客/对比",$G196="Commercial"),"博客站C-对比评测",IF($H196="博客/场景","博客站B-人群场景",IF(OR($H196="教程/FAQ",$H196="博客/指南",$G196="Informational"),"博客站A-知识教程","暂不做")))))</x:f>
      </x:c>
      <x:c r="O196" s="37"/>
      <x:c r="P196" s="37" t="str">
        <x:f>IF($A196="","",IF($O196&lt;&gt;"",$O196,$N196))</x:f>
      </x:c>
      <x:c r="Q196" s="37" t="str">
        <x:f>IF($A196="","",IF($P196="主站","分类页/集合页/商品页",IF($P196="博客站C-对比评测",IF($H196="博客/对比","对比文","购买指南"),IF($P196="博客站B-人群场景","场景解决方案",IF($P196="博客站A-知识教程",IF($H196="教程/FAQ","教程文","价值解释文"),"暂不做")))))</x:f>
      </x:c>
      <x:c r="R196" s="37" t="str">
        <x:f>IF($A196="","",IF($Q196="分类页/集合页/商品页","不写文章",IF($Q196="暂不做","暂不做",$Q196)))</x:f>
      </x:c>
      <x:c r="S196" s="37"/>
      <x:c r="T196" s="37"/>
      <x:c r="U196" s="37"/>
      <x:c r="V196" s="37"/>
      <x:c r="W196" s="37"/>
      <x:c r="X196" s="37"/>
      <x:c r="Y196" s="37"/>
      <x:c r="Z196" s="37"/>
      <x:c r="AA196" s="37"/>
      <x:c r="AB196" s="58" t="str">
        <x:f>IF($A196="","",IF($D196&gt;=1000,15,IF($D196&gt;=300,12,IF($D196&gt;=100,9,IF($D196&gt;0,5,0)))))</x:f>
      </x:c>
      <x:c r="AC196" s="58" t="str">
        <x:f>IF($A196="","",(($I196+$J196)/10)*25)</x:f>
      </x:c>
      <x:c r="AD196" s="58" t="str">
        <x:f>IF($A196="","",(($K196+$L196)/10)*25)</x:f>
      </x:c>
      <x:c r="AE196" s="58" t="str">
        <x:f>IF($A196="","",$M196*5)</x:f>
      </x:c>
      <x:c r="AF196" s="58" t="str">
        <x:f>IF($A196="","",MAX(0,AB196+AC196+AD196-AE196))</x:f>
      </x:c>
      <x:c r="AG196" s="37" t="str">
        <x:f>IF($A196="","",IF(AF196&gt;=70,"P0",IF(AF196&gt;=55,"P1",IF(AF196&gt;=40,"P2","P3"))))</x:f>
      </x:c>
      <x:c r="AH196" s="38" t="str">
        <x:f>IF($A196="","",IF(AG196="P0","立即规划",IF(AG196="P1","进入本批内容日历",IF(AG196="P2","观察/做FAQ或长尾","暂不做或合并"))))</x:f>
      </x:c>
    </x:row>
    <x:row r="197">
      <x:c r="A197" s="36"/>
      <x:c r="B197" s="37"/>
      <x:c r="C197" s="37"/>
      <x:c r="D197" s="49"/>
      <x:c r="E197" s="52"/>
      <x:c r="F197" s="55"/>
      <x:c r="G197" s="55"/>
      <x:c r="H197" s="55"/>
      <x:c r="I197" s="55"/>
      <x:c r="J197" s="55"/>
      <x:c r="K197" s="55"/>
      <x:c r="L197" s="55"/>
      <x:c r="M197" s="55"/>
      <x:c r="N197" s="37" t="str">
        <x:f>IF($A197="","",IF(OR($G197="Transactional",$H197="商品/分类页",$H197="集合页",$H197="品牌页"),"主站",IF(OR($H197="博客/榜单",$H197="博客/对比",$G197="Commercial"),"博客站C-对比评测",IF($H197="博客/场景","博客站B-人群场景",IF(OR($H197="教程/FAQ",$H197="博客/指南",$G197="Informational"),"博客站A-知识教程","暂不做")))))</x:f>
      </x:c>
      <x:c r="O197" s="37"/>
      <x:c r="P197" s="37" t="str">
        <x:f>IF($A197="","",IF($O197&lt;&gt;"",$O197,$N197))</x:f>
      </x:c>
      <x:c r="Q197" s="37" t="str">
        <x:f>IF($A197="","",IF($P197="主站","分类页/集合页/商品页",IF($P197="博客站C-对比评测",IF($H197="博客/对比","对比文","购买指南"),IF($P197="博客站B-人群场景","场景解决方案",IF($P197="博客站A-知识教程",IF($H197="教程/FAQ","教程文","价值解释文"),"暂不做")))))</x:f>
      </x:c>
      <x:c r="R197" s="37" t="str">
        <x:f>IF($A197="","",IF($Q197="分类页/集合页/商品页","不写文章",IF($Q197="暂不做","暂不做",$Q197)))</x:f>
      </x:c>
      <x:c r="S197" s="37"/>
      <x:c r="T197" s="37"/>
      <x:c r="U197" s="37"/>
      <x:c r="V197" s="37"/>
      <x:c r="W197" s="37"/>
      <x:c r="X197" s="37"/>
      <x:c r="Y197" s="37"/>
      <x:c r="Z197" s="37"/>
      <x:c r="AA197" s="37"/>
      <x:c r="AB197" s="58" t="str">
        <x:f>IF($A197="","",IF($D197&gt;=1000,15,IF($D197&gt;=300,12,IF($D197&gt;=100,9,IF($D197&gt;0,5,0)))))</x:f>
      </x:c>
      <x:c r="AC197" s="58" t="str">
        <x:f>IF($A197="","",(($I197+$J197)/10)*25)</x:f>
      </x:c>
      <x:c r="AD197" s="58" t="str">
        <x:f>IF($A197="","",(($K197+$L197)/10)*25)</x:f>
      </x:c>
      <x:c r="AE197" s="58" t="str">
        <x:f>IF($A197="","",$M197*5)</x:f>
      </x:c>
      <x:c r="AF197" s="58" t="str">
        <x:f>IF($A197="","",MAX(0,AB197+AC197+AD197-AE197))</x:f>
      </x:c>
      <x:c r="AG197" s="37" t="str">
        <x:f>IF($A197="","",IF(AF197&gt;=70,"P0",IF(AF197&gt;=55,"P1",IF(AF197&gt;=40,"P2","P3"))))</x:f>
      </x:c>
      <x:c r="AH197" s="38" t="str">
        <x:f>IF($A197="","",IF(AG197="P0","立即规划",IF(AG197="P1","进入本批内容日历",IF(AG197="P2","观察/做FAQ或长尾","暂不做或合并"))))</x:f>
      </x:c>
    </x:row>
    <x:row r="198">
      <x:c r="A198" s="36"/>
      <x:c r="B198" s="37"/>
      <x:c r="C198" s="37"/>
      <x:c r="D198" s="49"/>
      <x:c r="E198" s="52"/>
      <x:c r="F198" s="55"/>
      <x:c r="G198" s="55"/>
      <x:c r="H198" s="55"/>
      <x:c r="I198" s="55"/>
      <x:c r="J198" s="55"/>
      <x:c r="K198" s="55"/>
      <x:c r="L198" s="55"/>
      <x:c r="M198" s="55"/>
      <x:c r="N198" s="37" t="str">
        <x:f>IF($A198="","",IF(OR($G198="Transactional",$H198="商品/分类页",$H198="集合页",$H198="品牌页"),"主站",IF(OR($H198="博客/榜单",$H198="博客/对比",$G198="Commercial"),"博客站C-对比评测",IF($H198="博客/场景","博客站B-人群场景",IF(OR($H198="教程/FAQ",$H198="博客/指南",$G198="Informational"),"博客站A-知识教程","暂不做")))))</x:f>
      </x:c>
      <x:c r="O198" s="37"/>
      <x:c r="P198" s="37" t="str">
        <x:f>IF($A198="","",IF($O198&lt;&gt;"",$O198,$N198))</x:f>
      </x:c>
      <x:c r="Q198" s="37" t="str">
        <x:f>IF($A198="","",IF($P198="主站","分类页/集合页/商品页",IF($P198="博客站C-对比评测",IF($H198="博客/对比","对比文","购买指南"),IF($P198="博客站B-人群场景","场景解决方案",IF($P198="博客站A-知识教程",IF($H198="教程/FAQ","教程文","价值解释文"),"暂不做")))))</x:f>
      </x:c>
      <x:c r="R198" s="37" t="str">
        <x:f>IF($A198="","",IF($Q198="分类页/集合页/商品页","不写文章",IF($Q198="暂不做","暂不做",$Q198)))</x:f>
      </x:c>
      <x:c r="S198" s="37"/>
      <x:c r="T198" s="37"/>
      <x:c r="U198" s="37"/>
      <x:c r="V198" s="37"/>
      <x:c r="W198" s="37"/>
      <x:c r="X198" s="37"/>
      <x:c r="Y198" s="37"/>
      <x:c r="Z198" s="37"/>
      <x:c r="AA198" s="37"/>
      <x:c r="AB198" s="58" t="str">
        <x:f>IF($A198="","",IF($D198&gt;=1000,15,IF($D198&gt;=300,12,IF($D198&gt;=100,9,IF($D198&gt;0,5,0)))))</x:f>
      </x:c>
      <x:c r="AC198" s="58" t="str">
        <x:f>IF($A198="","",(($I198+$J198)/10)*25)</x:f>
      </x:c>
      <x:c r="AD198" s="58" t="str">
        <x:f>IF($A198="","",(($K198+$L198)/10)*25)</x:f>
      </x:c>
      <x:c r="AE198" s="58" t="str">
        <x:f>IF($A198="","",$M198*5)</x:f>
      </x:c>
      <x:c r="AF198" s="58" t="str">
        <x:f>IF($A198="","",MAX(0,AB198+AC198+AD198-AE198))</x:f>
      </x:c>
      <x:c r="AG198" s="37" t="str">
        <x:f>IF($A198="","",IF(AF198&gt;=70,"P0",IF(AF198&gt;=55,"P1",IF(AF198&gt;=40,"P2","P3"))))</x:f>
      </x:c>
      <x:c r="AH198" s="38" t="str">
        <x:f>IF($A198="","",IF(AG198="P0","立即规划",IF(AG198="P1","进入本批内容日历",IF(AG198="P2","观察/做FAQ或长尾","暂不做或合并"))))</x:f>
      </x:c>
    </x:row>
    <x:row r="199">
      <x:c r="A199" s="36"/>
      <x:c r="B199" s="37"/>
      <x:c r="C199" s="37"/>
      <x:c r="D199" s="49"/>
      <x:c r="E199" s="52"/>
      <x:c r="F199" s="55"/>
      <x:c r="G199" s="55"/>
      <x:c r="H199" s="55"/>
      <x:c r="I199" s="55"/>
      <x:c r="J199" s="55"/>
      <x:c r="K199" s="55"/>
      <x:c r="L199" s="55"/>
      <x:c r="M199" s="55"/>
      <x:c r="N199" s="37" t="str">
        <x:f>IF($A199="","",IF(OR($G199="Transactional",$H199="商品/分类页",$H199="集合页",$H199="品牌页"),"主站",IF(OR($H199="博客/榜单",$H199="博客/对比",$G199="Commercial"),"博客站C-对比评测",IF($H199="博客/场景","博客站B-人群场景",IF(OR($H199="教程/FAQ",$H199="博客/指南",$G199="Informational"),"博客站A-知识教程","暂不做")))))</x:f>
      </x:c>
      <x:c r="O199" s="37"/>
      <x:c r="P199" s="37" t="str">
        <x:f>IF($A199="","",IF($O199&lt;&gt;"",$O199,$N199))</x:f>
      </x:c>
      <x:c r="Q199" s="37" t="str">
        <x:f>IF($A199="","",IF($P199="主站","分类页/集合页/商品页",IF($P199="博客站C-对比评测",IF($H199="博客/对比","对比文","购买指南"),IF($P199="博客站B-人群场景","场景解决方案",IF($P199="博客站A-知识教程",IF($H199="教程/FAQ","教程文","价值解释文"),"暂不做")))))</x:f>
      </x:c>
      <x:c r="R199" s="37" t="str">
        <x:f>IF($A199="","",IF($Q199="分类页/集合页/商品页","不写文章",IF($Q199="暂不做","暂不做",$Q199)))</x:f>
      </x:c>
      <x:c r="S199" s="37"/>
      <x:c r="T199" s="37"/>
      <x:c r="U199" s="37"/>
      <x:c r="V199" s="37"/>
      <x:c r="W199" s="37"/>
      <x:c r="X199" s="37"/>
      <x:c r="Y199" s="37"/>
      <x:c r="Z199" s="37"/>
      <x:c r="AA199" s="37"/>
      <x:c r="AB199" s="58" t="str">
        <x:f>IF($A199="","",IF($D199&gt;=1000,15,IF($D199&gt;=300,12,IF($D199&gt;=100,9,IF($D199&gt;0,5,0)))))</x:f>
      </x:c>
      <x:c r="AC199" s="58" t="str">
        <x:f>IF($A199="","",(($I199+$J199)/10)*25)</x:f>
      </x:c>
      <x:c r="AD199" s="58" t="str">
        <x:f>IF($A199="","",(($K199+$L199)/10)*25)</x:f>
      </x:c>
      <x:c r="AE199" s="58" t="str">
        <x:f>IF($A199="","",$M199*5)</x:f>
      </x:c>
      <x:c r="AF199" s="58" t="str">
        <x:f>IF($A199="","",MAX(0,AB199+AC199+AD199-AE199))</x:f>
      </x:c>
      <x:c r="AG199" s="37" t="str">
        <x:f>IF($A199="","",IF(AF199&gt;=70,"P0",IF(AF199&gt;=55,"P1",IF(AF199&gt;=40,"P2","P3"))))</x:f>
      </x:c>
      <x:c r="AH199" s="38" t="str">
        <x:f>IF($A199="","",IF(AG199="P0","立即规划",IF(AG199="P1","进入本批内容日历",IF(AG199="P2","观察/做FAQ或长尾","暂不做或合并"))))</x:f>
      </x:c>
    </x:row>
    <x:row r="200">
      <x:c r="A200" s="36"/>
      <x:c r="B200" s="37"/>
      <x:c r="C200" s="37"/>
      <x:c r="D200" s="49"/>
      <x:c r="E200" s="52"/>
      <x:c r="F200" s="55"/>
      <x:c r="G200" s="55"/>
      <x:c r="H200" s="55"/>
      <x:c r="I200" s="55"/>
      <x:c r="J200" s="55"/>
      <x:c r="K200" s="55"/>
      <x:c r="L200" s="55"/>
      <x:c r="M200" s="55"/>
      <x:c r="N200" s="37" t="str">
        <x:f>IF($A200="","",IF(OR($G200="Transactional",$H200="商品/分类页",$H200="集合页",$H200="品牌页"),"主站",IF(OR($H200="博客/榜单",$H200="博客/对比",$G200="Commercial"),"博客站C-对比评测",IF($H200="博客/场景","博客站B-人群场景",IF(OR($H200="教程/FAQ",$H200="博客/指南",$G200="Informational"),"博客站A-知识教程","暂不做")))))</x:f>
      </x:c>
      <x:c r="O200" s="37"/>
      <x:c r="P200" s="37" t="str">
        <x:f>IF($A200="","",IF($O200&lt;&gt;"",$O200,$N200))</x:f>
      </x:c>
      <x:c r="Q200" s="37" t="str">
        <x:f>IF($A200="","",IF($P200="主站","分类页/集合页/商品页",IF($P200="博客站C-对比评测",IF($H200="博客/对比","对比文","购买指南"),IF($P200="博客站B-人群场景","场景解决方案",IF($P200="博客站A-知识教程",IF($H200="教程/FAQ","教程文","价值解释文"),"暂不做")))))</x:f>
      </x:c>
      <x:c r="R200" s="37" t="str">
        <x:f>IF($A200="","",IF($Q200="分类页/集合页/商品页","不写文章",IF($Q200="暂不做","暂不做",$Q200)))</x:f>
      </x:c>
      <x:c r="S200" s="37"/>
      <x:c r="T200" s="37"/>
      <x:c r="U200" s="37"/>
      <x:c r="V200" s="37"/>
      <x:c r="W200" s="37"/>
      <x:c r="X200" s="37"/>
      <x:c r="Y200" s="37"/>
      <x:c r="Z200" s="37"/>
      <x:c r="AA200" s="37"/>
      <x:c r="AB200" s="58" t="str">
        <x:f>IF($A200="","",IF($D200&gt;=1000,15,IF($D200&gt;=300,12,IF($D200&gt;=100,9,IF($D200&gt;0,5,0)))))</x:f>
      </x:c>
      <x:c r="AC200" s="58" t="str">
        <x:f>IF($A200="","",(($I200+$J200)/10)*25)</x:f>
      </x:c>
      <x:c r="AD200" s="58" t="str">
        <x:f>IF($A200="","",(($K200+$L200)/10)*25)</x:f>
      </x:c>
      <x:c r="AE200" s="58" t="str">
        <x:f>IF($A200="","",$M200*5)</x:f>
      </x:c>
      <x:c r="AF200" s="58" t="str">
        <x:f>IF($A200="","",MAX(0,AB200+AC200+AD200-AE200))</x:f>
      </x:c>
      <x:c r="AG200" s="37" t="str">
        <x:f>IF($A200="","",IF(AF200&gt;=70,"P0",IF(AF200&gt;=55,"P1",IF(AF200&gt;=40,"P2","P3"))))</x:f>
      </x:c>
      <x:c r="AH200" s="38" t="str">
        <x:f>IF($A200="","",IF(AG200="P0","立即规划",IF(AG200="P1","进入本批内容日历",IF(AG200="P2","观察/做FAQ或长尾","暂不做或合并"))))</x:f>
      </x:c>
    </x:row>
    <x:row r="201">
      <x:c r="A201" s="36"/>
      <x:c r="B201" s="37"/>
      <x:c r="C201" s="37"/>
      <x:c r="D201" s="49"/>
      <x:c r="E201" s="52"/>
      <x:c r="F201" s="55"/>
      <x:c r="G201" s="55"/>
      <x:c r="H201" s="55"/>
      <x:c r="I201" s="55"/>
      <x:c r="J201" s="55"/>
      <x:c r="K201" s="55"/>
      <x:c r="L201" s="55"/>
      <x:c r="M201" s="55"/>
      <x:c r="N201" s="37" t="str">
        <x:f>IF($A201="","",IF(OR($G201="Transactional",$H201="商品/分类页",$H201="集合页",$H201="品牌页"),"主站",IF(OR($H201="博客/榜单",$H201="博客/对比",$G201="Commercial"),"博客站C-对比评测",IF($H201="博客/场景","博客站B-人群场景",IF(OR($H201="教程/FAQ",$H201="博客/指南",$G201="Informational"),"博客站A-知识教程","暂不做")))))</x:f>
      </x:c>
      <x:c r="O201" s="37"/>
      <x:c r="P201" s="37" t="str">
        <x:f>IF($A201="","",IF($O201&lt;&gt;"",$O201,$N201))</x:f>
      </x:c>
      <x:c r="Q201" s="37" t="str">
        <x:f>IF($A201="","",IF($P201="主站","分类页/集合页/商品页",IF($P201="博客站C-对比评测",IF($H201="博客/对比","对比文","购买指南"),IF($P201="博客站B-人群场景","场景解决方案",IF($P201="博客站A-知识教程",IF($H201="教程/FAQ","教程文","价值解释文"),"暂不做")))))</x:f>
      </x:c>
      <x:c r="R201" s="37" t="str">
        <x:f>IF($A201="","",IF($Q201="分类页/集合页/商品页","不写文章",IF($Q201="暂不做","暂不做",$Q201)))</x:f>
      </x:c>
      <x:c r="S201" s="37"/>
      <x:c r="T201" s="37"/>
      <x:c r="U201" s="37"/>
      <x:c r="V201" s="37"/>
      <x:c r="W201" s="37"/>
      <x:c r="X201" s="37"/>
      <x:c r="Y201" s="37"/>
      <x:c r="Z201" s="37"/>
      <x:c r="AA201" s="37"/>
      <x:c r="AB201" s="58" t="str">
        <x:f>IF($A201="","",IF($D201&gt;=1000,15,IF($D201&gt;=300,12,IF($D201&gt;=100,9,IF($D201&gt;0,5,0)))))</x:f>
      </x:c>
      <x:c r="AC201" s="58" t="str">
        <x:f>IF($A201="","",(($I201+$J201)/10)*25)</x:f>
      </x:c>
      <x:c r="AD201" s="58" t="str">
        <x:f>IF($A201="","",(($K201+$L201)/10)*25)</x:f>
      </x:c>
      <x:c r="AE201" s="58" t="str">
        <x:f>IF($A201="","",$M201*5)</x:f>
      </x:c>
      <x:c r="AF201" s="58" t="str">
        <x:f>IF($A201="","",MAX(0,AB201+AC201+AD201-AE201))</x:f>
      </x:c>
      <x:c r="AG201" s="37" t="str">
        <x:f>IF($A201="","",IF(AF201&gt;=70,"P0",IF(AF201&gt;=55,"P1",IF(AF201&gt;=40,"P2","P3"))))</x:f>
      </x:c>
      <x:c r="AH201" s="38" t="str">
        <x:f>IF($A201="","",IF(AG201="P0","立即规划",IF(AG201="P1","进入本批内容日历",IF(AG201="P2","观察/做FAQ或长尾","暂不做或合并"))))</x:f>
      </x:c>
    </x:row>
    <x:row r="202">
      <x:c r="A202" s="36"/>
      <x:c r="B202" s="37"/>
      <x:c r="C202" s="37"/>
      <x:c r="D202" s="49"/>
      <x:c r="E202" s="52"/>
      <x:c r="F202" s="55"/>
      <x:c r="G202" s="55"/>
      <x:c r="H202" s="55"/>
      <x:c r="I202" s="55"/>
      <x:c r="J202" s="55"/>
      <x:c r="K202" s="55"/>
      <x:c r="L202" s="55"/>
      <x:c r="M202" s="55"/>
      <x:c r="N202" s="37" t="str">
        <x:f>IF($A202="","",IF(OR($G202="Transactional",$H202="商品/分类页",$H202="集合页",$H202="品牌页"),"主站",IF(OR($H202="博客/榜单",$H202="博客/对比",$G202="Commercial"),"博客站C-对比评测",IF($H202="博客/场景","博客站B-人群场景",IF(OR($H202="教程/FAQ",$H202="博客/指南",$G202="Informational"),"博客站A-知识教程","暂不做")))))</x:f>
      </x:c>
      <x:c r="O202" s="37"/>
      <x:c r="P202" s="37" t="str">
        <x:f>IF($A202="","",IF($O202&lt;&gt;"",$O202,$N202))</x:f>
      </x:c>
      <x:c r="Q202" s="37" t="str">
        <x:f>IF($A202="","",IF($P202="主站","分类页/集合页/商品页",IF($P202="博客站C-对比评测",IF($H202="博客/对比","对比文","购买指南"),IF($P202="博客站B-人群场景","场景解决方案",IF($P202="博客站A-知识教程",IF($H202="教程/FAQ","教程文","价值解释文"),"暂不做")))))</x:f>
      </x:c>
      <x:c r="R202" s="37" t="str">
        <x:f>IF($A202="","",IF($Q202="分类页/集合页/商品页","不写文章",IF($Q202="暂不做","暂不做",$Q202)))</x:f>
      </x:c>
      <x:c r="S202" s="37"/>
      <x:c r="T202" s="37"/>
      <x:c r="U202" s="37"/>
      <x:c r="V202" s="37"/>
      <x:c r="W202" s="37"/>
      <x:c r="X202" s="37"/>
      <x:c r="Y202" s="37"/>
      <x:c r="Z202" s="37"/>
      <x:c r="AA202" s="37"/>
      <x:c r="AB202" s="58" t="str">
        <x:f>IF($A202="","",IF($D202&gt;=1000,15,IF($D202&gt;=300,12,IF($D202&gt;=100,9,IF($D202&gt;0,5,0)))))</x:f>
      </x:c>
      <x:c r="AC202" s="58" t="str">
        <x:f>IF($A202="","",(($I202+$J202)/10)*25)</x:f>
      </x:c>
      <x:c r="AD202" s="58" t="str">
        <x:f>IF($A202="","",(($K202+$L202)/10)*25)</x:f>
      </x:c>
      <x:c r="AE202" s="58" t="str">
        <x:f>IF($A202="","",$M202*5)</x:f>
      </x:c>
      <x:c r="AF202" s="58" t="str">
        <x:f>IF($A202="","",MAX(0,AB202+AC202+AD202-AE202))</x:f>
      </x:c>
      <x:c r="AG202" s="37" t="str">
        <x:f>IF($A202="","",IF(AF202&gt;=70,"P0",IF(AF202&gt;=55,"P1",IF(AF202&gt;=40,"P2","P3"))))</x:f>
      </x:c>
      <x:c r="AH202" s="38" t="str">
        <x:f>IF($A202="","",IF(AG202="P0","立即规划",IF(AG202="P1","进入本批内容日历",IF(AG202="P2","观察/做FAQ或长尾","暂不做或合并"))))</x:f>
      </x:c>
    </x:row>
    <x:row r="203">
      <x:c r="A203" s="39"/>
      <x:c r="B203" s="40"/>
      <x:c r="C203" s="40"/>
      <x:c r="D203" s="50"/>
      <x:c r="E203" s="53"/>
      <x:c r="F203" s="56"/>
      <x:c r="G203" s="56"/>
      <x:c r="H203" s="56"/>
      <x:c r="I203" s="56"/>
      <x:c r="J203" s="56"/>
      <x:c r="K203" s="56"/>
      <x:c r="L203" s="56"/>
      <x:c r="M203" s="56"/>
      <x:c r="N203" s="40" t="str">
        <x:f>IF($A203="","",IF(OR($G203="Transactional",$H203="商品/分类页",$H203="集合页",$H203="品牌页"),"主站",IF(OR($H203="博客/榜单",$H203="博客/对比",$G203="Commercial"),"博客站C-对比评测",IF($H203="博客/场景","博客站B-人群场景",IF(OR($H203="教程/FAQ",$H203="博客/指南",$G203="Informational"),"博客站A-知识教程","暂不做")))))</x:f>
      </x:c>
      <x:c r="O203" s="40"/>
      <x:c r="P203" s="40" t="str">
        <x:f>IF($A203="","",IF($O203&lt;&gt;"",$O203,$N203))</x:f>
      </x:c>
      <x:c r="Q203" s="40" t="str">
        <x:f>IF($A203="","",IF($P203="主站","分类页/集合页/商品页",IF($P203="博客站C-对比评测",IF($H203="博客/对比","对比文","购买指南"),IF($P203="博客站B-人群场景","场景解决方案",IF($P203="博客站A-知识教程",IF($H203="教程/FAQ","教程文","价值解释文"),"暂不做")))))</x:f>
      </x:c>
      <x:c r="R203" s="40" t="str">
        <x:f>IF($A203="","",IF($Q203="分类页/集合页/商品页","不写文章",IF($Q203="暂不做","暂不做",$Q203)))</x:f>
      </x:c>
      <x:c r="S203" s="40"/>
      <x:c r="T203" s="40"/>
      <x:c r="U203" s="40"/>
      <x:c r="V203" s="40"/>
      <x:c r="W203" s="40"/>
      <x:c r="X203" s="40"/>
      <x:c r="Y203" s="40"/>
      <x:c r="Z203" s="40"/>
      <x:c r="AA203" s="40"/>
      <x:c r="AB203" s="59" t="str">
        <x:f>IF($A203="","",IF($D203&gt;=1000,15,IF($D203&gt;=300,12,IF($D203&gt;=100,9,IF($D203&gt;0,5,0)))))</x:f>
      </x:c>
      <x:c r="AC203" s="59" t="str">
        <x:f>IF($A203="","",(($I203+$J203)/10)*25)</x:f>
      </x:c>
      <x:c r="AD203" s="59" t="str">
        <x:f>IF($A203="","",(($K203+$L203)/10)*25)</x:f>
      </x:c>
      <x:c r="AE203" s="59" t="str">
        <x:f>IF($A203="","",$M203*5)</x:f>
      </x:c>
      <x:c r="AF203" s="59" t="str">
        <x:f>IF($A203="","",MAX(0,AB203+AC203+AD203-AE203))</x:f>
      </x:c>
      <x:c r="AG203" s="40" t="str">
        <x:f>IF($A203="","",IF(AF203&gt;=70,"P0",IF(AF203&gt;=55,"P1",IF(AF203&gt;=40,"P2","P3"))))</x:f>
      </x:c>
      <x:c r="AH203" s="41" t="str">
        <x:f>IF($A203="","",IF(AG203="P0","立即规划",IF(AG203="P1","进入本批内容日历",IF(AG203="P2","观察/做FAQ或长尾","暂不做或合并"))))</x:f>
      </x:c>
    </x:row>
  </x:sheetData>
  <x:mergeCells>
    <x:mergeCell ref="A1:AH1"/>
    <x:mergeCell ref="A2:H2"/>
  </x:mergeCells>
  <x:conditionalFormatting sqref="AF4:AF203">
    <x:cfRule type="colorScale" priority="1">
      <x:colorScale>
        <x:cfvo type="min"/>
        <x:cfvo type="percentile" val="50"/>
        <x:cfvo type="max"/>
        <x:color rgb="FFFEE4E2"/>
        <x:color rgb="FFFFF1C9"/>
        <x:color rgb="FFDDEFE5"/>
      </x:colorScale>
    </x:cfRule>
  </x:conditionalFormatting>
  <x:dataValidations count="9">
    <x:dataValidation type="list" sqref="G4:G203">
      <x:formula1>"Informational,Commercial,Transactional,Navigational,Mixed,Unknown"</x:formula1>
    </x:dataValidation>
    <x:dataValidation type="list" sqref="H4:H203">
      <x:formula1>"商品/分类页,集合页,博客/榜单,博客/对比,博客/场景,教程/FAQ,博客/指南,百科/大站,论坛/社区,品牌页,混合"</x:formula1>
    </x:dataValidation>
    <x:dataValidation type="list" sqref="N4:P203">
      <x:formula1>"主站,博客站A-知识教程,博客站B-人群场景,博客站C-对比评测,暂不做"</x:formula1>
    </x:dataValidation>
    <x:dataValidation type="list" sqref="Q4:Q203">
      <x:formula1>"分类页/集合页/商品页,购买指南,对比文,教程文,场景解决方案,价值解释文,FAQ/段落,品牌页/优惠页,暂不做"</x:formula1>
    </x:dataValidation>
    <x:dataValidation type="list" sqref="R4:R203">
      <x:formula1>"不写文章,榜单/购买指南,对比文,教程文,场景解决方案,价值解释文,FAQ/段落,评测文,暂不做"</x:formula1>
    </x:dataValidation>
    <x:dataValidation type="list" sqref="U4:U203">
      <x:formula1>"是,少量,否"</x:formula1>
    </x:dataValidation>
    <x:dataValidation type="list" sqref="V4:V203">
      <x:formula1>"品牌词/自然短语,自然短语,裸链/品牌词,相关集合页短语,learn more/品牌词,不适用"</x:formula1>
    </x:dataValidation>
    <x:dataValidation type="list" sqref="W4:W203">
      <x:formula1>"不适用,0-1次/篇,1次/篇,1-2次/篇"</x:formula1>
    </x:dataValidation>
    <x:dataValidation type="whole" operator="between" sqref="I4:M203">
      <x:formula1>1</x:formula1>
      <x:formula2>5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0" hidden="0" customWidth="1"/>
    <x:col min="3" max="3" width="30" hidden="0" customWidth="1"/>
    <x:col min="4" max="4" width="26" hidden="0" customWidth="1"/>
    <x:col min="5" max="5" width="26" hidden="0" customWidth="1"/>
    <x:col min="6" max="6" width="30" hidden="0" customWidth="1"/>
    <x:col min="7" max="7" width="28" hidden="0" customWidth="1"/>
    <x:col min="8" max="8" width="24" hidden="0" customWidth="1"/>
  </x:cols>
  <x:sheetData>
    <x:row r="1">
      <x:c r="A1" s="64" t="str">
        <x:v>博客站到主站的外链/导流规则</x:v>
      </x:c>
      <x:c r="B1" s="64" t="str">
        <x:v>博客站到主站的外链/导流规则</x:v>
      </x:c>
      <x:c r="C1" s="64" t="str">
        <x:v>博客站到主站的外链/导流规则</x:v>
      </x:c>
      <x:c r="D1" s="64" t="str">
        <x:v>博客站到主站的外链/导流规则</x:v>
      </x:c>
      <x:c r="E1" s="64" t="str">
        <x:v>博客站到主站的外链/导流规则</x:v>
      </x:c>
      <x:c r="F1" s="64" t="str">
        <x:v>博客站到主站的外链/导流规则</x:v>
      </x:c>
      <x:c r="G1" s="64" t="str">
        <x:v>博客站到主站的外链/导流规则</x:v>
      </x:c>
      <x:c r="H1" s="64" t="str">
        <x:v>博客站到主站的外链/导流规则</x:v>
      </x:c>
    </x:row>
    <x:row r="2">
      <x:c r="A2" s="65" t="str">
        <x:v>把外链当成用户路径，而不是排名操纵工具。每个链接都要回答：为什么用户此刻需要去主站？</x:v>
      </x:c>
      <x:c r="B2" s="65" t="str">
        <x:v>把外链当成用户路径，而不是排名操纵工具。每个链接都要回答：为什么用户此刻需要去主站？</x:v>
      </x:c>
      <x:c r="C2" s="65" t="str">
        <x:v>把外链当成用户路径，而不是排名操纵工具。每个链接都要回答：为什么用户此刻需要去主站？</x:v>
      </x:c>
      <x:c r="D2" s="65" t="str">
        <x:v>把外链当成用户路径，而不是排名操纵工具。每个链接都要回答：为什么用户此刻需要去主站？</x:v>
      </x:c>
      <x:c r="E2" s="65" t="str">
        <x:v>把外链当成用户路径，而不是排名操纵工具。每个链接都要回答：为什么用户此刻需要去主站？</x:v>
      </x:c>
      <x:c r="F2" s="65" t="str">
        <x:v>把外链当成用户路径，而不是排名操纵工具。每个链接都要回答：为什么用户此刻需要去主站？</x:v>
      </x:c>
      <x:c r="G2" s="65" t="str">
        <x:v>把外链当成用户路径，而不是排名操纵工具。每个链接都要回答：为什么用户此刻需要去主站？</x:v>
      </x:c>
      <x:c r="H2" s="65" t="str">
        <x:v>把外链当成用户路径，而不是排名操纵工具。每个链接都要回答：为什么用户此刻需要去主站？</x:v>
      </x:c>
    </x:row>
    <x:row r="3">
      <x:c r="A3" s="66"/>
      <x:c r="B3" s="66"/>
      <x:c r="C3" s="66"/>
      <x:c r="D3" s="66"/>
      <x:c r="E3" s="66"/>
      <x:c r="F3" s="66"/>
      <x:c r="G3" s="66"/>
      <x:c r="H3" s="66"/>
    </x:row>
    <x:row r="4">
      <x:c r="A4" s="68" t="str">
        <x:v>规则</x:v>
      </x:c>
      <x:c r="B4" s="68" t="str">
        <x:v>允许做法</x:v>
      </x:c>
      <x:c r="C4" s="68" t="str">
        <x:v>不建议做法</x:v>
      </x:c>
      <x:c r="D4" s="68" t="str">
        <x:v>锚文本</x:v>
      </x:c>
      <x:c r="E4" s="68" t="str">
        <x:v>频率</x:v>
      </x:c>
      <x:c r="F4" s="68" t="str">
        <x:v>适用场景</x:v>
      </x:c>
      <x:c r="G4" s="68" t="str">
        <x:v>风险信号</x:v>
      </x:c>
      <x:c r="H4" s="68" t="str">
        <x:v>备注</x:v>
      </x:c>
    </x:row>
    <x:row r="5">
      <x:c r="A5" s="33" t="str">
        <x:v>相关性</x:v>
      </x:c>
      <x:c r="B5" s="34" t="str">
        <x:v>只有文章主题与主站产品高度相关才链接</x:v>
      </x:c>
      <x:c r="C5" s="34" t="str">
        <x:v>无关文章也硬塞主站链接</x:v>
      </x:c>
      <x:c r="D5" s="34" t="str">
        <x:v>自然短语</x:v>
      </x:c>
      <x:c r="E5" s="34" t="str">
        <x:v>按需</x:v>
      </x:c>
      <x:c r="F5" s="34" t="str">
        <x:v>购买前下一步</x:v>
      </x:c>
      <x:c r="G5" s="34" t="str">
        <x:v>链接与正文无关</x:v>
      </x:c>
      <x:c r="H5" s="35" t="str"/>
    </x:row>
    <x:row r="6">
      <x:c r="A6" s="36" t="str">
        <x:v>锚文本</x:v>
      </x:c>
      <x:c r="B6" s="37" t="str">
        <x:v>品牌词、裸链、自然短语、产品集合自然名</x:v>
      </x:c>
      <x:c r="C6" s="37" t="str">
        <x:v>大量重复精确商业关键词</x:v>
      </x:c>
      <x:c r="D6" s="37" t="str">
        <x:v>品牌词优先</x:v>
      </x:c>
      <x:c r="E6" s="37" t="str">
        <x:v>多样化</x:v>
      </x:c>
      <x:c r="F6" s="37" t="str">
        <x:v>所有博客站</x:v>
      </x:c>
      <x:c r="G6" s="37" t="str">
        <x:v>锚文本高度重复</x:v>
      </x:c>
      <x:c r="H6" s="38" t="str"/>
    </x:row>
    <x:row r="7">
      <x:c r="A7" s="36" t="str">
        <x:v>频率</x:v>
      </x:c>
      <x:c r="B7" s="37" t="str">
        <x:v>一篇文章 0-2 个主站链接即可</x:v>
      </x:c>
      <x:c r="C7" s="37" t="str">
        <x:v>每篇多处链接同一商业页</x:v>
      </x:c>
      <x:c r="D7" s="37" t="str">
        <x:v>自然</x:v>
      </x:c>
      <x:c r="E7" s="37" t="str">
        <x:v>0-2次/篇</x:v>
      </x:c>
      <x:c r="F7" s="37" t="str">
        <x:v>长文可多一点</x:v>
      </x:c>
      <x:c r="G7" s="37" t="str">
        <x:v>全站模板化插入</x:v>
      </x:c>
      <x:c r="H7" s="38" t="str"/>
    </x:row>
    <x:row r="8">
      <x:c r="A8" s="36" t="str">
        <x:v>链接位置</x:v>
      </x:c>
      <x:c r="B8" s="37" t="str">
        <x:v>正文中解决下一步问题的位置</x:v>
      </x:c>
      <x:c r="C8" s="37" t="str">
        <x:v>页脚/侧边栏全站链接</x:v>
      </x:c>
      <x:c r="D8" s="37" t="str">
        <x:v>上下文链接</x:v>
      </x:c>
      <x:c r="E8" s="37" t="str">
        <x:v>按需</x:v>
      </x:c>
      <x:c r="F8" s="37" t="str">
        <x:v>教程/对比/榜单</x:v>
      </x:c>
      <x:c r="G8" s="37" t="str">
        <x:v>站群侧边栏互链</x:v>
      </x:c>
      <x:c r="H8" s="38" t="str"/>
    </x:row>
    <x:row r="9">
      <x:c r="A9" s="36" t="str">
        <x:v>主站承接</x:v>
      </x:c>
      <x:c r="B9" s="37" t="str">
        <x:v>链接到最相关集合页/商品页/指南页</x:v>
      </x:c>
      <x:c r="C9" s="37" t="str">
        <x:v>所有文章都指向首页</x:v>
      </x:c>
      <x:c r="D9" s="37" t="str">
        <x:v>相关页面名</x:v>
      </x:c>
      <x:c r="E9" s="37" t="str">
        <x:v>按需</x:v>
      </x:c>
      <x:c r="F9" s="37" t="str">
        <x:v>用户需要购买/比较</x:v>
      </x:c>
      <x:c r="G9" s="37" t="str">
        <x:v>大量首页链接</x:v>
      </x:c>
      <x:c r="H9" s="38" t="str"/>
    </x:row>
    <x:row r="10">
      <x:c r="A10" s="36" t="str">
        <x:v>披露</x:v>
      </x:c>
      <x:c r="B10" s="37" t="str">
        <x:v>评测/推荐内容保持真实、公正</x:v>
      </x:c>
      <x:c r="C10" s="37" t="str">
        <x:v>伪装独立评测硬推主站</x:v>
      </x:c>
      <x:c r="D10" s="37" t="str">
        <x:v>自然表达</x:v>
      </x:c>
      <x:c r="E10" s="37" t="str">
        <x:v>按需</x:v>
      </x:c>
      <x:c r="F10" s="37" t="str">
        <x:v>对比评测站</x:v>
      </x:c>
      <x:c r="G10" s="37" t="str">
        <x:v>内容明显自卖自夸</x:v>
      </x:c>
      <x:c r="H10" s="38" t="str"/>
    </x:row>
    <x:row r="11">
      <x:c r="A11" s="36" t="str">
        <x:v>互链</x:v>
      </x:c>
      <x:c r="B11" s="37" t="str">
        <x:v>少量相关上下文互链</x:v>
      </x:c>
      <x:c r="C11" s="37" t="str">
        <x:v>站点之间大量互相链接</x:v>
      </x:c>
      <x:c r="D11" s="37" t="str">
        <x:v>自然</x:v>
      </x:c>
      <x:c r="E11" s="37" t="str">
        <x:v>少量</x:v>
      </x:c>
      <x:c r="F11" s="37" t="str">
        <x:v>主题相关</x:v>
      </x:c>
      <x:c r="G11" s="37" t="str">
        <x:v>环形站群链接</x:v>
      </x:c>
      <x:c r="H11" s="38" t="str"/>
    </x:row>
    <x:row r="12">
      <x:c r="A12" s="39" t="str">
        <x:v>复盘</x:v>
      </x:c>
      <x:c r="B12" s="40" t="str">
        <x:v>看链接点击、转化辅助、排名URL冲突</x:v>
      </x:c>
      <x:c r="C12" s="40" t="str">
        <x:v>只看链接数量</x:v>
      </x:c>
      <x:c r="D12" s="40" t="str">
        <x:v>不适用</x:v>
      </x:c>
      <x:c r="E12" s="40" t="str">
        <x:v>每月</x:v>
      </x:c>
      <x:c r="F12" s="40" t="str">
        <x:v>所有站</x:v>
      </x:c>
      <x:c r="G12" s="40" t="str">
        <x:v>博客抢主站交易词</x:v>
      </x:c>
      <x:c r="H12" s="41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6" hidden="0" customWidth="1"/>
    <x:col min="4" max="4" width="28" hidden="0" customWidth="1"/>
    <x:col min="5" max="5" width="18" hidden="0" customWidth="1"/>
    <x:col min="6" max="6" width="18" hidden="0" customWidth="1"/>
    <x:col min="7" max="7" width="24" hidden="0" customWidth="1"/>
    <x:col min="8" max="8" width="34" hidden="0" customWidth="1"/>
    <x:col min="9" max="9" width="28" hidden="0" customWidth="1"/>
    <x:col min="10" max="10" width="18" hidden="0" customWidth="1"/>
    <x:col min="11" max="11" width="18" hidden="0" customWidth="1"/>
    <x:col min="12" max="12" width="26" hidden="0" customWidth="1"/>
  </x:cols>
  <x:sheetData>
    <x:row r="1">
      <x:c r="A1" s="64" t="str">
        <x:v>站点矩阵内容日历</x:v>
      </x:c>
      <x:c r="B1" s="64" t="str">
        <x:v>站点矩阵内容日历</x:v>
      </x:c>
      <x:c r="C1" s="64" t="str">
        <x:v>站点矩阵内容日历</x:v>
      </x:c>
      <x:c r="D1" s="64" t="str">
        <x:v>站点矩阵内容日历</x:v>
      </x:c>
      <x:c r="E1" s="64" t="str">
        <x:v>站点矩阵内容日历</x:v>
      </x:c>
      <x:c r="F1" s="64" t="str">
        <x:v>站点矩阵内容日历</x:v>
      </x:c>
      <x:c r="G1" s="64" t="str">
        <x:v>站点矩阵内容日历</x:v>
      </x:c>
      <x:c r="H1" s="64" t="str">
        <x:v>站点矩阵内容日历</x:v>
      </x:c>
      <x:c r="I1" s="64" t="str">
        <x:v>站点矩阵内容日历</x:v>
      </x:c>
      <x:c r="J1" s="64" t="str">
        <x:v>站点矩阵内容日历</x:v>
      </x:c>
      <x:c r="K1" s="64" t="str">
        <x:v>站点矩阵内容日历</x:v>
      </x:c>
      <x:c r="L1" s="64" t="str">
        <x:v>站点矩阵内容日历</x:v>
      </x:c>
    </x:row>
    <x:row r="2">
      <x:c r="A2" s="65" t="str">
        <x:v>只把 P0/P1 的关键词排期，每个站点最好先打透一个主题簇。</x:v>
      </x:c>
      <x:c r="B2" s="65" t="str">
        <x:v>只把 P0/P1 的关键词排期，每个站点最好先打透一个主题簇。</x:v>
      </x:c>
      <x:c r="C2" s="65" t="str">
        <x:v>只把 P0/P1 的关键词排期，每个站点最好先打透一个主题簇。</x:v>
      </x:c>
      <x:c r="D2" s="65" t="str">
        <x:v>只把 P0/P1 的关键词排期，每个站点最好先打透一个主题簇。</x:v>
      </x:c>
      <x:c r="E2" s="65" t="str">
        <x:v>只把 P0/P1 的关键词排期，每个站点最好先打透一个主题簇。</x:v>
      </x:c>
      <x:c r="F2" s="65" t="str">
        <x:v>只把 P0/P1 的关键词排期，每个站点最好先打透一个主题簇。</x:v>
      </x:c>
      <x:c r="G2" s="65" t="str">
        <x:v>只把 P0/P1 的关键词排期，每个站点最好先打透一个主题簇。</x:v>
      </x:c>
      <x:c r="H2" s="65" t="str">
        <x:v>只把 P0/P1 的关键词排期，每个站点最好先打透一个主题簇。</x:v>
      </x:c>
      <x:c r="I2" s="66"/>
      <x:c r="J2" s="66"/>
      <x:c r="K2" s="66"/>
      <x:c r="L2" s="66"/>
    </x:row>
    <x:row r="3">
      <x:c r="A3" s="66"/>
      <x:c r="B3" s="66"/>
      <x:c r="C3" s="66"/>
      <x:c r="D3" s="66"/>
      <x:c r="E3" s="66"/>
      <x:c r="F3" s="66"/>
      <x:c r="G3" s="66"/>
      <x:c r="H3" s="66"/>
      <x:c r="I3" s="66"/>
      <x:c r="J3" s="66"/>
      <x:c r="K3" s="66"/>
      <x:c r="L3" s="66"/>
    </x:row>
    <x:row r="4">
      <x:c r="A4" s="68" t="str">
        <x:v>周次</x:v>
      </x:c>
      <x:c r="B4" s="68" t="str">
        <x:v>发布日期</x:v>
      </x:c>
      <x:c r="C4" s="68" t="str">
        <x:v>站点</x:v>
      </x:c>
      <x:c r="D4" s="68" t="str">
        <x:v>主关键词</x:v>
      </x:c>
      <x:c r="E4" s="68" t="str">
        <x:v>主题簇</x:v>
      </x:c>
      <x:c r="F4" s="68" t="str">
        <x:v>文章类型</x:v>
      </x:c>
      <x:c r="G4" s="68" t="str">
        <x:v>父级商业页</x:v>
      </x:c>
      <x:c r="H4" s="68" t="str">
        <x:v>标题草案</x:v>
      </x:c>
      <x:c r="I4" s="68" t="str">
        <x:v>主站链接策略</x:v>
      </x:c>
      <x:c r="J4" s="68" t="str">
        <x:v>Brief状态</x:v>
      </x:c>
      <x:c r="K4" s="68" t="str">
        <x:v>发布状态</x:v>
      </x:c>
      <x:c r="L4" s="68" t="str">
        <x:v>复盘指标</x:v>
      </x:c>
    </x:row>
    <x:row r="5">
      <x:c r="A5" s="33" t="str">
        <x:v>Week 1</x:v>
      </x:c>
      <x:c r="B5" s="60" t="str"/>
      <x:c r="C5" s="34" t="str">
        <x:v>主站</x:v>
      </x:c>
      <x:c r="D5" s="34" t="str">
        <x:v>buy silk pillowcase</x:v>
      </x:c>
      <x:c r="E5" s="34" t="str">
        <x:v>silk pillowcase</x:v>
      </x:c>
      <x:c r="F5" s="34" t="str">
        <x:v>分类页优化</x:v>
      </x:c>
      <x:c r="G5" s="34" t="str">
        <x:v>/collections/silk-pillowcases</x:v>
      </x:c>
      <x:c r="H5" s="34" t="str">
        <x:v>Silk Pillowcases Collection</x:v>
      </x:c>
      <x:c r="I5" s="34" t="str">
        <x:v>不适用</x:v>
      </x:c>
      <x:c r="J5" s="34" t="str">
        <x:v>待优化</x:v>
      </x:c>
      <x:c r="K5" s="34" t="str">
        <x:v>待发布</x:v>
      </x:c>
      <x:c r="L5" s="35" t="str">
        <x:v>加购/订单/排名</x:v>
      </x:c>
    </x:row>
    <x:row r="6">
      <x:c r="A6" s="36" t="str">
        <x:v>Week 1</x:v>
      </x:c>
      <x:c r="B6" s="61" t="str"/>
      <x:c r="C6" s="37" t="str">
        <x:v>博客站C-对比评测</x:v>
      </x:c>
      <x:c r="D6" s="37" t="str">
        <x:v>silk pillowcase vs satin</x:v>
      </x:c>
      <x:c r="E6" s="37" t="str">
        <x:v>silk pillowcase</x:v>
      </x:c>
      <x:c r="F6" s="37" t="str">
        <x:v>对比文</x:v>
      </x:c>
      <x:c r="G6" s="37" t="str">
        <x:v>/collections/silk-pillowcases</x:v>
      </x:c>
      <x:c r="H6" s="37" t="str">
        <x:v>Silk vs Satin Pillowcase: Which One Is Better?</x:v>
      </x:c>
      <x:c r="I6" s="37" t="str">
        <x:v>1个自然链接到集合页</x:v>
      </x:c>
      <x:c r="J6" s="37" t="str">
        <x:v>待写</x:v>
      </x:c>
      <x:c r="K6" s="37" t="str">
        <x:v>待发布</x:v>
      </x:c>
      <x:c r="L6" s="38" t="str">
        <x:v>排名/链接点击</x:v>
      </x:c>
    </x:row>
    <x:row r="7">
      <x:c r="A7" s="36" t="str">
        <x:v>Week 2</x:v>
      </x:c>
      <x:c r="B7" s="61" t="str"/>
      <x:c r="C7" s="37" t="str">
        <x:v>博客站A-知识教程</x:v>
      </x:c>
      <x:c r="D7" s="37" t="str">
        <x:v>how to wash silk pillowcase</x:v>
      </x:c>
      <x:c r="E7" s="37" t="str">
        <x:v>silk care</x:v>
      </x:c>
      <x:c r="F7" s="37" t="str">
        <x:v>教程文</x:v>
      </x:c>
      <x:c r="G7" s="37" t="str">
        <x:v>/products/mulberry-silk-pillowcase</x:v>
      </x:c>
      <x:c r="H7" s="37" t="str">
        <x:v>How to Wash a Silk Pillowcase Without Ruining It</x:v>
      </x:c>
      <x:c r="I7" s="37" t="str">
        <x:v>0-1个品牌/裸链</x:v>
      </x:c>
      <x:c r="J7" s="37" t="str">
        <x:v>待写</x:v>
      </x:c>
      <x:c r="K7" s="37" t="str">
        <x:v>待发布</x:v>
      </x:c>
      <x:c r="L7" s="38" t="str">
        <x:v>点击/FAQ展现</x:v>
      </x:c>
    </x:row>
    <x:row r="8">
      <x:c r="A8" s="36" t="str">
        <x:v>Week 2</x:v>
      </x:c>
      <x:c r="B8" s="61" t="str"/>
      <x:c r="C8" s="37" t="str">
        <x:v>博客站B-人群场景</x:v>
      </x:c>
      <x:c r="D8" s="37" t="str">
        <x:v>silk pillowcase for curly hair</x:v>
      </x:c>
      <x:c r="E8" s="37" t="str">
        <x:v>curly hair</x:v>
      </x:c>
      <x:c r="F8" s="37" t="str">
        <x:v>场景解决方案</x:v>
      </x:c>
      <x:c r="G8" s="37" t="str">
        <x:v>/collections/silk-pillowcases</x:v>
      </x:c>
      <x:c r="H8" s="37" t="str">
        <x:v>Are Silk Pillowcases Good for Curly Hair?</x:v>
      </x:c>
      <x:c r="I8" s="37" t="str">
        <x:v>1个相关集合页链接</x:v>
      </x:c>
      <x:c r="J8" s="37" t="str">
        <x:v>待写</x:v>
      </x:c>
      <x:c r="K8" s="37" t="str">
        <x:v>待发布</x:v>
      </x:c>
      <x:c r="L8" s="38" t="str">
        <x:v>点击/商品页点击</x:v>
      </x:c>
    </x:row>
    <x:row r="9">
      <x:c r="A9" s="36" t="str">
        <x:v>Week 3</x:v>
      </x:c>
      <x:c r="B9" s="61" t="str"/>
      <x:c r="C9" s="37" t="str">
        <x:v>博客站C-对比评测</x:v>
      </x:c>
      <x:c r="D9" s="37" t="str">
        <x:v>best silk pillowcase for hair</x:v>
      </x:c>
      <x:c r="E9" s="37" t="str">
        <x:v>silk pillowcase</x:v>
      </x:c>
      <x:c r="F9" s="37" t="str">
        <x:v>榜单/购买指南</x:v>
      </x:c>
      <x:c r="G9" s="37" t="str">
        <x:v>/collections/silk-pillowcases</x:v>
      </x:c>
      <x:c r="H9" s="37" t="str">
        <x:v>Best Silk Pillowcases for Hair: Selection Guide</x:v>
      </x:c>
      <x:c r="I9" s="37" t="str">
        <x:v>1-2个自然链接</x:v>
      </x:c>
      <x:c r="J9" s="37" t="str">
        <x:v>待写</x:v>
      </x:c>
      <x:c r="K9" s="37" t="str">
        <x:v>待发布</x:v>
      </x:c>
      <x:c r="L9" s="38" t="str">
        <x:v>排名/链接点击</x:v>
      </x:c>
    </x:row>
    <x:row r="10">
      <x:c r="A10" s="36" t="str">
        <x:v>Week 3</x:v>
      </x:c>
      <x:c r="B10" s="61" t="str"/>
      <x:c r="C10" s="37" t="str">
        <x:v>博客站A-知识教程</x:v>
      </x:c>
      <x:c r="D10" s="37" t="str">
        <x:v>mulberry silk benefits</x:v>
      </x:c>
      <x:c r="E10" s="37" t="str">
        <x:v>mulberry silk</x:v>
      </x:c>
      <x:c r="F10" s="37" t="str">
        <x:v>价值解释文</x:v>
      </x:c>
      <x:c r="G10" s="37" t="str">
        <x:v>/collections/mulberry-silk</x:v>
      </x:c>
      <x:c r="H10" s="37" t="str">
        <x:v>Mulberry Silk Benefits: What Makes It Different?</x:v>
      </x:c>
      <x:c r="I10" s="37" t="str">
        <x:v>0-1个自然链接</x:v>
      </x:c>
      <x:c r="J10" s="37" t="str">
        <x:v>待写</x:v>
      </x:c>
      <x:c r="K10" s="37" t="str">
        <x:v>待发布</x:v>
      </x:c>
      <x:c r="L10" s="38" t="str">
        <x:v>展现/点击</x:v>
      </x:c>
    </x:row>
    <x:row r="11">
      <x:c r="A11" s="36" t="str">
        <x:v>Week 4</x:v>
      </x:c>
      <x:c r="B11" s="61" t="str"/>
      <x:c r="C11" s="37" t="str"/>
      <x:c r="D11" s="37" t="str"/>
      <x:c r="E11" s="37" t="str"/>
      <x:c r="F11" s="37" t="str"/>
      <x:c r="G11" s="37" t="str"/>
      <x:c r="H11" s="37" t="str"/>
      <x:c r="I11" s="37" t="str"/>
      <x:c r="J11" s="37" t="str"/>
      <x:c r="K11" s="37" t="str"/>
      <x:c r="L11" s="38" t="str"/>
    </x:row>
    <x:row r="12">
      <x:c r="A12" s="36" t="str">
        <x:v>Week 4</x:v>
      </x:c>
      <x:c r="B12" s="61" t="str"/>
      <x:c r="C12" s="37" t="str"/>
      <x:c r="D12" s="37" t="str"/>
      <x:c r="E12" s="37" t="str"/>
      <x:c r="F12" s="37" t="str"/>
      <x:c r="G12" s="37" t="str"/>
      <x:c r="H12" s="37" t="str"/>
      <x:c r="I12" s="37" t="str"/>
      <x:c r="J12" s="37" t="str"/>
      <x:c r="K12" s="37" t="str"/>
      <x:c r="L12" s="38" t="str"/>
    </x:row>
    <x:row r="13">
      <x:c r="A13" s="36" t="str">
        <x:v>Week 5</x:v>
      </x:c>
      <x:c r="B13" s="61" t="str"/>
      <x:c r="C13" s="37" t="str"/>
      <x:c r="D13" s="37" t="str"/>
      <x:c r="E13" s="37" t="str"/>
      <x:c r="F13" s="37" t="str"/>
      <x:c r="G13" s="37" t="str"/>
      <x:c r="H13" s="37" t="str"/>
      <x:c r="I13" s="37" t="str"/>
      <x:c r="J13" s="37" t="str"/>
      <x:c r="K13" s="37" t="str"/>
      <x:c r="L13" s="38" t="str"/>
    </x:row>
    <x:row r="14">
      <x:c r="A14" s="36"/>
      <x:c r="B14" s="61"/>
      <x:c r="C14" s="37"/>
      <x:c r="D14" s="37"/>
      <x:c r="E14" s="37"/>
      <x:c r="F14" s="37"/>
      <x:c r="G14" s="37"/>
      <x:c r="H14" s="37"/>
      <x:c r="I14" s="37"/>
      <x:c r="J14" s="37"/>
      <x:c r="K14" s="37"/>
      <x:c r="L14" s="38"/>
    </x:row>
    <x:row r="15">
      <x:c r="A15" s="36"/>
      <x:c r="B15" s="61"/>
      <x:c r="C15" s="37"/>
      <x:c r="D15" s="37"/>
      <x:c r="E15" s="37"/>
      <x:c r="F15" s="37"/>
      <x:c r="G15" s="37"/>
      <x:c r="H15" s="37"/>
      <x:c r="I15" s="37"/>
      <x:c r="J15" s="37"/>
      <x:c r="K15" s="37"/>
      <x:c r="L15" s="38"/>
    </x:row>
    <x:row r="16">
      <x:c r="A16" s="36"/>
      <x:c r="B16" s="61"/>
      <x:c r="C16" s="37"/>
      <x:c r="D16" s="37"/>
      <x:c r="E16" s="37"/>
      <x:c r="F16" s="37"/>
      <x:c r="G16" s="37"/>
      <x:c r="H16" s="37"/>
      <x:c r="I16" s="37"/>
      <x:c r="J16" s="37"/>
      <x:c r="K16" s="37"/>
      <x:c r="L16" s="38"/>
    </x:row>
    <x:row r="17">
      <x:c r="A17" s="36"/>
      <x:c r="B17" s="61"/>
      <x:c r="C17" s="37"/>
      <x:c r="D17" s="37"/>
      <x:c r="E17" s="37"/>
      <x:c r="F17" s="37"/>
      <x:c r="G17" s="37"/>
      <x:c r="H17" s="37"/>
      <x:c r="I17" s="37"/>
      <x:c r="J17" s="37"/>
      <x:c r="K17" s="37"/>
      <x:c r="L17" s="38"/>
    </x:row>
    <x:row r="18">
      <x:c r="A18" s="36"/>
      <x:c r="B18" s="61"/>
      <x:c r="C18" s="37"/>
      <x:c r="D18" s="37"/>
      <x:c r="E18" s="37"/>
      <x:c r="F18" s="37"/>
      <x:c r="G18" s="37"/>
      <x:c r="H18" s="37"/>
      <x:c r="I18" s="37"/>
      <x:c r="J18" s="37"/>
      <x:c r="K18" s="37"/>
      <x:c r="L18" s="38"/>
    </x:row>
    <x:row r="19">
      <x:c r="A19" s="36"/>
      <x:c r="B19" s="61"/>
      <x:c r="C19" s="37"/>
      <x:c r="D19" s="37"/>
      <x:c r="E19" s="37"/>
      <x:c r="F19" s="37"/>
      <x:c r="G19" s="37"/>
      <x:c r="H19" s="37"/>
      <x:c r="I19" s="37"/>
      <x:c r="J19" s="37"/>
      <x:c r="K19" s="37"/>
      <x:c r="L19" s="38"/>
    </x:row>
    <x:row r="20">
      <x:c r="A20" s="36"/>
      <x:c r="B20" s="61"/>
      <x:c r="C20" s="37"/>
      <x:c r="D20" s="37"/>
      <x:c r="E20" s="37"/>
      <x:c r="F20" s="37"/>
      <x:c r="G20" s="37"/>
      <x:c r="H20" s="37"/>
      <x:c r="I20" s="37"/>
      <x:c r="J20" s="37"/>
      <x:c r="K20" s="37"/>
      <x:c r="L20" s="38"/>
    </x:row>
    <x:row r="21">
      <x:c r="A21" s="36"/>
      <x:c r="B21" s="61"/>
      <x:c r="C21" s="37"/>
      <x:c r="D21" s="37"/>
      <x:c r="E21" s="37"/>
      <x:c r="F21" s="37"/>
      <x:c r="G21" s="37"/>
      <x:c r="H21" s="37"/>
      <x:c r="I21" s="37"/>
      <x:c r="J21" s="37"/>
      <x:c r="K21" s="37"/>
      <x:c r="L21" s="38"/>
    </x:row>
    <x:row r="22">
      <x:c r="A22" s="36"/>
      <x:c r="B22" s="61"/>
      <x:c r="C22" s="37"/>
      <x:c r="D22" s="37"/>
      <x:c r="E22" s="37"/>
      <x:c r="F22" s="37"/>
      <x:c r="G22" s="37"/>
      <x:c r="H22" s="37"/>
      <x:c r="I22" s="37"/>
      <x:c r="J22" s="37"/>
      <x:c r="K22" s="37"/>
      <x:c r="L22" s="38"/>
    </x:row>
    <x:row r="23">
      <x:c r="A23" s="36"/>
      <x:c r="B23" s="61"/>
      <x:c r="C23" s="37"/>
      <x:c r="D23" s="37"/>
      <x:c r="E23" s="37"/>
      <x:c r="F23" s="37"/>
      <x:c r="G23" s="37"/>
      <x:c r="H23" s="37"/>
      <x:c r="I23" s="37"/>
      <x:c r="J23" s="37"/>
      <x:c r="K23" s="37"/>
      <x:c r="L23" s="38"/>
    </x:row>
    <x:row r="24">
      <x:c r="A24" s="36"/>
      <x:c r="B24" s="61"/>
      <x:c r="C24" s="37"/>
      <x:c r="D24" s="37"/>
      <x:c r="E24" s="37"/>
      <x:c r="F24" s="37"/>
      <x:c r="G24" s="37"/>
      <x:c r="H24" s="37"/>
      <x:c r="I24" s="37"/>
      <x:c r="J24" s="37"/>
      <x:c r="K24" s="37"/>
      <x:c r="L24" s="38"/>
    </x:row>
    <x:row r="25">
      <x:c r="A25" s="36"/>
      <x:c r="B25" s="61"/>
      <x:c r="C25" s="37"/>
      <x:c r="D25" s="37"/>
      <x:c r="E25" s="37"/>
      <x:c r="F25" s="37"/>
      <x:c r="G25" s="37"/>
      <x:c r="H25" s="37"/>
      <x:c r="I25" s="37"/>
      <x:c r="J25" s="37"/>
      <x:c r="K25" s="37"/>
      <x:c r="L25" s="38"/>
    </x:row>
    <x:row r="26">
      <x:c r="A26" s="36"/>
      <x:c r="B26" s="61"/>
      <x:c r="C26" s="37"/>
      <x:c r="D26" s="37"/>
      <x:c r="E26" s="37"/>
      <x:c r="F26" s="37"/>
      <x:c r="G26" s="37"/>
      <x:c r="H26" s="37"/>
      <x:c r="I26" s="37"/>
      <x:c r="J26" s="37"/>
      <x:c r="K26" s="37"/>
      <x:c r="L26" s="38"/>
    </x:row>
    <x:row r="27">
      <x:c r="A27" s="36"/>
      <x:c r="B27" s="61"/>
      <x:c r="C27" s="37"/>
      <x:c r="D27" s="37"/>
      <x:c r="E27" s="37"/>
      <x:c r="F27" s="37"/>
      <x:c r="G27" s="37"/>
      <x:c r="H27" s="37"/>
      <x:c r="I27" s="37"/>
      <x:c r="J27" s="37"/>
      <x:c r="K27" s="37"/>
      <x:c r="L27" s="38"/>
    </x:row>
    <x:row r="28">
      <x:c r="A28" s="36"/>
      <x:c r="B28" s="61"/>
      <x:c r="C28" s="37"/>
      <x:c r="D28" s="37"/>
      <x:c r="E28" s="37"/>
      <x:c r="F28" s="37"/>
      <x:c r="G28" s="37"/>
      <x:c r="H28" s="37"/>
      <x:c r="I28" s="37"/>
      <x:c r="J28" s="37"/>
      <x:c r="K28" s="37"/>
      <x:c r="L28" s="38"/>
    </x:row>
    <x:row r="29">
      <x:c r="A29" s="36"/>
      <x:c r="B29" s="61"/>
      <x:c r="C29" s="37"/>
      <x:c r="D29" s="37"/>
      <x:c r="E29" s="37"/>
      <x:c r="F29" s="37"/>
      <x:c r="G29" s="37"/>
      <x:c r="H29" s="37"/>
      <x:c r="I29" s="37"/>
      <x:c r="J29" s="37"/>
      <x:c r="K29" s="37"/>
      <x:c r="L29" s="38"/>
    </x:row>
    <x:row r="30">
      <x:c r="A30" s="36"/>
      <x:c r="B30" s="61"/>
      <x:c r="C30" s="37"/>
      <x:c r="D30" s="37"/>
      <x:c r="E30" s="37"/>
      <x:c r="F30" s="37"/>
      <x:c r="G30" s="37"/>
      <x:c r="H30" s="37"/>
      <x:c r="I30" s="37"/>
      <x:c r="J30" s="37"/>
      <x:c r="K30" s="37"/>
      <x:c r="L30" s="38"/>
    </x:row>
    <x:row r="31">
      <x:c r="A31" s="36"/>
      <x:c r="B31" s="61"/>
      <x:c r="C31" s="37"/>
      <x:c r="D31" s="37"/>
      <x:c r="E31" s="37"/>
      <x:c r="F31" s="37"/>
      <x:c r="G31" s="37"/>
      <x:c r="H31" s="37"/>
      <x:c r="I31" s="37"/>
      <x:c r="J31" s="37"/>
      <x:c r="K31" s="37"/>
      <x:c r="L31" s="38"/>
    </x:row>
    <x:row r="32">
      <x:c r="A32" s="36"/>
      <x:c r="B32" s="61"/>
      <x:c r="C32" s="37"/>
      <x:c r="D32" s="37"/>
      <x:c r="E32" s="37"/>
      <x:c r="F32" s="37"/>
      <x:c r="G32" s="37"/>
      <x:c r="H32" s="37"/>
      <x:c r="I32" s="37"/>
      <x:c r="J32" s="37"/>
      <x:c r="K32" s="37"/>
      <x:c r="L32" s="38"/>
    </x:row>
    <x:row r="33">
      <x:c r="A33" s="36"/>
      <x:c r="B33" s="61"/>
      <x:c r="C33" s="37"/>
      <x:c r="D33" s="37"/>
      <x:c r="E33" s="37"/>
      <x:c r="F33" s="37"/>
      <x:c r="G33" s="37"/>
      <x:c r="H33" s="37"/>
      <x:c r="I33" s="37"/>
      <x:c r="J33" s="37"/>
      <x:c r="K33" s="37"/>
      <x:c r="L33" s="38"/>
    </x:row>
    <x:row r="34">
      <x:c r="A34" s="36"/>
      <x:c r="B34" s="61"/>
      <x:c r="C34" s="37"/>
      <x:c r="D34" s="37"/>
      <x:c r="E34" s="37"/>
      <x:c r="F34" s="37"/>
      <x:c r="G34" s="37"/>
      <x:c r="H34" s="37"/>
      <x:c r="I34" s="37"/>
      <x:c r="J34" s="37"/>
      <x:c r="K34" s="37"/>
      <x:c r="L34" s="38"/>
    </x:row>
    <x:row r="35">
      <x:c r="A35" s="36"/>
      <x:c r="B35" s="61"/>
      <x:c r="C35" s="37"/>
      <x:c r="D35" s="37"/>
      <x:c r="E35" s="37"/>
      <x:c r="F35" s="37"/>
      <x:c r="G35" s="37"/>
      <x:c r="H35" s="37"/>
      <x:c r="I35" s="37"/>
      <x:c r="J35" s="37"/>
      <x:c r="K35" s="37"/>
      <x:c r="L35" s="38"/>
    </x:row>
    <x:row r="36">
      <x:c r="A36" s="36"/>
      <x:c r="B36" s="61"/>
      <x:c r="C36" s="37"/>
      <x:c r="D36" s="37"/>
      <x:c r="E36" s="37"/>
      <x:c r="F36" s="37"/>
      <x:c r="G36" s="37"/>
      <x:c r="H36" s="37"/>
      <x:c r="I36" s="37"/>
      <x:c r="J36" s="37"/>
      <x:c r="K36" s="37"/>
      <x:c r="L36" s="38"/>
    </x:row>
    <x:row r="37">
      <x:c r="A37" s="36"/>
      <x:c r="B37" s="61"/>
      <x:c r="C37" s="37"/>
      <x:c r="D37" s="37"/>
      <x:c r="E37" s="37"/>
      <x:c r="F37" s="37"/>
      <x:c r="G37" s="37"/>
      <x:c r="H37" s="37"/>
      <x:c r="I37" s="37"/>
      <x:c r="J37" s="37"/>
      <x:c r="K37" s="37"/>
      <x:c r="L37" s="38"/>
    </x:row>
    <x:row r="38">
      <x:c r="A38" s="36"/>
      <x:c r="B38" s="61"/>
      <x:c r="C38" s="37"/>
      <x:c r="D38" s="37"/>
      <x:c r="E38" s="37"/>
      <x:c r="F38" s="37"/>
      <x:c r="G38" s="37"/>
      <x:c r="H38" s="37"/>
      <x:c r="I38" s="37"/>
      <x:c r="J38" s="37"/>
      <x:c r="K38" s="37"/>
      <x:c r="L38" s="38"/>
    </x:row>
    <x:row r="39">
      <x:c r="A39" s="36"/>
      <x:c r="B39" s="61"/>
      <x:c r="C39" s="37"/>
      <x:c r="D39" s="37"/>
      <x:c r="E39" s="37"/>
      <x:c r="F39" s="37"/>
      <x:c r="G39" s="37"/>
      <x:c r="H39" s="37"/>
      <x:c r="I39" s="37"/>
      <x:c r="J39" s="37"/>
      <x:c r="K39" s="37"/>
      <x:c r="L39" s="38"/>
    </x:row>
    <x:row r="40">
      <x:c r="A40" s="36"/>
      <x:c r="B40" s="61"/>
      <x:c r="C40" s="37"/>
      <x:c r="D40" s="37"/>
      <x:c r="E40" s="37"/>
      <x:c r="F40" s="37"/>
      <x:c r="G40" s="37"/>
      <x:c r="H40" s="37"/>
      <x:c r="I40" s="37"/>
      <x:c r="J40" s="37"/>
      <x:c r="K40" s="37"/>
      <x:c r="L40" s="38"/>
    </x:row>
    <x:row r="41">
      <x:c r="A41" s="36"/>
      <x:c r="B41" s="61"/>
      <x:c r="C41" s="37"/>
      <x:c r="D41" s="37"/>
      <x:c r="E41" s="37"/>
      <x:c r="F41" s="37"/>
      <x:c r="G41" s="37"/>
      <x:c r="H41" s="37"/>
      <x:c r="I41" s="37"/>
      <x:c r="J41" s="37"/>
      <x:c r="K41" s="37"/>
      <x:c r="L41" s="38"/>
    </x:row>
    <x:row r="42">
      <x:c r="A42" s="36"/>
      <x:c r="B42" s="61"/>
      <x:c r="C42" s="37"/>
      <x:c r="D42" s="37"/>
      <x:c r="E42" s="37"/>
      <x:c r="F42" s="37"/>
      <x:c r="G42" s="37"/>
      <x:c r="H42" s="37"/>
      <x:c r="I42" s="37"/>
      <x:c r="J42" s="37"/>
      <x:c r="K42" s="37"/>
      <x:c r="L42" s="38"/>
    </x:row>
    <x:row r="43">
      <x:c r="A43" s="36"/>
      <x:c r="B43" s="61"/>
      <x:c r="C43" s="37"/>
      <x:c r="D43" s="37"/>
      <x:c r="E43" s="37"/>
      <x:c r="F43" s="37"/>
      <x:c r="G43" s="37"/>
      <x:c r="H43" s="37"/>
      <x:c r="I43" s="37"/>
      <x:c r="J43" s="37"/>
      <x:c r="K43" s="37"/>
      <x:c r="L43" s="38"/>
    </x:row>
    <x:row r="44">
      <x:c r="A44" s="36"/>
      <x:c r="B44" s="61"/>
      <x:c r="C44" s="37"/>
      <x:c r="D44" s="37"/>
      <x:c r="E44" s="37"/>
      <x:c r="F44" s="37"/>
      <x:c r="G44" s="37"/>
      <x:c r="H44" s="37"/>
      <x:c r="I44" s="37"/>
      <x:c r="J44" s="37"/>
      <x:c r="K44" s="37"/>
      <x:c r="L44" s="38"/>
    </x:row>
    <x:row r="45">
      <x:c r="A45" s="36"/>
      <x:c r="B45" s="61"/>
      <x:c r="C45" s="37"/>
      <x:c r="D45" s="37"/>
      <x:c r="E45" s="37"/>
      <x:c r="F45" s="37"/>
      <x:c r="G45" s="37"/>
      <x:c r="H45" s="37"/>
      <x:c r="I45" s="37"/>
      <x:c r="J45" s="37"/>
      <x:c r="K45" s="37"/>
      <x:c r="L45" s="38"/>
    </x:row>
    <x:row r="46">
      <x:c r="A46" s="36"/>
      <x:c r="B46" s="61"/>
      <x:c r="C46" s="37"/>
      <x:c r="D46" s="37"/>
      <x:c r="E46" s="37"/>
      <x:c r="F46" s="37"/>
      <x:c r="G46" s="37"/>
      <x:c r="H46" s="37"/>
      <x:c r="I46" s="37"/>
      <x:c r="J46" s="37"/>
      <x:c r="K46" s="37"/>
      <x:c r="L46" s="38"/>
    </x:row>
    <x:row r="47">
      <x:c r="A47" s="36"/>
      <x:c r="B47" s="61"/>
      <x:c r="C47" s="37"/>
      <x:c r="D47" s="37"/>
      <x:c r="E47" s="37"/>
      <x:c r="F47" s="37"/>
      <x:c r="G47" s="37"/>
      <x:c r="H47" s="37"/>
      <x:c r="I47" s="37"/>
      <x:c r="J47" s="37"/>
      <x:c r="K47" s="37"/>
      <x:c r="L47" s="38"/>
    </x:row>
    <x:row r="48">
      <x:c r="A48" s="36"/>
      <x:c r="B48" s="61"/>
      <x:c r="C48" s="37"/>
      <x:c r="D48" s="37"/>
      <x:c r="E48" s="37"/>
      <x:c r="F48" s="37"/>
      <x:c r="G48" s="37"/>
      <x:c r="H48" s="37"/>
      <x:c r="I48" s="37"/>
      <x:c r="J48" s="37"/>
      <x:c r="K48" s="37"/>
      <x:c r="L48" s="38"/>
    </x:row>
    <x:row r="49">
      <x:c r="A49" s="36"/>
      <x:c r="B49" s="61"/>
      <x:c r="C49" s="37"/>
      <x:c r="D49" s="37"/>
      <x:c r="E49" s="37"/>
      <x:c r="F49" s="37"/>
      <x:c r="G49" s="37"/>
      <x:c r="H49" s="37"/>
      <x:c r="I49" s="37"/>
      <x:c r="J49" s="37"/>
      <x:c r="K49" s="37"/>
      <x:c r="L49" s="38"/>
    </x:row>
    <x:row r="50">
      <x:c r="A50" s="39"/>
      <x:c r="B50" s="62"/>
      <x:c r="C50" s="40"/>
      <x:c r="D50" s="40"/>
      <x:c r="E50" s="40"/>
      <x:c r="F50" s="40"/>
      <x:c r="G50" s="40"/>
      <x:c r="H50" s="40"/>
      <x:c r="I50" s="40"/>
      <x:c r="J50" s="40"/>
      <x:c r="K50" s="40"/>
      <x:c r="L50" s="41"/>
    </x:row>
  </x:sheetData>
  <x:mergeCells>
    <x:mergeCell ref="A1:L1"/>
    <x:mergeCell ref="A2:H2"/>
  </x:mergeCells>
  <x:dataValidations count="3">
    <x:dataValidation type="list" sqref="C5:C50">
      <x:formula1>"主站,博客站A-知识教程,博客站B-人群场景,博客站C-对比评测,暂不做"</x:formula1>
    </x:dataValidation>
    <x:dataValidation type="list" sqref="J5:J50">
      <x:formula1>"待写,待补SERP,待补证据,已完成Brief,需更新"</x:formula1>
    </x:dataValidation>
    <x:dataValidation type="list" sqref="K5:K50">
      <x:formula1>"待发布,已发布,待更新,已合并"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22" hidden="0" customWidth="1"/>
    <x:col min="4" max="4" width="16" hidden="0" customWidth="1"/>
    <x:col min="5" max="5" width="22" hidden="0" customWidth="1"/>
    <x:col min="6" max="6" width="18" hidden="0" customWidth="1"/>
    <x:col min="7" max="7" width="22" hidden="0" customWidth="1"/>
    <x:col min="8" max="8" width="18" hidden="0" customWidth="1"/>
  </x:cols>
  <x:sheetData>
    <x:row r="1">
      <x:c r="A1" s="64" t="str">
        <x:v>站点矩阵分词仪表盘</x:v>
      </x:c>
      <x:c r="B1" s="64" t="str">
        <x:v>站点矩阵分词仪表盘</x:v>
      </x:c>
      <x:c r="C1" s="64" t="str">
        <x:v>站点矩阵分词仪表盘</x:v>
      </x:c>
      <x:c r="D1" s="64" t="str">
        <x:v>站点矩阵分词仪表盘</x:v>
      </x:c>
      <x:c r="E1" s="64" t="str">
        <x:v>站点矩阵分词仪表盘</x:v>
      </x:c>
      <x:c r="F1" s="64" t="str">
        <x:v>站点矩阵分词仪表盘</x:v>
      </x:c>
      <x:c r="G1" s="64" t="str">
        <x:v>站点矩阵分词仪表盘</x:v>
      </x:c>
      <x:c r="H1" s="64" t="str">
        <x:v>站点矩阵分词仪表盘</x:v>
      </x:c>
    </x:row>
    <x:row r="2">
      <x:c r="A2" s="65" t="str">
        <x:v>用于检查关键词是否分配均衡、是否存在站点冲突和外链风险。</x:v>
      </x:c>
      <x:c r="B2" s="65" t="str">
        <x:v>用于检查关键词是否分配均衡、是否存在站点冲突和外链风险。</x:v>
      </x:c>
      <x:c r="C2" s="65" t="str">
        <x:v>用于检查关键词是否分配均衡、是否存在站点冲突和外链风险。</x:v>
      </x:c>
      <x:c r="D2" s="65" t="str">
        <x:v>用于检查关键词是否分配均衡、是否存在站点冲突和外链风险。</x:v>
      </x:c>
      <x:c r="E2" s="65" t="str">
        <x:v>用于检查关键词是否分配均衡、是否存在站点冲突和外链风险。</x:v>
      </x:c>
      <x:c r="F2" s="65" t="str">
        <x:v>用于检查关键词是否分配均衡、是否存在站点冲突和外链风险。</x:v>
      </x:c>
      <x:c r="G2" s="65" t="str">
        <x:v>用于检查关键词是否分配均衡、是否存在站点冲突和外链风险。</x:v>
      </x:c>
      <x:c r="H2" s="65" t="str">
        <x:v>用于检查关键词是否分配均衡、是否存在站点冲突和外链风险。</x:v>
      </x:c>
    </x:row>
    <x:row r="3">
      <x:c r="A3" s="66"/>
      <x:c r="B3" s="66"/>
      <x:c r="C3" s="66"/>
      <x:c r="D3" s="66"/>
      <x:c r="E3" s="66"/>
      <x:c r="F3" s="66"/>
      <x:c r="G3" s="66"/>
      <x:c r="H3" s="66"/>
    </x:row>
    <x:row r="4">
      <x:c r="A4" s="68" t="str">
        <x:v>指标</x:v>
      </x:c>
      <x:c r="B4" s="68" t="str">
        <x:v>结果</x:v>
      </x:c>
      <x:c r="C4" s="66"/>
      <x:c r="D4" s="67" t="str">
        <x:v>使用检查清单</x:v>
      </x:c>
      <x:c r="E4" s="67" t="str">
        <x:v>使用检查清单</x:v>
      </x:c>
      <x:c r="F4" s="67" t="str">
        <x:v>使用检查清单</x:v>
      </x:c>
      <x:c r="G4" s="67" t="str">
        <x:v>使用检查清单</x:v>
      </x:c>
      <x:c r="H4" s="67" t="str">
        <x:v>使用检查清单</x:v>
      </x:c>
    </x:row>
    <x:row r="5">
      <x:c r="A5" s="33" t="str">
        <x:v>关键词总数</x:v>
      </x:c>
      <x:c r="B5" s="35" t="n">
        <x:f>COUNTA('关键词分站表'!$A$4:$A$203)</x:f>
        <x:v>8</x:v>
      </x:c>
      <x:c r="C5" s="66"/>
      <x:c r="D5" s="33" t="str">
        <x:v>每个关键词是否只有一个最终主攻站点？</x:v>
      </x:c>
      <x:c r="E5" s="34" t="str"/>
      <x:c r="F5" s="34" t="str"/>
      <x:c r="G5" s="34" t="str"/>
      <x:c r="H5" s="35" t="str"/>
    </x:row>
    <x:row r="6">
      <x:c r="A6" s="36" t="str">
        <x:v>主站关键词</x:v>
      </x:c>
      <x:c r="B6" s="38" t="n">
        <x:f>COUNTIF('关键词分站表'!$P$4:$P$203,"主站")</x:f>
        <x:v>2</x:v>
      </x:c>
      <x:c r="C6" s="66"/>
      <x:c r="D6" s="36" t="str">
        <x:v>主站是否优先承接交易词和品牌词？</x:v>
      </x:c>
      <x:c r="E6" s="37" t="str"/>
      <x:c r="F6" s="37" t="str"/>
      <x:c r="G6" s="37" t="str"/>
      <x:c r="H6" s="38" t="str"/>
    </x:row>
    <x:row r="7">
      <x:c r="A7" s="36" t="str">
        <x:v>博客A关键词</x:v>
      </x:c>
      <x:c r="B7" s="38" t="n">
        <x:f>COUNTIF('关键词分站表'!$P$4:$P$203,"博客站A-知识教程")</x:f>
        <x:v>3</x:v>
      </x:c>
      <x:c r="C7" s="66"/>
      <x:c r="D7" s="36" t="str">
        <x:v>博客A/B/C是否有清晰不同内容角度？</x:v>
      </x:c>
      <x:c r="E7" s="37" t="str"/>
      <x:c r="F7" s="37" t="str"/>
      <x:c r="G7" s="37" t="str"/>
      <x:c r="H7" s="38" t="str"/>
    </x:row>
    <x:row r="8">
      <x:c r="A8" s="36" t="str">
        <x:v>博客B关键词</x:v>
      </x:c>
      <x:c r="B8" s="38" t="n">
        <x:f>COUNTIF('关键词分站表'!$P$4:$P$203,"博客站B-人群场景")</x:f>
        <x:v>1</x:v>
      </x:c>
      <x:c r="C8" s="66"/>
      <x:c r="D8" s="36" t="str">
        <x:v>是否有博客站抢主站成交词？</x:v>
      </x:c>
      <x:c r="E8" s="37" t="str"/>
      <x:c r="F8" s="37" t="str"/>
      <x:c r="G8" s="37" t="str"/>
      <x:c r="H8" s="38" t="str"/>
    </x:row>
    <x:row r="9">
      <x:c r="A9" s="36" t="str">
        <x:v>博客C关键词</x:v>
      </x:c>
      <x:c r="B9" s="38" t="n">
        <x:f>COUNTIF('关键词分站表'!$P$4:$P$203,"博客站C-对比评测")</x:f>
        <x:v>2</x:v>
      </x:c>
      <x:c r="C9" s="66"/>
      <x:c r="D9" s="36" t="str">
        <x:v>是否每篇文章都有真实独立价值？</x:v>
      </x:c>
      <x:c r="E9" s="37" t="str"/>
      <x:c r="F9" s="37" t="str"/>
      <x:c r="G9" s="37" t="str"/>
      <x:c r="H9" s="38" t="str"/>
    </x:row>
    <x:row r="10">
      <x:c r="A10" s="36" t="str">
        <x:v>暂不做</x:v>
      </x:c>
      <x:c r="B10" s="38" t="n">
        <x:f>COUNTIF('关键词分站表'!$P$4:$P$203,"暂不做")</x:f>
        <x:v>0</x:v>
      </x:c>
      <x:c r="C10" s="66"/>
      <x:c r="D10" s="36" t="str">
        <x:v>是否避免大量重复精确匹配锚文本？</x:v>
      </x:c>
      <x:c r="E10" s="37" t="str"/>
      <x:c r="F10" s="37" t="str"/>
      <x:c r="G10" s="37" t="str"/>
      <x:c r="H10" s="38" t="str"/>
    </x:row>
    <x:row r="11">
      <x:c r="A11" s="36" t="str">
        <x:v>允许链接主站</x:v>
      </x:c>
      <x:c r="B11" s="38" t="n">
        <x:f>COUNTIF('关键词分站表'!$U$4:$U$203,"是")</x:f>
        <x:v>3</x:v>
      </x:c>
      <x:c r="C11" s="66"/>
      <x:c r="D11" s="36" t="str">
        <x:v>是否记录父级商业页和主攻URL？</x:v>
      </x:c>
      <x:c r="E11" s="37" t="str"/>
      <x:c r="F11" s="37" t="str"/>
      <x:c r="G11" s="37" t="str"/>
      <x:c r="H11" s="38" t="str"/>
    </x:row>
    <x:row r="12">
      <x:c r="A12" s="36" t="str">
        <x:v>P0关键词</x:v>
      </x:c>
      <x:c r="B12" s="38" t="n">
        <x:f>COUNTIF('关键词分站表'!$AG$4:$AG$203,"P0")</x:f>
        <x:v>0</x:v>
      </x:c>
      <x:c r="C12" s="66"/>
      <x:c r="D12" s="39" t="str">
        <x:v>是否每月复盘排名URL冲突？</x:v>
      </x:c>
      <x:c r="E12" s="40" t="str"/>
      <x:c r="F12" s="40" t="str"/>
      <x:c r="G12" s="40" t="str"/>
      <x:c r="H12" s="41" t="str"/>
    </x:row>
    <x:row r="13">
      <x:c r="A13" s="39" t="str">
        <x:v>P1关键词</x:v>
      </x:c>
      <x:c r="B13" s="41" t="n">
        <x:f>COUNTIF('关键词分站表'!$AG$4:$AG$203,"P1")</x:f>
        <x:v>2</x:v>
      </x:c>
      <x:c r="C13" s="66"/>
      <x:c r="D13" s="66"/>
      <x:c r="E13" s="66"/>
      <x:c r="F13" s="66"/>
      <x:c r="G13" s="66"/>
      <x:c r="H13" s="66"/>
    </x:row>
  </x:sheetData>
  <x:mergeCells>
    <x:mergeCell ref="A1:H1"/>
    <x:mergeCell ref="A2:H2"/>
    <x:mergeCell ref="D4:H4"/>
  </x:mergeCells>
  <x:pageMargins left="0.7" right="0.7" top="0.75" bottom="0.75" header="0.3" footer="0.3"/>
</x:worksheet>
</file>