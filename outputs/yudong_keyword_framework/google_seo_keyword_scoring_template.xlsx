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0a220d70a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5807ad8aea0488d"/>
    <x:sheet xmlns:r="http://schemas.openxmlformats.org/officeDocument/2006/relationships" name="关键词池" sheetId="2" r:id="Rd817dc199a39498e"/>
    <x:sheet xmlns:r="http://schemas.openxmlformats.org/officeDocument/2006/relationships" name="评分规则" sheetId="3" r:id="R7b7773fcde194302"/>
    <x:sheet xmlns:r="http://schemas.openxmlformats.org/officeDocument/2006/relationships" name="页面规划" sheetId="4" r:id="Refaf9256177c42e8"/>
    <x:sheet xmlns:r="http://schemas.openxmlformats.org/officeDocument/2006/relationships" name="内容规划" sheetId="5" r:id="R3eba9c7bd65a4cf9"/>
    <x:sheet xmlns:r="http://schemas.openxmlformats.org/officeDocument/2006/relationships" name="仪表盘" sheetId="6" r:id="Rcb9f6a76f849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4F4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2F6F73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top style="thin">
        <x:color rgb="FFB7C9D6"/>
      </x:top>
      <x:bottom style="thin">
        <x:color rgb="FFB7C9D6"/>
      </x:bottom>
    </x:border>
    <x:border>
      <x:top style="thin">
        <x:color rgb="FFD9E2EC"/>
      </x:top>
    </x:border>
    <x:border>
      <x:bottom style="thin">
        <x:color rgb="FFD9E2EC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wrapText="1"/>
    </x:xf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200" fontId="4" fillId="4" borderId="9" xfId="0" applyNumberFormat="1" applyFont="1" applyFill="1" applyBorder="1" applyAlignment="1">
      <x:alignment wrapText="1"/>
    </x:xf>
    <x:xf numFmtId="201" fontId="4" fillId="4" borderId="9" xfId="0" applyNumberFormat="1" applyFont="1" applyFill="1" applyBorder="1" applyAlignment="1">
      <x:alignment wrapText="1"/>
    </x:xf>
    <x:xf numFmtId="202" fontId="4" fillId="4" borderId="9" xfId="0" applyNumberFormat="1" applyFont="1" applyFill="1" applyBorder="1" applyAlignment="1">
      <x:alignment wrapText="1"/>
    </x:xf>
    <x:xf numFmtId="202" fontId="0" fillId="5" borderId="6" xfId="0" applyNumberFormat="1" applyFont="1" applyFill="1" applyBorder="1" applyAlignment="1">
      <x:alignment wrapText="1"/>
    </x:xf>
    <x:xf numFmtId="202" fontId="0" fillId="5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/>
    <x:xf numFmtId="0" fontId="2" fillId="6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0a8188de44a34" /><Relationship Type="http://schemas.openxmlformats.org/officeDocument/2006/relationships/theme" Target="/xl/theme/theme1.xml" Id="R73d513d332d747b1" /><Relationship Type="http://schemas.openxmlformats.org/officeDocument/2006/relationships/sharedStrings" Target="/xl/sharedStrings.xml" Id="R61f1fc35fd744a44" /><Relationship Type="http://schemas.openxmlformats.org/officeDocument/2006/relationships/worksheet" Target="/xl/worksheets/sheet1.xml" Id="R75807ad8aea0488d" /><Relationship Type="http://schemas.openxmlformats.org/officeDocument/2006/relationships/worksheet" Target="/xl/worksheets/sheet2.xml" Id="Rd817dc199a39498e" /><Relationship Type="http://schemas.openxmlformats.org/officeDocument/2006/relationships/worksheet" Target="/xl/worksheets/sheet3.xml" Id="R7b7773fcde194302" /><Relationship Type="http://schemas.openxmlformats.org/officeDocument/2006/relationships/worksheet" Target="/xl/worksheets/sheet4.xml" Id="Refaf9256177c42e8" /><Relationship Type="http://schemas.openxmlformats.org/officeDocument/2006/relationships/worksheet" Target="/xl/worksheets/sheet5.xml" Id="R3eba9c7bd65a4cf9" /><Relationship Type="http://schemas.openxmlformats.org/officeDocument/2006/relationships/worksheet" Target="/xl/worksheets/sheet6.xml" Id="Rcb9f6a76f8494541" /></Relationships>
</file>

<file path=xl/tables/table1.xml><?xml version="1.0" encoding="utf-8"?>
<x:table xmlns:x="http://schemas.openxmlformats.org/spreadsheetml/2006/main" id="1" name="KeywordPool" displayName="KeywordPool" ref="A1:AD61" headerRowCount="1">
  <x:tableColumns count="30">
    <x:tableColumn id="1" name="Keyword"/>
    <x:tableColumn id="2" name="中文含义"/>
    <x:tableColumn id="3" name="Topic Cluster"/>
    <x:tableColumn id="4" name="Volume"/>
    <x:tableColumn id="5" name="CPC"/>
    <x:tableColumn id="6" name="KD"/>
    <x:tableColumn id="7" name="SERP Intent"/>
    <x:tableColumn id="8" name="SERP Page Type"/>
    <x:tableColumn id="9" name="关键词类型"/>
    <x:tableColumn id="10" name="Product Fit"/>
    <x:tableColumn id="11" name="Margin Fit"/>
    <x:tableColumn id="12" name="Inventory Fit"/>
    <x:tableColumn id="13" name="SERP Fit"/>
    <x:tableColumn id="14" name="Content Feasibility"/>
    <x:tableColumn id="15" name="Data Confidence"/>
    <x:tableColumn id="16" name="Existing URL"/>
    <x:tableColumn id="17" name="Parent Topic"/>
    <x:tableColumn id="18" name="Notes"/>
    <x:tableColumn id="19" name="Intent Score"/>
    <x:tableColumn id="20" name="Demand Score"/>
    <x:tableColumn id="21" name="KD Opportunity"/>
    <x:tableColumn id="22" name="Business Score"/>
    <x:tableColumn id="23" name="Page Fit Score"/>
    <x:tableColumn id="24" name="Architecture Score"/>
    <x:tableColumn id="25" name="Confidence Score"/>
    <x:tableColumn id="26" name="Total Score"/>
    <x:tableColumn id="27" name="Tier"/>
    <x:tableColumn id="28" name="Recommended Action"/>
    <x:tableColumn id="29" name="Target Page Type"/>
    <x:tableColumn id="30" name="Proposed URL"/>
  </x:tableColumns>
  <x:tableStyleInfo name="TableStyleMedium2" showRowStripes="1"/>
</x:table>
</file>

<file path=xl/tables/table2.xml><?xml version="1.0" encoding="utf-8"?>
<x:table xmlns:x="http://schemas.openxmlformats.org/spreadsheetml/2006/main" id="2" name="PageMap" displayName="PageMap" ref="A1:K13" headerRowCount="1">
  <x:tableColumns count="11">
    <x:tableColumn id="1" name="层级"/>
    <x:tableColumn id="2" name="页面名称"/>
    <x:tableColumn id="3" name="主关键词"/>
    <x:tableColumn id="4" name="URL路径"/>
    <x:tableColumn id="5" name="父页面"/>
    <x:tableColumn id="6" name="页面类型"/>
    <x:tableColumn id="7" name="搜索意图"/>
    <x:tableColumn id="8" name="建议优先级"/>
    <x:tableColumn id="9" name="审计状态"/>
    <x:tableColumn id="10" name="内容要求"/>
    <x:tableColumn id="11" name="内链目标"/>
  </x:tableColumns>
  <x:tableStyleInfo name="TableStyleMedium2" showRowStripes="1"/>
</x:table>
</file>

<file path=xl/tables/table3.xml><?xml version="1.0" encoding="utf-8"?>
<x:table xmlns:x="http://schemas.openxmlformats.org/spreadsheetml/2006/main" id="3" name="ContentPlan" displayName="ContentPlan" ref="A1:I11" headerRowCount="1">
  <x:tableColumns count="9">
    <x:tableColumn id="1" name="Cluster"/>
    <x:tableColumn id="2" name="Supporting Keyword"/>
    <x:tableColumn id="3" name="内容类型"/>
    <x:tableColumn id="4" name="用户问题"/>
    <x:tableColumn id="5" name="页面目标"/>
    <x:tableColumn id="6" name="CTA/内链"/>
    <x:tableColumn id="7" name="发布阶段"/>
    <x:tableColumn id="8" name="状态"/>
    <x:tableColumn id="9" name="需要的证据/素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145c40b42a48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e1ba22751bc4b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62c60b9f7ef44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2" t="str">
        <x:v>Google SEO 关键词研究与页面规划模板</x:v>
      </x:c>
    </x:row>
    <x:row r="3">
      <x:c r="A3" s="4" t="str">
        <x:v>这个模板复刻了视频里能看到的两层结构：先做关键词分类/打分，再映射到页面地图。示例数据用于演示 2C 商城站，不代表真实搜索量。</x:v>
      </x:c>
    </x:row>
    <x:row r="5">
      <x:c r="A5" s="9" t="str">
        <x:v>使用步骤</x:v>
      </x:c>
      <x:c r="B5" s="10" t="str">
        <x:v>说明</x:v>
      </x:c>
    </x:row>
    <x:row r="6">
      <x:c r="A6" s="18" t="str">
        <x:v>1. 填关键词池</x:v>
      </x:c>
      <x:c r="B6" s="19" t="str">
        <x:v>把 Ahrefs/Semrush/GSC/Google SERP 收集到的词放到“关键词池”，补充 Volume、CPC、KD、Intent、SERP 页面类型。</x:v>
      </x:c>
    </x:row>
    <x:row r="7">
      <x:c r="A7" s="20" t="str">
        <x:v>2. 人工校正意图</x:v>
      </x:c>
      <x:c r="B7" s="21" t="str">
        <x:v>工具给的 Intent 只能初筛，最终以 Google 首页真实排名页面为准。</x:v>
      </x:c>
    </x:row>
    <x:row r="8">
      <x:c r="A8" s="20" t="str">
        <x:v>3. 填业务打分</x:v>
      </x:c>
      <x:c r="B8" s="21" t="str">
        <x:v>Product Fit、Margin Fit、Inventory Fit、SERP Fit、Content Feasibility 都用 1-5 分。</x:v>
      </x:c>
    </x:row>
    <x:row r="9">
      <x:c r="A9" s="20" t="str">
        <x:v>4. 看总分和优先级</x:v>
      </x:c>
      <x:c r="B9" s="21" t="str">
        <x:v>Total Score &gt;= 75 为 P0，优先建页或优化现有页。</x:v>
      </x:c>
    </x:row>
    <x:row r="10">
      <x:c r="A10" s="20" t="str">
        <x:v>5. 做页面规划</x:v>
      </x:c>
      <x:c r="B10" s="21" t="str">
        <x:v>把 P0/P1 关键词聚合成类目页、筛选集合页、商品页、导购页、FAQ。</x:v>
      </x:c>
    </x:row>
    <x:row r="11">
      <x:c r="A11" s="20" t="str">
        <x:v>6. 上线后复查</x:v>
      </x:c>
      <x:c r="B11" s="21" t="str">
        <x:v>用 GSC 看查询词、排名 URL 和点击变化，发现页面抢词时回到本表调整。</x:v>
      </x:c>
    </x:row>
    <x:row r="12">
      <x:c r="A12" s="22" t="str">
        <x:v>注意</x:v>
      </x:c>
      <x:c r="B12" s="23" t="str">
        <x:v>本模板是可迁移骨架。B2B 会偏解决方案页和询盘页；2C 要偏类目页、商品页、专题集合页和购买指南。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6" hidden="0" customWidth="1"/>
    <x:col min="17" max="17" width="26" hidden="0" customWidth="1"/>
    <x:col min="18" max="18" width="26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</x:cols>
  <x:sheetData>
    <x:row r="1">
      <x:c r="A1" s="39" t="str">
        <x:v>Keyword</x:v>
      </x:c>
      <x:c r="B1" s="40" t="str">
        <x:v>中文含义</x:v>
      </x:c>
      <x:c r="C1" s="40" t="str">
        <x:v>Topic Cluster</x:v>
      </x:c>
      <x:c r="D1" s="42" t="str">
        <x:v>Volume</x:v>
      </x:c>
      <x:c r="E1" s="42" t="str">
        <x:v>CPC</x:v>
      </x:c>
      <x:c r="F1" s="42" t="str">
        <x:v>KD</x:v>
      </x:c>
      <x:c r="G1" s="40" t="str">
        <x:v>SERP Intent</x:v>
      </x:c>
      <x:c r="H1" s="40" t="str">
        <x:v>SERP Page Type</x:v>
      </x:c>
      <x:c r="I1" s="40" t="str">
        <x:v>关键词类型</x:v>
      </x:c>
      <x:c r="J1" s="43" t="str">
        <x:v>Product Fit</x:v>
      </x:c>
      <x:c r="K1" s="43" t="str">
        <x:v>Margin Fit</x:v>
      </x:c>
      <x:c r="L1" s="43" t="str">
        <x:v>Inventory Fit</x:v>
      </x:c>
      <x:c r="M1" s="43" t="str">
        <x:v>SERP Fit</x:v>
      </x:c>
      <x:c r="N1" s="43" t="str">
        <x:v>Content Feasibility</x:v>
      </x:c>
      <x:c r="O1" s="43" t="str">
        <x:v>Data Confidence</x:v>
      </x:c>
      <x:c r="P1" s="40" t="str">
        <x:v>Existing URL</x:v>
      </x:c>
      <x:c r="Q1" s="40" t="str">
        <x:v>Parent Topic</x:v>
      </x:c>
      <x:c r="R1" s="40" t="str">
        <x:v>Notes</x:v>
      </x:c>
      <x:c r="S1" s="44" t="str">
        <x:v>Intent Score</x:v>
      </x:c>
      <x:c r="T1" s="44" t="str">
        <x:v>Demand Score</x:v>
      </x:c>
      <x:c r="U1" s="44" t="str">
        <x:v>KD Opportunity</x:v>
      </x:c>
      <x:c r="V1" s="44" t="str">
        <x:v>Business Score</x:v>
      </x:c>
      <x:c r="W1" s="44" t="str">
        <x:v>Page Fit Score</x:v>
      </x:c>
      <x:c r="X1" s="44" t="str">
        <x:v>Architecture Score</x:v>
      </x:c>
      <x:c r="Y1" s="44" t="str">
        <x:v>Confidence Score</x:v>
      </x:c>
      <x:c r="Z1" s="44" t="str">
        <x:v>Total Score</x:v>
      </x:c>
      <x:c r="AA1" s="40" t="str">
        <x:v>Tier</x:v>
      </x:c>
      <x:c r="AB1" s="40" t="str">
        <x:v>Recommended Action</x:v>
      </x:c>
      <x:c r="AC1" s="40" t="str">
        <x:v>Target Page Type</x:v>
      </x:c>
      <x:c r="AD1" s="41" t="str">
        <x:v>Proposed URL</x:v>
      </x:c>
    </x:row>
    <x:row r="2">
      <x:c r="A2" t="str">
        <x:v>silk pillowcase</x:v>
      </x:c>
      <x:c r="B2" t="str">
        <x:v>真丝枕套</x:v>
      </x:c>
      <x:c r="C2" t="str">
        <x:v>Silk Pillowcase</x:v>
      </x:c>
      <x:c r="D2" t="n">
        <x:v>12100</x:v>
      </x:c>
      <x:c r="E2" t="n">
        <x:v>1.8</x:v>
      </x:c>
      <x:c r="F2" t="n">
        <x:v>38</x:v>
      </x:c>
      <x:c r="G2" t="str">
        <x:v>Commercial</x:v>
      </x:c>
      <x:c r="H2" t="str">
        <x:v>Category</x:v>
      </x:c>
      <x:c r="I2" t="str">
        <x:v>核心类目词</x:v>
      </x:c>
      <x:c r="J2" t="n">
        <x:v>5</x:v>
      </x:c>
      <x:c r="K2" t="n">
        <x:v>4</x:v>
      </x:c>
      <x:c r="L2" t="n">
        <x:v>5</x:v>
      </x:c>
      <x:c r="M2" t="n">
        <x:v>5</x:v>
      </x:c>
      <x:c r="N2" t="n">
        <x:v>4</x:v>
      </x:c>
      <x:c r="O2" t="n">
        <x:v>4</x:v>
      </x:c>
      <x:c r="P2" t="str"/>
      <x:c r="Q2" t="str">
        <x:v>silk pillowcase</x:v>
      </x:c>
      <x:c r="R2" t="str">
        <x:v>主类目词，适合分类页</x:v>
      </x:c>
      <x:c r="S2" t="n">
        <x:f>IF(A2="","",XLOOKUP(G2,'评分规则'!$A$12:$A$17,'评分规则'!$B$12:$B$17,0))</x:f>
        <x:v>17</x:v>
      </x:c>
      <x:c r="T2" t="n">
        <x:f>IF(A2="","",IF(D2&gt;=10000,10,IF(D2&gt;=3000,9,IF(D2&gt;=1000,8,IF(D2&gt;=300,7,IF(D2&gt;=100,6,IF(D2&gt;=30,4,IF(D2&gt;=10,3,1)))))))+IF(E2&gt;=3,5,IF(E2&gt;=1,4,IF(E2&gt;=0.3,3,IF(E2&gt;0,2,1)))))</x:f>
        <x:v>14</x:v>
      </x:c>
      <x:c r="U2" t="n">
        <x:f>IF(A2="","",IF('评分规则'!$B$3="新站",IF(F2&lt;=10,15,IF(F2&lt;=20,12,IF(F2&lt;=35,8,IF(F2&lt;=50,4,1)))),IF('评分规则'!$B$3="成长期",IF(F2&lt;=20,15,IF(F2&lt;=35,12,IF(F2&lt;=50,8,IF(F2&lt;=70,4,1)))),IF(F2&lt;=35,15,IF(F2&lt;=50,12,IF(F2&lt;=70,8,IF(F2&lt;=85,4,1)))))))</x:f>
        <x:v>4</x:v>
      </x:c>
      <x:c r="V2" t="n">
        <x:f>IF(A2="","",ROUND((J2*0.45+K2*0.30+L2*0.25)*4,1))</x:f>
        <x:v>18.8</x:v>
      </x:c>
      <x:c r="W2" t="n">
        <x:f>IF(A2="","",ROUND((M2*0.60+N2*0.40)*3,1))</x:f>
        <x:v>13.8</x:v>
      </x:c>
      <x:c r="X2" t="n">
        <x:f>IF(A2="","",XLOOKUP(I2,'评分规则'!$D$12:$D$21,'评分规则'!$F$12:$F$21,0))</x:f>
        <x:v>10</x:v>
      </x:c>
      <x:c r="Y2" t="n">
        <x:f>IF(A2="","",O2)</x:f>
        <x:v>4</x:v>
      </x:c>
      <x:c r="Z2" t="n">
        <x:f>IF(A2="","",SUM(S2:Y2))</x:f>
        <x:v>81.6</x:v>
      </x:c>
      <x:c r="AA2" t="str">
        <x:f>IF(A2="","",IF(Z2&gt;=75,"P0",IF(Z2&gt;=60,"P1",IF(Z2&gt;=45,"P2","P3"))))</x:f>
        <x:v>P0</x:v>
      </x:c>
      <x:c r="AB2" t="str">
        <x:f>IF(A2="","",XLOOKUP(AA2,'评分规则'!$H$12:$H$15,'评分规则'!$I$12:$I$15,""))</x:f>
        <x:v>立即建页或重点优化</x:v>
      </x:c>
      <x:c r="AC2" t="str">
        <x:f>IF(A2="","",XLOOKUP(I2,'评分规则'!$D$12:$D$21,'评分规则'!$E$12:$E$21,"人工判断"))</x:f>
        <x:v>分类页/集合页</x:v>
      </x:c>
      <x:c r="AD2" t="str">
        <x:f>IF(A2="","","/"&amp;LOWER(SUBSTITUTE(SUBSTITUTE(SUBSTITUTE(A2," / ","-")," ","-"),"+",""))&amp;"/")</x:f>
        <x:v>/silk-pillowcase/</x:v>
      </x:c>
    </x:row>
    <x:row r="3">
      <x:c r="A3" t="str">
        <x:v>mulberry silk pillowcase</x:v>
      </x:c>
      <x:c r="B3" t="str">
        <x:v>桑蚕丝枕套</x:v>
      </x:c>
      <x:c r="C3" t="str">
        <x:v>Silk Pillowcase</x:v>
      </x:c>
      <x:c r="D3" t="n">
        <x:v>6600</x:v>
      </x:c>
      <x:c r="E3" t="n">
        <x:v>2.4</x:v>
      </x:c>
      <x:c r="F3" t="n">
        <x:v>28</x:v>
      </x:c>
      <x:c r="G3" t="str">
        <x:v>Commercial</x:v>
      </x:c>
      <x:c r="H3" t="str">
        <x:v>Category</x:v>
      </x:c>
      <x:c r="I3" t="str">
        <x:v>属性类目词</x:v>
      </x:c>
      <x:c r="J3" t="n">
        <x:v>5</x:v>
      </x:c>
      <x:c r="K3" t="n">
        <x:v>5</x:v>
      </x:c>
      <x:c r="L3" t="n">
        <x:v>5</x:v>
      </x:c>
      <x:c r="M3" t="n">
        <x:v>5</x:v>
      </x:c>
      <x:c r="N3" t="n">
        <x:v>4</x:v>
      </x:c>
      <x:c r="O3" t="n">
        <x:v>4</x:v>
      </x:c>
      <x:c r="P3" t="str"/>
      <x:c r="Q3" t="str">
        <x:v>silk pillowcase</x:v>
      </x:c>
      <x:c r="R3" t="str">
        <x:v>材质属性强，适合可索引集合页</x:v>
      </x:c>
      <x:c r="S3" t="n">
        <x:f>IF(A3="","",XLOOKUP(G3,'评分规则'!$A$12:$A$17,'评分规则'!$B$12:$B$17,0))</x:f>
        <x:v>17</x:v>
      </x:c>
      <x:c r="T3" t="n">
        <x:f>IF(A3="","",IF(D3&gt;=10000,10,IF(D3&gt;=3000,9,IF(D3&gt;=1000,8,IF(D3&gt;=300,7,IF(D3&gt;=100,6,IF(D3&gt;=30,4,IF(D3&gt;=10,3,1)))))))+IF(E3&gt;=3,5,IF(E3&gt;=1,4,IF(E3&gt;=0.3,3,IF(E3&gt;0,2,1)))))</x:f>
        <x:v>13</x:v>
      </x:c>
      <x:c r="U3" t="n">
        <x:f>IF(A3="","",IF('评分规则'!$B$3="新站",IF(F3&lt;=10,15,IF(F3&lt;=20,12,IF(F3&lt;=35,8,IF(F3&lt;=50,4,1)))),IF('评分规则'!$B$3="成长期",IF(F3&lt;=20,15,IF(F3&lt;=35,12,IF(F3&lt;=50,8,IF(F3&lt;=70,4,1)))),IF(F3&lt;=35,15,IF(F3&lt;=50,12,IF(F3&lt;=70,8,IF(F3&lt;=85,4,1)))))))</x:f>
        <x:v>8</x:v>
      </x:c>
      <x:c r="V3" t="n">
        <x:f>IF(A3="","",ROUND((J3*0.45+K3*0.30+L3*0.25)*4,1))</x:f>
        <x:v>20</x:v>
      </x:c>
      <x:c r="W3" t="n">
        <x:f>IF(A3="","",ROUND((M3*0.60+N3*0.40)*3,1))</x:f>
        <x:v>13.8</x:v>
      </x:c>
      <x:c r="X3" t="n">
        <x:f>IF(A3="","",XLOOKUP(I3,'评分规则'!$D$12:$D$21,'评分规则'!$F$12:$F$21,0))</x:f>
        <x:v>9</x:v>
      </x:c>
      <x:c r="Y3" t="n">
        <x:f>IF(A3="","",O3)</x:f>
        <x:v>4</x:v>
      </x:c>
      <x:c r="Z3" t="n">
        <x:f>IF(A3="","",SUM(S3:Y3))</x:f>
        <x:v>84.8</x:v>
      </x:c>
      <x:c r="AA3" t="str">
        <x:f>IF(A3="","",IF(Z3&gt;=75,"P0",IF(Z3&gt;=60,"P1",IF(Z3&gt;=45,"P2","P3"))))</x:f>
        <x:v>P0</x:v>
      </x:c>
      <x:c r="AB3" t="str">
        <x:f>IF(A3="","",XLOOKUP(AA3,'评分规则'!$H$12:$H$15,'评分规则'!$I$12:$I$15,""))</x:f>
        <x:v>立即建页或重点优化</x:v>
      </x:c>
      <x:c r="AC3" t="str">
        <x:f>IF(A3="","",XLOOKUP(I3,'评分规则'!$D$12:$D$21,'评分规则'!$E$12:$E$21,"人工判断"))</x:f>
        <x:v>可索引筛选集合页</x:v>
      </x:c>
      <x:c r="AD3" t="str">
        <x:f>IF(A3="","","/"&amp;LOWER(SUBSTITUTE(SUBSTITUTE(SUBSTITUTE(A3," / ","-")," ","-"),"+",""))&amp;"/")</x:f>
        <x:v>/mulberry-silk-pillowcase/</x:v>
      </x:c>
    </x:row>
    <x:row r="4">
      <x:c r="A4" t="str">
        <x:v>queen silk pillowcase</x:v>
      </x:c>
      <x:c r="B4" t="str">
        <x:v>Queen 尺寸真丝枕套</x:v>
      </x:c>
      <x:c r="C4" t="str">
        <x:v>Silk Pillowcase</x:v>
      </x:c>
      <x:c r="D4" t="n">
        <x:v>1900</x:v>
      </x:c>
      <x:c r="E4" t="n">
        <x:v>1.2</x:v>
      </x:c>
      <x:c r="F4" t="n">
        <x:v>22</x:v>
      </x:c>
      <x:c r="G4" t="str">
        <x:v>Transactional</x:v>
      </x:c>
      <x:c r="H4" t="str">
        <x:v>Category</x:v>
      </x:c>
      <x:c r="I4" t="str">
        <x:v>属性类目词</x:v>
      </x:c>
      <x:c r="J4" t="n">
        <x:v>5</x:v>
      </x:c>
      <x:c r="K4" t="n">
        <x:v>4</x:v>
      </x:c>
      <x:c r="L4" t="n">
        <x:v>4</x:v>
      </x:c>
      <x:c r="M4" t="n">
        <x:v>4</x:v>
      </x:c>
      <x:c r="N4" t="n">
        <x:v>3</x:v>
      </x:c>
      <x:c r="O4" t="n">
        <x:v>4</x:v>
      </x:c>
      <x:c r="P4" t="str"/>
      <x:c r="Q4" t="str">
        <x:v>silk pillowcase</x:v>
      </x:c>
      <x:c r="R4" t="str">
        <x:v>尺寸筛选页，需有足够商品</x:v>
      </x:c>
      <x:c r="S4" t="n">
        <x:f>IF(A4="","",XLOOKUP(G4,'评分规则'!$A$12:$A$17,'评分规则'!$B$12:$B$17,0))</x:f>
        <x:v>20</x:v>
      </x:c>
      <x:c r="T4" t="n">
        <x:f>IF(A4="","",IF(D4&gt;=10000,10,IF(D4&gt;=3000,9,IF(D4&gt;=1000,8,IF(D4&gt;=300,7,IF(D4&gt;=100,6,IF(D4&gt;=30,4,IF(D4&gt;=10,3,1)))))))+IF(E4&gt;=3,5,IF(E4&gt;=1,4,IF(E4&gt;=0.3,3,IF(E4&gt;0,2,1)))))</x:f>
        <x:v>12</x:v>
      </x:c>
      <x:c r="U4" t="n">
        <x:f>IF(A4="","",IF('评分规则'!$B$3="新站",IF(F4&lt;=10,15,IF(F4&lt;=20,12,IF(F4&lt;=35,8,IF(F4&lt;=50,4,1)))),IF('评分规则'!$B$3="成长期",IF(F4&lt;=20,15,IF(F4&lt;=35,12,IF(F4&lt;=50,8,IF(F4&lt;=70,4,1)))),IF(F4&lt;=35,15,IF(F4&lt;=50,12,IF(F4&lt;=70,8,IF(F4&lt;=85,4,1)))))))</x:f>
        <x:v>8</x:v>
      </x:c>
      <x:c r="V4" t="n">
        <x:f>IF(A4="","",ROUND((J4*0.45+K4*0.30+L4*0.25)*4,1))</x:f>
        <x:v>17.8</x:v>
      </x:c>
      <x:c r="W4" t="n">
        <x:f>IF(A4="","",ROUND((M4*0.60+N4*0.40)*3,1))</x:f>
        <x:v>10.8</x:v>
      </x:c>
      <x:c r="X4" t="n">
        <x:f>IF(A4="","",XLOOKUP(I4,'评分规则'!$D$12:$D$21,'评分规则'!$F$12:$F$21,0))</x:f>
        <x:v>9</x:v>
      </x:c>
      <x:c r="Y4" t="n">
        <x:f>IF(A4="","",O4)</x:f>
        <x:v>4</x:v>
      </x:c>
      <x:c r="Z4" t="n">
        <x:f>IF(A4="","",SUM(S4:Y4))</x:f>
        <x:v>81.6</x:v>
      </x:c>
      <x:c r="AA4" t="str">
        <x:f>IF(A4="","",IF(Z4&gt;=75,"P0",IF(Z4&gt;=60,"P1",IF(Z4&gt;=45,"P2","P3"))))</x:f>
        <x:v>P0</x:v>
      </x:c>
      <x:c r="AB4" t="str">
        <x:f>IF(A4="","",XLOOKUP(AA4,'评分规则'!$H$12:$H$15,'评分规则'!$I$12:$I$15,""))</x:f>
        <x:v>立即建页或重点优化</x:v>
      </x:c>
      <x:c r="AC4" t="str">
        <x:f>IF(A4="","",XLOOKUP(I4,'评分规则'!$D$12:$D$21,'评分规则'!$E$12:$E$21,"人工判断"))</x:f>
        <x:v>可索引筛选集合页</x:v>
      </x:c>
      <x:c r="AD4" t="str">
        <x:f>IF(A4="","","/"&amp;LOWER(SUBSTITUTE(SUBSTITUTE(SUBSTITUTE(A4," / ","-")," ","-"),"+",""))&amp;"/")</x:f>
        <x:v>/queen-silk-pillowcase/</x:v>
      </x:c>
    </x:row>
    <x:row r="5">
      <x:c r="A5" t="str">
        <x:v>pink silk pillowcase</x:v>
      </x:c>
      <x:c r="B5" t="str">
        <x:v>粉色真丝枕套</x:v>
      </x:c>
      <x:c r="C5" t="str">
        <x:v>Silk Pillowcase</x:v>
      </x:c>
      <x:c r="D5" t="n">
        <x:v>1300</x:v>
      </x:c>
      <x:c r="E5" t="n">
        <x:v>0.9</x:v>
      </x:c>
      <x:c r="F5" t="n">
        <x:v>18</x:v>
      </x:c>
      <x:c r="G5" t="str">
        <x:v>Transactional</x:v>
      </x:c>
      <x:c r="H5" t="str">
        <x:v>Category</x:v>
      </x:c>
      <x:c r="I5" t="str">
        <x:v>属性类目词</x:v>
      </x:c>
      <x:c r="J5" t="n">
        <x:v>4</x:v>
      </x:c>
      <x:c r="K5" t="n">
        <x:v>4</x:v>
      </x:c>
      <x:c r="L5" t="n">
        <x:v>4</x:v>
      </x:c>
      <x:c r="M5" t="n">
        <x:v>4</x:v>
      </x:c>
      <x:c r="N5" t="n">
        <x:v>3</x:v>
      </x:c>
      <x:c r="O5" t="n">
        <x:v>4</x:v>
      </x:c>
      <x:c r="P5" t="str"/>
      <x:c r="Q5" t="str">
        <x:v>silk pillowcase</x:v>
      </x:c>
      <x:c r="R5" t="str">
        <x:v>颜色属性页，商品数不足时不要独立索引</x:v>
      </x:c>
      <x:c r="S5" t="n">
        <x:f>IF(A5="","",XLOOKUP(G5,'评分规则'!$A$12:$A$17,'评分规则'!$B$12:$B$17,0))</x:f>
        <x:v>20</x:v>
      </x:c>
      <x:c r="T5" t="n">
        <x:f>IF(A5="","",IF(D5&gt;=10000,10,IF(D5&gt;=3000,9,IF(D5&gt;=1000,8,IF(D5&gt;=300,7,IF(D5&gt;=100,6,IF(D5&gt;=30,4,IF(D5&gt;=10,3,1)))))))+IF(E5&gt;=3,5,IF(E5&gt;=1,4,IF(E5&gt;=0.3,3,IF(E5&gt;0,2,1)))))</x:f>
        <x:v>11</x:v>
      </x:c>
      <x:c r="U5" t="n">
        <x:f>IF(A5="","",IF('评分规则'!$B$3="新站",IF(F5&lt;=10,15,IF(F5&lt;=20,12,IF(F5&lt;=35,8,IF(F5&lt;=50,4,1)))),IF('评分规则'!$B$3="成长期",IF(F5&lt;=20,15,IF(F5&lt;=35,12,IF(F5&lt;=50,8,IF(F5&lt;=70,4,1)))),IF(F5&lt;=35,15,IF(F5&lt;=50,12,IF(F5&lt;=70,8,IF(F5&lt;=85,4,1)))))))</x:f>
        <x:v>12</x:v>
      </x:c>
      <x:c r="V5" t="n">
        <x:f>IF(A5="","",ROUND((J5*0.45+K5*0.30+L5*0.25)*4,1))</x:f>
        <x:v>16</x:v>
      </x:c>
      <x:c r="W5" t="n">
        <x:f>IF(A5="","",ROUND((M5*0.60+N5*0.40)*3,1))</x:f>
        <x:v>10.8</x:v>
      </x:c>
      <x:c r="X5" t="n">
        <x:f>IF(A5="","",XLOOKUP(I5,'评分规则'!$D$12:$D$21,'评分规则'!$F$12:$F$21,0))</x:f>
        <x:v>9</x:v>
      </x:c>
      <x:c r="Y5" t="n">
        <x:f>IF(A5="","",O5)</x:f>
        <x:v>4</x:v>
      </x:c>
      <x:c r="Z5" t="n">
        <x:f>IF(A5="","",SUM(S5:Y5))</x:f>
        <x:v>82.8</x:v>
      </x:c>
      <x:c r="AA5" t="str">
        <x:f>IF(A5="","",IF(Z5&gt;=75,"P0",IF(Z5&gt;=60,"P1",IF(Z5&gt;=45,"P2","P3"))))</x:f>
        <x:v>P0</x:v>
      </x:c>
      <x:c r="AB5" t="str">
        <x:f>IF(A5="","",XLOOKUP(AA5,'评分规则'!$H$12:$H$15,'评分规则'!$I$12:$I$15,""))</x:f>
        <x:v>立即建页或重点优化</x:v>
      </x:c>
      <x:c r="AC5" t="str">
        <x:f>IF(A5="","",XLOOKUP(I5,'评分规则'!$D$12:$D$21,'评分规则'!$E$12:$E$21,"人工判断"))</x:f>
        <x:v>可索引筛选集合页</x:v>
      </x:c>
      <x:c r="AD5" t="str">
        <x:f>IF(A5="","","/"&amp;LOWER(SUBSTITUTE(SUBSTITUTE(SUBSTITUTE(A5," / ","-")," ","-"),"+",""))&amp;"/")</x:f>
        <x:v>/pink-silk-pillowcase/</x:v>
      </x:c>
    </x:row>
    <x:row r="6">
      <x:c r="A6" t="str">
        <x:v>best silk pillowcase for hair</x:v>
      </x:c>
      <x:c r="B6" t="str">
        <x:v>适合护发的真丝枕套</x:v>
      </x:c>
      <x:c r="C6" t="str">
        <x:v>Silk Pillowcase</x:v>
      </x:c>
      <x:c r="D6" t="n">
        <x:v>2400</x:v>
      </x:c>
      <x:c r="E6" t="n">
        <x:v>1.6</x:v>
      </x:c>
      <x:c r="F6" t="n">
        <x:v>34</x:v>
      </x:c>
      <x:c r="G6" t="str">
        <x:v>Commercial</x:v>
      </x:c>
      <x:c r="H6" t="str">
        <x:v>Guide</x:v>
      </x:c>
      <x:c r="I6" t="str">
        <x:v>Best/Top词</x:v>
      </x:c>
      <x:c r="J6" t="n">
        <x:v>5</x:v>
      </x:c>
      <x:c r="K6" t="n">
        <x:v>4</x:v>
      </x:c>
      <x:c r="L6" t="n">
        <x:v>5</x:v>
      </x:c>
      <x:c r="M6" t="n">
        <x:v>5</x:v>
      </x:c>
      <x:c r="N6" t="n">
        <x:v>5</x:v>
      </x:c>
      <x:c r="O6" t="n">
        <x:v>4</x:v>
      </x:c>
      <x:c r="P6" t="str"/>
      <x:c r="Q6" t="str">
        <x:v>silk pillowcase</x:v>
      </x:c>
      <x:c r="R6" t="str">
        <x:v>导购页或专题集合页</x:v>
      </x:c>
      <x:c r="S6" t="n">
        <x:f>IF(A6="","",XLOOKUP(G6,'评分规则'!$A$12:$A$17,'评分规则'!$B$12:$B$17,0))</x:f>
        <x:v>17</x:v>
      </x:c>
      <x:c r="T6" t="n">
        <x:f>IF(A6="","",IF(D6&gt;=10000,10,IF(D6&gt;=3000,9,IF(D6&gt;=1000,8,IF(D6&gt;=300,7,IF(D6&gt;=100,6,IF(D6&gt;=30,4,IF(D6&gt;=10,3,1)))))))+IF(E6&gt;=3,5,IF(E6&gt;=1,4,IF(E6&gt;=0.3,3,IF(E6&gt;0,2,1)))))</x:f>
        <x:v>12</x:v>
      </x:c>
      <x:c r="U6" t="n">
        <x:f>IF(A6="","",IF('评分规则'!$B$3="新站",IF(F6&lt;=10,15,IF(F6&lt;=20,12,IF(F6&lt;=35,8,IF(F6&lt;=50,4,1)))),IF('评分规则'!$B$3="成长期",IF(F6&lt;=20,15,IF(F6&lt;=35,12,IF(F6&lt;=50,8,IF(F6&lt;=70,4,1)))),IF(F6&lt;=35,15,IF(F6&lt;=50,12,IF(F6&lt;=70,8,IF(F6&lt;=85,4,1)))))))</x:f>
        <x:v>8</x:v>
      </x:c>
      <x:c r="V6" t="n">
        <x:f>IF(A6="","",ROUND((J6*0.45+K6*0.30+L6*0.25)*4,1))</x:f>
        <x:v>18.8</x:v>
      </x:c>
      <x:c r="W6" t="n">
        <x:f>IF(A6="","",ROUND((M6*0.60+N6*0.40)*3,1))</x:f>
        <x:v>15</x:v>
      </x:c>
      <x:c r="X6" t="n">
        <x:f>IF(A6="","",XLOOKUP(I6,'评分规则'!$D$12:$D$21,'评分规则'!$F$12:$F$21,0))</x:f>
        <x:v>7</x:v>
      </x:c>
      <x:c r="Y6" t="n">
        <x:f>IF(A6="","",O6)</x:f>
        <x:v>4</x:v>
      </x:c>
      <x:c r="Z6" t="n">
        <x:f>IF(A6="","",SUM(S6:Y6))</x:f>
        <x:v>81.8</x:v>
      </x:c>
      <x:c r="AA6" t="str">
        <x:f>IF(A6="","",IF(Z6&gt;=75,"P0",IF(Z6&gt;=60,"P1",IF(Z6&gt;=45,"P2","P3"))))</x:f>
        <x:v>P0</x:v>
      </x:c>
      <x:c r="AB6" t="str">
        <x:f>IF(A6="","",XLOOKUP(AA6,'评分规则'!$H$12:$H$15,'评分规则'!$I$12:$I$15,""))</x:f>
        <x:v>立即建页或重点优化</x:v>
      </x:c>
      <x:c r="AC6" t="str">
        <x:f>IF(A6="","",XLOOKUP(I6,'评分规则'!$D$12:$D$21,'评分规则'!$E$12:$E$21,"人工判断"))</x:f>
        <x:v>专题集合页/购买指南</x:v>
      </x:c>
      <x:c r="AD6" t="str">
        <x:f>IF(A6="","","/"&amp;LOWER(SUBSTITUTE(SUBSTITUTE(SUBSTITUTE(A6," / ","-")," ","-"),"+",""))&amp;"/")</x:f>
        <x:v>/best-silk-pillowcase-for-hair/</x:v>
      </x:c>
    </x:row>
    <x:row r="7">
      <x:c r="A7" t="str">
        <x:v>silk pillowcase vs satin</x:v>
      </x:c>
      <x:c r="B7" t="str">
        <x:v>真丝枕套 vs 缎面枕套</x:v>
      </x:c>
      <x:c r="C7" t="str">
        <x:v>Silk Pillowcase</x:v>
      </x:c>
      <x:c r="D7" t="n">
        <x:v>1600</x:v>
      </x:c>
      <x:c r="E7" t="n">
        <x:v>0.7</x:v>
      </x:c>
      <x:c r="F7" t="n">
        <x:v>26</x:v>
      </x:c>
      <x:c r="G7" t="str">
        <x:v>Commercial</x:v>
      </x:c>
      <x:c r="H7" t="str">
        <x:v>Comparison</x:v>
      </x:c>
      <x:c r="I7" t="str">
        <x:v>比较词</x:v>
      </x:c>
      <x:c r="J7" t="n">
        <x:v>4</x:v>
      </x:c>
      <x:c r="K7" t="n">
        <x:v>3</x:v>
      </x:c>
      <x:c r="L7" t="n">
        <x:v>5</x:v>
      </x:c>
      <x:c r="M7" t="n">
        <x:v>5</x:v>
      </x:c>
      <x:c r="N7" t="n">
        <x:v>5</x:v>
      </x:c>
      <x:c r="O7" t="n">
        <x:v>4</x:v>
      </x:c>
      <x:c r="P7" t="str"/>
      <x:c r="Q7" t="str">
        <x:v>silk pillowcase</x:v>
      </x:c>
      <x:c r="R7" t="str">
        <x:v>对比文章，强内链到类目页</x:v>
      </x:c>
      <x:c r="S7" t="n">
        <x:f>IF(A7="","",XLOOKUP(G7,'评分规则'!$A$12:$A$17,'评分规则'!$B$12:$B$17,0))</x:f>
        <x:v>17</x:v>
      </x:c>
      <x:c r="T7" t="n">
        <x:f>IF(A7="","",IF(D7&gt;=10000,10,IF(D7&gt;=3000,9,IF(D7&gt;=1000,8,IF(D7&gt;=300,7,IF(D7&gt;=100,6,IF(D7&gt;=30,4,IF(D7&gt;=10,3,1)))))))+IF(E7&gt;=3,5,IF(E7&gt;=1,4,IF(E7&gt;=0.3,3,IF(E7&gt;0,2,1)))))</x:f>
        <x:v>11</x:v>
      </x:c>
      <x:c r="U7" t="n">
        <x:f>IF(A7="","",IF('评分规则'!$B$3="新站",IF(F7&lt;=10,15,IF(F7&lt;=20,12,IF(F7&lt;=35,8,IF(F7&lt;=50,4,1)))),IF('评分规则'!$B$3="成长期",IF(F7&lt;=20,15,IF(F7&lt;=35,12,IF(F7&lt;=50,8,IF(F7&lt;=70,4,1)))),IF(F7&lt;=35,15,IF(F7&lt;=50,12,IF(F7&lt;=70,8,IF(F7&lt;=85,4,1)))))))</x:f>
        <x:v>8</x:v>
      </x:c>
      <x:c r="V7" t="n">
        <x:f>IF(A7="","",ROUND((J7*0.45+K7*0.30+L7*0.25)*4,1))</x:f>
        <x:v>15.8</x:v>
      </x:c>
      <x:c r="W7" t="n">
        <x:f>IF(A7="","",ROUND((M7*0.60+N7*0.40)*3,1))</x:f>
        <x:v>15</x:v>
      </x:c>
      <x:c r="X7" t="n">
        <x:f>IF(A7="","",XLOOKUP(I7,'评分规则'!$D$12:$D$21,'评分规则'!$F$12:$F$21,0))</x:f>
        <x:v>7</x:v>
      </x:c>
      <x:c r="Y7" t="n">
        <x:f>IF(A7="","",O7)</x:f>
        <x:v>4</x:v>
      </x:c>
      <x:c r="Z7" t="n">
        <x:f>IF(A7="","",SUM(S7:Y7))</x:f>
        <x:v>77.8</x:v>
      </x:c>
      <x:c r="AA7" t="str">
        <x:f>IF(A7="","",IF(Z7&gt;=75,"P0",IF(Z7&gt;=60,"P1",IF(Z7&gt;=45,"P2","P3"))))</x:f>
        <x:v>P0</x:v>
      </x:c>
      <x:c r="AB7" t="str">
        <x:f>IF(A7="","",XLOOKUP(AA7,'评分规则'!$H$12:$H$15,'评分规则'!$I$12:$I$15,""))</x:f>
        <x:v>立即建页或重点优化</x:v>
      </x:c>
      <x:c r="AC7" t="str">
        <x:f>IF(A7="","",XLOOKUP(I7,'评分规则'!$D$12:$D$21,'评分规则'!$E$12:$E$21,"人工判断"))</x:f>
        <x:v>对比页/导购文章</x:v>
      </x:c>
      <x:c r="AD7" t="str">
        <x:f>IF(A7="","","/"&amp;LOWER(SUBSTITUTE(SUBSTITUTE(SUBSTITUTE(A7," / ","-")," ","-"),"+",""))&amp;"/")</x:f>
        <x:v>/silk-pillowcase-vs-satin/</x:v>
      </x:c>
    </x:row>
    <x:row r="8">
      <x:c r="A8" t="str">
        <x:v>how to wash silk pillowcase</x:v>
      </x:c>
      <x:c r="B8" t="str">
        <x:v>如何清洗真丝枕套</x:v>
      </x:c>
      <x:c r="C8" t="str">
        <x:v>Silk Pillowcase</x:v>
      </x:c>
      <x:c r="D8" t="n">
        <x:v>2900</x:v>
      </x:c>
      <x:c r="E8" t="n">
        <x:v>0.35</x:v>
      </x:c>
      <x:c r="F8" t="n">
        <x:v>19</x:v>
      </x:c>
      <x:c r="G8" t="str">
        <x:v>Informational</x:v>
      </x:c>
      <x:c r="H8" t="str">
        <x:v>Article</x:v>
      </x:c>
      <x:c r="I8" t="str">
        <x:v>问题词</x:v>
      </x:c>
      <x:c r="J8" t="n">
        <x:v>3</x:v>
      </x:c>
      <x:c r="K8" t="n">
        <x:v>2</x:v>
      </x:c>
      <x:c r="L8" t="n">
        <x:v>5</x:v>
      </x:c>
      <x:c r="M8" t="n">
        <x:v>5</x:v>
      </x:c>
      <x:c r="N8" t="n">
        <x:v>5</x:v>
      </x:c>
      <x:c r="O8" t="n">
        <x:v>4</x:v>
      </x:c>
      <x:c r="P8" t="str"/>
      <x:c r="Q8" t="str">
        <x:v>silk pillowcase</x:v>
      </x:c>
      <x:c r="R8" t="str">
        <x:v>帮助内容，服务已购买和潜在用户</x:v>
      </x:c>
      <x:c r="S8" t="n">
        <x:f>IF(A8="","",XLOOKUP(G8,'评分规则'!$A$12:$A$17,'评分规则'!$B$12:$B$17,0))</x:f>
        <x:v>10</x:v>
      </x:c>
      <x:c r="T8" t="n">
        <x:f>IF(A8="","",IF(D8&gt;=10000,10,IF(D8&gt;=3000,9,IF(D8&gt;=1000,8,IF(D8&gt;=300,7,IF(D8&gt;=100,6,IF(D8&gt;=30,4,IF(D8&gt;=10,3,1)))))))+IF(E8&gt;=3,5,IF(E8&gt;=1,4,IF(E8&gt;=0.3,3,IF(E8&gt;0,2,1)))))</x:f>
        <x:v>11</x:v>
      </x:c>
      <x:c r="U8" t="n">
        <x:f>IF(A8="","",IF('评分规则'!$B$3="新站",IF(F8&lt;=10,15,IF(F8&lt;=20,12,IF(F8&lt;=35,8,IF(F8&lt;=50,4,1)))),IF('评分规则'!$B$3="成长期",IF(F8&lt;=20,15,IF(F8&lt;=35,12,IF(F8&lt;=50,8,IF(F8&lt;=70,4,1)))),IF(F8&lt;=35,15,IF(F8&lt;=50,12,IF(F8&lt;=70,8,IF(F8&lt;=85,4,1)))))))</x:f>
        <x:v>12</x:v>
      </x:c>
      <x:c r="V8" t="n">
        <x:f>IF(A8="","",ROUND((J8*0.45+K8*0.30+L8*0.25)*4,1))</x:f>
        <x:v>12.8</x:v>
      </x:c>
      <x:c r="W8" t="n">
        <x:f>IF(A8="","",ROUND((M8*0.60+N8*0.40)*3,1))</x:f>
        <x:v>15</x:v>
      </x:c>
      <x:c r="X8" t="n">
        <x:f>IF(A8="","",XLOOKUP(I8,'评分规则'!$D$12:$D$21,'评分规则'!$F$12:$F$21,0))</x:f>
        <x:v>5</x:v>
      </x:c>
      <x:c r="Y8" t="n">
        <x:f>IF(A8="","",O8)</x:f>
        <x:v>4</x:v>
      </x:c>
      <x:c r="Z8" t="n">
        <x:f>IF(A8="","",SUM(S8:Y8))</x:f>
        <x:v>69.8</x:v>
      </x:c>
      <x:c r="AA8" t="str">
        <x:f>IF(A8="","",IF(Z8&gt;=75,"P0",IF(Z8&gt;=60,"P1",IF(Z8&gt;=45,"P2","P3"))))</x:f>
        <x:v>P1</x:v>
      </x:c>
      <x:c r="AB8" t="str">
        <x:f>IF(A8="","",XLOOKUP(AA8,'评分规则'!$H$12:$H$15,'评分规则'!$I$12:$I$15,""))</x:f>
        <x:v>进入本轮内容/页面规划</x:v>
      </x:c>
      <x:c r="AC8" t="str">
        <x:f>IF(A8="","",XLOOKUP(I8,'评分规则'!$D$12:$D$21,'评分规则'!$E$12:$E$21,"人工判断"))</x:f>
        <x:v>博客/FAQ/帮助中心</x:v>
      </x:c>
      <x:c r="AD8" t="str">
        <x:f>IF(A8="","","/"&amp;LOWER(SUBSTITUTE(SUBSTITUTE(SUBSTITUTE(A8," / ","-")," ","-"),"+",""))&amp;"/")</x:f>
        <x:v>/how-to-wash-silk-pillowcase/</x:v>
      </x:c>
    </x:row>
    <x:row r="9">
      <x:c r="A9" t="str">
        <x:v>silk eye mask</x:v>
      </x:c>
      <x:c r="B9" t="str">
        <x:v>真丝眼罩</x:v>
      </x:c>
      <x:c r="C9" t="str">
        <x:v>Silk Eye Mask</x:v>
      </x:c>
      <x:c r="D9" t="n">
        <x:v>8100</x:v>
      </x:c>
      <x:c r="E9" t="n">
        <x:v>1.5</x:v>
      </x:c>
      <x:c r="F9" t="n">
        <x:v>31</x:v>
      </x:c>
      <x:c r="G9" t="str">
        <x:v>Commercial</x:v>
      </x:c>
      <x:c r="H9" t="str">
        <x:v>Category</x:v>
      </x:c>
      <x:c r="I9" t="str">
        <x:v>核心类目词</x:v>
      </x:c>
      <x:c r="J9" t="n">
        <x:v>5</x:v>
      </x:c>
      <x:c r="K9" t="n">
        <x:v>4</x:v>
      </x:c>
      <x:c r="L9" t="n">
        <x:v>5</x:v>
      </x:c>
      <x:c r="M9" t="n">
        <x:v>5</x:v>
      </x:c>
      <x:c r="N9" t="n">
        <x:v>4</x:v>
      </x:c>
      <x:c r="O9" t="n">
        <x:v>4</x:v>
      </x:c>
      <x:c r="P9" t="str"/>
      <x:c r="Q9" t="str">
        <x:v>silk eye mask</x:v>
      </x:c>
      <x:c r="R9" t="str">
        <x:v>另一个一级类目</x:v>
      </x:c>
      <x:c r="S9" t="n">
        <x:f>IF(A9="","",XLOOKUP(G9,'评分规则'!$A$12:$A$17,'评分规则'!$B$12:$B$17,0))</x:f>
        <x:v>17</x:v>
      </x:c>
      <x:c r="T9" t="n">
        <x:f>IF(A9="","",IF(D9&gt;=10000,10,IF(D9&gt;=3000,9,IF(D9&gt;=1000,8,IF(D9&gt;=300,7,IF(D9&gt;=100,6,IF(D9&gt;=30,4,IF(D9&gt;=10,3,1)))))))+IF(E9&gt;=3,5,IF(E9&gt;=1,4,IF(E9&gt;=0.3,3,IF(E9&gt;0,2,1)))))</x:f>
        <x:v>13</x:v>
      </x:c>
      <x:c r="U9" t="n">
        <x:f>IF(A9="","",IF('评分规则'!$B$3="新站",IF(F9&lt;=10,15,IF(F9&lt;=20,12,IF(F9&lt;=35,8,IF(F9&lt;=50,4,1)))),IF('评分规则'!$B$3="成长期",IF(F9&lt;=20,15,IF(F9&lt;=35,12,IF(F9&lt;=50,8,IF(F9&lt;=70,4,1)))),IF(F9&lt;=35,15,IF(F9&lt;=50,12,IF(F9&lt;=70,8,IF(F9&lt;=85,4,1)))))))</x:f>
        <x:v>8</x:v>
      </x:c>
      <x:c r="V9" t="n">
        <x:f>IF(A9="","",ROUND((J9*0.45+K9*0.30+L9*0.25)*4,1))</x:f>
        <x:v>18.8</x:v>
      </x:c>
      <x:c r="W9" t="n">
        <x:f>IF(A9="","",ROUND((M9*0.60+N9*0.40)*3,1))</x:f>
        <x:v>13.8</x:v>
      </x:c>
      <x:c r="X9" t="n">
        <x:f>IF(A9="","",XLOOKUP(I9,'评分规则'!$D$12:$D$21,'评分规则'!$F$12:$F$21,0))</x:f>
        <x:v>10</x:v>
      </x:c>
      <x:c r="Y9" t="n">
        <x:f>IF(A9="","",O9)</x:f>
        <x:v>4</x:v>
      </x:c>
      <x:c r="Z9" t="n">
        <x:f>IF(A9="","",SUM(S9:Y9))</x:f>
        <x:v>84.6</x:v>
      </x:c>
      <x:c r="AA9" t="str">
        <x:f>IF(A9="","",IF(Z9&gt;=75,"P0",IF(Z9&gt;=60,"P1",IF(Z9&gt;=45,"P2","P3"))))</x:f>
        <x:v>P0</x:v>
      </x:c>
      <x:c r="AB9" t="str">
        <x:f>IF(A9="","",XLOOKUP(AA9,'评分规则'!$H$12:$H$15,'评分规则'!$I$12:$I$15,""))</x:f>
        <x:v>立即建页或重点优化</x:v>
      </x:c>
      <x:c r="AC9" t="str">
        <x:f>IF(A9="","",XLOOKUP(I9,'评分规则'!$D$12:$D$21,'评分规则'!$E$12:$E$21,"人工判断"))</x:f>
        <x:v>分类页/集合页</x:v>
      </x:c>
      <x:c r="AD9" t="str">
        <x:f>IF(A9="","","/"&amp;LOWER(SUBSTITUTE(SUBSTITUTE(SUBSTITUTE(A9," / ","-")," ","-"),"+",""))&amp;"/")</x:f>
        <x:v>/silk-eye-mask/</x:v>
      </x:c>
    </x:row>
    <x:row r="10">
      <x:c r="A10" t="str">
        <x:v>weighted silk eye mask</x:v>
      </x:c>
      <x:c r="B10" t="str">
        <x:v>加重真丝眼罩</x:v>
      </x:c>
      <x:c r="C10" t="str">
        <x:v>Silk Eye Mask</x:v>
      </x:c>
      <x:c r="D10" t="n">
        <x:v>720</x:v>
      </x:c>
      <x:c r="E10" t="n">
        <x:v>1.1</x:v>
      </x:c>
      <x:c r="F10" t="n">
        <x:v>15</x:v>
      </x:c>
      <x:c r="G10" t="str">
        <x:v>Transactional</x:v>
      </x:c>
      <x:c r="H10" t="str">
        <x:v>Product</x:v>
      </x:c>
      <x:c r="I10" t="str">
        <x:v>产品词</x:v>
      </x:c>
      <x:c r="J10" t="n">
        <x:v>5</x:v>
      </x:c>
      <x:c r="K10" t="n">
        <x:v>5</x:v>
      </x:c>
      <x:c r="L10" t="n">
        <x:v>3</x:v>
      </x:c>
      <x:c r="M10" t="n">
        <x:v>4</x:v>
      </x:c>
      <x:c r="N10" t="n">
        <x:v>3</x:v>
      </x:c>
      <x:c r="O10" t="n">
        <x:v>3</x:v>
      </x:c>
      <x:c r="P10" t="str"/>
      <x:c r="Q10" t="str">
        <x:v>silk eye mask</x:v>
      </x:c>
      <x:c r="R10" t="str">
        <x:v>如果只有1-2个SKU，用商品页</x:v>
      </x:c>
      <x:c r="S10" t="n">
        <x:f>IF(A10="","",XLOOKUP(G10,'评分规则'!$A$12:$A$17,'评分规则'!$B$12:$B$17,0))</x:f>
        <x:v>20</x:v>
      </x:c>
      <x:c r="T10" t="n">
        <x:f>IF(A10="","",IF(D10&gt;=10000,10,IF(D10&gt;=3000,9,IF(D10&gt;=1000,8,IF(D10&gt;=300,7,IF(D10&gt;=100,6,IF(D10&gt;=30,4,IF(D10&gt;=10,3,1)))))))+IF(E10&gt;=3,5,IF(E10&gt;=1,4,IF(E10&gt;=0.3,3,IF(E10&gt;0,2,1)))))</x:f>
        <x:v>11</x:v>
      </x:c>
      <x:c r="U10" t="n">
        <x:f>IF(A10="","",IF('评分规则'!$B$3="新站",IF(F10&lt;=10,15,IF(F10&lt;=20,12,IF(F10&lt;=35,8,IF(F10&lt;=50,4,1)))),IF('评分规则'!$B$3="成长期",IF(F10&lt;=20,15,IF(F10&lt;=35,12,IF(F10&lt;=50,8,IF(F10&lt;=70,4,1)))),IF(F10&lt;=35,15,IF(F10&lt;=50,12,IF(F10&lt;=70,8,IF(F10&lt;=85,4,1)))))))</x:f>
        <x:v>12</x:v>
      </x:c>
      <x:c r="V10" t="n">
        <x:f>IF(A10="","",ROUND((J10*0.45+K10*0.30+L10*0.25)*4,1))</x:f>
        <x:v>18</x:v>
      </x:c>
      <x:c r="W10" t="n">
        <x:f>IF(A10="","",ROUND((M10*0.60+N10*0.40)*3,1))</x:f>
        <x:v>10.8</x:v>
      </x:c>
      <x:c r="X10" t="n">
        <x:f>IF(A10="","",XLOOKUP(I10,'评分规则'!$D$12:$D$21,'评分规则'!$F$12:$F$21,0))</x:f>
        <x:v>8</x:v>
      </x:c>
      <x:c r="Y10" t="n">
        <x:f>IF(A10="","",O10)</x:f>
        <x:v>3</x:v>
      </x:c>
      <x:c r="Z10" t="n">
        <x:f>IF(A10="","",SUM(S10:Y10))</x:f>
        <x:v>82.8</x:v>
      </x:c>
      <x:c r="AA10" t="str">
        <x:f>IF(A10="","",IF(Z10&gt;=75,"P0",IF(Z10&gt;=60,"P1",IF(Z10&gt;=45,"P2","P3"))))</x:f>
        <x:v>P0</x:v>
      </x:c>
      <x:c r="AB10" t="str">
        <x:f>IF(A10="","",XLOOKUP(AA10,'评分规则'!$H$12:$H$15,'评分规则'!$I$12:$I$15,""))</x:f>
        <x:v>立即建页或重点优化</x:v>
      </x:c>
      <x:c r="AC10" t="str">
        <x:f>IF(A10="","",XLOOKUP(I10,'评分规则'!$D$12:$D$21,'评分规则'!$E$12:$E$21,"人工判断"))</x:f>
        <x:v>商品详情页</x:v>
      </x:c>
      <x:c r="AD10" t="str">
        <x:f>IF(A10="","","/"&amp;LOWER(SUBSTITUTE(SUBSTITUTE(SUBSTITUTE(A10," / ","-")," ","-"),"+",""))&amp;"/")</x:f>
        <x:v>/weighted-silk-eye-mask/</x:v>
      </x:c>
    </x:row>
    <x:row r="11">
      <x:c r="A11" t="str">
        <x:v>travel silk eye mask</x:v>
      </x:c>
      <x:c r="B11" t="str">
        <x:v>旅行真丝眼罩</x:v>
      </x:c>
      <x:c r="C11" t="str">
        <x:v>Silk Eye Mask</x:v>
      </x:c>
      <x:c r="D11" t="n">
        <x:v>390</x:v>
      </x:c>
      <x:c r="E11" t="n">
        <x:v>0.8</x:v>
      </x:c>
      <x:c r="F11" t="n">
        <x:v>12</x:v>
      </x:c>
      <x:c r="G11" t="str">
        <x:v>Transactional</x:v>
      </x:c>
      <x:c r="H11" t="str">
        <x:v>Category</x:v>
      </x:c>
      <x:c r="I11" t="str">
        <x:v>场景词</x:v>
      </x:c>
      <x:c r="J11" t="n">
        <x:v>4</x:v>
      </x:c>
      <x:c r="K11" t="n">
        <x:v>4</x:v>
      </x:c>
      <x:c r="L11" t="n">
        <x:v>4</x:v>
      </x:c>
      <x:c r="M11" t="n">
        <x:v>4</x:v>
      </x:c>
      <x:c r="N11" t="n">
        <x:v>4</x:v>
      </x:c>
      <x:c r="O11" t="n">
        <x:v>3</x:v>
      </x:c>
      <x:c r="P11" t="str"/>
      <x:c r="Q11" t="str">
        <x:v>silk eye mask</x:v>
      </x:c>
      <x:c r="R11" t="str">
        <x:v>场景专题集合页</x:v>
      </x:c>
      <x:c r="S11" t="n">
        <x:f>IF(A11="","",XLOOKUP(G11,'评分规则'!$A$12:$A$17,'评分规则'!$B$12:$B$17,0))</x:f>
        <x:v>20</x:v>
      </x:c>
      <x:c r="T11" t="n">
        <x:f>IF(A11="","",IF(D11&gt;=10000,10,IF(D11&gt;=3000,9,IF(D11&gt;=1000,8,IF(D11&gt;=300,7,IF(D11&gt;=100,6,IF(D11&gt;=30,4,IF(D11&gt;=10,3,1)))))))+IF(E11&gt;=3,5,IF(E11&gt;=1,4,IF(E11&gt;=0.3,3,IF(E11&gt;0,2,1)))))</x:f>
        <x:v>10</x:v>
      </x:c>
      <x:c r="U11" t="n">
        <x:f>IF(A11="","",IF('评分规则'!$B$3="新站",IF(F11&lt;=10,15,IF(F11&lt;=20,12,IF(F11&lt;=35,8,IF(F11&lt;=50,4,1)))),IF('评分规则'!$B$3="成长期",IF(F11&lt;=20,15,IF(F11&lt;=35,12,IF(F11&lt;=50,8,IF(F11&lt;=70,4,1)))),IF(F11&lt;=35,15,IF(F11&lt;=50,12,IF(F11&lt;=70,8,IF(F11&lt;=85,4,1)))))))</x:f>
        <x:v>12</x:v>
      </x:c>
      <x:c r="V11" t="n">
        <x:f>IF(A11="","",ROUND((J11*0.45+K11*0.30+L11*0.25)*4,1))</x:f>
        <x:v>16</x:v>
      </x:c>
      <x:c r="W11" t="n">
        <x:f>IF(A11="","",ROUND((M11*0.60+N11*0.40)*3,1))</x:f>
        <x:v>12</x:v>
      </x:c>
      <x:c r="X11" t="n">
        <x:f>IF(A11="","",XLOOKUP(I11,'评分规则'!$D$12:$D$21,'评分规则'!$F$12:$F$21,0))</x:f>
        <x:v>7</x:v>
      </x:c>
      <x:c r="Y11" t="n">
        <x:f>IF(A11="","",O11)</x:f>
        <x:v>3</x:v>
      </x:c>
      <x:c r="Z11" t="n">
        <x:f>IF(A11="","",SUM(S11:Y11))</x:f>
        <x:v>80</x:v>
      </x:c>
      <x:c r="AA11" t="str">
        <x:f>IF(A11="","",IF(Z11&gt;=75,"P0",IF(Z11&gt;=60,"P1",IF(Z11&gt;=45,"P2","P3"))))</x:f>
        <x:v>P0</x:v>
      </x:c>
      <x:c r="AB11" t="str">
        <x:f>IF(A11="","",XLOOKUP(AA11,'评分规则'!$H$12:$H$15,'评分规则'!$I$12:$I$15,""))</x:f>
        <x:v>立即建页或重点优化</x:v>
      </x:c>
      <x:c r="AC11" t="str">
        <x:f>IF(A11="","",XLOOKUP(I11,'评分规则'!$D$12:$D$21,'评分规则'!$E$12:$E$21,"人工判断"))</x:f>
        <x:v>专题集合页</x:v>
      </x:c>
      <x:c r="AD11" t="str">
        <x:f>IF(A11="","","/"&amp;LOWER(SUBSTITUTE(SUBSTITUTE(SUBSTITUTE(A11," / ","-")," ","-"),"+",""))&amp;"/")</x:f>
        <x:v>/travel-silk-eye-mask/</x:v>
      </x:c>
    </x:row>
    <x:row r="12">
      <x:c r="A12" t="str">
        <x:v>silk hair scrunchies</x:v>
      </x:c>
      <x:c r="B12" t="str">
        <x:v>真丝发圈</x:v>
      </x:c>
      <x:c r="C12" t="str">
        <x:v>Silk Accessories</x:v>
      </x:c>
      <x:c r="D12" t="n">
        <x:v>5400</x:v>
      </x:c>
      <x:c r="E12" t="n">
        <x:v>1.1</x:v>
      </x:c>
      <x:c r="F12" t="n">
        <x:v>24</x:v>
      </x:c>
      <x:c r="G12" t="str">
        <x:v>Commercial</x:v>
      </x:c>
      <x:c r="H12" t="str">
        <x:v>Category</x:v>
      </x:c>
      <x:c r="I12" t="str">
        <x:v>核心类目词</x:v>
      </x:c>
      <x:c r="J12" t="n">
        <x:v>5</x:v>
      </x:c>
      <x:c r="K12" t="n">
        <x:v>4</x:v>
      </x:c>
      <x:c r="L12" t="n">
        <x:v>5</x:v>
      </x:c>
      <x:c r="M12" t="n">
        <x:v>5</x:v>
      </x:c>
      <x:c r="N12" t="n">
        <x:v>4</x:v>
      </x:c>
      <x:c r="O12" t="n">
        <x:v>4</x:v>
      </x:c>
      <x:c r="P12" t="str"/>
      <x:c r="Q12" t="str">
        <x:v>silk scrunchies</x:v>
      </x:c>
      <x:c r="R12" t="str">
        <x:v>可作为独立类目</x:v>
      </x:c>
      <x:c r="S12" t="n">
        <x:f>IF(A12="","",XLOOKUP(G12,'评分规则'!$A$12:$A$17,'评分规则'!$B$12:$B$17,0))</x:f>
        <x:v>17</x:v>
      </x:c>
      <x:c r="T12" t="n">
        <x:f>IF(A12="","",IF(D12&gt;=10000,10,IF(D12&gt;=3000,9,IF(D12&gt;=1000,8,IF(D12&gt;=300,7,IF(D12&gt;=100,6,IF(D12&gt;=30,4,IF(D12&gt;=10,3,1)))))))+IF(E12&gt;=3,5,IF(E12&gt;=1,4,IF(E12&gt;=0.3,3,IF(E12&gt;0,2,1)))))</x:f>
        <x:v>13</x:v>
      </x:c>
      <x:c r="U12" t="n">
        <x:f>IF(A12="","",IF('评分规则'!$B$3="新站",IF(F12&lt;=10,15,IF(F12&lt;=20,12,IF(F12&lt;=35,8,IF(F12&lt;=50,4,1)))),IF('评分规则'!$B$3="成长期",IF(F12&lt;=20,15,IF(F12&lt;=35,12,IF(F12&lt;=50,8,IF(F12&lt;=70,4,1)))),IF(F12&lt;=35,15,IF(F12&lt;=50,12,IF(F12&lt;=70,8,IF(F12&lt;=85,4,1)))))))</x:f>
        <x:v>8</x:v>
      </x:c>
      <x:c r="V12" t="n">
        <x:f>IF(A12="","",ROUND((J12*0.45+K12*0.30+L12*0.25)*4,1))</x:f>
        <x:v>18.8</x:v>
      </x:c>
      <x:c r="W12" t="n">
        <x:f>IF(A12="","",ROUND((M12*0.60+N12*0.40)*3,1))</x:f>
        <x:v>13.8</x:v>
      </x:c>
      <x:c r="X12" t="n">
        <x:f>IF(A12="","",XLOOKUP(I12,'评分规则'!$D$12:$D$21,'评分规则'!$F$12:$F$21,0))</x:f>
        <x:v>10</x:v>
      </x:c>
      <x:c r="Y12" t="n">
        <x:f>IF(A12="","",O12)</x:f>
        <x:v>4</x:v>
      </x:c>
      <x:c r="Z12" t="n">
        <x:f>IF(A12="","",SUM(S12:Y12))</x:f>
        <x:v>84.6</x:v>
      </x:c>
      <x:c r="AA12" t="str">
        <x:f>IF(A12="","",IF(Z12&gt;=75,"P0",IF(Z12&gt;=60,"P1",IF(Z12&gt;=45,"P2","P3"))))</x:f>
        <x:v>P0</x:v>
      </x:c>
      <x:c r="AB12" t="str">
        <x:f>IF(A12="","",XLOOKUP(AA12,'评分规则'!$H$12:$H$15,'评分规则'!$I$12:$I$15,""))</x:f>
        <x:v>立即建页或重点优化</x:v>
      </x:c>
      <x:c r="AC12" t="str">
        <x:f>IF(A12="","",XLOOKUP(I12,'评分规则'!$D$12:$D$21,'评分规则'!$E$12:$E$21,"人工判断"))</x:f>
        <x:v>分类页/集合页</x:v>
      </x:c>
      <x:c r="AD12" t="str">
        <x:f>IF(A12="","","/"&amp;LOWER(SUBSTITUTE(SUBSTITUTE(SUBSTITUTE(A12," / ","-")," ","-"),"+",""))&amp;"/")</x:f>
        <x:v>/silk-hair-scrunchies/</x:v>
      </x:c>
    </x:row>
    <x:row r="13">
      <x:c r="A13" t="str">
        <x:v>large silk scrunchies</x:v>
      </x:c>
      <x:c r="B13" t="str">
        <x:v>大号真丝发圈</x:v>
      </x:c>
      <x:c r="C13" t="str">
        <x:v>Silk Accessories</x:v>
      </x:c>
      <x:c r="D13" t="n">
        <x:v>880</x:v>
      </x:c>
      <x:c r="E13" t="n">
        <x:v>0.7</x:v>
      </x:c>
      <x:c r="F13" t="n">
        <x:v>14</x:v>
      </x:c>
      <x:c r="G13" t="str">
        <x:v>Transactional</x:v>
      </x:c>
      <x:c r="H13" t="str">
        <x:v>Category</x:v>
      </x:c>
      <x:c r="I13" t="str">
        <x:v>属性类目词</x:v>
      </x:c>
      <x:c r="J13" t="n">
        <x:v>4</x:v>
      </x:c>
      <x:c r="K13" t="n">
        <x:v>4</x:v>
      </x:c>
      <x:c r="L13" t="n">
        <x:v>4</x:v>
      </x:c>
      <x:c r="M13" t="n">
        <x:v>4</x:v>
      </x:c>
      <x:c r="N13" t="n">
        <x:v>3</x:v>
      </x:c>
      <x:c r="O13" t="n">
        <x:v>3</x:v>
      </x:c>
      <x:c r="P13" t="str"/>
      <x:c r="Q13" t="str">
        <x:v>silk scrunchies</x:v>
      </x:c>
      <x:c r="R13" t="str">
        <x:v>属性集合页或筛选页</x:v>
      </x:c>
      <x:c r="S13" t="n">
        <x:f>IF(A13="","",XLOOKUP(G13,'评分规则'!$A$12:$A$17,'评分规则'!$B$12:$B$17,0))</x:f>
        <x:v>20</x:v>
      </x:c>
      <x:c r="T13" t="n">
        <x:f>IF(A13="","",IF(D13&gt;=10000,10,IF(D13&gt;=3000,9,IF(D13&gt;=1000,8,IF(D13&gt;=300,7,IF(D13&gt;=100,6,IF(D13&gt;=30,4,IF(D13&gt;=10,3,1)))))))+IF(E13&gt;=3,5,IF(E13&gt;=1,4,IF(E13&gt;=0.3,3,IF(E13&gt;0,2,1)))))</x:f>
        <x:v>10</x:v>
      </x:c>
      <x:c r="U13" t="n">
        <x:f>IF(A13="","",IF('评分规则'!$B$3="新站",IF(F13&lt;=10,15,IF(F13&lt;=20,12,IF(F13&lt;=35,8,IF(F13&lt;=50,4,1)))),IF('评分规则'!$B$3="成长期",IF(F13&lt;=20,15,IF(F13&lt;=35,12,IF(F13&lt;=50,8,IF(F13&lt;=70,4,1)))),IF(F13&lt;=35,15,IF(F13&lt;=50,12,IF(F13&lt;=70,8,IF(F13&lt;=85,4,1)))))))</x:f>
        <x:v>12</x:v>
      </x:c>
      <x:c r="V13" t="n">
        <x:f>IF(A13="","",ROUND((J13*0.45+K13*0.30+L13*0.25)*4,1))</x:f>
        <x:v>16</x:v>
      </x:c>
      <x:c r="W13" t="n">
        <x:f>IF(A13="","",ROUND((M13*0.60+N13*0.40)*3,1))</x:f>
        <x:v>10.8</x:v>
      </x:c>
      <x:c r="X13" t="n">
        <x:f>IF(A13="","",XLOOKUP(I13,'评分规则'!$D$12:$D$21,'评分规则'!$F$12:$F$21,0))</x:f>
        <x:v>9</x:v>
      </x:c>
      <x:c r="Y13" t="n">
        <x:f>IF(A13="","",O13)</x:f>
        <x:v>3</x:v>
      </x:c>
      <x:c r="Z13" t="n">
        <x:f>IF(A13="","",SUM(S13:Y13))</x:f>
        <x:v>80.8</x:v>
      </x:c>
      <x:c r="AA13" t="str">
        <x:f>IF(A13="","",IF(Z13&gt;=75,"P0",IF(Z13&gt;=60,"P1",IF(Z13&gt;=45,"P2","P3"))))</x:f>
        <x:v>P0</x:v>
      </x:c>
      <x:c r="AB13" t="str">
        <x:f>IF(A13="","",XLOOKUP(AA13,'评分规则'!$H$12:$H$15,'评分规则'!$I$12:$I$15,""))</x:f>
        <x:v>立即建页或重点优化</x:v>
      </x:c>
      <x:c r="AC13" t="str">
        <x:f>IF(A13="","",XLOOKUP(I13,'评分规则'!$D$12:$D$21,'评分规则'!$E$12:$E$21,"人工判断"))</x:f>
        <x:v>可索引筛选集合页</x:v>
      </x:c>
      <x:c r="AD13" t="str">
        <x:f>IF(A13="","","/"&amp;LOWER(SUBSTITUTE(SUBSTITUTE(SUBSTITUTE(A13," / ","-")," ","-"),"+",""))&amp;"/")</x:f>
        <x:v>/large-silk-scrunchies/</x:v>
      </x:c>
    </x:row>
    <x:row r="14">
      <x:c r="A14" t="str">
        <x:v>silk bonnet for curly hair</x:v>
      </x:c>
      <x:c r="B14" t="str">
        <x:v>卷发真丝睡帽</x:v>
      </x:c>
      <x:c r="C14" t="str">
        <x:v>Silk Bonnet</x:v>
      </x:c>
      <x:c r="D14" t="n">
        <x:v>4400</x:v>
      </x:c>
      <x:c r="E14" t="n">
        <x:v>1.9</x:v>
      </x:c>
      <x:c r="F14" t="n">
        <x:v>36</x:v>
      </x:c>
      <x:c r="G14" t="str">
        <x:v>Commercial</x:v>
      </x:c>
      <x:c r="H14" t="str">
        <x:v>Category</x:v>
      </x:c>
      <x:c r="I14" t="str">
        <x:v>场景词</x:v>
      </x:c>
      <x:c r="J14" t="n">
        <x:v>5</x:v>
      </x:c>
      <x:c r="K14" t="n">
        <x:v>4</x:v>
      </x:c>
      <x:c r="L14" t="n">
        <x:v>4</x:v>
      </x:c>
      <x:c r="M14" t="n">
        <x:v>5</x:v>
      </x:c>
      <x:c r="N14" t="n">
        <x:v>5</x:v>
      </x:c>
      <x:c r="O14" t="n">
        <x:v>4</x:v>
      </x:c>
      <x:c r="P14" t="str"/>
      <x:c r="Q14" t="str">
        <x:v>silk bonnet</x:v>
      </x:c>
      <x:c r="R14" t="str">
        <x:v>场景意图强，适合专题集合页</x:v>
      </x:c>
      <x:c r="S14" t="n">
        <x:f>IF(A14="","",XLOOKUP(G14,'评分规则'!$A$12:$A$17,'评分规则'!$B$12:$B$17,0))</x:f>
        <x:v>17</x:v>
      </x:c>
      <x:c r="T14" t="n">
        <x:f>IF(A14="","",IF(D14&gt;=10000,10,IF(D14&gt;=3000,9,IF(D14&gt;=1000,8,IF(D14&gt;=300,7,IF(D14&gt;=100,6,IF(D14&gt;=30,4,IF(D14&gt;=10,3,1)))))))+IF(E14&gt;=3,5,IF(E14&gt;=1,4,IF(E14&gt;=0.3,3,IF(E14&gt;0,2,1)))))</x:f>
        <x:v>13</x:v>
      </x:c>
      <x:c r="U14" t="n">
        <x:f>IF(A14="","",IF('评分规则'!$B$3="新站",IF(F14&lt;=10,15,IF(F14&lt;=20,12,IF(F14&lt;=35,8,IF(F14&lt;=50,4,1)))),IF('评分规则'!$B$3="成长期",IF(F14&lt;=20,15,IF(F14&lt;=35,12,IF(F14&lt;=50,8,IF(F14&lt;=70,4,1)))),IF(F14&lt;=35,15,IF(F14&lt;=50,12,IF(F14&lt;=70,8,IF(F14&lt;=85,4,1)))))))</x:f>
        <x:v>4</x:v>
      </x:c>
      <x:c r="V14" t="n">
        <x:f>IF(A14="","",ROUND((J14*0.45+K14*0.30+L14*0.25)*4,1))</x:f>
        <x:v>17.8</x:v>
      </x:c>
      <x:c r="W14" t="n">
        <x:f>IF(A14="","",ROUND((M14*0.60+N14*0.40)*3,1))</x:f>
        <x:v>15</x:v>
      </x:c>
      <x:c r="X14" t="n">
        <x:f>IF(A14="","",XLOOKUP(I14,'评分规则'!$D$12:$D$21,'评分规则'!$F$12:$F$21,0))</x:f>
        <x:v>7</x:v>
      </x:c>
      <x:c r="Y14" t="n">
        <x:f>IF(A14="","",O14)</x:f>
        <x:v>4</x:v>
      </x:c>
      <x:c r="Z14" t="n">
        <x:f>IF(A14="","",SUM(S14:Y14))</x:f>
        <x:v>77.8</x:v>
      </x:c>
      <x:c r="AA14" t="str">
        <x:f>IF(A14="","",IF(Z14&gt;=75,"P0",IF(Z14&gt;=60,"P1",IF(Z14&gt;=45,"P2","P3"))))</x:f>
        <x:v>P0</x:v>
      </x:c>
      <x:c r="AB14" t="str">
        <x:f>IF(A14="","",XLOOKUP(AA14,'评分规则'!$H$12:$H$15,'评分规则'!$I$12:$I$15,""))</x:f>
        <x:v>立即建页或重点优化</x:v>
      </x:c>
      <x:c r="AC14" t="str">
        <x:f>IF(A14="","",XLOOKUP(I14,'评分规则'!$D$12:$D$21,'评分规则'!$E$12:$E$21,"人工判断"))</x:f>
        <x:v>专题集合页</x:v>
      </x:c>
      <x:c r="AD14" t="str">
        <x:f>IF(A14="","","/"&amp;LOWER(SUBSTITUTE(SUBSTITUTE(SUBSTITUTE(A14," / ","-")," ","-"),"+",""))&amp;"/")</x:f>
        <x:v>/silk-bonnet-for-curly-hair/</x:v>
      </x:c>
    </x:row>
    <x:row r="15">
      <x:c r="A15" t="str">
        <x:v>silk pillowcase amazon</x:v>
      </x:c>
      <x:c r="B15" t="str">
        <x:v>亚马逊真丝枕套</x:v>
      </x:c>
      <x:c r="C15" t="str">
        <x:v>Silk Pillowcase</x:v>
      </x:c>
      <x:c r="D15" t="n">
        <x:v>3600</x:v>
      </x:c>
      <x:c r="E15" t="n">
        <x:v>0.45</x:v>
      </x:c>
      <x:c r="F15" t="n">
        <x:v>45</x:v>
      </x:c>
      <x:c r="G15" t="str">
        <x:v>Navigational</x:v>
      </x:c>
      <x:c r="H15" t="str">
        <x:v>Marketplace</x:v>
      </x:c>
      <x:c r="I15" t="str">
        <x:v>品牌词</x:v>
      </x:c>
      <x:c r="J15" t="n">
        <x:v>2</x:v>
      </x:c>
      <x:c r="K15" t="n">
        <x:v>2</x:v>
      </x:c>
      <x:c r="L15" t="n">
        <x:v>5</x:v>
      </x:c>
      <x:c r="M15" t="n">
        <x:v>2</x:v>
      </x:c>
      <x:c r="N15" t="n">
        <x:v>2</x:v>
      </x:c>
      <x:c r="O15" t="n">
        <x:v>3</x:v>
      </x:c>
      <x:c r="P15" t="str"/>
      <x:c r="Q15" t="str">
        <x:v>silk pillowcase</x:v>
      </x:c>
      <x:c r="R15" t="str">
        <x:v>不建议优先做，SERP偏平台</x:v>
      </x:c>
      <x:c r="S15" t="n">
        <x:f>IF(A15="","",XLOOKUP(G15,'评分规则'!$A$12:$A$17,'评分规则'!$B$12:$B$17,0))</x:f>
        <x:v>5</x:v>
      </x:c>
      <x:c r="T15" t="n">
        <x:f>IF(A15="","",IF(D15&gt;=10000,10,IF(D15&gt;=3000,9,IF(D15&gt;=1000,8,IF(D15&gt;=300,7,IF(D15&gt;=100,6,IF(D15&gt;=30,4,IF(D15&gt;=10,3,1)))))))+IF(E15&gt;=3,5,IF(E15&gt;=1,4,IF(E15&gt;=0.3,3,IF(E15&gt;0,2,1)))))</x:f>
        <x:v>12</x:v>
      </x:c>
      <x:c r="U15" t="n">
        <x:f>IF(A15="","",IF('评分规则'!$B$3="新站",IF(F15&lt;=10,15,IF(F15&lt;=20,12,IF(F15&lt;=35,8,IF(F15&lt;=50,4,1)))),IF('评分规则'!$B$3="成长期",IF(F15&lt;=20,15,IF(F15&lt;=35,12,IF(F15&lt;=50,8,IF(F15&lt;=70,4,1)))),IF(F15&lt;=35,15,IF(F15&lt;=50,12,IF(F15&lt;=70,8,IF(F15&lt;=85,4,1)))))))</x:f>
        <x:v>4</x:v>
      </x:c>
      <x:c r="V15" t="n">
        <x:f>IF(A15="","",ROUND((J15*0.45+K15*0.30+L15*0.25)*4,1))</x:f>
        <x:v>11</x:v>
      </x:c>
      <x:c r="W15" t="n">
        <x:f>IF(A15="","",ROUND((M15*0.60+N15*0.40)*3,1))</x:f>
        <x:v>6</x:v>
      </x:c>
      <x:c r="X15" t="n">
        <x:f>IF(A15="","",XLOOKUP(I15,'评分规则'!$D$12:$D$21,'评分规则'!$F$12:$F$21,0))</x:f>
        <x:v>5</x:v>
      </x:c>
      <x:c r="Y15" t="n">
        <x:f>IF(A15="","",O15)</x:f>
        <x:v>3</x:v>
      </x:c>
      <x:c r="Z15" t="n">
        <x:f>IF(A15="","",SUM(S15:Y15))</x:f>
        <x:v>46</x:v>
      </x:c>
      <x:c r="AA15" t="str">
        <x:f>IF(A15="","",IF(Z15&gt;=75,"P0",IF(Z15&gt;=60,"P1",IF(Z15&gt;=45,"P2","P3"))))</x:f>
        <x:v>P2</x:v>
      </x:c>
      <x:c r="AB15" t="str">
        <x:f>IF(A15="","",XLOOKUP(AA15,'评分规则'!$H$12:$H$15,'评分规则'!$I$12:$I$15,""))</x:f>
        <x:v>放入FAQ、段落、内链或后续批次</x:v>
      </x:c>
      <x:c r="AC15" t="str">
        <x:f>IF(A15="","",XLOOKUP(I15,'评分规则'!$D$12:$D$21,'评分规则'!$E$12:$E$21,"人工判断"))</x:f>
        <x:v>品牌页/信任页</x:v>
      </x:c>
      <x:c r="AD15" t="str">
        <x:f>IF(A15="","","/"&amp;LOWER(SUBSTITUTE(SUBSTITUTE(SUBSTITUTE(A15," / ","-")," ","-"),"+",""))&amp;"/")</x:f>
        <x:v>/silk-pillowcase-amazon/</x:v>
      </x:c>
    </x:row>
    <x:row r="16">
      <x:c r="A16" t="str">
        <x:v>cheap silk pillowcase</x:v>
      </x:c>
      <x:c r="B16" t="str">
        <x:v>便宜真丝枕套</x:v>
      </x:c>
      <x:c r="C16" t="str">
        <x:v>Silk Pillowcase</x:v>
      </x:c>
      <x:c r="D16" t="n">
        <x:v>1000</x:v>
      </x:c>
      <x:c r="E16" t="n">
        <x:v>0.55</x:v>
      </x:c>
      <x:c r="F16" t="n">
        <x:v>25</x:v>
      </x:c>
      <x:c r="G16" t="str">
        <x:v>Transactional</x:v>
      </x:c>
      <x:c r="H16" t="str">
        <x:v>Category</x:v>
      </x:c>
      <x:c r="I16" t="str">
        <x:v>属性类目词</x:v>
      </x:c>
      <x:c r="J16" t="n">
        <x:v>3</x:v>
      </x:c>
      <x:c r="K16" t="n">
        <x:v>2</x:v>
      </x:c>
      <x:c r="L16" t="n">
        <x:v>4</x:v>
      </x:c>
      <x:c r="M16" t="n">
        <x:v>4</x:v>
      </x:c>
      <x:c r="N16" t="n">
        <x:v>3</x:v>
      </x:c>
      <x:c r="O16" t="n">
        <x:v>3</x:v>
      </x:c>
      <x:c r="P16" t="str"/>
      <x:c r="Q16" t="str">
        <x:v>silk pillowcase</x:v>
      </x:c>
      <x:c r="R16" t="str">
        <x:v>价格敏感词，利润差时降级</x:v>
      </x:c>
      <x:c r="S16" t="n">
        <x:f>IF(A16="","",XLOOKUP(G16,'评分规则'!$A$12:$A$17,'评分规则'!$B$12:$B$17,0))</x:f>
        <x:v>20</x:v>
      </x:c>
      <x:c r="T16" t="n">
        <x:f>IF(A16="","",IF(D16&gt;=10000,10,IF(D16&gt;=3000,9,IF(D16&gt;=1000,8,IF(D16&gt;=300,7,IF(D16&gt;=100,6,IF(D16&gt;=30,4,IF(D16&gt;=10,3,1)))))))+IF(E16&gt;=3,5,IF(E16&gt;=1,4,IF(E16&gt;=0.3,3,IF(E16&gt;0,2,1)))))</x:f>
        <x:v>11</x:v>
      </x:c>
      <x:c r="U16" t="n">
        <x:f>IF(A16="","",IF('评分规则'!$B$3="新站",IF(F16&lt;=10,15,IF(F16&lt;=20,12,IF(F16&lt;=35,8,IF(F16&lt;=50,4,1)))),IF('评分规则'!$B$3="成长期",IF(F16&lt;=20,15,IF(F16&lt;=35,12,IF(F16&lt;=50,8,IF(F16&lt;=70,4,1)))),IF(F16&lt;=35,15,IF(F16&lt;=50,12,IF(F16&lt;=70,8,IF(F16&lt;=85,4,1)))))))</x:f>
        <x:v>8</x:v>
      </x:c>
      <x:c r="V16" t="n">
        <x:f>IF(A16="","",ROUND((J16*0.45+K16*0.30+L16*0.25)*4,1))</x:f>
        <x:v>11.8</x:v>
      </x:c>
      <x:c r="W16" t="n">
        <x:f>IF(A16="","",ROUND((M16*0.60+N16*0.40)*3,1))</x:f>
        <x:v>10.8</x:v>
      </x:c>
      <x:c r="X16" t="n">
        <x:f>IF(A16="","",XLOOKUP(I16,'评分规则'!$D$12:$D$21,'评分规则'!$F$12:$F$21,0))</x:f>
        <x:v>9</x:v>
      </x:c>
      <x:c r="Y16" t="n">
        <x:f>IF(A16="","",O16)</x:f>
        <x:v>3</x:v>
      </x:c>
      <x:c r="Z16" t="n">
        <x:f>IF(A16="","",SUM(S16:Y16))</x:f>
        <x:v>73.6</x:v>
      </x:c>
      <x:c r="AA16" t="str">
        <x:f>IF(A16="","",IF(Z16&gt;=75,"P0",IF(Z16&gt;=60,"P1",IF(Z16&gt;=45,"P2","P3"))))</x:f>
        <x:v>P1</x:v>
      </x:c>
      <x:c r="AB16" t="str">
        <x:f>IF(A16="","",XLOOKUP(AA16,'评分规则'!$H$12:$H$15,'评分规则'!$I$12:$I$15,""))</x:f>
        <x:v>进入本轮内容/页面规划</x:v>
      </x:c>
      <x:c r="AC16" t="str">
        <x:f>IF(A16="","",XLOOKUP(I16,'评分规则'!$D$12:$D$21,'评分规则'!$E$12:$E$21,"人工判断"))</x:f>
        <x:v>可索引筛选集合页</x:v>
      </x:c>
      <x:c r="AD16" t="str">
        <x:f>IF(A16="","","/"&amp;LOWER(SUBSTITUTE(SUBSTITUTE(SUBSTITUTE(A16," / ","-")," ","-"),"+",""))&amp;"/")</x:f>
        <x:v>/cheap-silk-pillowcase/</x:v>
      </x:c>
    </x:row>
    <x:row r="17">
      <x:c r="A17" t="str">
        <x:v>silk pillowcase set</x:v>
      </x:c>
      <x:c r="B17" t="str">
        <x:v>真丝枕套套装</x:v>
      </x:c>
      <x:c r="C17" t="str">
        <x:v>Silk Pillowcase</x:v>
      </x:c>
      <x:c r="D17" t="n">
        <x:v>1700</x:v>
      </x:c>
      <x:c r="E17" t="n">
        <x:v>1.3</x:v>
      </x:c>
      <x:c r="F17" t="n">
        <x:v>20</x:v>
      </x:c>
      <x:c r="G17" t="str">
        <x:v>Transactional</x:v>
      </x:c>
      <x:c r="H17" t="str">
        <x:v>Product</x:v>
      </x:c>
      <x:c r="I17" t="str">
        <x:v>产品词</x:v>
      </x:c>
      <x:c r="J17" t="n">
        <x:v>5</x:v>
      </x:c>
      <x:c r="K17" t="n">
        <x:v>5</x:v>
      </x:c>
      <x:c r="L17" t="n">
        <x:v>4</x:v>
      </x:c>
      <x:c r="M17" t="n">
        <x:v>4</x:v>
      </x:c>
      <x:c r="N17" t="n">
        <x:v>3</x:v>
      </x:c>
      <x:c r="O17" t="n">
        <x:v>4</x:v>
      </x:c>
      <x:c r="P17" t="str"/>
      <x:c r="Q17" t="str">
        <x:v>silk pillowcase</x:v>
      </x:c>
      <x:c r="R17" t="str">
        <x:v>可做套装商品页/集合页</x:v>
      </x:c>
      <x:c r="S17" t="n">
        <x:f>IF(A17="","",XLOOKUP(G17,'评分规则'!$A$12:$A$17,'评分规则'!$B$12:$B$17,0))</x:f>
        <x:v>20</x:v>
      </x:c>
      <x:c r="T17" t="n">
        <x:f>IF(A17="","",IF(D17&gt;=10000,10,IF(D17&gt;=3000,9,IF(D17&gt;=1000,8,IF(D17&gt;=300,7,IF(D17&gt;=100,6,IF(D17&gt;=30,4,IF(D17&gt;=10,3,1)))))))+IF(E17&gt;=3,5,IF(E17&gt;=1,4,IF(E17&gt;=0.3,3,IF(E17&gt;0,2,1)))))</x:f>
        <x:v>12</x:v>
      </x:c>
      <x:c r="U17" t="n">
        <x:f>IF(A17="","",IF('评分规则'!$B$3="新站",IF(F17&lt;=10,15,IF(F17&lt;=20,12,IF(F17&lt;=35,8,IF(F17&lt;=50,4,1)))),IF('评分规则'!$B$3="成长期",IF(F17&lt;=20,15,IF(F17&lt;=35,12,IF(F17&lt;=50,8,IF(F17&lt;=70,4,1)))),IF(F17&lt;=35,15,IF(F17&lt;=50,12,IF(F17&lt;=70,8,IF(F17&lt;=85,4,1)))))))</x:f>
        <x:v>12</x:v>
      </x:c>
      <x:c r="V17" t="n">
        <x:f>IF(A17="","",ROUND((J17*0.45+K17*0.30+L17*0.25)*4,1))</x:f>
        <x:v>19</x:v>
      </x:c>
      <x:c r="W17" t="n">
        <x:f>IF(A17="","",ROUND((M17*0.60+N17*0.40)*3,1))</x:f>
        <x:v>10.8</x:v>
      </x:c>
      <x:c r="X17" t="n">
        <x:f>IF(A17="","",XLOOKUP(I17,'评分规则'!$D$12:$D$21,'评分规则'!$F$12:$F$21,0))</x:f>
        <x:v>8</x:v>
      </x:c>
      <x:c r="Y17" t="n">
        <x:f>IF(A17="","",O17)</x:f>
        <x:v>4</x:v>
      </x:c>
      <x:c r="Z17" t="n">
        <x:f>IF(A17="","",SUM(S17:Y17))</x:f>
        <x:v>85.8</x:v>
      </x:c>
      <x:c r="AA17" t="str">
        <x:f>IF(A17="","",IF(Z17&gt;=75,"P0",IF(Z17&gt;=60,"P1",IF(Z17&gt;=45,"P2","P3"))))</x:f>
        <x:v>P0</x:v>
      </x:c>
      <x:c r="AB17" t="str">
        <x:f>IF(A17="","",XLOOKUP(AA17,'评分规则'!$H$12:$H$15,'评分规则'!$I$12:$I$15,""))</x:f>
        <x:v>立即建页或重点优化</x:v>
      </x:c>
      <x:c r="AC17" t="str">
        <x:f>IF(A17="","",XLOOKUP(I17,'评分规则'!$D$12:$D$21,'评分规则'!$E$12:$E$21,"人工判断"))</x:f>
        <x:v>商品详情页</x:v>
      </x:c>
      <x:c r="AD17" t="str">
        <x:f>IF(A17="","","/"&amp;LOWER(SUBSTITUTE(SUBSTITUTE(SUBSTITUTE(A17," / ","-")," ","-"),"+",""))&amp;"/")</x:f>
        <x:v>/silk-pillowcase-set/</x:v>
      </x:c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 t="str">
        <x:f>IF(A18="","",XLOOKUP(G18,'评分规则'!$A$12:$A$17,'评分规则'!$B$12:$B$17,0))</x:f>
      </x:c>
      <x:c r="T18" t="str">
        <x:f>IF(A18="","",IF(D18&gt;=10000,10,IF(D18&gt;=3000,9,IF(D18&gt;=1000,8,IF(D18&gt;=300,7,IF(D18&gt;=100,6,IF(D18&gt;=30,4,IF(D18&gt;=10,3,1)))))))+IF(E18&gt;=3,5,IF(E18&gt;=1,4,IF(E18&gt;=0.3,3,IF(E18&gt;0,2,1)))))</x:f>
      </x:c>
      <x:c r="U18" t="str">
        <x:f>IF(A18="","",IF('评分规则'!$B$3="新站",IF(F18&lt;=10,15,IF(F18&lt;=20,12,IF(F18&lt;=35,8,IF(F18&lt;=50,4,1)))),IF('评分规则'!$B$3="成长期",IF(F18&lt;=20,15,IF(F18&lt;=35,12,IF(F18&lt;=50,8,IF(F18&lt;=70,4,1)))),IF(F18&lt;=35,15,IF(F18&lt;=50,12,IF(F18&lt;=70,8,IF(F18&lt;=85,4,1)))))))</x:f>
      </x:c>
      <x:c r="V18" t="str">
        <x:f>IF(A18="","",ROUND((J18*0.45+K18*0.30+L18*0.25)*4,1))</x:f>
      </x:c>
      <x:c r="W18" t="str">
        <x:f>IF(A18="","",ROUND((M18*0.60+N18*0.40)*3,1))</x:f>
      </x:c>
      <x:c r="X18" t="str">
        <x:f>IF(A18="","",XLOOKUP(I18,'评分规则'!$D$12:$D$21,'评分规则'!$F$12:$F$21,0))</x:f>
      </x:c>
      <x:c r="Y18" t="str">
        <x:f>IF(A18="","",O18)</x:f>
      </x:c>
      <x:c r="Z18" t="str">
        <x:f>IF(A18="","",SUM(S18:Y18))</x:f>
      </x:c>
      <x:c r="AA18" t="str">
        <x:f>IF(A18="","",IF(Z18&gt;=75,"P0",IF(Z18&gt;=60,"P1",IF(Z18&gt;=45,"P2","P3"))))</x:f>
      </x:c>
      <x:c r="AB18" t="str">
        <x:f>IF(A18="","",XLOOKUP(AA18,'评分规则'!$H$12:$H$15,'评分规则'!$I$12:$I$15,""))</x:f>
      </x:c>
      <x:c r="AC18" t="str">
        <x:f>IF(A18="","",XLOOKUP(I18,'评分规则'!$D$12:$D$21,'评分规则'!$E$12:$E$21,"人工判断"))</x:f>
      </x:c>
      <x:c r="AD18" t="str">
        <x:f>IF(A18="","","/"&amp;LOWER(SUBSTITUTE(SUBSTITUTE(SUBSTITUTE(A18," / ","-")," ","-"),"+",""))&amp;"/")</x:f>
      </x:c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 t="str">
        <x:f>IF(A19="","",XLOOKUP(G19,'评分规则'!$A$12:$A$17,'评分规则'!$B$12:$B$17,0))</x:f>
      </x:c>
      <x:c r="T19" t="str">
        <x:f>IF(A19="","",IF(D19&gt;=10000,10,IF(D19&gt;=3000,9,IF(D19&gt;=1000,8,IF(D19&gt;=300,7,IF(D19&gt;=100,6,IF(D19&gt;=30,4,IF(D19&gt;=10,3,1)))))))+IF(E19&gt;=3,5,IF(E19&gt;=1,4,IF(E19&gt;=0.3,3,IF(E19&gt;0,2,1)))))</x:f>
      </x:c>
      <x:c r="U19" t="str">
        <x:f>IF(A19="","",IF('评分规则'!$B$3="新站",IF(F19&lt;=10,15,IF(F19&lt;=20,12,IF(F19&lt;=35,8,IF(F19&lt;=50,4,1)))),IF('评分规则'!$B$3="成长期",IF(F19&lt;=20,15,IF(F19&lt;=35,12,IF(F19&lt;=50,8,IF(F19&lt;=70,4,1)))),IF(F19&lt;=35,15,IF(F19&lt;=50,12,IF(F19&lt;=70,8,IF(F19&lt;=85,4,1)))))))</x:f>
      </x:c>
      <x:c r="V19" t="str">
        <x:f>IF(A19="","",ROUND((J19*0.45+K19*0.30+L19*0.25)*4,1))</x:f>
      </x:c>
      <x:c r="W19" t="str">
        <x:f>IF(A19="","",ROUND((M19*0.60+N19*0.40)*3,1))</x:f>
      </x:c>
      <x:c r="X19" t="str">
        <x:f>IF(A19="","",XLOOKUP(I19,'评分规则'!$D$12:$D$21,'评分规则'!$F$12:$F$21,0))</x:f>
      </x:c>
      <x:c r="Y19" t="str">
        <x:f>IF(A19="","",O19)</x:f>
      </x:c>
      <x:c r="Z19" t="str">
        <x:f>IF(A19="","",SUM(S19:Y19))</x:f>
      </x:c>
      <x:c r="AA19" t="str">
        <x:f>IF(A19="","",IF(Z19&gt;=75,"P0",IF(Z19&gt;=60,"P1",IF(Z19&gt;=45,"P2","P3"))))</x:f>
      </x:c>
      <x:c r="AB19" t="str">
        <x:f>IF(A19="","",XLOOKUP(AA19,'评分规则'!$H$12:$H$15,'评分规则'!$I$12:$I$15,""))</x:f>
      </x:c>
      <x:c r="AC19" t="str">
        <x:f>IF(A19="","",XLOOKUP(I19,'评分规则'!$D$12:$D$21,'评分规则'!$E$12:$E$21,"人工判断"))</x:f>
      </x:c>
      <x:c r="AD19" t="str">
        <x:f>IF(A19="","","/"&amp;LOWER(SUBSTITUTE(SUBSTITUTE(SUBSTITUTE(A19," / ","-")," ","-"),"+",""))&amp;"/")</x:f>
      </x:c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 t="str">
        <x:f>IF(A20="","",XLOOKUP(G20,'评分规则'!$A$12:$A$17,'评分规则'!$B$12:$B$17,0))</x:f>
      </x:c>
      <x:c r="T20" t="str">
        <x:f>IF(A20="","",IF(D20&gt;=10000,10,IF(D20&gt;=3000,9,IF(D20&gt;=1000,8,IF(D20&gt;=300,7,IF(D20&gt;=100,6,IF(D20&gt;=30,4,IF(D20&gt;=10,3,1)))))))+IF(E20&gt;=3,5,IF(E20&gt;=1,4,IF(E20&gt;=0.3,3,IF(E20&gt;0,2,1)))))</x:f>
      </x:c>
      <x:c r="U20" t="str">
        <x:f>IF(A20="","",IF('评分规则'!$B$3="新站",IF(F20&lt;=10,15,IF(F20&lt;=20,12,IF(F20&lt;=35,8,IF(F20&lt;=50,4,1)))),IF('评分规则'!$B$3="成长期",IF(F20&lt;=20,15,IF(F20&lt;=35,12,IF(F20&lt;=50,8,IF(F20&lt;=70,4,1)))),IF(F20&lt;=35,15,IF(F20&lt;=50,12,IF(F20&lt;=70,8,IF(F20&lt;=85,4,1)))))))</x:f>
      </x:c>
      <x:c r="V20" t="str">
        <x:f>IF(A20="","",ROUND((J20*0.45+K20*0.30+L20*0.25)*4,1))</x:f>
      </x:c>
      <x:c r="W20" t="str">
        <x:f>IF(A20="","",ROUND((M20*0.60+N20*0.40)*3,1))</x:f>
      </x:c>
      <x:c r="X20" t="str">
        <x:f>IF(A20="","",XLOOKUP(I20,'评分规则'!$D$12:$D$21,'评分规则'!$F$12:$F$21,0))</x:f>
      </x:c>
      <x:c r="Y20" t="str">
        <x:f>IF(A20="","",O20)</x:f>
      </x:c>
      <x:c r="Z20" t="str">
        <x:f>IF(A20="","",SUM(S20:Y20))</x:f>
      </x:c>
      <x:c r="AA20" t="str">
        <x:f>IF(A20="","",IF(Z20&gt;=75,"P0",IF(Z20&gt;=60,"P1",IF(Z20&gt;=45,"P2","P3"))))</x:f>
      </x:c>
      <x:c r="AB20" t="str">
        <x:f>IF(A20="","",XLOOKUP(AA20,'评分规则'!$H$12:$H$15,'评分规则'!$I$12:$I$15,""))</x:f>
      </x:c>
      <x:c r="AC20" t="str">
        <x:f>IF(A20="","",XLOOKUP(I20,'评分规则'!$D$12:$D$21,'评分规则'!$E$12:$E$21,"人工判断"))</x:f>
      </x:c>
      <x:c r="AD20" t="str">
        <x:f>IF(A20="","","/"&amp;LOWER(SUBSTITUTE(SUBSTITUTE(SUBSTITUTE(A20," / ","-")," ","-"),"+",""))&amp;"/")</x:f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 t="str">
        <x:f>IF(A21="","",XLOOKUP(G21,'评分规则'!$A$12:$A$17,'评分规则'!$B$12:$B$17,0))</x:f>
      </x:c>
      <x:c r="T21" t="str">
        <x:f>IF(A21="","",IF(D21&gt;=10000,10,IF(D21&gt;=3000,9,IF(D21&gt;=1000,8,IF(D21&gt;=300,7,IF(D21&gt;=100,6,IF(D21&gt;=30,4,IF(D21&gt;=10,3,1)))))))+IF(E21&gt;=3,5,IF(E21&gt;=1,4,IF(E21&gt;=0.3,3,IF(E21&gt;0,2,1)))))</x:f>
      </x:c>
      <x:c r="U21" t="str">
        <x:f>IF(A21="","",IF('评分规则'!$B$3="新站",IF(F21&lt;=10,15,IF(F21&lt;=20,12,IF(F21&lt;=35,8,IF(F21&lt;=50,4,1)))),IF('评分规则'!$B$3="成长期",IF(F21&lt;=20,15,IF(F21&lt;=35,12,IF(F21&lt;=50,8,IF(F21&lt;=70,4,1)))),IF(F21&lt;=35,15,IF(F21&lt;=50,12,IF(F21&lt;=70,8,IF(F21&lt;=85,4,1)))))))</x:f>
      </x:c>
      <x:c r="V21" t="str">
        <x:f>IF(A21="","",ROUND((J21*0.45+K21*0.30+L21*0.25)*4,1))</x:f>
      </x:c>
      <x:c r="W21" t="str">
        <x:f>IF(A21="","",ROUND((M21*0.60+N21*0.40)*3,1))</x:f>
      </x:c>
      <x:c r="X21" t="str">
        <x:f>IF(A21="","",XLOOKUP(I21,'评分规则'!$D$12:$D$21,'评分规则'!$F$12:$F$21,0))</x:f>
      </x:c>
      <x:c r="Y21" t="str">
        <x:f>IF(A21="","",O21)</x:f>
      </x:c>
      <x:c r="Z21" t="str">
        <x:f>IF(A21="","",SUM(S21:Y21))</x:f>
      </x:c>
      <x:c r="AA21" t="str">
        <x:f>IF(A21="","",IF(Z21&gt;=75,"P0",IF(Z21&gt;=60,"P1",IF(Z21&gt;=45,"P2","P3"))))</x:f>
      </x:c>
      <x:c r="AB21" t="str">
        <x:f>IF(A21="","",XLOOKUP(AA21,'评分规则'!$H$12:$H$15,'评分规则'!$I$12:$I$15,""))</x:f>
      </x:c>
      <x:c r="AC21" t="str">
        <x:f>IF(A21="","",XLOOKUP(I21,'评分规则'!$D$12:$D$21,'评分规则'!$E$12:$E$21,"人工判断"))</x:f>
      </x:c>
      <x:c r="AD21" t="str">
        <x:f>IF(A21="","","/"&amp;LOWER(SUBSTITUTE(SUBSTITUTE(SUBSTITUTE(A21," / ","-")," ","-"),"+",""))&amp;"/")</x:f>
      </x:c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 t="str">
        <x:f>IF(A22="","",XLOOKUP(G22,'评分规则'!$A$12:$A$17,'评分规则'!$B$12:$B$17,0))</x:f>
      </x:c>
      <x:c r="T22" t="str">
        <x:f>IF(A22="","",IF(D22&gt;=10000,10,IF(D22&gt;=3000,9,IF(D22&gt;=1000,8,IF(D22&gt;=300,7,IF(D22&gt;=100,6,IF(D22&gt;=30,4,IF(D22&gt;=10,3,1)))))))+IF(E22&gt;=3,5,IF(E22&gt;=1,4,IF(E22&gt;=0.3,3,IF(E22&gt;0,2,1)))))</x:f>
      </x:c>
      <x:c r="U22" t="str">
        <x:f>IF(A22="","",IF('评分规则'!$B$3="新站",IF(F22&lt;=10,15,IF(F22&lt;=20,12,IF(F22&lt;=35,8,IF(F22&lt;=50,4,1)))),IF('评分规则'!$B$3="成长期",IF(F22&lt;=20,15,IF(F22&lt;=35,12,IF(F22&lt;=50,8,IF(F22&lt;=70,4,1)))),IF(F22&lt;=35,15,IF(F22&lt;=50,12,IF(F22&lt;=70,8,IF(F22&lt;=85,4,1)))))))</x:f>
      </x:c>
      <x:c r="V22" t="str">
        <x:f>IF(A22="","",ROUND((J22*0.45+K22*0.30+L22*0.25)*4,1))</x:f>
      </x:c>
      <x:c r="W22" t="str">
        <x:f>IF(A22="","",ROUND((M22*0.60+N22*0.40)*3,1))</x:f>
      </x:c>
      <x:c r="X22" t="str">
        <x:f>IF(A22="","",XLOOKUP(I22,'评分规则'!$D$12:$D$21,'评分规则'!$F$12:$F$21,0))</x:f>
      </x:c>
      <x:c r="Y22" t="str">
        <x:f>IF(A22="","",O22)</x:f>
      </x:c>
      <x:c r="Z22" t="str">
        <x:f>IF(A22="","",SUM(S22:Y22))</x:f>
      </x:c>
      <x:c r="AA22" t="str">
        <x:f>IF(A22="","",IF(Z22&gt;=75,"P0",IF(Z22&gt;=60,"P1",IF(Z22&gt;=45,"P2","P3"))))</x:f>
      </x:c>
      <x:c r="AB22" t="str">
        <x:f>IF(A22="","",XLOOKUP(AA22,'评分规则'!$H$12:$H$15,'评分规则'!$I$12:$I$15,""))</x:f>
      </x:c>
      <x:c r="AC22" t="str">
        <x:f>IF(A22="","",XLOOKUP(I22,'评分规则'!$D$12:$D$21,'评分规则'!$E$12:$E$21,"人工判断"))</x:f>
      </x:c>
      <x:c r="AD22" t="str">
        <x:f>IF(A22="","","/"&amp;LOWER(SUBSTITUTE(SUBSTITUTE(SUBSTITUTE(A22," / ","-")," ","-"),"+",""))&amp;"/")</x:f>
      </x:c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 t="str">
        <x:f>IF(A23="","",XLOOKUP(G23,'评分规则'!$A$12:$A$17,'评分规则'!$B$12:$B$17,0))</x:f>
      </x:c>
      <x:c r="T23" t="str">
        <x:f>IF(A23="","",IF(D23&gt;=10000,10,IF(D23&gt;=3000,9,IF(D23&gt;=1000,8,IF(D23&gt;=300,7,IF(D23&gt;=100,6,IF(D23&gt;=30,4,IF(D23&gt;=10,3,1)))))))+IF(E23&gt;=3,5,IF(E23&gt;=1,4,IF(E23&gt;=0.3,3,IF(E23&gt;0,2,1)))))</x:f>
      </x:c>
      <x:c r="U23" t="str">
        <x:f>IF(A23="","",IF('评分规则'!$B$3="新站",IF(F23&lt;=10,15,IF(F23&lt;=20,12,IF(F23&lt;=35,8,IF(F23&lt;=50,4,1)))),IF('评分规则'!$B$3="成长期",IF(F23&lt;=20,15,IF(F23&lt;=35,12,IF(F23&lt;=50,8,IF(F23&lt;=70,4,1)))),IF(F23&lt;=35,15,IF(F23&lt;=50,12,IF(F23&lt;=70,8,IF(F23&lt;=85,4,1)))))))</x:f>
      </x:c>
      <x:c r="V23" t="str">
        <x:f>IF(A23="","",ROUND((J23*0.45+K23*0.30+L23*0.25)*4,1))</x:f>
      </x:c>
      <x:c r="W23" t="str">
        <x:f>IF(A23="","",ROUND((M23*0.60+N23*0.40)*3,1))</x:f>
      </x:c>
      <x:c r="X23" t="str">
        <x:f>IF(A23="","",XLOOKUP(I23,'评分规则'!$D$12:$D$21,'评分规则'!$F$12:$F$21,0))</x:f>
      </x:c>
      <x:c r="Y23" t="str">
        <x:f>IF(A23="","",O23)</x:f>
      </x:c>
      <x:c r="Z23" t="str">
        <x:f>IF(A23="","",SUM(S23:Y23))</x:f>
      </x:c>
      <x:c r="AA23" t="str">
        <x:f>IF(A23="","",IF(Z23&gt;=75,"P0",IF(Z23&gt;=60,"P1",IF(Z23&gt;=45,"P2","P3"))))</x:f>
      </x:c>
      <x:c r="AB23" t="str">
        <x:f>IF(A23="","",XLOOKUP(AA23,'评分规则'!$H$12:$H$15,'评分规则'!$I$12:$I$15,""))</x:f>
      </x:c>
      <x:c r="AC23" t="str">
        <x:f>IF(A23="","",XLOOKUP(I23,'评分规则'!$D$12:$D$21,'评分规则'!$E$12:$E$21,"人工判断"))</x:f>
      </x:c>
      <x:c r="AD23" t="str">
        <x:f>IF(A23="","","/"&amp;LOWER(SUBSTITUTE(SUBSTITUTE(SUBSTITUTE(A23," / ","-")," ","-"),"+",""))&amp;"/")</x:f>
      </x:c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 t="str">
        <x:f>IF(A24="","",XLOOKUP(G24,'评分规则'!$A$12:$A$17,'评分规则'!$B$12:$B$17,0))</x:f>
      </x:c>
      <x:c r="T24" t="str">
        <x:f>IF(A24="","",IF(D24&gt;=10000,10,IF(D24&gt;=3000,9,IF(D24&gt;=1000,8,IF(D24&gt;=300,7,IF(D24&gt;=100,6,IF(D24&gt;=30,4,IF(D24&gt;=10,3,1)))))))+IF(E24&gt;=3,5,IF(E24&gt;=1,4,IF(E24&gt;=0.3,3,IF(E24&gt;0,2,1)))))</x:f>
      </x:c>
      <x:c r="U24" t="str">
        <x:f>IF(A24="","",IF('评分规则'!$B$3="新站",IF(F24&lt;=10,15,IF(F24&lt;=20,12,IF(F24&lt;=35,8,IF(F24&lt;=50,4,1)))),IF('评分规则'!$B$3="成长期",IF(F24&lt;=20,15,IF(F24&lt;=35,12,IF(F24&lt;=50,8,IF(F24&lt;=70,4,1)))),IF(F24&lt;=35,15,IF(F24&lt;=50,12,IF(F24&lt;=70,8,IF(F24&lt;=85,4,1)))))))</x:f>
      </x:c>
      <x:c r="V24" t="str">
        <x:f>IF(A24="","",ROUND((J24*0.45+K24*0.30+L24*0.25)*4,1))</x:f>
      </x:c>
      <x:c r="W24" t="str">
        <x:f>IF(A24="","",ROUND((M24*0.60+N24*0.40)*3,1))</x:f>
      </x:c>
      <x:c r="X24" t="str">
        <x:f>IF(A24="","",XLOOKUP(I24,'评分规则'!$D$12:$D$21,'评分规则'!$F$12:$F$21,0))</x:f>
      </x:c>
      <x:c r="Y24" t="str">
        <x:f>IF(A24="","",O24)</x:f>
      </x:c>
      <x:c r="Z24" t="str">
        <x:f>IF(A24="","",SUM(S24:Y24))</x:f>
      </x:c>
      <x:c r="AA24" t="str">
        <x:f>IF(A24="","",IF(Z24&gt;=75,"P0",IF(Z24&gt;=60,"P1",IF(Z24&gt;=45,"P2","P3"))))</x:f>
      </x:c>
      <x:c r="AB24" t="str">
        <x:f>IF(A24="","",XLOOKUP(AA24,'评分规则'!$H$12:$H$15,'评分规则'!$I$12:$I$15,""))</x:f>
      </x:c>
      <x:c r="AC24" t="str">
        <x:f>IF(A24="","",XLOOKUP(I24,'评分规则'!$D$12:$D$21,'评分规则'!$E$12:$E$21,"人工判断"))</x:f>
      </x:c>
      <x:c r="AD24" t="str">
        <x:f>IF(A24="","","/"&amp;LOWER(SUBSTITUTE(SUBSTITUTE(SUBSTITUTE(A24," / ","-")," ","-"),"+",""))&amp;"/")</x:f>
      </x:c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 t="str">
        <x:f>IF(A25="","",XLOOKUP(G25,'评分规则'!$A$12:$A$17,'评分规则'!$B$12:$B$17,0))</x:f>
      </x:c>
      <x:c r="T25" t="str">
        <x:f>IF(A25="","",IF(D25&gt;=10000,10,IF(D25&gt;=3000,9,IF(D25&gt;=1000,8,IF(D25&gt;=300,7,IF(D25&gt;=100,6,IF(D25&gt;=30,4,IF(D25&gt;=10,3,1)))))))+IF(E25&gt;=3,5,IF(E25&gt;=1,4,IF(E25&gt;=0.3,3,IF(E25&gt;0,2,1)))))</x:f>
      </x:c>
      <x:c r="U25" t="str">
        <x:f>IF(A25="","",IF('评分规则'!$B$3="新站",IF(F25&lt;=10,15,IF(F25&lt;=20,12,IF(F25&lt;=35,8,IF(F25&lt;=50,4,1)))),IF('评分规则'!$B$3="成长期",IF(F25&lt;=20,15,IF(F25&lt;=35,12,IF(F25&lt;=50,8,IF(F25&lt;=70,4,1)))),IF(F25&lt;=35,15,IF(F25&lt;=50,12,IF(F25&lt;=70,8,IF(F25&lt;=85,4,1)))))))</x:f>
      </x:c>
      <x:c r="V25" t="str">
        <x:f>IF(A25="","",ROUND((J25*0.45+K25*0.30+L25*0.25)*4,1))</x:f>
      </x:c>
      <x:c r="W25" t="str">
        <x:f>IF(A25="","",ROUND((M25*0.60+N25*0.40)*3,1))</x:f>
      </x:c>
      <x:c r="X25" t="str">
        <x:f>IF(A25="","",XLOOKUP(I25,'评分规则'!$D$12:$D$21,'评分规则'!$F$12:$F$21,0))</x:f>
      </x:c>
      <x:c r="Y25" t="str">
        <x:f>IF(A25="","",O25)</x:f>
      </x:c>
      <x:c r="Z25" t="str">
        <x:f>IF(A25="","",SUM(S25:Y25))</x:f>
      </x:c>
      <x:c r="AA25" t="str">
        <x:f>IF(A25="","",IF(Z25&gt;=75,"P0",IF(Z25&gt;=60,"P1",IF(Z25&gt;=45,"P2","P3"))))</x:f>
      </x:c>
      <x:c r="AB25" t="str">
        <x:f>IF(A25="","",XLOOKUP(AA25,'评分规则'!$H$12:$H$15,'评分规则'!$I$12:$I$15,""))</x:f>
      </x:c>
      <x:c r="AC25" t="str">
        <x:f>IF(A25="","",XLOOKUP(I25,'评分规则'!$D$12:$D$21,'评分规则'!$E$12:$E$21,"人工判断"))</x:f>
      </x:c>
      <x:c r="AD25" t="str">
        <x:f>IF(A25="","","/"&amp;LOWER(SUBSTITUTE(SUBSTITUTE(SUBSTITUTE(A25," / ","-")," ","-"),"+",""))&amp;"/")</x:f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 t="str">
        <x:f>IF(A26="","",XLOOKUP(G26,'评分规则'!$A$12:$A$17,'评分规则'!$B$12:$B$17,0))</x:f>
      </x:c>
      <x:c r="T26" t="str">
        <x:f>IF(A26="","",IF(D26&gt;=10000,10,IF(D26&gt;=3000,9,IF(D26&gt;=1000,8,IF(D26&gt;=300,7,IF(D26&gt;=100,6,IF(D26&gt;=30,4,IF(D26&gt;=10,3,1)))))))+IF(E26&gt;=3,5,IF(E26&gt;=1,4,IF(E26&gt;=0.3,3,IF(E26&gt;0,2,1)))))</x:f>
      </x:c>
      <x:c r="U26" t="str">
        <x:f>IF(A26="","",IF('评分规则'!$B$3="新站",IF(F26&lt;=10,15,IF(F26&lt;=20,12,IF(F26&lt;=35,8,IF(F26&lt;=50,4,1)))),IF('评分规则'!$B$3="成长期",IF(F26&lt;=20,15,IF(F26&lt;=35,12,IF(F26&lt;=50,8,IF(F26&lt;=70,4,1)))),IF(F26&lt;=35,15,IF(F26&lt;=50,12,IF(F26&lt;=70,8,IF(F26&lt;=85,4,1)))))))</x:f>
      </x:c>
      <x:c r="V26" t="str">
        <x:f>IF(A26="","",ROUND((J26*0.45+K26*0.30+L26*0.25)*4,1))</x:f>
      </x:c>
      <x:c r="W26" t="str">
        <x:f>IF(A26="","",ROUND((M26*0.60+N26*0.40)*3,1))</x:f>
      </x:c>
      <x:c r="X26" t="str">
        <x:f>IF(A26="","",XLOOKUP(I26,'评分规则'!$D$12:$D$21,'评分规则'!$F$12:$F$21,0))</x:f>
      </x:c>
      <x:c r="Y26" t="str">
        <x:f>IF(A26="","",O26)</x:f>
      </x:c>
      <x:c r="Z26" t="str">
        <x:f>IF(A26="","",SUM(S26:Y26))</x:f>
      </x:c>
      <x:c r="AA26" t="str">
        <x:f>IF(A26="","",IF(Z26&gt;=75,"P0",IF(Z26&gt;=60,"P1",IF(Z26&gt;=45,"P2","P3"))))</x:f>
      </x:c>
      <x:c r="AB26" t="str">
        <x:f>IF(A26="","",XLOOKUP(AA26,'评分规则'!$H$12:$H$15,'评分规则'!$I$12:$I$15,""))</x:f>
      </x:c>
      <x:c r="AC26" t="str">
        <x:f>IF(A26="","",XLOOKUP(I26,'评分规则'!$D$12:$D$21,'评分规则'!$E$12:$E$21,"人工判断"))</x:f>
      </x:c>
      <x:c r="AD26" t="str">
        <x:f>IF(A26="","","/"&amp;LOWER(SUBSTITUTE(SUBSTITUTE(SUBSTITUTE(A26," / ","-")," ","-"),"+",""))&amp;"/")</x:f>
      </x:c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 t="str">
        <x:f>IF(A27="","",XLOOKUP(G27,'评分规则'!$A$12:$A$17,'评分规则'!$B$12:$B$17,0))</x:f>
      </x:c>
      <x:c r="T27" t="str">
        <x:f>IF(A27="","",IF(D27&gt;=10000,10,IF(D27&gt;=3000,9,IF(D27&gt;=1000,8,IF(D27&gt;=300,7,IF(D27&gt;=100,6,IF(D27&gt;=30,4,IF(D27&gt;=10,3,1)))))))+IF(E27&gt;=3,5,IF(E27&gt;=1,4,IF(E27&gt;=0.3,3,IF(E27&gt;0,2,1)))))</x:f>
      </x:c>
      <x:c r="U27" t="str">
        <x:f>IF(A27="","",IF('评分规则'!$B$3="新站",IF(F27&lt;=10,15,IF(F27&lt;=20,12,IF(F27&lt;=35,8,IF(F27&lt;=50,4,1)))),IF('评分规则'!$B$3="成长期",IF(F27&lt;=20,15,IF(F27&lt;=35,12,IF(F27&lt;=50,8,IF(F27&lt;=70,4,1)))),IF(F27&lt;=35,15,IF(F27&lt;=50,12,IF(F27&lt;=70,8,IF(F27&lt;=85,4,1)))))))</x:f>
      </x:c>
      <x:c r="V27" t="str">
        <x:f>IF(A27="","",ROUND((J27*0.45+K27*0.30+L27*0.25)*4,1))</x:f>
      </x:c>
      <x:c r="W27" t="str">
        <x:f>IF(A27="","",ROUND((M27*0.60+N27*0.40)*3,1))</x:f>
      </x:c>
      <x:c r="X27" t="str">
        <x:f>IF(A27="","",XLOOKUP(I27,'评分规则'!$D$12:$D$21,'评分规则'!$F$12:$F$21,0))</x:f>
      </x:c>
      <x:c r="Y27" t="str">
        <x:f>IF(A27="","",O27)</x:f>
      </x:c>
      <x:c r="Z27" t="str">
        <x:f>IF(A27="","",SUM(S27:Y27))</x:f>
      </x:c>
      <x:c r="AA27" t="str">
        <x:f>IF(A27="","",IF(Z27&gt;=75,"P0",IF(Z27&gt;=60,"P1",IF(Z27&gt;=45,"P2","P3"))))</x:f>
      </x:c>
      <x:c r="AB27" t="str">
        <x:f>IF(A27="","",XLOOKUP(AA27,'评分规则'!$H$12:$H$15,'评分规则'!$I$12:$I$15,""))</x:f>
      </x:c>
      <x:c r="AC27" t="str">
        <x:f>IF(A27="","",XLOOKUP(I27,'评分规则'!$D$12:$D$21,'评分规则'!$E$12:$E$21,"人工判断"))</x:f>
      </x:c>
      <x:c r="AD27" t="str">
        <x:f>IF(A27="","","/"&amp;LOWER(SUBSTITUTE(SUBSTITUTE(SUBSTITUTE(A27," / ","-")," ","-"),"+",""))&amp;"/")</x:f>
      </x:c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 t="str">
        <x:f>IF(A28="","",XLOOKUP(G28,'评分规则'!$A$12:$A$17,'评分规则'!$B$12:$B$17,0))</x:f>
      </x:c>
      <x:c r="T28" t="str">
        <x:f>IF(A28="","",IF(D28&gt;=10000,10,IF(D28&gt;=3000,9,IF(D28&gt;=1000,8,IF(D28&gt;=300,7,IF(D28&gt;=100,6,IF(D28&gt;=30,4,IF(D28&gt;=10,3,1)))))))+IF(E28&gt;=3,5,IF(E28&gt;=1,4,IF(E28&gt;=0.3,3,IF(E28&gt;0,2,1)))))</x:f>
      </x:c>
      <x:c r="U28" t="str">
        <x:f>IF(A28="","",IF('评分规则'!$B$3="新站",IF(F28&lt;=10,15,IF(F28&lt;=20,12,IF(F28&lt;=35,8,IF(F28&lt;=50,4,1)))),IF('评分规则'!$B$3="成长期",IF(F28&lt;=20,15,IF(F28&lt;=35,12,IF(F28&lt;=50,8,IF(F28&lt;=70,4,1)))),IF(F28&lt;=35,15,IF(F28&lt;=50,12,IF(F28&lt;=70,8,IF(F28&lt;=85,4,1)))))))</x:f>
      </x:c>
      <x:c r="V28" t="str">
        <x:f>IF(A28="","",ROUND((J28*0.45+K28*0.30+L28*0.25)*4,1))</x:f>
      </x:c>
      <x:c r="W28" t="str">
        <x:f>IF(A28="","",ROUND((M28*0.60+N28*0.40)*3,1))</x:f>
      </x:c>
      <x:c r="X28" t="str">
        <x:f>IF(A28="","",XLOOKUP(I28,'评分规则'!$D$12:$D$21,'评分规则'!$F$12:$F$21,0))</x:f>
      </x:c>
      <x:c r="Y28" t="str">
        <x:f>IF(A28="","",O28)</x:f>
      </x:c>
      <x:c r="Z28" t="str">
        <x:f>IF(A28="","",SUM(S28:Y28))</x:f>
      </x:c>
      <x:c r="AA28" t="str">
        <x:f>IF(A28="","",IF(Z28&gt;=75,"P0",IF(Z28&gt;=60,"P1",IF(Z28&gt;=45,"P2","P3"))))</x:f>
      </x:c>
      <x:c r="AB28" t="str">
        <x:f>IF(A28="","",XLOOKUP(AA28,'评分规则'!$H$12:$H$15,'评分规则'!$I$12:$I$15,""))</x:f>
      </x:c>
      <x:c r="AC28" t="str">
        <x:f>IF(A28="","",XLOOKUP(I28,'评分规则'!$D$12:$D$21,'评分规则'!$E$12:$E$21,"人工判断"))</x:f>
      </x:c>
      <x:c r="AD28" t="str">
        <x:f>IF(A28="","","/"&amp;LOWER(SUBSTITUTE(SUBSTITUTE(SUBSTITUTE(A28," / ","-")," ","-"),"+",""))&amp;"/")</x:f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 t="str">
        <x:f>IF(A29="","",XLOOKUP(G29,'评分规则'!$A$12:$A$17,'评分规则'!$B$12:$B$17,0))</x:f>
      </x:c>
      <x:c r="T29" t="str">
        <x:f>IF(A29="","",IF(D29&gt;=10000,10,IF(D29&gt;=3000,9,IF(D29&gt;=1000,8,IF(D29&gt;=300,7,IF(D29&gt;=100,6,IF(D29&gt;=30,4,IF(D29&gt;=10,3,1)))))))+IF(E29&gt;=3,5,IF(E29&gt;=1,4,IF(E29&gt;=0.3,3,IF(E29&gt;0,2,1)))))</x:f>
      </x:c>
      <x:c r="U29" t="str">
        <x:f>IF(A29="","",IF('评分规则'!$B$3="新站",IF(F29&lt;=10,15,IF(F29&lt;=20,12,IF(F29&lt;=35,8,IF(F29&lt;=50,4,1)))),IF('评分规则'!$B$3="成长期",IF(F29&lt;=20,15,IF(F29&lt;=35,12,IF(F29&lt;=50,8,IF(F29&lt;=70,4,1)))),IF(F29&lt;=35,15,IF(F29&lt;=50,12,IF(F29&lt;=70,8,IF(F29&lt;=85,4,1)))))))</x:f>
      </x:c>
      <x:c r="V29" t="str">
        <x:f>IF(A29="","",ROUND((J29*0.45+K29*0.30+L29*0.25)*4,1))</x:f>
      </x:c>
      <x:c r="W29" t="str">
        <x:f>IF(A29="","",ROUND((M29*0.60+N29*0.40)*3,1))</x:f>
      </x:c>
      <x:c r="X29" t="str">
        <x:f>IF(A29="","",XLOOKUP(I29,'评分规则'!$D$12:$D$21,'评分规则'!$F$12:$F$21,0))</x:f>
      </x:c>
      <x:c r="Y29" t="str">
        <x:f>IF(A29="","",O29)</x:f>
      </x:c>
      <x:c r="Z29" t="str">
        <x:f>IF(A29="","",SUM(S29:Y29))</x:f>
      </x:c>
      <x:c r="AA29" t="str">
        <x:f>IF(A29="","",IF(Z29&gt;=75,"P0",IF(Z29&gt;=60,"P1",IF(Z29&gt;=45,"P2","P3"))))</x:f>
      </x:c>
      <x:c r="AB29" t="str">
        <x:f>IF(A29="","",XLOOKUP(AA29,'评分规则'!$H$12:$H$15,'评分规则'!$I$12:$I$15,""))</x:f>
      </x:c>
      <x:c r="AC29" t="str">
        <x:f>IF(A29="","",XLOOKUP(I29,'评分规则'!$D$12:$D$21,'评分规则'!$E$12:$E$21,"人工判断"))</x:f>
      </x:c>
      <x:c r="AD29" t="str">
        <x:f>IF(A29="","","/"&amp;LOWER(SUBSTITUTE(SUBSTITUTE(SUBSTITUTE(A29," / ","-")," ","-"),"+",""))&amp;"/")</x:f>
      </x:c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 t="str">
        <x:f>IF(A30="","",XLOOKUP(G30,'评分规则'!$A$12:$A$17,'评分规则'!$B$12:$B$17,0))</x:f>
      </x:c>
      <x:c r="T30" t="str">
        <x:f>IF(A30="","",IF(D30&gt;=10000,10,IF(D30&gt;=3000,9,IF(D30&gt;=1000,8,IF(D30&gt;=300,7,IF(D30&gt;=100,6,IF(D30&gt;=30,4,IF(D30&gt;=10,3,1)))))))+IF(E30&gt;=3,5,IF(E30&gt;=1,4,IF(E30&gt;=0.3,3,IF(E30&gt;0,2,1)))))</x:f>
      </x:c>
      <x:c r="U30" t="str">
        <x:f>IF(A30="","",IF('评分规则'!$B$3="新站",IF(F30&lt;=10,15,IF(F30&lt;=20,12,IF(F30&lt;=35,8,IF(F30&lt;=50,4,1)))),IF('评分规则'!$B$3="成长期",IF(F30&lt;=20,15,IF(F30&lt;=35,12,IF(F30&lt;=50,8,IF(F30&lt;=70,4,1)))),IF(F30&lt;=35,15,IF(F30&lt;=50,12,IF(F30&lt;=70,8,IF(F30&lt;=85,4,1)))))))</x:f>
      </x:c>
      <x:c r="V30" t="str">
        <x:f>IF(A30="","",ROUND((J30*0.45+K30*0.30+L30*0.25)*4,1))</x:f>
      </x:c>
      <x:c r="W30" t="str">
        <x:f>IF(A30="","",ROUND((M30*0.60+N30*0.40)*3,1))</x:f>
      </x:c>
      <x:c r="X30" t="str">
        <x:f>IF(A30="","",XLOOKUP(I30,'评分规则'!$D$12:$D$21,'评分规则'!$F$12:$F$21,0))</x:f>
      </x:c>
      <x:c r="Y30" t="str">
        <x:f>IF(A30="","",O30)</x:f>
      </x:c>
      <x:c r="Z30" t="str">
        <x:f>IF(A30="","",SUM(S30:Y30))</x:f>
      </x:c>
      <x:c r="AA30" t="str">
        <x:f>IF(A30="","",IF(Z30&gt;=75,"P0",IF(Z30&gt;=60,"P1",IF(Z30&gt;=45,"P2","P3"))))</x:f>
      </x:c>
      <x:c r="AB30" t="str">
        <x:f>IF(A30="","",XLOOKUP(AA30,'评分规则'!$H$12:$H$15,'评分规则'!$I$12:$I$15,""))</x:f>
      </x:c>
      <x:c r="AC30" t="str">
        <x:f>IF(A30="","",XLOOKUP(I30,'评分规则'!$D$12:$D$21,'评分规则'!$E$12:$E$21,"人工判断"))</x:f>
      </x:c>
      <x:c r="AD30" t="str">
        <x:f>IF(A30="","","/"&amp;LOWER(SUBSTITUTE(SUBSTITUTE(SUBSTITUTE(A30," / ","-")," ","-"),"+",""))&amp;"/")</x:f>
      </x:c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 t="str">
        <x:f>IF(A31="","",XLOOKUP(G31,'评分规则'!$A$12:$A$17,'评分规则'!$B$12:$B$17,0))</x:f>
      </x:c>
      <x:c r="T31" t="str">
        <x:f>IF(A31="","",IF(D31&gt;=10000,10,IF(D31&gt;=3000,9,IF(D31&gt;=1000,8,IF(D31&gt;=300,7,IF(D31&gt;=100,6,IF(D31&gt;=30,4,IF(D31&gt;=10,3,1)))))))+IF(E31&gt;=3,5,IF(E31&gt;=1,4,IF(E31&gt;=0.3,3,IF(E31&gt;0,2,1)))))</x:f>
      </x:c>
      <x:c r="U31" t="str">
        <x:f>IF(A31="","",IF('评分规则'!$B$3="新站",IF(F31&lt;=10,15,IF(F31&lt;=20,12,IF(F31&lt;=35,8,IF(F31&lt;=50,4,1)))),IF('评分规则'!$B$3="成长期",IF(F31&lt;=20,15,IF(F31&lt;=35,12,IF(F31&lt;=50,8,IF(F31&lt;=70,4,1)))),IF(F31&lt;=35,15,IF(F31&lt;=50,12,IF(F31&lt;=70,8,IF(F31&lt;=85,4,1)))))))</x:f>
      </x:c>
      <x:c r="V31" t="str">
        <x:f>IF(A31="","",ROUND((J31*0.45+K31*0.30+L31*0.25)*4,1))</x:f>
      </x:c>
      <x:c r="W31" t="str">
        <x:f>IF(A31="","",ROUND((M31*0.60+N31*0.40)*3,1))</x:f>
      </x:c>
      <x:c r="X31" t="str">
        <x:f>IF(A31="","",XLOOKUP(I31,'评分规则'!$D$12:$D$21,'评分规则'!$F$12:$F$21,0))</x:f>
      </x:c>
      <x:c r="Y31" t="str">
        <x:f>IF(A31="","",O31)</x:f>
      </x:c>
      <x:c r="Z31" t="str">
        <x:f>IF(A31="","",SUM(S31:Y31))</x:f>
      </x:c>
      <x:c r="AA31" t="str">
        <x:f>IF(A31="","",IF(Z31&gt;=75,"P0",IF(Z31&gt;=60,"P1",IF(Z31&gt;=45,"P2","P3"))))</x:f>
      </x:c>
      <x:c r="AB31" t="str">
        <x:f>IF(A31="","",XLOOKUP(AA31,'评分规则'!$H$12:$H$15,'评分规则'!$I$12:$I$15,""))</x:f>
      </x:c>
      <x:c r="AC31" t="str">
        <x:f>IF(A31="","",XLOOKUP(I31,'评分规则'!$D$12:$D$21,'评分规则'!$E$12:$E$21,"人工判断"))</x:f>
      </x:c>
      <x:c r="AD31" t="str">
        <x:f>IF(A31="","","/"&amp;LOWER(SUBSTITUTE(SUBSTITUTE(SUBSTITUTE(A31," / ","-")," ","-"),"+",""))&amp;"/")</x:f>
      </x:c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 t="str">
        <x:f>IF(A32="","",XLOOKUP(G32,'评分规则'!$A$12:$A$17,'评分规则'!$B$12:$B$17,0))</x:f>
      </x:c>
      <x:c r="T32" t="str">
        <x:f>IF(A32="","",IF(D32&gt;=10000,10,IF(D32&gt;=3000,9,IF(D32&gt;=1000,8,IF(D32&gt;=300,7,IF(D32&gt;=100,6,IF(D32&gt;=30,4,IF(D32&gt;=10,3,1)))))))+IF(E32&gt;=3,5,IF(E32&gt;=1,4,IF(E32&gt;=0.3,3,IF(E32&gt;0,2,1)))))</x:f>
      </x:c>
      <x:c r="U32" t="str">
        <x:f>IF(A32="","",IF('评分规则'!$B$3="新站",IF(F32&lt;=10,15,IF(F32&lt;=20,12,IF(F32&lt;=35,8,IF(F32&lt;=50,4,1)))),IF('评分规则'!$B$3="成长期",IF(F32&lt;=20,15,IF(F32&lt;=35,12,IF(F32&lt;=50,8,IF(F32&lt;=70,4,1)))),IF(F32&lt;=35,15,IF(F32&lt;=50,12,IF(F32&lt;=70,8,IF(F32&lt;=85,4,1)))))))</x:f>
      </x:c>
      <x:c r="V32" t="str">
        <x:f>IF(A32="","",ROUND((J32*0.45+K32*0.30+L32*0.25)*4,1))</x:f>
      </x:c>
      <x:c r="W32" t="str">
        <x:f>IF(A32="","",ROUND((M32*0.60+N32*0.40)*3,1))</x:f>
      </x:c>
      <x:c r="X32" t="str">
        <x:f>IF(A32="","",XLOOKUP(I32,'评分规则'!$D$12:$D$21,'评分规则'!$F$12:$F$21,0))</x:f>
      </x:c>
      <x:c r="Y32" t="str">
        <x:f>IF(A32="","",O32)</x:f>
      </x:c>
      <x:c r="Z32" t="str">
        <x:f>IF(A32="","",SUM(S32:Y32))</x:f>
      </x:c>
      <x:c r="AA32" t="str">
        <x:f>IF(A32="","",IF(Z32&gt;=75,"P0",IF(Z32&gt;=60,"P1",IF(Z32&gt;=45,"P2","P3"))))</x:f>
      </x:c>
      <x:c r="AB32" t="str">
        <x:f>IF(A32="","",XLOOKUP(AA32,'评分规则'!$H$12:$H$15,'评分规则'!$I$12:$I$15,""))</x:f>
      </x:c>
      <x:c r="AC32" t="str">
        <x:f>IF(A32="","",XLOOKUP(I32,'评分规则'!$D$12:$D$21,'评分规则'!$E$12:$E$21,"人工判断"))</x:f>
      </x:c>
      <x:c r="AD32" t="str">
        <x:f>IF(A32="","","/"&amp;LOWER(SUBSTITUTE(SUBSTITUTE(SUBSTITUTE(A32," / ","-")," ","-"),"+",""))&amp;"/")</x:f>
      </x:c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 t="str">
        <x:f>IF(A33="","",XLOOKUP(G33,'评分规则'!$A$12:$A$17,'评分规则'!$B$12:$B$17,0))</x:f>
      </x:c>
      <x:c r="T33" t="str">
        <x:f>IF(A33="","",IF(D33&gt;=10000,10,IF(D33&gt;=3000,9,IF(D33&gt;=1000,8,IF(D33&gt;=300,7,IF(D33&gt;=100,6,IF(D33&gt;=30,4,IF(D33&gt;=10,3,1)))))))+IF(E33&gt;=3,5,IF(E33&gt;=1,4,IF(E33&gt;=0.3,3,IF(E33&gt;0,2,1)))))</x:f>
      </x:c>
      <x:c r="U33" t="str">
        <x:f>IF(A33="","",IF('评分规则'!$B$3="新站",IF(F33&lt;=10,15,IF(F33&lt;=20,12,IF(F33&lt;=35,8,IF(F33&lt;=50,4,1)))),IF('评分规则'!$B$3="成长期",IF(F33&lt;=20,15,IF(F33&lt;=35,12,IF(F33&lt;=50,8,IF(F33&lt;=70,4,1)))),IF(F33&lt;=35,15,IF(F33&lt;=50,12,IF(F33&lt;=70,8,IF(F33&lt;=85,4,1)))))))</x:f>
      </x:c>
      <x:c r="V33" t="str">
        <x:f>IF(A33="","",ROUND((J33*0.45+K33*0.30+L33*0.25)*4,1))</x:f>
      </x:c>
      <x:c r="W33" t="str">
        <x:f>IF(A33="","",ROUND((M33*0.60+N33*0.40)*3,1))</x:f>
      </x:c>
      <x:c r="X33" t="str">
        <x:f>IF(A33="","",XLOOKUP(I33,'评分规则'!$D$12:$D$21,'评分规则'!$F$12:$F$21,0))</x:f>
      </x:c>
      <x:c r="Y33" t="str">
        <x:f>IF(A33="","",O33)</x:f>
      </x:c>
      <x:c r="Z33" t="str">
        <x:f>IF(A33="","",SUM(S33:Y33))</x:f>
      </x:c>
      <x:c r="AA33" t="str">
        <x:f>IF(A33="","",IF(Z33&gt;=75,"P0",IF(Z33&gt;=60,"P1",IF(Z33&gt;=45,"P2","P3"))))</x:f>
      </x:c>
      <x:c r="AB33" t="str">
        <x:f>IF(A33="","",XLOOKUP(AA33,'评分规则'!$H$12:$H$15,'评分规则'!$I$12:$I$15,""))</x:f>
      </x:c>
      <x:c r="AC33" t="str">
        <x:f>IF(A33="","",XLOOKUP(I33,'评分规则'!$D$12:$D$21,'评分规则'!$E$12:$E$21,"人工判断"))</x:f>
      </x:c>
      <x:c r="AD33" t="str">
        <x:f>IF(A33="","","/"&amp;LOWER(SUBSTITUTE(SUBSTITUTE(SUBSTITUTE(A33," / ","-")," ","-"),"+",""))&amp;"/")</x:f>
      </x:c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 t="str">
        <x:f>IF(A34="","",XLOOKUP(G34,'评分规则'!$A$12:$A$17,'评分规则'!$B$12:$B$17,0))</x:f>
      </x:c>
      <x:c r="T34" t="str">
        <x:f>IF(A34="","",IF(D34&gt;=10000,10,IF(D34&gt;=3000,9,IF(D34&gt;=1000,8,IF(D34&gt;=300,7,IF(D34&gt;=100,6,IF(D34&gt;=30,4,IF(D34&gt;=10,3,1)))))))+IF(E34&gt;=3,5,IF(E34&gt;=1,4,IF(E34&gt;=0.3,3,IF(E34&gt;0,2,1)))))</x:f>
      </x:c>
      <x:c r="U34" t="str">
        <x:f>IF(A34="","",IF('评分规则'!$B$3="新站",IF(F34&lt;=10,15,IF(F34&lt;=20,12,IF(F34&lt;=35,8,IF(F34&lt;=50,4,1)))),IF('评分规则'!$B$3="成长期",IF(F34&lt;=20,15,IF(F34&lt;=35,12,IF(F34&lt;=50,8,IF(F34&lt;=70,4,1)))),IF(F34&lt;=35,15,IF(F34&lt;=50,12,IF(F34&lt;=70,8,IF(F34&lt;=85,4,1)))))))</x:f>
      </x:c>
      <x:c r="V34" t="str">
        <x:f>IF(A34="","",ROUND((J34*0.45+K34*0.30+L34*0.25)*4,1))</x:f>
      </x:c>
      <x:c r="W34" t="str">
        <x:f>IF(A34="","",ROUND((M34*0.60+N34*0.40)*3,1))</x:f>
      </x:c>
      <x:c r="X34" t="str">
        <x:f>IF(A34="","",XLOOKUP(I34,'评分规则'!$D$12:$D$21,'评分规则'!$F$12:$F$21,0))</x:f>
      </x:c>
      <x:c r="Y34" t="str">
        <x:f>IF(A34="","",O34)</x:f>
      </x:c>
      <x:c r="Z34" t="str">
        <x:f>IF(A34="","",SUM(S34:Y34))</x:f>
      </x:c>
      <x:c r="AA34" t="str">
        <x:f>IF(A34="","",IF(Z34&gt;=75,"P0",IF(Z34&gt;=60,"P1",IF(Z34&gt;=45,"P2","P3"))))</x:f>
      </x:c>
      <x:c r="AB34" t="str">
        <x:f>IF(A34="","",XLOOKUP(AA34,'评分规则'!$H$12:$H$15,'评分规则'!$I$12:$I$15,""))</x:f>
      </x:c>
      <x:c r="AC34" t="str">
        <x:f>IF(A34="","",XLOOKUP(I34,'评分规则'!$D$12:$D$21,'评分规则'!$E$12:$E$21,"人工判断"))</x:f>
      </x:c>
      <x:c r="AD34" t="str">
        <x:f>IF(A34="","","/"&amp;LOWER(SUBSTITUTE(SUBSTITUTE(SUBSTITUTE(A34," / ","-")," ","-"),"+",""))&amp;"/")</x:f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 t="str">
        <x:f>IF(A35="","",XLOOKUP(G35,'评分规则'!$A$12:$A$17,'评分规则'!$B$12:$B$17,0))</x:f>
      </x:c>
      <x:c r="T35" t="str">
        <x:f>IF(A35="","",IF(D35&gt;=10000,10,IF(D35&gt;=3000,9,IF(D35&gt;=1000,8,IF(D35&gt;=300,7,IF(D35&gt;=100,6,IF(D35&gt;=30,4,IF(D35&gt;=10,3,1)))))))+IF(E35&gt;=3,5,IF(E35&gt;=1,4,IF(E35&gt;=0.3,3,IF(E35&gt;0,2,1)))))</x:f>
      </x:c>
      <x:c r="U35" t="str">
        <x:f>IF(A35="","",IF('评分规则'!$B$3="新站",IF(F35&lt;=10,15,IF(F35&lt;=20,12,IF(F35&lt;=35,8,IF(F35&lt;=50,4,1)))),IF('评分规则'!$B$3="成长期",IF(F35&lt;=20,15,IF(F35&lt;=35,12,IF(F35&lt;=50,8,IF(F35&lt;=70,4,1)))),IF(F35&lt;=35,15,IF(F35&lt;=50,12,IF(F35&lt;=70,8,IF(F35&lt;=85,4,1)))))))</x:f>
      </x:c>
      <x:c r="V35" t="str">
        <x:f>IF(A35="","",ROUND((J35*0.45+K35*0.30+L35*0.25)*4,1))</x:f>
      </x:c>
      <x:c r="W35" t="str">
        <x:f>IF(A35="","",ROUND((M35*0.60+N35*0.40)*3,1))</x:f>
      </x:c>
      <x:c r="X35" t="str">
        <x:f>IF(A35="","",XLOOKUP(I35,'评分规则'!$D$12:$D$21,'评分规则'!$F$12:$F$21,0))</x:f>
      </x:c>
      <x:c r="Y35" t="str">
        <x:f>IF(A35="","",O35)</x:f>
      </x:c>
      <x:c r="Z35" t="str">
        <x:f>IF(A35="","",SUM(S35:Y35))</x:f>
      </x:c>
      <x:c r="AA35" t="str">
        <x:f>IF(A35="","",IF(Z35&gt;=75,"P0",IF(Z35&gt;=60,"P1",IF(Z35&gt;=45,"P2","P3"))))</x:f>
      </x:c>
      <x:c r="AB35" t="str">
        <x:f>IF(A35="","",XLOOKUP(AA35,'评分规则'!$H$12:$H$15,'评分规则'!$I$12:$I$15,""))</x:f>
      </x:c>
      <x:c r="AC35" t="str">
        <x:f>IF(A35="","",XLOOKUP(I35,'评分规则'!$D$12:$D$21,'评分规则'!$E$12:$E$21,"人工判断"))</x:f>
      </x:c>
      <x:c r="AD35" t="str">
        <x:f>IF(A35="","","/"&amp;LOWER(SUBSTITUTE(SUBSTITUTE(SUBSTITUTE(A35," / ","-")," ","-"),"+",""))&amp;"/")</x:f>
      </x:c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 t="str">
        <x:f>IF(A36="","",XLOOKUP(G36,'评分规则'!$A$12:$A$17,'评分规则'!$B$12:$B$17,0))</x:f>
      </x:c>
      <x:c r="T36" t="str">
        <x:f>IF(A36="","",IF(D36&gt;=10000,10,IF(D36&gt;=3000,9,IF(D36&gt;=1000,8,IF(D36&gt;=300,7,IF(D36&gt;=100,6,IF(D36&gt;=30,4,IF(D36&gt;=10,3,1)))))))+IF(E36&gt;=3,5,IF(E36&gt;=1,4,IF(E36&gt;=0.3,3,IF(E36&gt;0,2,1)))))</x:f>
      </x:c>
      <x:c r="U36" t="str">
        <x:f>IF(A36="","",IF('评分规则'!$B$3="新站",IF(F36&lt;=10,15,IF(F36&lt;=20,12,IF(F36&lt;=35,8,IF(F36&lt;=50,4,1)))),IF('评分规则'!$B$3="成长期",IF(F36&lt;=20,15,IF(F36&lt;=35,12,IF(F36&lt;=50,8,IF(F36&lt;=70,4,1)))),IF(F36&lt;=35,15,IF(F36&lt;=50,12,IF(F36&lt;=70,8,IF(F36&lt;=85,4,1)))))))</x:f>
      </x:c>
      <x:c r="V36" t="str">
        <x:f>IF(A36="","",ROUND((J36*0.45+K36*0.30+L36*0.25)*4,1))</x:f>
      </x:c>
      <x:c r="W36" t="str">
        <x:f>IF(A36="","",ROUND((M36*0.60+N36*0.40)*3,1))</x:f>
      </x:c>
      <x:c r="X36" t="str">
        <x:f>IF(A36="","",XLOOKUP(I36,'评分规则'!$D$12:$D$21,'评分规则'!$F$12:$F$21,0))</x:f>
      </x:c>
      <x:c r="Y36" t="str">
        <x:f>IF(A36="","",O36)</x:f>
      </x:c>
      <x:c r="Z36" t="str">
        <x:f>IF(A36="","",SUM(S36:Y36))</x:f>
      </x:c>
      <x:c r="AA36" t="str">
        <x:f>IF(A36="","",IF(Z36&gt;=75,"P0",IF(Z36&gt;=60,"P1",IF(Z36&gt;=45,"P2","P3"))))</x:f>
      </x:c>
      <x:c r="AB36" t="str">
        <x:f>IF(A36="","",XLOOKUP(AA36,'评分规则'!$H$12:$H$15,'评分规则'!$I$12:$I$15,""))</x:f>
      </x:c>
      <x:c r="AC36" t="str">
        <x:f>IF(A36="","",XLOOKUP(I36,'评分规则'!$D$12:$D$21,'评分规则'!$E$12:$E$21,"人工判断"))</x:f>
      </x:c>
      <x:c r="AD36" t="str">
        <x:f>IF(A36="","","/"&amp;LOWER(SUBSTITUTE(SUBSTITUTE(SUBSTITUTE(A36," / ","-")," ","-"),"+",""))&amp;"/")</x:f>
      </x:c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 t="str">
        <x:f>IF(A37="","",XLOOKUP(G37,'评分规则'!$A$12:$A$17,'评分规则'!$B$12:$B$17,0))</x:f>
      </x:c>
      <x:c r="T37" t="str">
        <x:f>IF(A37="","",IF(D37&gt;=10000,10,IF(D37&gt;=3000,9,IF(D37&gt;=1000,8,IF(D37&gt;=300,7,IF(D37&gt;=100,6,IF(D37&gt;=30,4,IF(D37&gt;=10,3,1)))))))+IF(E37&gt;=3,5,IF(E37&gt;=1,4,IF(E37&gt;=0.3,3,IF(E37&gt;0,2,1)))))</x:f>
      </x:c>
      <x:c r="U37" t="str">
        <x:f>IF(A37="","",IF('评分规则'!$B$3="新站",IF(F37&lt;=10,15,IF(F37&lt;=20,12,IF(F37&lt;=35,8,IF(F37&lt;=50,4,1)))),IF('评分规则'!$B$3="成长期",IF(F37&lt;=20,15,IF(F37&lt;=35,12,IF(F37&lt;=50,8,IF(F37&lt;=70,4,1)))),IF(F37&lt;=35,15,IF(F37&lt;=50,12,IF(F37&lt;=70,8,IF(F37&lt;=85,4,1)))))))</x:f>
      </x:c>
      <x:c r="V37" t="str">
        <x:f>IF(A37="","",ROUND((J37*0.45+K37*0.30+L37*0.25)*4,1))</x:f>
      </x:c>
      <x:c r="W37" t="str">
        <x:f>IF(A37="","",ROUND((M37*0.60+N37*0.40)*3,1))</x:f>
      </x:c>
      <x:c r="X37" t="str">
        <x:f>IF(A37="","",XLOOKUP(I37,'评分规则'!$D$12:$D$21,'评分规则'!$F$12:$F$21,0))</x:f>
      </x:c>
      <x:c r="Y37" t="str">
        <x:f>IF(A37="","",O37)</x:f>
      </x:c>
      <x:c r="Z37" t="str">
        <x:f>IF(A37="","",SUM(S37:Y37))</x:f>
      </x:c>
      <x:c r="AA37" t="str">
        <x:f>IF(A37="","",IF(Z37&gt;=75,"P0",IF(Z37&gt;=60,"P1",IF(Z37&gt;=45,"P2","P3"))))</x:f>
      </x:c>
      <x:c r="AB37" t="str">
        <x:f>IF(A37="","",XLOOKUP(AA37,'评分规则'!$H$12:$H$15,'评分规则'!$I$12:$I$15,""))</x:f>
      </x:c>
      <x:c r="AC37" t="str">
        <x:f>IF(A37="","",XLOOKUP(I37,'评分规则'!$D$12:$D$21,'评分规则'!$E$12:$E$21,"人工判断"))</x:f>
      </x:c>
      <x:c r="AD37" t="str">
        <x:f>IF(A37="","","/"&amp;LOWER(SUBSTITUTE(SUBSTITUTE(SUBSTITUTE(A37," / ","-")," ","-"),"+",""))&amp;"/")</x:f>
      </x:c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 t="str">
        <x:f>IF(A38="","",XLOOKUP(G38,'评分规则'!$A$12:$A$17,'评分规则'!$B$12:$B$17,0))</x:f>
      </x:c>
      <x:c r="T38" t="str">
        <x:f>IF(A38="","",IF(D38&gt;=10000,10,IF(D38&gt;=3000,9,IF(D38&gt;=1000,8,IF(D38&gt;=300,7,IF(D38&gt;=100,6,IF(D38&gt;=30,4,IF(D38&gt;=10,3,1)))))))+IF(E38&gt;=3,5,IF(E38&gt;=1,4,IF(E38&gt;=0.3,3,IF(E38&gt;0,2,1)))))</x:f>
      </x:c>
      <x:c r="U38" t="str">
        <x:f>IF(A38="","",IF('评分规则'!$B$3="新站",IF(F38&lt;=10,15,IF(F38&lt;=20,12,IF(F38&lt;=35,8,IF(F38&lt;=50,4,1)))),IF('评分规则'!$B$3="成长期",IF(F38&lt;=20,15,IF(F38&lt;=35,12,IF(F38&lt;=50,8,IF(F38&lt;=70,4,1)))),IF(F38&lt;=35,15,IF(F38&lt;=50,12,IF(F38&lt;=70,8,IF(F38&lt;=85,4,1)))))))</x:f>
      </x:c>
      <x:c r="V38" t="str">
        <x:f>IF(A38="","",ROUND((J38*0.45+K38*0.30+L38*0.25)*4,1))</x:f>
      </x:c>
      <x:c r="W38" t="str">
        <x:f>IF(A38="","",ROUND((M38*0.60+N38*0.40)*3,1))</x:f>
      </x:c>
      <x:c r="X38" t="str">
        <x:f>IF(A38="","",XLOOKUP(I38,'评分规则'!$D$12:$D$21,'评分规则'!$F$12:$F$21,0))</x:f>
      </x:c>
      <x:c r="Y38" t="str">
        <x:f>IF(A38="","",O38)</x:f>
      </x:c>
      <x:c r="Z38" t="str">
        <x:f>IF(A38="","",SUM(S38:Y38))</x:f>
      </x:c>
      <x:c r="AA38" t="str">
        <x:f>IF(A38="","",IF(Z38&gt;=75,"P0",IF(Z38&gt;=60,"P1",IF(Z38&gt;=45,"P2","P3"))))</x:f>
      </x:c>
      <x:c r="AB38" t="str">
        <x:f>IF(A38="","",XLOOKUP(AA38,'评分规则'!$H$12:$H$15,'评分规则'!$I$12:$I$15,""))</x:f>
      </x:c>
      <x:c r="AC38" t="str">
        <x:f>IF(A38="","",XLOOKUP(I38,'评分规则'!$D$12:$D$21,'评分规则'!$E$12:$E$21,"人工判断"))</x:f>
      </x:c>
      <x:c r="AD38" t="str">
        <x:f>IF(A38="","","/"&amp;LOWER(SUBSTITUTE(SUBSTITUTE(SUBSTITUTE(A38," / ","-")," ","-"),"+",""))&amp;"/")</x:f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 t="str">
        <x:f>IF(A39="","",XLOOKUP(G39,'评分规则'!$A$12:$A$17,'评分规则'!$B$12:$B$17,0))</x:f>
      </x:c>
      <x:c r="T39" t="str">
        <x:f>IF(A39="","",IF(D39&gt;=10000,10,IF(D39&gt;=3000,9,IF(D39&gt;=1000,8,IF(D39&gt;=300,7,IF(D39&gt;=100,6,IF(D39&gt;=30,4,IF(D39&gt;=10,3,1)))))))+IF(E39&gt;=3,5,IF(E39&gt;=1,4,IF(E39&gt;=0.3,3,IF(E39&gt;0,2,1)))))</x:f>
      </x:c>
      <x:c r="U39" t="str">
        <x:f>IF(A39="","",IF('评分规则'!$B$3="新站",IF(F39&lt;=10,15,IF(F39&lt;=20,12,IF(F39&lt;=35,8,IF(F39&lt;=50,4,1)))),IF('评分规则'!$B$3="成长期",IF(F39&lt;=20,15,IF(F39&lt;=35,12,IF(F39&lt;=50,8,IF(F39&lt;=70,4,1)))),IF(F39&lt;=35,15,IF(F39&lt;=50,12,IF(F39&lt;=70,8,IF(F39&lt;=85,4,1)))))))</x:f>
      </x:c>
      <x:c r="V39" t="str">
        <x:f>IF(A39="","",ROUND((J39*0.45+K39*0.30+L39*0.25)*4,1))</x:f>
      </x:c>
      <x:c r="W39" t="str">
        <x:f>IF(A39="","",ROUND((M39*0.60+N39*0.40)*3,1))</x:f>
      </x:c>
      <x:c r="X39" t="str">
        <x:f>IF(A39="","",XLOOKUP(I39,'评分规则'!$D$12:$D$21,'评分规则'!$F$12:$F$21,0))</x:f>
      </x:c>
      <x:c r="Y39" t="str">
        <x:f>IF(A39="","",O39)</x:f>
      </x:c>
      <x:c r="Z39" t="str">
        <x:f>IF(A39="","",SUM(S39:Y39))</x:f>
      </x:c>
      <x:c r="AA39" t="str">
        <x:f>IF(A39="","",IF(Z39&gt;=75,"P0",IF(Z39&gt;=60,"P1",IF(Z39&gt;=45,"P2","P3"))))</x:f>
      </x:c>
      <x:c r="AB39" t="str">
        <x:f>IF(A39="","",XLOOKUP(AA39,'评分规则'!$H$12:$H$15,'评分规则'!$I$12:$I$15,""))</x:f>
      </x:c>
      <x:c r="AC39" t="str">
        <x:f>IF(A39="","",XLOOKUP(I39,'评分规则'!$D$12:$D$21,'评分规则'!$E$12:$E$21,"人工判断"))</x:f>
      </x:c>
      <x:c r="AD39" t="str">
        <x:f>IF(A39="","","/"&amp;LOWER(SUBSTITUTE(SUBSTITUTE(SUBSTITUTE(A39," / ","-")," ","-"),"+",""))&amp;"/")</x:f>
      </x:c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 t="str">
        <x:f>IF(A40="","",XLOOKUP(G40,'评分规则'!$A$12:$A$17,'评分规则'!$B$12:$B$17,0))</x:f>
      </x:c>
      <x:c r="T40" t="str">
        <x:f>IF(A40="","",IF(D40&gt;=10000,10,IF(D40&gt;=3000,9,IF(D40&gt;=1000,8,IF(D40&gt;=300,7,IF(D40&gt;=100,6,IF(D40&gt;=30,4,IF(D40&gt;=10,3,1)))))))+IF(E40&gt;=3,5,IF(E40&gt;=1,4,IF(E40&gt;=0.3,3,IF(E40&gt;0,2,1)))))</x:f>
      </x:c>
      <x:c r="U40" t="str">
        <x:f>IF(A40="","",IF('评分规则'!$B$3="新站",IF(F40&lt;=10,15,IF(F40&lt;=20,12,IF(F40&lt;=35,8,IF(F40&lt;=50,4,1)))),IF('评分规则'!$B$3="成长期",IF(F40&lt;=20,15,IF(F40&lt;=35,12,IF(F40&lt;=50,8,IF(F40&lt;=70,4,1)))),IF(F40&lt;=35,15,IF(F40&lt;=50,12,IF(F40&lt;=70,8,IF(F40&lt;=85,4,1)))))))</x:f>
      </x:c>
      <x:c r="V40" t="str">
        <x:f>IF(A40="","",ROUND((J40*0.45+K40*0.30+L40*0.25)*4,1))</x:f>
      </x:c>
      <x:c r="W40" t="str">
        <x:f>IF(A40="","",ROUND((M40*0.60+N40*0.40)*3,1))</x:f>
      </x:c>
      <x:c r="X40" t="str">
        <x:f>IF(A40="","",XLOOKUP(I40,'评分规则'!$D$12:$D$21,'评分规则'!$F$12:$F$21,0))</x:f>
      </x:c>
      <x:c r="Y40" t="str">
        <x:f>IF(A40="","",O40)</x:f>
      </x:c>
      <x:c r="Z40" t="str">
        <x:f>IF(A40="","",SUM(S40:Y40))</x:f>
      </x:c>
      <x:c r="AA40" t="str">
        <x:f>IF(A40="","",IF(Z40&gt;=75,"P0",IF(Z40&gt;=60,"P1",IF(Z40&gt;=45,"P2","P3"))))</x:f>
      </x:c>
      <x:c r="AB40" t="str">
        <x:f>IF(A40="","",XLOOKUP(AA40,'评分规则'!$H$12:$H$15,'评分规则'!$I$12:$I$15,""))</x:f>
      </x:c>
      <x:c r="AC40" t="str">
        <x:f>IF(A40="","",XLOOKUP(I40,'评分规则'!$D$12:$D$21,'评分规则'!$E$12:$E$21,"人工判断"))</x:f>
      </x:c>
      <x:c r="AD40" t="str">
        <x:f>IF(A40="","","/"&amp;LOWER(SUBSTITUTE(SUBSTITUTE(SUBSTITUTE(A40," / ","-")," ","-"),"+",""))&amp;"/")</x:f>
      </x:c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 t="str">
        <x:f>IF(A41="","",XLOOKUP(G41,'评分规则'!$A$12:$A$17,'评分规则'!$B$12:$B$17,0))</x:f>
      </x:c>
      <x:c r="T41" t="str">
        <x:f>IF(A41="","",IF(D41&gt;=10000,10,IF(D41&gt;=3000,9,IF(D41&gt;=1000,8,IF(D41&gt;=300,7,IF(D41&gt;=100,6,IF(D41&gt;=30,4,IF(D41&gt;=10,3,1)))))))+IF(E41&gt;=3,5,IF(E41&gt;=1,4,IF(E41&gt;=0.3,3,IF(E41&gt;0,2,1)))))</x:f>
      </x:c>
      <x:c r="U41" t="str">
        <x:f>IF(A41="","",IF('评分规则'!$B$3="新站",IF(F41&lt;=10,15,IF(F41&lt;=20,12,IF(F41&lt;=35,8,IF(F41&lt;=50,4,1)))),IF('评分规则'!$B$3="成长期",IF(F41&lt;=20,15,IF(F41&lt;=35,12,IF(F41&lt;=50,8,IF(F41&lt;=70,4,1)))),IF(F41&lt;=35,15,IF(F41&lt;=50,12,IF(F41&lt;=70,8,IF(F41&lt;=85,4,1)))))))</x:f>
      </x:c>
      <x:c r="V41" t="str">
        <x:f>IF(A41="","",ROUND((J41*0.45+K41*0.30+L41*0.25)*4,1))</x:f>
      </x:c>
      <x:c r="W41" t="str">
        <x:f>IF(A41="","",ROUND((M41*0.60+N41*0.40)*3,1))</x:f>
      </x:c>
      <x:c r="X41" t="str">
        <x:f>IF(A41="","",XLOOKUP(I41,'评分规则'!$D$12:$D$21,'评分规则'!$F$12:$F$21,0))</x:f>
      </x:c>
      <x:c r="Y41" t="str">
        <x:f>IF(A41="","",O41)</x:f>
      </x:c>
      <x:c r="Z41" t="str">
        <x:f>IF(A41="","",SUM(S41:Y41))</x:f>
      </x:c>
      <x:c r="AA41" t="str">
        <x:f>IF(A41="","",IF(Z41&gt;=75,"P0",IF(Z41&gt;=60,"P1",IF(Z41&gt;=45,"P2","P3"))))</x:f>
      </x:c>
      <x:c r="AB41" t="str">
        <x:f>IF(A41="","",XLOOKUP(AA41,'评分规则'!$H$12:$H$15,'评分规则'!$I$12:$I$15,""))</x:f>
      </x:c>
      <x:c r="AC41" t="str">
        <x:f>IF(A41="","",XLOOKUP(I41,'评分规则'!$D$12:$D$21,'评分规则'!$E$12:$E$21,"人工判断"))</x:f>
      </x:c>
      <x:c r="AD41" t="str">
        <x:f>IF(A41="","","/"&amp;LOWER(SUBSTITUTE(SUBSTITUTE(SUBSTITUTE(A41," / ","-")," ","-"),"+",""))&amp;"/")</x:f>
      </x:c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 t="str">
        <x:f>IF(A42="","",XLOOKUP(G42,'评分规则'!$A$12:$A$17,'评分规则'!$B$12:$B$17,0))</x:f>
      </x:c>
      <x:c r="T42" t="str">
        <x:f>IF(A42="","",IF(D42&gt;=10000,10,IF(D42&gt;=3000,9,IF(D42&gt;=1000,8,IF(D42&gt;=300,7,IF(D42&gt;=100,6,IF(D42&gt;=30,4,IF(D42&gt;=10,3,1)))))))+IF(E42&gt;=3,5,IF(E42&gt;=1,4,IF(E42&gt;=0.3,3,IF(E42&gt;0,2,1)))))</x:f>
      </x:c>
      <x:c r="U42" t="str">
        <x:f>IF(A42="","",IF('评分规则'!$B$3="新站",IF(F42&lt;=10,15,IF(F42&lt;=20,12,IF(F42&lt;=35,8,IF(F42&lt;=50,4,1)))),IF('评分规则'!$B$3="成长期",IF(F42&lt;=20,15,IF(F42&lt;=35,12,IF(F42&lt;=50,8,IF(F42&lt;=70,4,1)))),IF(F42&lt;=35,15,IF(F42&lt;=50,12,IF(F42&lt;=70,8,IF(F42&lt;=85,4,1)))))))</x:f>
      </x:c>
      <x:c r="V42" t="str">
        <x:f>IF(A42="","",ROUND((J42*0.45+K42*0.30+L42*0.25)*4,1))</x:f>
      </x:c>
      <x:c r="W42" t="str">
        <x:f>IF(A42="","",ROUND((M42*0.60+N42*0.40)*3,1))</x:f>
      </x:c>
      <x:c r="X42" t="str">
        <x:f>IF(A42="","",XLOOKUP(I42,'评分规则'!$D$12:$D$21,'评分规则'!$F$12:$F$21,0))</x:f>
      </x:c>
      <x:c r="Y42" t="str">
        <x:f>IF(A42="","",O42)</x:f>
      </x:c>
      <x:c r="Z42" t="str">
        <x:f>IF(A42="","",SUM(S42:Y42))</x:f>
      </x:c>
      <x:c r="AA42" t="str">
        <x:f>IF(A42="","",IF(Z42&gt;=75,"P0",IF(Z42&gt;=60,"P1",IF(Z42&gt;=45,"P2","P3"))))</x:f>
      </x:c>
      <x:c r="AB42" t="str">
        <x:f>IF(A42="","",XLOOKUP(AA42,'评分规则'!$H$12:$H$15,'评分规则'!$I$12:$I$15,""))</x:f>
      </x:c>
      <x:c r="AC42" t="str">
        <x:f>IF(A42="","",XLOOKUP(I42,'评分规则'!$D$12:$D$21,'评分规则'!$E$12:$E$21,"人工判断"))</x:f>
      </x:c>
      <x:c r="AD42" t="str">
        <x:f>IF(A42="","","/"&amp;LOWER(SUBSTITUTE(SUBSTITUTE(SUBSTITUTE(A42," / ","-")," ","-"),"+",""))&amp;"/")</x:f>
      </x:c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 t="str">
        <x:f>IF(A43="","",XLOOKUP(G43,'评分规则'!$A$12:$A$17,'评分规则'!$B$12:$B$17,0))</x:f>
      </x:c>
      <x:c r="T43" t="str">
        <x:f>IF(A43="","",IF(D43&gt;=10000,10,IF(D43&gt;=3000,9,IF(D43&gt;=1000,8,IF(D43&gt;=300,7,IF(D43&gt;=100,6,IF(D43&gt;=30,4,IF(D43&gt;=10,3,1)))))))+IF(E43&gt;=3,5,IF(E43&gt;=1,4,IF(E43&gt;=0.3,3,IF(E43&gt;0,2,1)))))</x:f>
      </x:c>
      <x:c r="U43" t="str">
        <x:f>IF(A43="","",IF('评分规则'!$B$3="新站",IF(F43&lt;=10,15,IF(F43&lt;=20,12,IF(F43&lt;=35,8,IF(F43&lt;=50,4,1)))),IF('评分规则'!$B$3="成长期",IF(F43&lt;=20,15,IF(F43&lt;=35,12,IF(F43&lt;=50,8,IF(F43&lt;=70,4,1)))),IF(F43&lt;=35,15,IF(F43&lt;=50,12,IF(F43&lt;=70,8,IF(F43&lt;=85,4,1)))))))</x:f>
      </x:c>
      <x:c r="V43" t="str">
        <x:f>IF(A43="","",ROUND((J43*0.45+K43*0.30+L43*0.25)*4,1))</x:f>
      </x:c>
      <x:c r="W43" t="str">
        <x:f>IF(A43="","",ROUND((M43*0.60+N43*0.40)*3,1))</x:f>
      </x:c>
      <x:c r="X43" t="str">
        <x:f>IF(A43="","",XLOOKUP(I43,'评分规则'!$D$12:$D$21,'评分规则'!$F$12:$F$21,0))</x:f>
      </x:c>
      <x:c r="Y43" t="str">
        <x:f>IF(A43="","",O43)</x:f>
      </x:c>
      <x:c r="Z43" t="str">
        <x:f>IF(A43="","",SUM(S43:Y43))</x:f>
      </x:c>
      <x:c r="AA43" t="str">
        <x:f>IF(A43="","",IF(Z43&gt;=75,"P0",IF(Z43&gt;=60,"P1",IF(Z43&gt;=45,"P2","P3"))))</x:f>
      </x:c>
      <x:c r="AB43" t="str">
        <x:f>IF(A43="","",XLOOKUP(AA43,'评分规则'!$H$12:$H$15,'评分规则'!$I$12:$I$15,""))</x:f>
      </x:c>
      <x:c r="AC43" t="str">
        <x:f>IF(A43="","",XLOOKUP(I43,'评分规则'!$D$12:$D$21,'评分规则'!$E$12:$E$21,"人工判断"))</x:f>
      </x:c>
      <x:c r="AD43" t="str">
        <x:f>IF(A43="","","/"&amp;LOWER(SUBSTITUTE(SUBSTITUTE(SUBSTITUTE(A43," / ","-")," ","-"),"+",""))&amp;"/")</x:f>
      </x:c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 t="str">
        <x:f>IF(A44="","",XLOOKUP(G44,'评分规则'!$A$12:$A$17,'评分规则'!$B$12:$B$17,0))</x:f>
      </x:c>
      <x:c r="T44" t="str">
        <x:f>IF(A44="","",IF(D44&gt;=10000,10,IF(D44&gt;=3000,9,IF(D44&gt;=1000,8,IF(D44&gt;=300,7,IF(D44&gt;=100,6,IF(D44&gt;=30,4,IF(D44&gt;=10,3,1)))))))+IF(E44&gt;=3,5,IF(E44&gt;=1,4,IF(E44&gt;=0.3,3,IF(E44&gt;0,2,1)))))</x:f>
      </x:c>
      <x:c r="U44" t="str">
        <x:f>IF(A44="","",IF('评分规则'!$B$3="新站",IF(F44&lt;=10,15,IF(F44&lt;=20,12,IF(F44&lt;=35,8,IF(F44&lt;=50,4,1)))),IF('评分规则'!$B$3="成长期",IF(F44&lt;=20,15,IF(F44&lt;=35,12,IF(F44&lt;=50,8,IF(F44&lt;=70,4,1)))),IF(F44&lt;=35,15,IF(F44&lt;=50,12,IF(F44&lt;=70,8,IF(F44&lt;=85,4,1)))))))</x:f>
      </x:c>
      <x:c r="V44" t="str">
        <x:f>IF(A44="","",ROUND((J44*0.45+K44*0.30+L44*0.25)*4,1))</x:f>
      </x:c>
      <x:c r="W44" t="str">
        <x:f>IF(A44="","",ROUND((M44*0.60+N44*0.40)*3,1))</x:f>
      </x:c>
      <x:c r="X44" t="str">
        <x:f>IF(A44="","",XLOOKUP(I44,'评分规则'!$D$12:$D$21,'评分规则'!$F$12:$F$21,0))</x:f>
      </x:c>
      <x:c r="Y44" t="str">
        <x:f>IF(A44="","",O44)</x:f>
      </x:c>
      <x:c r="Z44" t="str">
        <x:f>IF(A44="","",SUM(S44:Y44))</x:f>
      </x:c>
      <x:c r="AA44" t="str">
        <x:f>IF(A44="","",IF(Z44&gt;=75,"P0",IF(Z44&gt;=60,"P1",IF(Z44&gt;=45,"P2","P3"))))</x:f>
      </x:c>
      <x:c r="AB44" t="str">
        <x:f>IF(A44="","",XLOOKUP(AA44,'评分规则'!$H$12:$H$15,'评分规则'!$I$12:$I$15,""))</x:f>
      </x:c>
      <x:c r="AC44" t="str">
        <x:f>IF(A44="","",XLOOKUP(I44,'评分规则'!$D$12:$D$21,'评分规则'!$E$12:$E$21,"人工判断"))</x:f>
      </x:c>
      <x:c r="AD44" t="str">
        <x:f>IF(A44="","","/"&amp;LOWER(SUBSTITUTE(SUBSTITUTE(SUBSTITUTE(A44," / ","-")," ","-"),"+",""))&amp;"/")</x:f>
      </x:c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 t="str">
        <x:f>IF(A45="","",XLOOKUP(G45,'评分规则'!$A$12:$A$17,'评分规则'!$B$12:$B$17,0))</x:f>
      </x:c>
      <x:c r="T45" t="str">
        <x:f>IF(A45="","",IF(D45&gt;=10000,10,IF(D45&gt;=3000,9,IF(D45&gt;=1000,8,IF(D45&gt;=300,7,IF(D45&gt;=100,6,IF(D45&gt;=30,4,IF(D45&gt;=10,3,1)))))))+IF(E45&gt;=3,5,IF(E45&gt;=1,4,IF(E45&gt;=0.3,3,IF(E45&gt;0,2,1)))))</x:f>
      </x:c>
      <x:c r="U45" t="str">
        <x:f>IF(A45="","",IF('评分规则'!$B$3="新站",IF(F45&lt;=10,15,IF(F45&lt;=20,12,IF(F45&lt;=35,8,IF(F45&lt;=50,4,1)))),IF('评分规则'!$B$3="成长期",IF(F45&lt;=20,15,IF(F45&lt;=35,12,IF(F45&lt;=50,8,IF(F45&lt;=70,4,1)))),IF(F45&lt;=35,15,IF(F45&lt;=50,12,IF(F45&lt;=70,8,IF(F45&lt;=85,4,1)))))))</x:f>
      </x:c>
      <x:c r="V45" t="str">
        <x:f>IF(A45="","",ROUND((J45*0.45+K45*0.30+L45*0.25)*4,1))</x:f>
      </x:c>
      <x:c r="W45" t="str">
        <x:f>IF(A45="","",ROUND((M45*0.60+N45*0.40)*3,1))</x:f>
      </x:c>
      <x:c r="X45" t="str">
        <x:f>IF(A45="","",XLOOKUP(I45,'评分规则'!$D$12:$D$21,'评分规则'!$F$12:$F$21,0))</x:f>
      </x:c>
      <x:c r="Y45" t="str">
        <x:f>IF(A45="","",O45)</x:f>
      </x:c>
      <x:c r="Z45" t="str">
        <x:f>IF(A45="","",SUM(S45:Y45))</x:f>
      </x:c>
      <x:c r="AA45" t="str">
        <x:f>IF(A45="","",IF(Z45&gt;=75,"P0",IF(Z45&gt;=60,"P1",IF(Z45&gt;=45,"P2","P3"))))</x:f>
      </x:c>
      <x:c r="AB45" t="str">
        <x:f>IF(A45="","",XLOOKUP(AA45,'评分规则'!$H$12:$H$15,'评分规则'!$I$12:$I$15,""))</x:f>
      </x:c>
      <x:c r="AC45" t="str">
        <x:f>IF(A45="","",XLOOKUP(I45,'评分规则'!$D$12:$D$21,'评分规则'!$E$12:$E$21,"人工判断"))</x:f>
      </x:c>
      <x:c r="AD45" t="str">
        <x:f>IF(A45="","","/"&amp;LOWER(SUBSTITUTE(SUBSTITUTE(SUBSTITUTE(A45," / ","-")," ","-"),"+",""))&amp;"/")</x:f>
      </x:c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 t="str">
        <x:f>IF(A46="","",XLOOKUP(G46,'评分规则'!$A$12:$A$17,'评分规则'!$B$12:$B$17,0))</x:f>
      </x:c>
      <x:c r="T46" t="str">
        <x:f>IF(A46="","",IF(D46&gt;=10000,10,IF(D46&gt;=3000,9,IF(D46&gt;=1000,8,IF(D46&gt;=300,7,IF(D46&gt;=100,6,IF(D46&gt;=30,4,IF(D46&gt;=10,3,1)))))))+IF(E46&gt;=3,5,IF(E46&gt;=1,4,IF(E46&gt;=0.3,3,IF(E46&gt;0,2,1)))))</x:f>
      </x:c>
      <x:c r="U46" t="str">
        <x:f>IF(A46="","",IF('评分规则'!$B$3="新站",IF(F46&lt;=10,15,IF(F46&lt;=20,12,IF(F46&lt;=35,8,IF(F46&lt;=50,4,1)))),IF('评分规则'!$B$3="成长期",IF(F46&lt;=20,15,IF(F46&lt;=35,12,IF(F46&lt;=50,8,IF(F46&lt;=70,4,1)))),IF(F46&lt;=35,15,IF(F46&lt;=50,12,IF(F46&lt;=70,8,IF(F46&lt;=85,4,1)))))))</x:f>
      </x:c>
      <x:c r="V46" t="str">
        <x:f>IF(A46="","",ROUND((J46*0.45+K46*0.30+L46*0.25)*4,1))</x:f>
      </x:c>
      <x:c r="W46" t="str">
        <x:f>IF(A46="","",ROUND((M46*0.60+N46*0.40)*3,1))</x:f>
      </x:c>
      <x:c r="X46" t="str">
        <x:f>IF(A46="","",XLOOKUP(I46,'评分规则'!$D$12:$D$21,'评分规则'!$F$12:$F$21,0))</x:f>
      </x:c>
      <x:c r="Y46" t="str">
        <x:f>IF(A46="","",O46)</x:f>
      </x:c>
      <x:c r="Z46" t="str">
        <x:f>IF(A46="","",SUM(S46:Y46))</x:f>
      </x:c>
      <x:c r="AA46" t="str">
        <x:f>IF(A46="","",IF(Z46&gt;=75,"P0",IF(Z46&gt;=60,"P1",IF(Z46&gt;=45,"P2","P3"))))</x:f>
      </x:c>
      <x:c r="AB46" t="str">
        <x:f>IF(A46="","",XLOOKUP(AA46,'评分规则'!$H$12:$H$15,'评分规则'!$I$12:$I$15,""))</x:f>
      </x:c>
      <x:c r="AC46" t="str">
        <x:f>IF(A46="","",XLOOKUP(I46,'评分规则'!$D$12:$D$21,'评分规则'!$E$12:$E$21,"人工判断"))</x:f>
      </x:c>
      <x:c r="AD46" t="str">
        <x:f>IF(A46="","","/"&amp;LOWER(SUBSTITUTE(SUBSTITUTE(SUBSTITUTE(A46," / ","-")," ","-"),"+",""))&amp;"/")</x:f>
      </x:c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 t="str">
        <x:f>IF(A47="","",XLOOKUP(G47,'评分规则'!$A$12:$A$17,'评分规则'!$B$12:$B$17,0))</x:f>
      </x:c>
      <x:c r="T47" t="str">
        <x:f>IF(A47="","",IF(D47&gt;=10000,10,IF(D47&gt;=3000,9,IF(D47&gt;=1000,8,IF(D47&gt;=300,7,IF(D47&gt;=100,6,IF(D47&gt;=30,4,IF(D47&gt;=10,3,1)))))))+IF(E47&gt;=3,5,IF(E47&gt;=1,4,IF(E47&gt;=0.3,3,IF(E47&gt;0,2,1)))))</x:f>
      </x:c>
      <x:c r="U47" t="str">
        <x:f>IF(A47="","",IF('评分规则'!$B$3="新站",IF(F47&lt;=10,15,IF(F47&lt;=20,12,IF(F47&lt;=35,8,IF(F47&lt;=50,4,1)))),IF('评分规则'!$B$3="成长期",IF(F47&lt;=20,15,IF(F47&lt;=35,12,IF(F47&lt;=50,8,IF(F47&lt;=70,4,1)))),IF(F47&lt;=35,15,IF(F47&lt;=50,12,IF(F47&lt;=70,8,IF(F47&lt;=85,4,1)))))))</x:f>
      </x:c>
      <x:c r="V47" t="str">
        <x:f>IF(A47="","",ROUND((J47*0.45+K47*0.30+L47*0.25)*4,1))</x:f>
      </x:c>
      <x:c r="W47" t="str">
        <x:f>IF(A47="","",ROUND((M47*0.60+N47*0.40)*3,1))</x:f>
      </x:c>
      <x:c r="X47" t="str">
        <x:f>IF(A47="","",XLOOKUP(I47,'评分规则'!$D$12:$D$21,'评分规则'!$F$12:$F$21,0))</x:f>
      </x:c>
      <x:c r="Y47" t="str">
        <x:f>IF(A47="","",O47)</x:f>
      </x:c>
      <x:c r="Z47" t="str">
        <x:f>IF(A47="","",SUM(S47:Y47))</x:f>
      </x:c>
      <x:c r="AA47" t="str">
        <x:f>IF(A47="","",IF(Z47&gt;=75,"P0",IF(Z47&gt;=60,"P1",IF(Z47&gt;=45,"P2","P3"))))</x:f>
      </x:c>
      <x:c r="AB47" t="str">
        <x:f>IF(A47="","",XLOOKUP(AA47,'评分规则'!$H$12:$H$15,'评分规则'!$I$12:$I$15,""))</x:f>
      </x:c>
      <x:c r="AC47" t="str">
        <x:f>IF(A47="","",XLOOKUP(I47,'评分规则'!$D$12:$D$21,'评分规则'!$E$12:$E$21,"人工判断"))</x:f>
      </x:c>
      <x:c r="AD47" t="str">
        <x:f>IF(A47="","","/"&amp;LOWER(SUBSTITUTE(SUBSTITUTE(SUBSTITUTE(A47," / ","-")," ","-"),"+",""))&amp;"/")</x:f>
      </x:c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 t="str">
        <x:f>IF(A48="","",XLOOKUP(G48,'评分规则'!$A$12:$A$17,'评分规则'!$B$12:$B$17,0))</x:f>
      </x:c>
      <x:c r="T48" t="str">
        <x:f>IF(A48="","",IF(D48&gt;=10000,10,IF(D48&gt;=3000,9,IF(D48&gt;=1000,8,IF(D48&gt;=300,7,IF(D48&gt;=100,6,IF(D48&gt;=30,4,IF(D48&gt;=10,3,1)))))))+IF(E48&gt;=3,5,IF(E48&gt;=1,4,IF(E48&gt;=0.3,3,IF(E48&gt;0,2,1)))))</x:f>
      </x:c>
      <x:c r="U48" t="str">
        <x:f>IF(A48="","",IF('评分规则'!$B$3="新站",IF(F48&lt;=10,15,IF(F48&lt;=20,12,IF(F48&lt;=35,8,IF(F48&lt;=50,4,1)))),IF('评分规则'!$B$3="成长期",IF(F48&lt;=20,15,IF(F48&lt;=35,12,IF(F48&lt;=50,8,IF(F48&lt;=70,4,1)))),IF(F48&lt;=35,15,IF(F48&lt;=50,12,IF(F48&lt;=70,8,IF(F48&lt;=85,4,1)))))))</x:f>
      </x:c>
      <x:c r="V48" t="str">
        <x:f>IF(A48="","",ROUND((J48*0.45+K48*0.30+L48*0.25)*4,1))</x:f>
      </x:c>
      <x:c r="W48" t="str">
        <x:f>IF(A48="","",ROUND((M48*0.60+N48*0.40)*3,1))</x:f>
      </x:c>
      <x:c r="X48" t="str">
        <x:f>IF(A48="","",XLOOKUP(I48,'评分规则'!$D$12:$D$21,'评分规则'!$F$12:$F$21,0))</x:f>
      </x:c>
      <x:c r="Y48" t="str">
        <x:f>IF(A48="","",O48)</x:f>
      </x:c>
      <x:c r="Z48" t="str">
        <x:f>IF(A48="","",SUM(S48:Y48))</x:f>
      </x:c>
      <x:c r="AA48" t="str">
        <x:f>IF(A48="","",IF(Z48&gt;=75,"P0",IF(Z48&gt;=60,"P1",IF(Z48&gt;=45,"P2","P3"))))</x:f>
      </x:c>
      <x:c r="AB48" t="str">
        <x:f>IF(A48="","",XLOOKUP(AA48,'评分规则'!$H$12:$H$15,'评分规则'!$I$12:$I$15,""))</x:f>
      </x:c>
      <x:c r="AC48" t="str">
        <x:f>IF(A48="","",XLOOKUP(I48,'评分规则'!$D$12:$D$21,'评分规则'!$E$12:$E$21,"人工判断"))</x:f>
      </x:c>
      <x:c r="AD48" t="str">
        <x:f>IF(A48="","","/"&amp;LOWER(SUBSTITUTE(SUBSTITUTE(SUBSTITUTE(A48," / ","-")," ","-"),"+",""))&amp;"/")</x:f>
      </x:c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 t="str">
        <x:f>IF(A49="","",XLOOKUP(G49,'评分规则'!$A$12:$A$17,'评分规则'!$B$12:$B$17,0))</x:f>
      </x:c>
      <x:c r="T49" t="str">
        <x:f>IF(A49="","",IF(D49&gt;=10000,10,IF(D49&gt;=3000,9,IF(D49&gt;=1000,8,IF(D49&gt;=300,7,IF(D49&gt;=100,6,IF(D49&gt;=30,4,IF(D49&gt;=10,3,1)))))))+IF(E49&gt;=3,5,IF(E49&gt;=1,4,IF(E49&gt;=0.3,3,IF(E49&gt;0,2,1)))))</x:f>
      </x:c>
      <x:c r="U49" t="str">
        <x:f>IF(A49="","",IF('评分规则'!$B$3="新站",IF(F49&lt;=10,15,IF(F49&lt;=20,12,IF(F49&lt;=35,8,IF(F49&lt;=50,4,1)))),IF('评分规则'!$B$3="成长期",IF(F49&lt;=20,15,IF(F49&lt;=35,12,IF(F49&lt;=50,8,IF(F49&lt;=70,4,1)))),IF(F49&lt;=35,15,IF(F49&lt;=50,12,IF(F49&lt;=70,8,IF(F49&lt;=85,4,1)))))))</x:f>
      </x:c>
      <x:c r="V49" t="str">
        <x:f>IF(A49="","",ROUND((J49*0.45+K49*0.30+L49*0.25)*4,1))</x:f>
      </x:c>
      <x:c r="W49" t="str">
        <x:f>IF(A49="","",ROUND((M49*0.60+N49*0.40)*3,1))</x:f>
      </x:c>
      <x:c r="X49" t="str">
        <x:f>IF(A49="","",XLOOKUP(I49,'评分规则'!$D$12:$D$21,'评分规则'!$F$12:$F$21,0))</x:f>
      </x:c>
      <x:c r="Y49" t="str">
        <x:f>IF(A49="","",O49)</x:f>
      </x:c>
      <x:c r="Z49" t="str">
        <x:f>IF(A49="","",SUM(S49:Y49))</x:f>
      </x:c>
      <x:c r="AA49" t="str">
        <x:f>IF(A49="","",IF(Z49&gt;=75,"P0",IF(Z49&gt;=60,"P1",IF(Z49&gt;=45,"P2","P3"))))</x:f>
      </x:c>
      <x:c r="AB49" t="str">
        <x:f>IF(A49="","",XLOOKUP(AA49,'评分规则'!$H$12:$H$15,'评分规则'!$I$12:$I$15,""))</x:f>
      </x:c>
      <x:c r="AC49" t="str">
        <x:f>IF(A49="","",XLOOKUP(I49,'评分规则'!$D$12:$D$21,'评分规则'!$E$12:$E$21,"人工判断"))</x:f>
      </x:c>
      <x:c r="AD49" t="str">
        <x:f>IF(A49="","","/"&amp;LOWER(SUBSTITUTE(SUBSTITUTE(SUBSTITUTE(A49," / ","-")," ","-"),"+",""))&amp;"/")</x:f>
      </x:c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 t="str">
        <x:f>IF(A50="","",XLOOKUP(G50,'评分规则'!$A$12:$A$17,'评分规则'!$B$12:$B$17,0))</x:f>
      </x:c>
      <x:c r="T50" t="str">
        <x:f>IF(A50="","",IF(D50&gt;=10000,10,IF(D50&gt;=3000,9,IF(D50&gt;=1000,8,IF(D50&gt;=300,7,IF(D50&gt;=100,6,IF(D50&gt;=30,4,IF(D50&gt;=10,3,1)))))))+IF(E50&gt;=3,5,IF(E50&gt;=1,4,IF(E50&gt;=0.3,3,IF(E50&gt;0,2,1)))))</x:f>
      </x:c>
      <x:c r="U50" t="str">
        <x:f>IF(A50="","",IF('评分规则'!$B$3="新站",IF(F50&lt;=10,15,IF(F50&lt;=20,12,IF(F50&lt;=35,8,IF(F50&lt;=50,4,1)))),IF('评分规则'!$B$3="成长期",IF(F50&lt;=20,15,IF(F50&lt;=35,12,IF(F50&lt;=50,8,IF(F50&lt;=70,4,1)))),IF(F50&lt;=35,15,IF(F50&lt;=50,12,IF(F50&lt;=70,8,IF(F50&lt;=85,4,1)))))))</x:f>
      </x:c>
      <x:c r="V50" t="str">
        <x:f>IF(A50="","",ROUND((J50*0.45+K50*0.30+L50*0.25)*4,1))</x:f>
      </x:c>
      <x:c r="W50" t="str">
        <x:f>IF(A50="","",ROUND((M50*0.60+N50*0.40)*3,1))</x:f>
      </x:c>
      <x:c r="X50" t="str">
        <x:f>IF(A50="","",XLOOKUP(I50,'评分规则'!$D$12:$D$21,'评分规则'!$F$12:$F$21,0))</x:f>
      </x:c>
      <x:c r="Y50" t="str">
        <x:f>IF(A50="","",O50)</x:f>
      </x:c>
      <x:c r="Z50" t="str">
        <x:f>IF(A50="","",SUM(S50:Y50))</x:f>
      </x:c>
      <x:c r="AA50" t="str">
        <x:f>IF(A50="","",IF(Z50&gt;=75,"P0",IF(Z50&gt;=60,"P1",IF(Z50&gt;=45,"P2","P3"))))</x:f>
      </x:c>
      <x:c r="AB50" t="str">
        <x:f>IF(A50="","",XLOOKUP(AA50,'评分规则'!$H$12:$H$15,'评分规则'!$I$12:$I$15,""))</x:f>
      </x:c>
      <x:c r="AC50" t="str">
        <x:f>IF(A50="","",XLOOKUP(I50,'评分规则'!$D$12:$D$21,'评分规则'!$E$12:$E$21,"人工判断"))</x:f>
      </x:c>
      <x:c r="AD50" t="str">
        <x:f>IF(A50="","","/"&amp;LOWER(SUBSTITUTE(SUBSTITUTE(SUBSTITUTE(A50," / ","-")," ","-"),"+",""))&amp;"/")</x:f>
      </x:c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 t="str">
        <x:f>IF(A51="","",XLOOKUP(G51,'评分规则'!$A$12:$A$17,'评分规则'!$B$12:$B$17,0))</x:f>
      </x:c>
      <x:c r="T51" t="str">
        <x:f>IF(A51="","",IF(D51&gt;=10000,10,IF(D51&gt;=3000,9,IF(D51&gt;=1000,8,IF(D51&gt;=300,7,IF(D51&gt;=100,6,IF(D51&gt;=30,4,IF(D51&gt;=10,3,1)))))))+IF(E51&gt;=3,5,IF(E51&gt;=1,4,IF(E51&gt;=0.3,3,IF(E51&gt;0,2,1)))))</x:f>
      </x:c>
      <x:c r="U51" t="str">
        <x:f>IF(A51="","",IF('评分规则'!$B$3="新站",IF(F51&lt;=10,15,IF(F51&lt;=20,12,IF(F51&lt;=35,8,IF(F51&lt;=50,4,1)))),IF('评分规则'!$B$3="成长期",IF(F51&lt;=20,15,IF(F51&lt;=35,12,IF(F51&lt;=50,8,IF(F51&lt;=70,4,1)))),IF(F51&lt;=35,15,IF(F51&lt;=50,12,IF(F51&lt;=70,8,IF(F51&lt;=85,4,1)))))))</x:f>
      </x:c>
      <x:c r="V51" t="str">
        <x:f>IF(A51="","",ROUND((J51*0.45+K51*0.30+L51*0.25)*4,1))</x:f>
      </x:c>
      <x:c r="W51" t="str">
        <x:f>IF(A51="","",ROUND((M51*0.60+N51*0.40)*3,1))</x:f>
      </x:c>
      <x:c r="X51" t="str">
        <x:f>IF(A51="","",XLOOKUP(I51,'评分规则'!$D$12:$D$21,'评分规则'!$F$12:$F$21,0))</x:f>
      </x:c>
      <x:c r="Y51" t="str">
        <x:f>IF(A51="","",O51)</x:f>
      </x:c>
      <x:c r="Z51" t="str">
        <x:f>IF(A51="","",SUM(S51:Y51))</x:f>
      </x:c>
      <x:c r="AA51" t="str">
        <x:f>IF(A51="","",IF(Z51&gt;=75,"P0",IF(Z51&gt;=60,"P1",IF(Z51&gt;=45,"P2","P3"))))</x:f>
      </x:c>
      <x:c r="AB51" t="str">
        <x:f>IF(A51="","",XLOOKUP(AA51,'评分规则'!$H$12:$H$15,'评分规则'!$I$12:$I$15,""))</x:f>
      </x:c>
      <x:c r="AC51" t="str">
        <x:f>IF(A51="","",XLOOKUP(I51,'评分规则'!$D$12:$D$21,'评分规则'!$E$12:$E$21,"人工判断"))</x:f>
      </x:c>
      <x:c r="AD51" t="str">
        <x:f>IF(A51="","","/"&amp;LOWER(SUBSTITUTE(SUBSTITUTE(SUBSTITUTE(A51," / ","-")," ","-"),"+",""))&amp;"/")</x:f>
      </x:c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 t="str">
        <x:f>IF(A52="","",XLOOKUP(G52,'评分规则'!$A$12:$A$17,'评分规则'!$B$12:$B$17,0))</x:f>
      </x:c>
      <x:c r="T52" t="str">
        <x:f>IF(A52="","",IF(D52&gt;=10000,10,IF(D52&gt;=3000,9,IF(D52&gt;=1000,8,IF(D52&gt;=300,7,IF(D52&gt;=100,6,IF(D52&gt;=30,4,IF(D52&gt;=10,3,1)))))))+IF(E52&gt;=3,5,IF(E52&gt;=1,4,IF(E52&gt;=0.3,3,IF(E52&gt;0,2,1)))))</x:f>
      </x:c>
      <x:c r="U52" t="str">
        <x:f>IF(A52="","",IF('评分规则'!$B$3="新站",IF(F52&lt;=10,15,IF(F52&lt;=20,12,IF(F52&lt;=35,8,IF(F52&lt;=50,4,1)))),IF('评分规则'!$B$3="成长期",IF(F52&lt;=20,15,IF(F52&lt;=35,12,IF(F52&lt;=50,8,IF(F52&lt;=70,4,1)))),IF(F52&lt;=35,15,IF(F52&lt;=50,12,IF(F52&lt;=70,8,IF(F52&lt;=85,4,1)))))))</x:f>
      </x:c>
      <x:c r="V52" t="str">
        <x:f>IF(A52="","",ROUND((J52*0.45+K52*0.30+L52*0.25)*4,1))</x:f>
      </x:c>
      <x:c r="W52" t="str">
        <x:f>IF(A52="","",ROUND((M52*0.60+N52*0.40)*3,1))</x:f>
      </x:c>
      <x:c r="X52" t="str">
        <x:f>IF(A52="","",XLOOKUP(I52,'评分规则'!$D$12:$D$21,'评分规则'!$F$12:$F$21,0))</x:f>
      </x:c>
      <x:c r="Y52" t="str">
        <x:f>IF(A52="","",O52)</x:f>
      </x:c>
      <x:c r="Z52" t="str">
        <x:f>IF(A52="","",SUM(S52:Y52))</x:f>
      </x:c>
      <x:c r="AA52" t="str">
        <x:f>IF(A52="","",IF(Z52&gt;=75,"P0",IF(Z52&gt;=60,"P1",IF(Z52&gt;=45,"P2","P3"))))</x:f>
      </x:c>
      <x:c r="AB52" t="str">
        <x:f>IF(A52="","",XLOOKUP(AA52,'评分规则'!$H$12:$H$15,'评分规则'!$I$12:$I$15,""))</x:f>
      </x:c>
      <x:c r="AC52" t="str">
        <x:f>IF(A52="","",XLOOKUP(I52,'评分规则'!$D$12:$D$21,'评分规则'!$E$12:$E$21,"人工判断"))</x:f>
      </x:c>
      <x:c r="AD52" t="str">
        <x:f>IF(A52="","","/"&amp;LOWER(SUBSTITUTE(SUBSTITUTE(SUBSTITUTE(A52," / ","-")," ","-"),"+",""))&amp;"/")</x:f>
      </x:c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 t="str">
        <x:f>IF(A53="","",XLOOKUP(G53,'评分规则'!$A$12:$A$17,'评分规则'!$B$12:$B$17,0))</x:f>
      </x:c>
      <x:c r="T53" t="str">
        <x:f>IF(A53="","",IF(D53&gt;=10000,10,IF(D53&gt;=3000,9,IF(D53&gt;=1000,8,IF(D53&gt;=300,7,IF(D53&gt;=100,6,IF(D53&gt;=30,4,IF(D53&gt;=10,3,1)))))))+IF(E53&gt;=3,5,IF(E53&gt;=1,4,IF(E53&gt;=0.3,3,IF(E53&gt;0,2,1)))))</x:f>
      </x:c>
      <x:c r="U53" t="str">
        <x:f>IF(A53="","",IF('评分规则'!$B$3="新站",IF(F53&lt;=10,15,IF(F53&lt;=20,12,IF(F53&lt;=35,8,IF(F53&lt;=50,4,1)))),IF('评分规则'!$B$3="成长期",IF(F53&lt;=20,15,IF(F53&lt;=35,12,IF(F53&lt;=50,8,IF(F53&lt;=70,4,1)))),IF(F53&lt;=35,15,IF(F53&lt;=50,12,IF(F53&lt;=70,8,IF(F53&lt;=85,4,1)))))))</x:f>
      </x:c>
      <x:c r="V53" t="str">
        <x:f>IF(A53="","",ROUND((J53*0.45+K53*0.30+L53*0.25)*4,1))</x:f>
      </x:c>
      <x:c r="W53" t="str">
        <x:f>IF(A53="","",ROUND((M53*0.60+N53*0.40)*3,1))</x:f>
      </x:c>
      <x:c r="X53" t="str">
        <x:f>IF(A53="","",XLOOKUP(I53,'评分规则'!$D$12:$D$21,'评分规则'!$F$12:$F$21,0))</x:f>
      </x:c>
      <x:c r="Y53" t="str">
        <x:f>IF(A53="","",O53)</x:f>
      </x:c>
      <x:c r="Z53" t="str">
        <x:f>IF(A53="","",SUM(S53:Y53))</x:f>
      </x:c>
      <x:c r="AA53" t="str">
        <x:f>IF(A53="","",IF(Z53&gt;=75,"P0",IF(Z53&gt;=60,"P1",IF(Z53&gt;=45,"P2","P3"))))</x:f>
      </x:c>
      <x:c r="AB53" t="str">
        <x:f>IF(A53="","",XLOOKUP(AA53,'评分规则'!$H$12:$H$15,'评分规则'!$I$12:$I$15,""))</x:f>
      </x:c>
      <x:c r="AC53" t="str">
        <x:f>IF(A53="","",XLOOKUP(I53,'评分规则'!$D$12:$D$21,'评分规则'!$E$12:$E$21,"人工判断"))</x:f>
      </x:c>
      <x:c r="AD53" t="str">
        <x:f>IF(A53="","","/"&amp;LOWER(SUBSTITUTE(SUBSTITUTE(SUBSTITUTE(A53," / ","-")," ","-"),"+",""))&amp;"/")</x:f>
      </x:c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 t="str">
        <x:f>IF(A54="","",XLOOKUP(G54,'评分规则'!$A$12:$A$17,'评分规则'!$B$12:$B$17,0))</x:f>
      </x:c>
      <x:c r="T54" t="str">
        <x:f>IF(A54="","",IF(D54&gt;=10000,10,IF(D54&gt;=3000,9,IF(D54&gt;=1000,8,IF(D54&gt;=300,7,IF(D54&gt;=100,6,IF(D54&gt;=30,4,IF(D54&gt;=10,3,1)))))))+IF(E54&gt;=3,5,IF(E54&gt;=1,4,IF(E54&gt;=0.3,3,IF(E54&gt;0,2,1)))))</x:f>
      </x:c>
      <x:c r="U54" t="str">
        <x:f>IF(A54="","",IF('评分规则'!$B$3="新站",IF(F54&lt;=10,15,IF(F54&lt;=20,12,IF(F54&lt;=35,8,IF(F54&lt;=50,4,1)))),IF('评分规则'!$B$3="成长期",IF(F54&lt;=20,15,IF(F54&lt;=35,12,IF(F54&lt;=50,8,IF(F54&lt;=70,4,1)))),IF(F54&lt;=35,15,IF(F54&lt;=50,12,IF(F54&lt;=70,8,IF(F54&lt;=85,4,1)))))))</x:f>
      </x:c>
      <x:c r="V54" t="str">
        <x:f>IF(A54="","",ROUND((J54*0.45+K54*0.30+L54*0.25)*4,1))</x:f>
      </x:c>
      <x:c r="W54" t="str">
        <x:f>IF(A54="","",ROUND((M54*0.60+N54*0.40)*3,1))</x:f>
      </x:c>
      <x:c r="X54" t="str">
        <x:f>IF(A54="","",XLOOKUP(I54,'评分规则'!$D$12:$D$21,'评分规则'!$F$12:$F$21,0))</x:f>
      </x:c>
      <x:c r="Y54" t="str">
        <x:f>IF(A54="","",O54)</x:f>
      </x:c>
      <x:c r="Z54" t="str">
        <x:f>IF(A54="","",SUM(S54:Y54))</x:f>
      </x:c>
      <x:c r="AA54" t="str">
        <x:f>IF(A54="","",IF(Z54&gt;=75,"P0",IF(Z54&gt;=60,"P1",IF(Z54&gt;=45,"P2","P3"))))</x:f>
      </x:c>
      <x:c r="AB54" t="str">
        <x:f>IF(A54="","",XLOOKUP(AA54,'评分规则'!$H$12:$H$15,'评分规则'!$I$12:$I$15,""))</x:f>
      </x:c>
      <x:c r="AC54" t="str">
        <x:f>IF(A54="","",XLOOKUP(I54,'评分规则'!$D$12:$D$21,'评分规则'!$E$12:$E$21,"人工判断"))</x:f>
      </x:c>
      <x:c r="AD54" t="str">
        <x:f>IF(A54="","","/"&amp;LOWER(SUBSTITUTE(SUBSTITUTE(SUBSTITUTE(A54," / ","-")," ","-"),"+",""))&amp;"/")</x:f>
      </x:c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 t="str">
        <x:f>IF(A55="","",XLOOKUP(G55,'评分规则'!$A$12:$A$17,'评分规则'!$B$12:$B$17,0))</x:f>
      </x:c>
      <x:c r="T55" t="str">
        <x:f>IF(A55="","",IF(D55&gt;=10000,10,IF(D55&gt;=3000,9,IF(D55&gt;=1000,8,IF(D55&gt;=300,7,IF(D55&gt;=100,6,IF(D55&gt;=30,4,IF(D55&gt;=10,3,1)))))))+IF(E55&gt;=3,5,IF(E55&gt;=1,4,IF(E55&gt;=0.3,3,IF(E55&gt;0,2,1)))))</x:f>
      </x:c>
      <x:c r="U55" t="str">
        <x:f>IF(A55="","",IF('评分规则'!$B$3="新站",IF(F55&lt;=10,15,IF(F55&lt;=20,12,IF(F55&lt;=35,8,IF(F55&lt;=50,4,1)))),IF('评分规则'!$B$3="成长期",IF(F55&lt;=20,15,IF(F55&lt;=35,12,IF(F55&lt;=50,8,IF(F55&lt;=70,4,1)))),IF(F55&lt;=35,15,IF(F55&lt;=50,12,IF(F55&lt;=70,8,IF(F55&lt;=85,4,1)))))))</x:f>
      </x:c>
      <x:c r="V55" t="str">
        <x:f>IF(A55="","",ROUND((J55*0.45+K55*0.30+L55*0.25)*4,1))</x:f>
      </x:c>
      <x:c r="W55" t="str">
        <x:f>IF(A55="","",ROUND((M55*0.60+N55*0.40)*3,1))</x:f>
      </x:c>
      <x:c r="X55" t="str">
        <x:f>IF(A55="","",XLOOKUP(I55,'评分规则'!$D$12:$D$21,'评分规则'!$F$12:$F$21,0))</x:f>
      </x:c>
      <x:c r="Y55" t="str">
        <x:f>IF(A55="","",O55)</x:f>
      </x:c>
      <x:c r="Z55" t="str">
        <x:f>IF(A55="","",SUM(S55:Y55))</x:f>
      </x:c>
      <x:c r="AA55" t="str">
        <x:f>IF(A55="","",IF(Z55&gt;=75,"P0",IF(Z55&gt;=60,"P1",IF(Z55&gt;=45,"P2","P3"))))</x:f>
      </x:c>
      <x:c r="AB55" t="str">
        <x:f>IF(A55="","",XLOOKUP(AA55,'评分规则'!$H$12:$H$15,'评分规则'!$I$12:$I$15,""))</x:f>
      </x:c>
      <x:c r="AC55" t="str">
        <x:f>IF(A55="","",XLOOKUP(I55,'评分规则'!$D$12:$D$21,'评分规则'!$E$12:$E$21,"人工判断"))</x:f>
      </x:c>
      <x:c r="AD55" t="str">
        <x:f>IF(A55="","","/"&amp;LOWER(SUBSTITUTE(SUBSTITUTE(SUBSTITUTE(A55," / ","-")," ","-"),"+",""))&amp;"/")</x:f>
      </x:c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 t="str">
        <x:f>IF(A56="","",XLOOKUP(G56,'评分规则'!$A$12:$A$17,'评分规则'!$B$12:$B$17,0))</x:f>
      </x:c>
      <x:c r="T56" t="str">
        <x:f>IF(A56="","",IF(D56&gt;=10000,10,IF(D56&gt;=3000,9,IF(D56&gt;=1000,8,IF(D56&gt;=300,7,IF(D56&gt;=100,6,IF(D56&gt;=30,4,IF(D56&gt;=10,3,1)))))))+IF(E56&gt;=3,5,IF(E56&gt;=1,4,IF(E56&gt;=0.3,3,IF(E56&gt;0,2,1)))))</x:f>
      </x:c>
      <x:c r="U56" t="str">
        <x:f>IF(A56="","",IF('评分规则'!$B$3="新站",IF(F56&lt;=10,15,IF(F56&lt;=20,12,IF(F56&lt;=35,8,IF(F56&lt;=50,4,1)))),IF('评分规则'!$B$3="成长期",IF(F56&lt;=20,15,IF(F56&lt;=35,12,IF(F56&lt;=50,8,IF(F56&lt;=70,4,1)))),IF(F56&lt;=35,15,IF(F56&lt;=50,12,IF(F56&lt;=70,8,IF(F56&lt;=85,4,1)))))))</x:f>
      </x:c>
      <x:c r="V56" t="str">
        <x:f>IF(A56="","",ROUND((J56*0.45+K56*0.30+L56*0.25)*4,1))</x:f>
      </x:c>
      <x:c r="W56" t="str">
        <x:f>IF(A56="","",ROUND((M56*0.60+N56*0.40)*3,1))</x:f>
      </x:c>
      <x:c r="X56" t="str">
        <x:f>IF(A56="","",XLOOKUP(I56,'评分规则'!$D$12:$D$21,'评分规则'!$F$12:$F$21,0))</x:f>
      </x:c>
      <x:c r="Y56" t="str">
        <x:f>IF(A56="","",O56)</x:f>
      </x:c>
      <x:c r="Z56" t="str">
        <x:f>IF(A56="","",SUM(S56:Y56))</x:f>
      </x:c>
      <x:c r="AA56" t="str">
        <x:f>IF(A56="","",IF(Z56&gt;=75,"P0",IF(Z56&gt;=60,"P1",IF(Z56&gt;=45,"P2","P3"))))</x:f>
      </x:c>
      <x:c r="AB56" t="str">
        <x:f>IF(A56="","",XLOOKUP(AA56,'评分规则'!$H$12:$H$15,'评分规则'!$I$12:$I$15,""))</x:f>
      </x:c>
      <x:c r="AC56" t="str">
        <x:f>IF(A56="","",XLOOKUP(I56,'评分规则'!$D$12:$D$21,'评分规则'!$E$12:$E$21,"人工判断"))</x:f>
      </x:c>
      <x:c r="AD56" t="str">
        <x:f>IF(A56="","","/"&amp;LOWER(SUBSTITUTE(SUBSTITUTE(SUBSTITUTE(A56," / ","-")," ","-"),"+",""))&amp;"/")</x:f>
      </x:c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 t="str">
        <x:f>IF(A57="","",XLOOKUP(G57,'评分规则'!$A$12:$A$17,'评分规则'!$B$12:$B$17,0))</x:f>
      </x:c>
      <x:c r="T57" t="str">
        <x:f>IF(A57="","",IF(D57&gt;=10000,10,IF(D57&gt;=3000,9,IF(D57&gt;=1000,8,IF(D57&gt;=300,7,IF(D57&gt;=100,6,IF(D57&gt;=30,4,IF(D57&gt;=10,3,1)))))))+IF(E57&gt;=3,5,IF(E57&gt;=1,4,IF(E57&gt;=0.3,3,IF(E57&gt;0,2,1)))))</x:f>
      </x:c>
      <x:c r="U57" t="str">
        <x:f>IF(A57="","",IF('评分规则'!$B$3="新站",IF(F57&lt;=10,15,IF(F57&lt;=20,12,IF(F57&lt;=35,8,IF(F57&lt;=50,4,1)))),IF('评分规则'!$B$3="成长期",IF(F57&lt;=20,15,IF(F57&lt;=35,12,IF(F57&lt;=50,8,IF(F57&lt;=70,4,1)))),IF(F57&lt;=35,15,IF(F57&lt;=50,12,IF(F57&lt;=70,8,IF(F57&lt;=85,4,1)))))))</x:f>
      </x:c>
      <x:c r="V57" t="str">
        <x:f>IF(A57="","",ROUND((J57*0.45+K57*0.30+L57*0.25)*4,1))</x:f>
      </x:c>
      <x:c r="W57" t="str">
        <x:f>IF(A57="","",ROUND((M57*0.60+N57*0.40)*3,1))</x:f>
      </x:c>
      <x:c r="X57" t="str">
        <x:f>IF(A57="","",XLOOKUP(I57,'评分规则'!$D$12:$D$21,'评分规则'!$F$12:$F$21,0))</x:f>
      </x:c>
      <x:c r="Y57" t="str">
        <x:f>IF(A57="","",O57)</x:f>
      </x:c>
      <x:c r="Z57" t="str">
        <x:f>IF(A57="","",SUM(S57:Y57))</x:f>
      </x:c>
      <x:c r="AA57" t="str">
        <x:f>IF(A57="","",IF(Z57&gt;=75,"P0",IF(Z57&gt;=60,"P1",IF(Z57&gt;=45,"P2","P3"))))</x:f>
      </x:c>
      <x:c r="AB57" t="str">
        <x:f>IF(A57="","",XLOOKUP(AA57,'评分规则'!$H$12:$H$15,'评分规则'!$I$12:$I$15,""))</x:f>
      </x:c>
      <x:c r="AC57" t="str">
        <x:f>IF(A57="","",XLOOKUP(I57,'评分规则'!$D$12:$D$21,'评分规则'!$E$12:$E$21,"人工判断"))</x:f>
      </x:c>
      <x:c r="AD57" t="str">
        <x:f>IF(A57="","","/"&amp;LOWER(SUBSTITUTE(SUBSTITUTE(SUBSTITUTE(A57," / ","-")," ","-"),"+",""))&amp;"/")</x:f>
      </x:c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 t="str">
        <x:f>IF(A58="","",XLOOKUP(G58,'评分规则'!$A$12:$A$17,'评分规则'!$B$12:$B$17,0))</x:f>
      </x:c>
      <x:c r="T58" t="str">
        <x:f>IF(A58="","",IF(D58&gt;=10000,10,IF(D58&gt;=3000,9,IF(D58&gt;=1000,8,IF(D58&gt;=300,7,IF(D58&gt;=100,6,IF(D58&gt;=30,4,IF(D58&gt;=10,3,1)))))))+IF(E58&gt;=3,5,IF(E58&gt;=1,4,IF(E58&gt;=0.3,3,IF(E58&gt;0,2,1)))))</x:f>
      </x:c>
      <x:c r="U58" t="str">
        <x:f>IF(A58="","",IF('评分规则'!$B$3="新站",IF(F58&lt;=10,15,IF(F58&lt;=20,12,IF(F58&lt;=35,8,IF(F58&lt;=50,4,1)))),IF('评分规则'!$B$3="成长期",IF(F58&lt;=20,15,IF(F58&lt;=35,12,IF(F58&lt;=50,8,IF(F58&lt;=70,4,1)))),IF(F58&lt;=35,15,IF(F58&lt;=50,12,IF(F58&lt;=70,8,IF(F58&lt;=85,4,1)))))))</x:f>
      </x:c>
      <x:c r="V58" t="str">
        <x:f>IF(A58="","",ROUND((J58*0.45+K58*0.30+L58*0.25)*4,1))</x:f>
      </x:c>
      <x:c r="W58" t="str">
        <x:f>IF(A58="","",ROUND((M58*0.60+N58*0.40)*3,1))</x:f>
      </x:c>
      <x:c r="X58" t="str">
        <x:f>IF(A58="","",XLOOKUP(I58,'评分规则'!$D$12:$D$21,'评分规则'!$F$12:$F$21,0))</x:f>
      </x:c>
      <x:c r="Y58" t="str">
        <x:f>IF(A58="","",O58)</x:f>
      </x:c>
      <x:c r="Z58" t="str">
        <x:f>IF(A58="","",SUM(S58:Y58))</x:f>
      </x:c>
      <x:c r="AA58" t="str">
        <x:f>IF(A58="","",IF(Z58&gt;=75,"P0",IF(Z58&gt;=60,"P1",IF(Z58&gt;=45,"P2","P3"))))</x:f>
      </x:c>
      <x:c r="AB58" t="str">
        <x:f>IF(A58="","",XLOOKUP(AA58,'评分规则'!$H$12:$H$15,'评分规则'!$I$12:$I$15,""))</x:f>
      </x:c>
      <x:c r="AC58" t="str">
        <x:f>IF(A58="","",XLOOKUP(I58,'评分规则'!$D$12:$D$21,'评分规则'!$E$12:$E$21,"人工判断"))</x:f>
      </x:c>
      <x:c r="AD58" t="str">
        <x:f>IF(A58="","","/"&amp;LOWER(SUBSTITUTE(SUBSTITUTE(SUBSTITUTE(A58," / ","-")," ","-"),"+",""))&amp;"/")</x:f>
      </x:c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 t="str">
        <x:f>IF(A59="","",XLOOKUP(G59,'评分规则'!$A$12:$A$17,'评分规则'!$B$12:$B$17,0))</x:f>
      </x:c>
      <x:c r="T59" t="str">
        <x:f>IF(A59="","",IF(D59&gt;=10000,10,IF(D59&gt;=3000,9,IF(D59&gt;=1000,8,IF(D59&gt;=300,7,IF(D59&gt;=100,6,IF(D59&gt;=30,4,IF(D59&gt;=10,3,1)))))))+IF(E59&gt;=3,5,IF(E59&gt;=1,4,IF(E59&gt;=0.3,3,IF(E59&gt;0,2,1)))))</x:f>
      </x:c>
      <x:c r="U59" t="str">
        <x:f>IF(A59="","",IF('评分规则'!$B$3="新站",IF(F59&lt;=10,15,IF(F59&lt;=20,12,IF(F59&lt;=35,8,IF(F59&lt;=50,4,1)))),IF('评分规则'!$B$3="成长期",IF(F59&lt;=20,15,IF(F59&lt;=35,12,IF(F59&lt;=50,8,IF(F59&lt;=70,4,1)))),IF(F59&lt;=35,15,IF(F59&lt;=50,12,IF(F59&lt;=70,8,IF(F59&lt;=85,4,1)))))))</x:f>
      </x:c>
      <x:c r="V59" t="str">
        <x:f>IF(A59="","",ROUND((J59*0.45+K59*0.30+L59*0.25)*4,1))</x:f>
      </x:c>
      <x:c r="W59" t="str">
        <x:f>IF(A59="","",ROUND((M59*0.60+N59*0.40)*3,1))</x:f>
      </x:c>
      <x:c r="X59" t="str">
        <x:f>IF(A59="","",XLOOKUP(I59,'评分规则'!$D$12:$D$21,'评分规则'!$F$12:$F$21,0))</x:f>
      </x:c>
      <x:c r="Y59" t="str">
        <x:f>IF(A59="","",O59)</x:f>
      </x:c>
      <x:c r="Z59" t="str">
        <x:f>IF(A59="","",SUM(S59:Y59))</x:f>
      </x:c>
      <x:c r="AA59" t="str">
        <x:f>IF(A59="","",IF(Z59&gt;=75,"P0",IF(Z59&gt;=60,"P1",IF(Z59&gt;=45,"P2","P3"))))</x:f>
      </x:c>
      <x:c r="AB59" t="str">
        <x:f>IF(A59="","",XLOOKUP(AA59,'评分规则'!$H$12:$H$15,'评分规则'!$I$12:$I$15,""))</x:f>
      </x:c>
      <x:c r="AC59" t="str">
        <x:f>IF(A59="","",XLOOKUP(I59,'评分规则'!$D$12:$D$21,'评分规则'!$E$12:$E$21,"人工判断"))</x:f>
      </x:c>
      <x:c r="AD59" t="str">
        <x:f>IF(A59="","","/"&amp;LOWER(SUBSTITUTE(SUBSTITUTE(SUBSTITUTE(A59," / ","-")," ","-"),"+",""))&amp;"/")</x:f>
      </x:c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 t="str">
        <x:f>IF(A60="","",XLOOKUP(G60,'评分规则'!$A$12:$A$17,'评分规则'!$B$12:$B$17,0))</x:f>
      </x:c>
      <x:c r="T60" t="str">
        <x:f>IF(A60="","",IF(D60&gt;=10000,10,IF(D60&gt;=3000,9,IF(D60&gt;=1000,8,IF(D60&gt;=300,7,IF(D60&gt;=100,6,IF(D60&gt;=30,4,IF(D60&gt;=10,3,1)))))))+IF(E60&gt;=3,5,IF(E60&gt;=1,4,IF(E60&gt;=0.3,3,IF(E60&gt;0,2,1)))))</x:f>
      </x:c>
      <x:c r="U60" t="str">
        <x:f>IF(A60="","",IF('评分规则'!$B$3="新站",IF(F60&lt;=10,15,IF(F60&lt;=20,12,IF(F60&lt;=35,8,IF(F60&lt;=50,4,1)))),IF('评分规则'!$B$3="成长期",IF(F60&lt;=20,15,IF(F60&lt;=35,12,IF(F60&lt;=50,8,IF(F60&lt;=70,4,1)))),IF(F60&lt;=35,15,IF(F60&lt;=50,12,IF(F60&lt;=70,8,IF(F60&lt;=85,4,1)))))))</x:f>
      </x:c>
      <x:c r="V60" t="str">
        <x:f>IF(A60="","",ROUND((J60*0.45+K60*0.30+L60*0.25)*4,1))</x:f>
      </x:c>
      <x:c r="W60" t="str">
        <x:f>IF(A60="","",ROUND((M60*0.60+N60*0.40)*3,1))</x:f>
      </x:c>
      <x:c r="X60" t="str">
        <x:f>IF(A60="","",XLOOKUP(I60,'评分规则'!$D$12:$D$21,'评分规则'!$F$12:$F$21,0))</x:f>
      </x:c>
      <x:c r="Y60" t="str">
        <x:f>IF(A60="","",O60)</x:f>
      </x:c>
      <x:c r="Z60" t="str">
        <x:f>IF(A60="","",SUM(S60:Y60))</x:f>
      </x:c>
      <x:c r="AA60" t="str">
        <x:f>IF(A60="","",IF(Z60&gt;=75,"P0",IF(Z60&gt;=60,"P1",IF(Z60&gt;=45,"P2","P3"))))</x:f>
      </x:c>
      <x:c r="AB60" t="str">
        <x:f>IF(A60="","",XLOOKUP(AA60,'评分规则'!$H$12:$H$15,'评分规则'!$I$12:$I$15,""))</x:f>
      </x:c>
      <x:c r="AC60" t="str">
        <x:f>IF(A60="","",XLOOKUP(I60,'评分规则'!$D$12:$D$21,'评分规则'!$E$12:$E$21,"人工判断"))</x:f>
      </x:c>
      <x:c r="AD60" t="str">
        <x:f>IF(A60="","","/"&amp;LOWER(SUBSTITUTE(SUBSTITUTE(SUBSTITUTE(A60," / ","-")," ","-"),"+",""))&amp;"/")</x:f>
      </x:c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 t="str">
        <x:f>IF(A61="","",XLOOKUP(G61,'评分规则'!$A$12:$A$17,'评分规则'!$B$12:$B$17,0))</x:f>
      </x:c>
      <x:c r="T61" t="str">
        <x:f>IF(A61="","",IF(D61&gt;=10000,10,IF(D61&gt;=3000,9,IF(D61&gt;=1000,8,IF(D61&gt;=300,7,IF(D61&gt;=100,6,IF(D61&gt;=30,4,IF(D61&gt;=10,3,1)))))))+IF(E61&gt;=3,5,IF(E61&gt;=1,4,IF(E61&gt;=0.3,3,IF(E61&gt;0,2,1)))))</x:f>
      </x:c>
      <x:c r="U61" t="str">
        <x:f>IF(A61="","",IF('评分规则'!$B$3="新站",IF(F61&lt;=10,15,IF(F61&lt;=20,12,IF(F61&lt;=35,8,IF(F61&lt;=50,4,1)))),IF('评分规则'!$B$3="成长期",IF(F61&lt;=20,15,IF(F61&lt;=35,12,IF(F61&lt;=50,8,IF(F61&lt;=70,4,1)))),IF(F61&lt;=35,15,IF(F61&lt;=50,12,IF(F61&lt;=70,8,IF(F61&lt;=85,4,1)))))))</x:f>
      </x:c>
      <x:c r="V61" t="str">
        <x:f>IF(A61="","",ROUND((J61*0.45+K61*0.30+L61*0.25)*4,1))</x:f>
      </x:c>
      <x:c r="W61" t="str">
        <x:f>IF(A61="","",ROUND((M61*0.60+N61*0.40)*3,1))</x:f>
      </x:c>
      <x:c r="X61" t="str">
        <x:f>IF(A61="","",XLOOKUP(I61,'评分规则'!$D$12:$D$21,'评分规则'!$F$12:$F$21,0))</x:f>
      </x:c>
      <x:c r="Y61" t="str">
        <x:f>IF(A61="","",O61)</x:f>
      </x:c>
      <x:c r="Z61" t="str">
        <x:f>IF(A61="","",SUM(S61:Y61))</x:f>
      </x:c>
      <x:c r="AA61" t="str">
        <x:f>IF(A61="","",IF(Z61&gt;=75,"P0",IF(Z61&gt;=60,"P1",IF(Z61&gt;=45,"P2","P3"))))</x:f>
      </x:c>
      <x:c r="AB61" t="str">
        <x:f>IF(A61="","",XLOOKUP(AA61,'评分规则'!$H$12:$H$15,'评分规则'!$I$12:$I$15,""))</x:f>
      </x:c>
      <x:c r="AC61" t="str">
        <x:f>IF(A61="","",XLOOKUP(I61,'评分规则'!$D$12:$D$21,'评分规则'!$E$12:$E$21,"人工判断"))</x:f>
      </x:c>
      <x:c r="AD61" t="str">
        <x:f>IF(A61="","","/"&amp;LOWER(SUBSTITUTE(SUBSTITUTE(SUBSTITUTE(A61," / ","-")," ","-"),"+",""))&amp;"/")</x:f>
      </x:c>
    </x:row>
  </x:sheetData>
  <x:conditionalFormatting sqref="Z2:Z61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AA2:AA61">
    <x:cfRule type="containsText" dxfId="0" priority="2" operator="containsText" text="P0"/>
    <x:cfRule type="containsText" dxfId="1" priority="3" operator="containsText" text="P3"/>
  </x:conditionalFormatting>
  <x:dataValidations count="4">
    <x:dataValidation type="list" sqref="G2:G61">
      <x:formula1>"Transactional,Commercial,Mixed,Informational,Local,Navigational"</x:formula1>
    </x:dataValidation>
    <x:dataValidation type="list" sqref="H2:H61">
      <x:formula1>"Product,Category,Collection,Guide,Comparison,FAQ,Home,Marketplace,Mixed,Article"</x:formula1>
    </x:dataValidation>
    <x:dataValidation type="list" sqref="I2:I61">
      <x:formula1>"核心类目词,属性类目词,产品词,SKU/型号词,Best/Top词,比较词,问题词,品牌词,场景词,B2B解决方案词"</x:formula1>
    </x:dataValidation>
    <x:dataValidation type="whole" operator="between" sqref="J2:O61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e145c40b42a48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5" hidden="0" customWidth="1"/>
    <x:col min="3" max="3" width="23" hidden="0" customWidth="1"/>
    <x:col min="4" max="4" width="22" hidden="0" customWidth="1"/>
    <x:col min="5" max="5" width="28" hidden="0" customWidth="1"/>
    <x:col min="6" max="6" width="12" hidden="0" customWidth="1"/>
    <x:col min="7" max="7" width="23" hidden="0" customWidth="1"/>
    <x:col min="8" max="8" width="24" hidden="0" customWidth="1"/>
    <x:col min="9" max="9" width="24" hidden="0" customWidth="1"/>
  </x:cols>
  <x:sheetData>
    <x:row r="1">
      <x:c r="A1" s="24" t="str">
        <x:v>评分规则与映射表</x:v>
      </x:c>
    </x:row>
    <x:row r="3">
      <x:c r="A3" s="29" t="str">
        <x:v>当前站点阶段</x:v>
      </x:c>
      <x:c r="B3" s="31" t="str">
        <x:v>新站</x:v>
      </x:c>
    </x:row>
    <x:row r="4">
      <x:c r="A4" s="18" t="str">
        <x:v>新站 KD机会分</x:v>
      </x:c>
      <x:c r="B4" s="19" t="str">
        <x:v>KD&lt;=10:15, &lt;=20:12, &lt;=35:8, &lt;=50:4, &gt;50:1</x:v>
      </x:c>
    </x:row>
    <x:row r="5">
      <x:c r="A5" s="20" t="str">
        <x:v>成长期 KD机会分</x:v>
      </x:c>
      <x:c r="B5" s="21" t="str">
        <x:v>KD&lt;=20:15, &lt;=35:12, &lt;=50:8, &lt;=70:4, &gt;70:1</x:v>
      </x:c>
    </x:row>
    <x:row r="6">
      <x:c r="A6" s="20" t="str">
        <x:v>权威站 KD机会分</x:v>
      </x:c>
      <x:c r="B6" s="21" t="str">
        <x:v>KD&lt;=35:15, &lt;=50:12, &lt;=70:8, &lt;=85:4, &gt;85:1</x:v>
      </x:c>
    </x:row>
    <x:row r="7">
      <x:c r="A7" s="20" t="str">
        <x:v>评分总分</x:v>
      </x:c>
      <x:c r="B7" s="21" t="str">
        <x:v>100分：意图20 + 需求15 + KD机会15 + 业务20 + 页面可做15 + 架构10 + 数据置信5</x:v>
      </x:c>
    </x:row>
    <x:row r="8">
      <x:c r="A8" s="22" t="str">
        <x:v>建议</x:v>
      </x:c>
      <x:c r="B8" s="23" t="str">
        <x:v>先用工具筛，再用 SERP 校正，最后用业务价值决定是否建页。</x:v>
      </x:c>
    </x:row>
    <x:row r="11">
      <x:c r="A11" s="9" t="str">
        <x:v>搜索意图</x:v>
      </x:c>
      <x:c r="B11" s="10" t="str">
        <x:v>意图分</x:v>
      </x:c>
      <x:c r="D11" s="9" t="str">
        <x:v>关键词类型</x:v>
      </x:c>
      <x:c r="E11" s="33" t="str">
        <x:v>建议页面类型</x:v>
      </x:c>
      <x:c r="F11" s="10" t="str">
        <x:v>架构分</x:v>
      </x:c>
      <x:c r="H11" s="9" t="str">
        <x:v>优先级</x:v>
      </x:c>
      <x:c r="I11" s="10" t="str">
        <x:v>动作建议</x:v>
      </x:c>
    </x:row>
    <x:row r="12">
      <x:c r="A12" s="18" t="str">
        <x:v>Transactional</x:v>
      </x:c>
      <x:c r="B12" s="19" t="n">
        <x:v>20</x:v>
      </x:c>
      <x:c r="D12" s="18" t="str">
        <x:v>核心类目词</x:v>
      </x:c>
      <x:c r="E12" s="36" t="str">
        <x:v>分类页/集合页</x:v>
      </x:c>
      <x:c r="F12" s="19" t="n">
        <x:v>10</x:v>
      </x:c>
      <x:c r="H12" s="18" t="str">
        <x:v>P0</x:v>
      </x:c>
      <x:c r="I12" s="19" t="str">
        <x:v>立即建页或重点优化</x:v>
      </x:c>
    </x:row>
    <x:row r="13">
      <x:c r="A13" s="20" t="str">
        <x:v>Commercial</x:v>
      </x:c>
      <x:c r="B13" s="21" t="n">
        <x:v>17</x:v>
      </x:c>
      <x:c r="D13" s="20" t="str">
        <x:v>属性类目词</x:v>
      </x:c>
      <x:c r="E13" s="37" t="str">
        <x:v>可索引筛选集合页</x:v>
      </x:c>
      <x:c r="F13" s="21" t="n">
        <x:v>9</x:v>
      </x:c>
      <x:c r="H13" s="20" t="str">
        <x:v>P1</x:v>
      </x:c>
      <x:c r="I13" s="21" t="str">
        <x:v>进入本轮内容/页面规划</x:v>
      </x:c>
    </x:row>
    <x:row r="14">
      <x:c r="A14" s="20" t="str">
        <x:v>Mixed</x:v>
      </x:c>
      <x:c r="B14" s="21" t="n">
        <x:v>14</x:v>
      </x:c>
      <x:c r="D14" s="20" t="str">
        <x:v>产品词</x:v>
      </x:c>
      <x:c r="E14" s="37" t="str">
        <x:v>商品详情页</x:v>
      </x:c>
      <x:c r="F14" s="21" t="n">
        <x:v>8</x:v>
      </x:c>
      <x:c r="H14" s="20" t="str">
        <x:v>P2</x:v>
      </x:c>
      <x:c r="I14" s="21" t="str">
        <x:v>放入FAQ、段落、内链或后续批次</x:v>
      </x:c>
    </x:row>
    <x:row r="15">
      <x:c r="A15" s="20" t="str">
        <x:v>Informational</x:v>
      </x:c>
      <x:c r="B15" s="21" t="n">
        <x:v>10</x:v>
      </x:c>
      <x:c r="D15" s="20" t="str">
        <x:v>SKU/型号词</x:v>
      </x:c>
      <x:c r="E15" s="37" t="str">
        <x:v>商品详情页</x:v>
      </x:c>
      <x:c r="F15" s="21" t="n">
        <x:v>8</x:v>
      </x:c>
      <x:c r="H15" s="22" t="str">
        <x:v>P3</x:v>
      </x:c>
      <x:c r="I15" s="23" t="str">
        <x:v>暂缓，仅保留观察</x:v>
      </x:c>
    </x:row>
    <x:row r="16">
      <x:c r="A16" s="20" t="str">
        <x:v>Local</x:v>
      </x:c>
      <x:c r="B16" s="21" t="n">
        <x:v>8</x:v>
      </x:c>
      <x:c r="D16" s="20" t="str">
        <x:v>Best/Top词</x:v>
      </x:c>
      <x:c r="E16" s="37" t="str">
        <x:v>专题集合页/购买指南</x:v>
      </x:c>
      <x:c r="F16" s="21" t="n">
        <x:v>7</x:v>
      </x:c>
    </x:row>
    <x:row r="17">
      <x:c r="A17" s="22" t="str">
        <x:v>Navigational</x:v>
      </x:c>
      <x:c r="B17" s="23" t="n">
        <x:v>5</x:v>
      </x:c>
      <x:c r="D17" s="20" t="str">
        <x:v>比较词</x:v>
      </x:c>
      <x:c r="E17" s="37" t="str">
        <x:v>对比页/导购文章</x:v>
      </x:c>
      <x:c r="F17" s="21" t="n">
        <x:v>7</x:v>
      </x:c>
    </x:row>
    <x:row r="18">
      <x:c r="D18" s="20" t="str">
        <x:v>问题词</x:v>
      </x:c>
      <x:c r="E18" s="37" t="str">
        <x:v>博客/FAQ/帮助中心</x:v>
      </x:c>
      <x:c r="F18" s="21" t="n">
        <x:v>5</x:v>
      </x:c>
    </x:row>
    <x:row r="19">
      <x:c r="D19" s="20" t="str">
        <x:v>品牌词</x:v>
      </x:c>
      <x:c r="E19" s="37" t="str">
        <x:v>品牌页/信任页</x:v>
      </x:c>
      <x:c r="F19" s="21" t="n">
        <x:v>5</x:v>
      </x:c>
    </x:row>
    <x:row r="20">
      <x:c r="D20" s="20" t="str">
        <x:v>场景词</x:v>
      </x:c>
      <x:c r="E20" s="37" t="str">
        <x:v>专题集合页</x:v>
      </x:c>
      <x:c r="F20" s="21" t="n">
        <x:v>7</x:v>
      </x:c>
    </x:row>
    <x:row r="21">
      <x:c r="D21" s="22" t="str">
        <x:v>B2B解决方案词</x:v>
      </x:c>
      <x:c r="E21" s="38" t="str">
        <x:v>解决方案页</x:v>
      </x:c>
      <x:c r="F21" s="23" t="n">
        <x:v>8</x:v>
      </x:c>
    </x:row>
    <x:row r="24">
      <x:c r="A24" s="9" t="str">
        <x:v>瑜东视频里可见的关键词表字段</x:v>
      </x:c>
      <x:c r="B24" s="33" t="str">
        <x:v>含义</x:v>
      </x:c>
      <x:c r="C24" s="33" t="str">
        <x:v>2C迁移</x:v>
      </x:c>
      <x:c r="D24" s="10" t="str">
        <x:v>备注</x:v>
      </x:c>
    </x:row>
    <x:row r="25">
      <x:c r="A25" s="18" t="str">
        <x:v>Keyword</x:v>
      </x:c>
      <x:c r="B25" s="36" t="str">
        <x:v>原始关键词</x:v>
      </x:c>
      <x:c r="C25" s="36" t="str">
        <x:v>保留</x:v>
      </x:c>
      <x:c r="D25" s="19" t="str">
        <x:v>来自 Ahrefs/Semrush/GSC/SERP 扩展</x:v>
      </x:c>
    </x:row>
    <x:row r="26">
      <x:c r="A26" s="20" t="str">
        <x:v>Volume</x:v>
      </x:c>
      <x:c r="B26" s="37" t="str">
        <x:v>月搜索量</x:v>
      </x:c>
      <x:c r="C26" s="37" t="str">
        <x:v>保留</x:v>
      </x:c>
      <x:c r="D26" s="21" t="str">
        <x:v>零搜索量不一定删除，但需要更强业务理由</x:v>
      </x:c>
    </x:row>
    <x:row r="27">
      <x:c r="A27" s="20" t="str">
        <x:v>CPC</x:v>
      </x:c>
      <x:c r="B27" s="37" t="str">
        <x:v>广告点击成本</x:v>
      </x:c>
      <x:c r="C27" s="37" t="str">
        <x:v>保留</x:v>
      </x:c>
      <x:c r="D27" s="21" t="str">
        <x:v>2C 可作为购买意图强弱的辅助信号</x:v>
      </x:c>
    </x:row>
    <x:row r="28">
      <x:c r="A28" s="20" t="str">
        <x:v>搜索意图</x:v>
      </x:c>
      <x:c r="B28" s="37" t="str">
        <x:v>交易/商业调研/信息/地域</x:v>
      </x:c>
      <x:c r="C28" s="37" t="str">
        <x:v>保留并人工校正</x:v>
      </x:c>
      <x:c r="D28" s="21" t="str">
        <x:v>以 Google 首页真实页面类型为准</x:v>
      </x:c>
    </x:row>
    <x:row r="29">
      <x:c r="A29" s="20" t="str">
        <x:v>产品分类</x:v>
      </x:c>
      <x:c r="B29" s="37" t="str">
        <x:v>映射到产品/服务类目</x:v>
      </x:c>
      <x:c r="C29" s="37" t="str">
        <x:v>改成类目/属性/场景/SKU</x:v>
      </x:c>
      <x:c r="D29" s="21" t="str">
        <x:v>这是定页面的核心</x:v>
      </x:c>
    </x:row>
    <x:row r="30">
      <x:c r="A30" s="20" t="str">
        <x:v>业务价值</x:v>
      </x:c>
      <x:c r="B30" s="37" t="str">
        <x:v>高/中/低</x:v>
      </x:c>
      <x:c r="C30" s="37" t="str">
        <x:v>改成产品匹配、利润、库存三项</x:v>
      </x:c>
      <x:c r="D30" s="21" t="str">
        <x:v>2C 不能只看询盘价值</x:v>
      </x:c>
    </x:row>
    <x:row r="31">
      <x:c r="A31" s="22" t="str">
        <x:v>内容策略</x:v>
      </x:c>
      <x:c r="B31" s="38" t="str">
        <x:v>产品页/落地页/文章/FAQ</x:v>
      </x:c>
      <x:c r="C31" s="38" t="str">
        <x:v>改成集合页、商品页、导购、FAQ</x:v>
      </x:c>
      <x:c r="D31" s="23" t="str">
        <x:v>页面类型服从 SERP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2" hidden="0" customWidth="1"/>
    <x:col min="11" max="11" width="42" hidden="0" customWidth="1"/>
  </x:cols>
  <x:sheetData>
    <x:row r="1">
      <x:c r="A1" s="9" t="str">
        <x:v>层级</x:v>
      </x:c>
      <x:c r="B1" s="33" t="str">
        <x:v>页面名称</x:v>
      </x:c>
      <x:c r="C1" s="33" t="str">
        <x:v>主关键词</x:v>
      </x:c>
      <x:c r="D1" s="33" t="str">
        <x:v>URL路径</x:v>
      </x:c>
      <x:c r="E1" s="33" t="str">
        <x:v>父页面</x:v>
      </x:c>
      <x:c r="F1" s="33" t="str">
        <x:v>页面类型</x:v>
      </x:c>
      <x:c r="G1" s="33" t="str">
        <x:v>搜索意图</x:v>
      </x:c>
      <x:c r="H1" s="33" t="str">
        <x:v>建议优先级</x:v>
      </x:c>
      <x:c r="I1" s="33" t="str">
        <x:v>审计状态</x:v>
      </x:c>
      <x:c r="J1" s="33" t="str">
        <x:v>内容要求</x:v>
      </x:c>
      <x:c r="K1" s="10" t="str">
        <x:v>内链目标</x:v>
      </x:c>
    </x:row>
    <x:row r="2">
      <x:c r="A2" t="str">
        <x:v>L1</x:v>
      </x:c>
      <x:c r="B2" t="str">
        <x:v>Silk Pillowcase</x:v>
      </x:c>
      <x:c r="C2" t="str">
        <x:v>silk pillowcase</x:v>
      </x:c>
      <x:c r="D2" t="str">
        <x:v>/silk-pillowcase/</x:v>
      </x:c>
      <x:c r="E2" t="str">
        <x:v>-</x:v>
      </x:c>
      <x:c r="F2" t="str">
        <x:v>分类页/集合页</x:v>
      </x:c>
      <x:c r="G2" t="str">
        <x:v>Commercial</x:v>
      </x:c>
      <x:c r="H2" t="str">
        <x:v>P0</x:v>
      </x:c>
      <x:c r="I2" t="str">
        <x:v>Draft</x:v>
      </x:c>
      <x:c r="J2" t="str">
        <x:v>类目介绍、材质、尺寸、评价、FAQ、商品网格</x:v>
      </x:c>
      <x:c r="K2" t="str">
        <x:v>商品页、导购页、清洗指南</x:v>
      </x:c>
    </x:row>
    <x:row r="3">
      <x:c r="A3" t="str">
        <x:v>L2</x:v>
      </x:c>
      <x:c r="B3" t="str">
        <x:v>Mulberry Silk Pillowcase</x:v>
      </x:c>
      <x:c r="C3" t="str">
        <x:v>mulberry silk pillowcase</x:v>
      </x:c>
      <x:c r="D3" t="str">
        <x:v>/silk-pillowcase/mulberry-silk/</x:v>
      </x:c>
      <x:c r="E3" t="str">
        <x:v>Silk Pillowcase</x:v>
      </x:c>
      <x:c r="F3" t="str">
        <x:v>可索引筛选集合页</x:v>
      </x:c>
      <x:c r="G3" t="str">
        <x:v>Commercial</x:v>
      </x:c>
      <x:c r="H3" t="str">
        <x:v>P0</x:v>
      </x:c>
      <x:c r="I3" t="str">
        <x:v>Draft</x:v>
      </x:c>
      <x:c r="J3" t="str">
        <x:v>解释材质差异、产品集合、评价、FAQ</x:v>
      </x:c>
      <x:c r="K3" t="str">
        <x:v>Silk Pillowcase 主类目</x:v>
      </x:c>
    </x:row>
    <x:row r="4">
      <x:c r="A4" t="str">
        <x:v>L2</x:v>
      </x:c>
      <x:c r="B4" t="str">
        <x:v>Queen Silk Pillowcase</x:v>
      </x:c>
      <x:c r="C4" t="str">
        <x:v>queen silk pillowcase</x:v>
      </x:c>
      <x:c r="D4" t="str">
        <x:v>/silk-pillowcase/queen-size/</x:v>
      </x:c>
      <x:c r="E4" t="str">
        <x:v>Silk Pillowcase</x:v>
      </x:c>
      <x:c r="F4" t="str">
        <x:v>可索引筛选集合页</x:v>
      </x:c>
      <x:c r="G4" t="str">
        <x:v>Transactional</x:v>
      </x:c>
      <x:c r="H4" t="str">
        <x:v>P1</x:v>
      </x:c>
      <x:c r="I4" t="str">
        <x:v>Draft</x:v>
      </x:c>
      <x:c r="J4" t="str">
        <x:v>尺寸筛选、库存足够时索引</x:v>
      </x:c>
      <x:c r="K4" t="str">
        <x:v>Silk Pillowcase 主类目</x:v>
      </x:c>
    </x:row>
    <x:row r="5">
      <x:c r="A5" t="str">
        <x:v>L2</x:v>
      </x:c>
      <x:c r="B5" t="str">
        <x:v>Pink Silk Pillowcase</x:v>
      </x:c>
      <x:c r="C5" t="str">
        <x:v>pink silk pillowcase</x:v>
      </x:c>
      <x:c r="D5" t="str">
        <x:v>/silk-pillowcase/pink/</x:v>
      </x:c>
      <x:c r="E5" t="str">
        <x:v>Silk Pillowcase</x:v>
      </x:c>
      <x:c r="F5" t="str">
        <x:v>可索引筛选集合页</x:v>
      </x:c>
      <x:c r="G5" t="str">
        <x:v>Transactional</x:v>
      </x:c>
      <x:c r="H5" t="str">
        <x:v>P1</x:v>
      </x:c>
      <x:c r="I5" t="str">
        <x:v>Draft</x:v>
      </x:c>
      <x:c r="J5" t="str">
        <x:v>颜色页，商品少时先 noindex 或合并</x:v>
      </x:c>
      <x:c r="K5" t="str">
        <x:v>Silk Pillowcase 主类目</x:v>
      </x:c>
    </x:row>
    <x:row r="6">
      <x:c r="A6" t="str">
        <x:v>L1</x:v>
      </x:c>
      <x:c r="B6" t="str">
        <x:v>Silk Eye Mask</x:v>
      </x:c>
      <x:c r="C6" t="str">
        <x:v>silk eye mask</x:v>
      </x:c>
      <x:c r="D6" t="str">
        <x:v>/silk-eye-mask/</x:v>
      </x:c>
      <x:c r="E6" t="str">
        <x:v>-</x:v>
      </x:c>
      <x:c r="F6" t="str">
        <x:v>分类页/集合页</x:v>
      </x:c>
      <x:c r="G6" t="str">
        <x:v>Commercial</x:v>
      </x:c>
      <x:c r="H6" t="str">
        <x:v>P0</x:v>
      </x:c>
      <x:c r="I6" t="str">
        <x:v>Draft</x:v>
      </x:c>
      <x:c r="J6" t="str">
        <x:v>类目页，突出使用场景、睡眠、旅行、礼品</x:v>
      </x:c>
      <x:c r="K6" t="str">
        <x:v>商品页、旅行专题</x:v>
      </x:c>
    </x:row>
    <x:row r="7">
      <x:c r="A7" t="str">
        <x:v>L2</x:v>
      </x:c>
      <x:c r="B7" t="str">
        <x:v>Travel Silk Eye Mask</x:v>
      </x:c>
      <x:c r="C7" t="str">
        <x:v>travel silk eye mask</x:v>
      </x:c>
      <x:c r="D7" t="str">
        <x:v>/silk-eye-mask/travel/</x:v>
      </x:c>
      <x:c r="E7" t="str">
        <x:v>Silk Eye Mask</x:v>
      </x:c>
      <x:c r="F7" t="str">
        <x:v>专题集合页</x:v>
      </x:c>
      <x:c r="G7" t="str">
        <x:v>Transactional</x:v>
      </x:c>
      <x:c r="H7" t="str">
        <x:v>P1</x:v>
      </x:c>
      <x:c r="I7" t="str">
        <x:v>Draft</x:v>
      </x:c>
      <x:c r="J7" t="str">
        <x:v>旅行场景集合页，强调便携和遮光</x:v>
      </x:c>
      <x:c r="K7" t="str">
        <x:v>Silk Eye Mask 主类目</x:v>
      </x:c>
    </x:row>
    <x:row r="8">
      <x:c r="A8" t="str">
        <x:v>L1</x:v>
      </x:c>
      <x:c r="B8" t="str">
        <x:v>Silk Hair Scrunchies</x:v>
      </x:c>
      <x:c r="C8" t="str">
        <x:v>silk hair scrunchies</x:v>
      </x:c>
      <x:c r="D8" t="str">
        <x:v>/silk-scrunchies/</x:v>
      </x:c>
      <x:c r="E8" t="str">
        <x:v>-</x:v>
      </x:c>
      <x:c r="F8" t="str">
        <x:v>分类页/集合页</x:v>
      </x:c>
      <x:c r="G8" t="str">
        <x:v>Commercial</x:v>
      </x:c>
      <x:c r="H8" t="str">
        <x:v>P0</x:v>
      </x:c>
      <x:c r="I8" t="str">
        <x:v>Draft</x:v>
      </x:c>
      <x:c r="J8" t="str">
        <x:v>类目页，强调不扯发、礼盒、颜色组合</x:v>
      </x:c>
      <x:c r="K8" t="str">
        <x:v>商品页</x:v>
      </x:c>
    </x:row>
    <x:row r="9">
      <x:c r="A9" t="str">
        <x:v>Blog</x:v>
      </x:c>
      <x:c r="B9" t="str">
        <x:v>Best Silk Pillowcase for Hair</x:v>
      </x:c>
      <x:c r="C9" t="str">
        <x:v>best silk pillowcase for hair</x:v>
      </x:c>
      <x:c r="D9" t="str">
        <x:v>/blog/best-silk-pillowcase-for-hair/</x:v>
      </x:c>
      <x:c r="E9" t="str">
        <x:v>Silk Pillowcase</x:v>
      </x:c>
      <x:c r="F9" t="str">
        <x:v>购买指南</x:v>
      </x:c>
      <x:c r="G9" t="str">
        <x:v>Commercial</x:v>
      </x:c>
      <x:c r="H9" t="str">
        <x:v>P1</x:v>
      </x:c>
      <x:c r="I9" t="str">
        <x:v>Draft</x:v>
      </x:c>
      <x:c r="J9" t="str">
        <x:v>榜单/选购标准/推荐商品/FAQ</x:v>
      </x:c>
      <x:c r="K9" t="str">
        <x:v>Silk Pillowcase 分类页</x:v>
      </x:c>
    </x:row>
    <x:row r="10">
      <x:c r="A10" t="str">
        <x:v>Blog</x:v>
      </x:c>
      <x:c r="B10" t="str">
        <x:v>Silk Pillowcase vs Satin</x:v>
      </x:c>
      <x:c r="C10" t="str">
        <x:v>silk pillowcase vs satin</x:v>
      </x:c>
      <x:c r="D10" t="str">
        <x:v>/blog/silk-pillowcase-vs-satin/</x:v>
      </x:c>
      <x:c r="E10" t="str">
        <x:v>Silk Pillowcase</x:v>
      </x:c>
      <x:c r="F10" t="str">
        <x:v>对比文章</x:v>
      </x:c>
      <x:c r="G10" t="str">
        <x:v>Commercial</x:v>
      </x:c>
      <x:c r="H10" t="str">
        <x:v>P1</x:v>
      </x:c>
      <x:c r="I10" t="str">
        <x:v>Draft</x:v>
      </x:c>
      <x:c r="J10" t="str">
        <x:v>对比表、材质证据、购买建议</x:v>
      </x:c>
      <x:c r="K10" t="str">
        <x:v>Silk Pillowcase 分类页</x:v>
      </x:c>
    </x:row>
    <x:row r="11">
      <x:c r="A11" t="str">
        <x:v>Help</x:v>
      </x:c>
      <x:c r="B11" t="str">
        <x:v>How to Wash Silk Pillowcase</x:v>
      </x:c>
      <x:c r="C11" t="str">
        <x:v>how to wash silk pillowcase</x:v>
      </x:c>
      <x:c r="D11" t="str">
        <x:v>/help/how-to-wash-silk-pillowcase/</x:v>
      </x:c>
      <x:c r="E11" t="str">
        <x:v>Silk Pillowcase</x:v>
      </x:c>
      <x:c r="F11" t="str">
        <x:v>帮助/FAQ</x:v>
      </x:c>
      <x:c r="G11" t="str">
        <x:v>Informational</x:v>
      </x:c>
      <x:c r="H11" t="str">
        <x:v>P2</x:v>
      </x:c>
      <x:c r="I11" t="str">
        <x:v>Draft</x:v>
      </x:c>
      <x:c r="J11" t="str">
        <x:v>护理步骤、禁忌、售后链接</x:v>
      </x:c>
      <x:c r="K11" t="str">
        <x:v>Silk Pillowcase 商品页</x:v>
      </x:c>
    </x:row>
    <x:row r="12">
      <x:c r="A12" t="str">
        <x:v>L2</x:v>
      </x:c>
      <x:c r="B12" t="str">
        <x:v>Silk Pillowcase Set</x:v>
      </x:c>
      <x:c r="C12" t="str">
        <x:v>silk pillowcase set</x:v>
      </x:c>
      <x:c r="D12" t="str">
        <x:v>/silk-pillowcase/sets/</x:v>
      </x:c>
      <x:c r="E12" t="str">
        <x:v>Silk Pillowcase</x:v>
      </x:c>
      <x:c r="F12" t="str">
        <x:v>集合页/商品页</x:v>
      </x:c>
      <x:c r="G12" t="str">
        <x:v>Transactional</x:v>
      </x:c>
      <x:c r="H12" t="str">
        <x:v>P1</x:v>
      </x:c>
      <x:c r="I12" t="str">
        <x:v>Draft</x:v>
      </x:c>
      <x:c r="J12" t="str">
        <x:v>套装商品、优惠、搭配购买</x:v>
      </x:c>
      <x:c r="K12" t="str">
        <x:v>购物车促销/相关商品</x:v>
      </x:c>
    </x:row>
    <x:row r="13">
      <x:c r="A13" t="str">
        <x:v>Observe</x:v>
      </x:c>
      <x:c r="B13" t="str">
        <x:v>Silk Pillowcase Amazon</x:v>
      </x:c>
      <x:c r="C13" t="str">
        <x:v>silk pillowcase amazon</x:v>
      </x:c>
      <x:c r="D13" t="str"/>
      <x:c r="E13" t="str">
        <x:v>-</x:v>
      </x:c>
      <x:c r="F13" t="str">
        <x:v>暂缓</x:v>
      </x:c>
      <x:c r="G13" t="str">
        <x:v>Navigational</x:v>
      </x:c>
      <x:c r="H13" t="str">
        <x:v>P3</x:v>
      </x:c>
      <x:c r="I13" t="str">
        <x:v>Hold</x:v>
      </x:c>
      <x:c r="J13" t="str">
        <x:v>SERP偏平台，不作为优先页面</x:v>
      </x:c>
      <x:c r="K13" t="str">
        <x:v>无</x:v>
      </x:c>
    </x:row>
  </x:sheetData>
  <x:pageMargins left="0.7" right="0.7" top="0.75" bottom="0.75" header="0.3" footer="0.3"/>
  <x:tableParts count="1">
    <x:tablePart xmlns:r="http://schemas.openxmlformats.org/officeDocument/2006/relationships" r:id="R7e1ba22751bc4b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</x:cols>
  <x:sheetData>
    <x:row r="1">
      <x:c r="A1" s="9" t="str">
        <x:v>Cluster</x:v>
      </x:c>
      <x:c r="B1" s="33" t="str">
        <x:v>Supporting Keyword</x:v>
      </x:c>
      <x:c r="C1" s="33" t="str">
        <x:v>内容类型</x:v>
      </x:c>
      <x:c r="D1" s="33" t="str">
        <x:v>用户问题</x:v>
      </x:c>
      <x:c r="E1" s="33" t="str">
        <x:v>页面目标</x:v>
      </x:c>
      <x:c r="F1" s="33" t="str">
        <x:v>CTA/内链</x:v>
      </x:c>
      <x:c r="G1" s="33" t="str">
        <x:v>发布阶段</x:v>
      </x:c>
      <x:c r="H1" s="33" t="str">
        <x:v>状态</x:v>
      </x:c>
      <x:c r="I1" s="10" t="str">
        <x:v>需要的证据/素材</x:v>
      </x:c>
    </x:row>
    <x:row r="2">
      <x:c r="A2" t="str">
        <x:v>Silk Pillowcase</x:v>
      </x:c>
      <x:c r="B2" t="str">
        <x:v>best silk pillowcase for hair</x:v>
      </x:c>
      <x:c r="C2" t="str">
        <x:v>购买指南</x:v>
      </x:c>
      <x:c r="D2" t="str">
        <x:v>用户想知道哪种枕套对头发更好</x:v>
      </x:c>
      <x:c r="E2" t="str">
        <x:v>商业调研转化</x:v>
      </x:c>
      <x:c r="F2" t="str">
        <x:v>链接到 /silk-pillowcase/</x:v>
      </x:c>
      <x:c r="G2" t="str">
        <x:v>第1批</x:v>
      </x:c>
      <x:c r="H2" t="str">
        <x:v>Draft</x:v>
      </x:c>
      <x:c r="I2" t="str">
        <x:v>材质、momme、评价、前后对比</x:v>
      </x:c>
    </x:row>
    <x:row r="3">
      <x:c r="A3" t="str">
        <x:v>Silk Pillowcase</x:v>
      </x:c>
      <x:c r="B3" t="str">
        <x:v>silk pillowcase vs satin</x:v>
      </x:c>
      <x:c r="C3" t="str">
        <x:v>对比文章</x:v>
      </x:c>
      <x:c r="D3" t="str">
        <x:v>用户在真丝和缎面之间比较</x:v>
      </x:c>
      <x:c r="E3" t="str">
        <x:v>解释差异并导购</x:v>
      </x:c>
      <x:c r="F3" t="str">
        <x:v>链接到类目页和热卖商品</x:v>
      </x:c>
      <x:c r="G3" t="str">
        <x:v>第1批</x:v>
      </x:c>
      <x:c r="H3" t="str">
        <x:v>Draft</x:v>
      </x:c>
      <x:c r="I3" t="str">
        <x:v>材质定义、价格、耐用性、护理</x:v>
      </x:c>
    </x:row>
    <x:row r="4">
      <x:c r="A4" t="str">
        <x:v>Silk Pillowcase</x:v>
      </x:c>
      <x:c r="B4" t="str">
        <x:v>how to wash silk pillowcase</x:v>
      </x:c>
      <x:c r="C4" t="str">
        <x:v>帮助/FAQ</x:v>
      </x:c>
      <x:c r="D4" t="str">
        <x:v>用户想知道如何护理</x:v>
      </x:c>
      <x:c r="E4" t="str">
        <x:v>降低售后疑虑</x:v>
      </x:c>
      <x:c r="F4" t="str">
        <x:v>链接到商品页和护理用品</x:v>
      </x:c>
      <x:c r="G4" t="str">
        <x:v>第2批</x:v>
      </x:c>
      <x:c r="H4" t="str">
        <x:v>Draft</x:v>
      </x:c>
      <x:c r="I4" t="str">
        <x:v>洗涤说明、图片、短视频</x:v>
      </x:c>
    </x:row>
    <x:row r="5">
      <x:c r="A5" t="str">
        <x:v>Silk Eye Mask</x:v>
      </x:c>
      <x:c r="B5" t="str">
        <x:v>travel silk eye mask</x:v>
      </x:c>
      <x:c r="C5" t="str">
        <x:v>场景页</x:v>
      </x:c>
      <x:c r="D5" t="str">
        <x:v>旅行时需要遮光和便携</x:v>
      </x:c>
      <x:c r="E5" t="str">
        <x:v>场景转化</x:v>
      </x:c>
      <x:c r="F5" t="str">
        <x:v>链接到眼罩分类页</x:v>
      </x:c>
      <x:c r="G5" t="str">
        <x:v>第1批</x:v>
      </x:c>
      <x:c r="H5" t="str">
        <x:v>Draft</x:v>
      </x:c>
      <x:c r="I5" t="str">
        <x:v>场景图、尺寸、收纳袋</x:v>
      </x:c>
    </x:row>
    <x:row r="6">
      <x:c r="A6" t="str">
        <x:v>Silk Accessories</x:v>
      </x:c>
      <x:c r="B6" t="str">
        <x:v>large silk scrunchies</x:v>
      </x:c>
      <x:c r="C6" t="str">
        <x:v>属性集合页</x:v>
      </x:c>
      <x:c r="D6" t="str">
        <x:v>用户找大号发圈</x:v>
      </x:c>
      <x:c r="E6" t="str">
        <x:v>承接属性需求</x:v>
      </x:c>
      <x:c r="F6" t="str">
        <x:v>链接到发圈类目</x:v>
      </x:c>
      <x:c r="G6" t="str">
        <x:v>第2批</x:v>
      </x:c>
      <x:c r="H6" t="str">
        <x:v>Draft</x:v>
      </x:c>
      <x:c r="I6" t="str">
        <x:v>产品数量、颜色、尺寸说明</x:v>
      </x:c>
    </x:row>
    <x:row r="7">
      <x:c r="A7" t="str">
        <x:v>Silk Bonnet</x:v>
      </x:c>
      <x:c r="B7" t="str">
        <x:v>silk bonnet for curly hair</x:v>
      </x:c>
      <x:c r="C7" t="str">
        <x:v>专题集合页</x:v>
      </x:c>
      <x:c r="D7" t="str">
        <x:v>卷发用户找睡帽</x:v>
      </x:c>
      <x:c r="E7" t="str">
        <x:v>场景转化</x:v>
      </x:c>
      <x:c r="F7" t="str">
        <x:v>链接到睡帽商品</x:v>
      </x:c>
      <x:c r="G7" t="str">
        <x:v>第1批</x:v>
      </x:c>
      <x:c r="H7" t="str">
        <x:v>Draft</x:v>
      </x:c>
      <x:c r="I7" t="str">
        <x:v>发质场景、尺码、评价</x:v>
      </x:c>
    </x:row>
    <x:row r="8">
      <x:c r="A8" t="str">
        <x:v>Brand Trust</x:v>
      </x:c>
      <x:c r="B8" t="str">
        <x:v>is mulberry silk worth it</x:v>
      </x:c>
      <x:c r="C8" t="str">
        <x:v>信任内容</x:v>
      </x:c>
      <x:c r="D8" t="str">
        <x:v>用户担心价格是否值得</x:v>
      </x:c>
      <x:c r="E8" t="str">
        <x:v>建立信任</x:v>
      </x:c>
      <x:c r="F8" t="str">
        <x:v>链接到材质说明和类目页</x:v>
      </x:c>
      <x:c r="G8" t="str">
        <x:v>第2批</x:v>
      </x:c>
      <x:c r="H8" t="str">
        <x:v>Draft</x:v>
      </x:c>
      <x:c r="I8" t="str">
        <x:v>证书、材质、生产说明</x:v>
      </x:c>
    </x:row>
    <x:row r="9">
      <x:c r="A9" t="str">
        <x:v>Support</x:v>
      </x:c>
      <x:c r="B9" t="str">
        <x:v>silk pillowcase return policy</x:v>
      </x:c>
      <x:c r="C9" t="str">
        <x:v>帮助页</x:v>
      </x:c>
      <x:c r="D9" t="str">
        <x:v>用户买前看退换货</x:v>
      </x:c>
      <x:c r="E9" t="str">
        <x:v>降低购买阻力</x:v>
      </x:c>
      <x:c r="F9" t="str">
        <x:v>链接到退换货政策</x:v>
      </x:c>
      <x:c r="G9" t="str">
        <x:v>第3批</x:v>
      </x:c>
      <x:c r="H9" t="str">
        <x:v>Draft</x:v>
      </x:c>
      <x:c r="I9" t="str">
        <x:v>政策、时效、流程</x:v>
      </x:c>
    </x:row>
    <x:row r="10">
      <x:c r="A10" t="str">
        <x:v>Comparison</x:v>
      </x:c>
      <x:c r="B10" t="str">
        <x:v>silk pillowcase set vs single</x:v>
      </x:c>
      <x:c r="C10" t="str">
        <x:v>对比/FAQ</x:v>
      </x:c>
      <x:c r="D10" t="str">
        <x:v>用户选择单只还是套装</x:v>
      </x:c>
      <x:c r="E10" t="str">
        <x:v>提升客单价</x:v>
      </x:c>
      <x:c r="F10" t="str">
        <x:v>链接到套装页</x:v>
      </x:c>
      <x:c r="G10" t="str">
        <x:v>第2批</x:v>
      </x:c>
      <x:c r="H10" t="str">
        <x:v>Draft</x:v>
      </x:c>
      <x:c r="I10" t="str">
        <x:v>价格、礼品场景、搭配</x:v>
      </x:c>
    </x:row>
    <x:row r="11">
      <x:c r="A11" t="str">
        <x:v>Seasonal</x:v>
      </x:c>
      <x:c r="B11" t="str">
        <x:v>silk gifts for mom</x:v>
      </x:c>
      <x:c r="C11" t="str">
        <x:v>专题集合页</x:v>
      </x:c>
      <x:c r="D11" t="str">
        <x:v>礼品场景</x:v>
      </x:c>
      <x:c r="E11" t="str">
        <x:v>节日转化</x:v>
      </x:c>
      <x:c r="F11" t="str">
        <x:v>链接到礼品集合</x:v>
      </x:c>
      <x:c r="G11" t="str">
        <x:v>第3批</x:v>
      </x:c>
      <x:c r="H11" t="str">
        <x:v>Draft</x:v>
      </x:c>
      <x:c r="I11" t="str">
        <x:v>礼盒、评价、配送时间</x:v>
      </x:c>
    </x:row>
  </x:sheetData>
  <x:pageMargins left="0.7" right="0.7" top="0.75" bottom="0.75" header="0.3" footer="0.3"/>
  <x:tableParts count="1">
    <x:tablePart xmlns:r="http://schemas.openxmlformats.org/officeDocument/2006/relationships" r:id="Re62c60b9f7ef44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8" hidden="0" customWidth="1"/>
    <x:col min="6" max="6" width="38" hidden="0" customWidth="1"/>
  </x:cols>
  <x:sheetData>
    <x:row r="1">
      <x:c r="A1" s="24" t="str">
        <x:v>关键词池摘要</x:v>
      </x:c>
    </x:row>
    <x:row r="3">
      <x:c r="A3" s="29" t="str">
        <x:v>总关键词数</x:v>
      </x:c>
      <x:c r="B3" s="30" t="n">
        <x:f>COUNTA('关键词池'!A2:A61)</x:f>
        <x:v>16</x:v>
      </x:c>
      <x:c r="D3" s="29" t="str">
        <x:v>决策口径</x:v>
      </x:c>
      <x:c r="E3" s="48" t="str">
        <x:v>解释</x:v>
      </x:c>
      <x:c r="F3" s="30" t="str">
        <x:v>落地动作</x:v>
      </x:c>
    </x:row>
    <x:row r="4">
      <x:c r="A4" s="18" t="str">
        <x:v>P0 数量</x:v>
      </x:c>
      <x:c r="B4" s="19" t="n">
        <x:f>COUNTIF('关键词池'!AA2:AA61,"P0")</x:f>
        <x:v>13</x:v>
      </x:c>
      <x:c r="D4" s="18" t="str">
        <x:v>P0</x:v>
      </x:c>
      <x:c r="E4" s="36" t="str">
        <x:v>高意图、高业务匹配、页面可承接</x:v>
      </x:c>
      <x:c r="F4" s="19" t="str">
        <x:v>本轮建页/优化</x:v>
      </x:c>
    </x:row>
    <x:row r="5">
      <x:c r="A5" s="20" t="str">
        <x:v>P1 数量</x:v>
      </x:c>
      <x:c r="B5" s="21" t="n">
        <x:f>COUNTIF('关键词池'!AA2:AA61,"P1")</x:f>
        <x:v>2</x:v>
      </x:c>
      <x:c r="D5" s="20" t="str">
        <x:v>P1</x:v>
      </x:c>
      <x:c r="E5" s="37" t="str">
        <x:v>价值明确但需要补内容或资源</x:v>
      </x:c>
      <x:c r="F5" s="21" t="str">
        <x:v>排入内容计划</x:v>
      </x:c>
    </x:row>
    <x:row r="6">
      <x:c r="A6" s="20" t="str">
        <x:v>平均总分</x:v>
      </x:c>
      <x:c r="B6" s="45" t="n">
        <x:f>AVERAGEIF('关键词池'!Z2:Z61,"&gt;0")</x:f>
        <x:v>78.51249999999999</x:v>
      </x:c>
      <x:c r="D6" s="20" t="str">
        <x:v>P2</x:v>
      </x:c>
      <x:c r="E6" s="37" t="str">
        <x:v>信息型或机会一般</x:v>
      </x:c>
      <x:c r="F6" s="21" t="str">
        <x:v>FAQ/博客/内链</x:v>
      </x:c>
    </x:row>
    <x:row r="7">
      <x:c r="A7" s="20" t="str">
        <x:v>平均 KD</x:v>
      </x:c>
      <x:c r="B7" s="45" t="n">
        <x:f>AVERAGEIF('关键词池'!F2:F61,"&gt;0")</x:f>
        <x:v>25.4375</x:v>
      </x:c>
      <x:c r="D7" s="20" t="str">
        <x:v>P3</x:v>
      </x:c>
      <x:c r="E7" s="37" t="str">
        <x:v>平台意图、低匹配或难度过高</x:v>
      </x:c>
      <x:c r="F7" s="21" t="str">
        <x:v>暂缓观察</x:v>
      </x:c>
    </x:row>
    <x:row r="8">
      <x:c r="A8" s="22" t="str">
        <x:v>平均 CPC</x:v>
      </x:c>
      <x:c r="B8" s="46" t="n">
        <x:f>AVERAGEIF('关键词池'!E2:E61,"&gt;0")</x:f>
        <x:v>1.1468749999999999</x:v>
      </x:c>
      <x:c r="D8" s="22" t="str">
        <x:v>复查</x:v>
      </x:c>
      <x:c r="E8" s="38" t="str">
        <x:v>上线后看 GSC 查询词和排名 URL</x:v>
      </x:c>
      <x:c r="F8" s="23" t="str">
        <x:v>合并/内链/canonical/重写</x:v>
      </x:c>
    </x:row>
  </x:sheetData>
  <x:mergeCells>
    <x:mergeCell ref="A1:G1"/>
  </x:mergeCells>
  <x:pageMargins left="0.7" right="0.7" top="0.75" bottom="0.75" header="0.3" footer="0.3"/>
</x:worksheet>
</file>