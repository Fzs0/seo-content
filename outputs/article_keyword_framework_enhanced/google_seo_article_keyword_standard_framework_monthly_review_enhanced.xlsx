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tables/table6.xml" ContentType="application/vnd.openxmlformats-officedocument.spreadsheetml.table+xml"/>
  <Override PartName="/xl/worksheets/sheet15.xml" ContentType="application/vnd.openxmlformats-officedocument.spreadsheetml.worksheet+xml"/>
  <Override PartName="/xl/tables/table7.xml" ContentType="application/vnd.openxmlformats-officedocument.spreadsheetml.table+xml"/>
  <Override PartName="/xl/worksheets/sheet16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34ced4fe46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骨架" sheetId="1" r:id="R8bdd98a5c986414d"/>
    <x:sheet xmlns:r="http://schemas.openxmlformats.org/officeDocument/2006/relationships" name="网站定位输入卡" sheetId="2" r:id="Rc60ca5efd85440d9"/>
    <x:sheet xmlns:r="http://schemas.openxmlformats.org/officeDocument/2006/relationships" name="AI协作Prompt" sheetId="3" r:id="R2dcfc2b105e846bc"/>
    <x:sheet xmlns:r="http://schemas.openxmlformats.org/officeDocument/2006/relationships" name="使用说明" sheetId="4" r:id="R7390657b3c644c34"/>
    <x:sheet xmlns:r="http://schemas.openxmlformats.org/officeDocument/2006/relationships" name="评分规则" sheetId="5" r:id="R7e824aba5dda4095"/>
    <x:sheet xmlns:r="http://schemas.openxmlformats.org/officeDocument/2006/relationships" name="页面规划" sheetId="6" r:id="R45f961d603fa498b"/>
    <x:sheet xmlns:r="http://schemas.openxmlformats.org/officeDocument/2006/relationships" name="文章关键词池" sheetId="7" r:id="R78016dc8639c4c9e"/>
    <x:sheet xmlns:r="http://schemas.openxmlformats.org/officeDocument/2006/relationships" name="内容日历" sheetId="8" r:id="R0ab54cd677864fd0"/>
    <x:sheet xmlns:r="http://schemas.openxmlformats.org/officeDocument/2006/relationships" name="文章Brief模板" sheetId="9" r:id="R4e3807cab7984d97"/>
    <x:sheet xmlns:r="http://schemas.openxmlformats.org/officeDocument/2006/relationships" name="仪表盘" sheetId="10" r:id="Rb9a0e5b0326345ce"/>
    <x:sheet xmlns:r="http://schemas.openxmlformats.org/officeDocument/2006/relationships" name="数据源中心" sheetId="11" r:id="Rc79f2fa5d7d744ee"/>
    <x:sheet xmlns:r="http://schemas.openxmlformats.org/officeDocument/2006/relationships" name="月度复盘总控" sheetId="12" r:id="R189aad6400b64e2f"/>
    <x:sheet xmlns:r="http://schemas.openxmlformats.org/officeDocument/2006/relationships" name="GSC排名校验" sheetId="13" r:id="R4af18edf1d504a77"/>
    <x:sheet xmlns:r="http://schemas.openxmlformats.org/officeDocument/2006/relationships" name="GA4质量分析" sheetId="14" r:id="Rf6dd2ece88364327"/>
    <x:sheet xmlns:r="http://schemas.openxmlformats.org/officeDocument/2006/relationships" name="月度ActionPlan" sheetId="15" r:id="Rc5609e2b8b974579"/>
    <x:sheet xmlns:r="http://schemas.openxmlformats.org/officeDocument/2006/relationships" name="复盘AI Prompt" sheetId="16" r:id="R3090306741f048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#,##0"/>
    <x:numFmt numFmtId="202" formatCode="0.00"/>
    <x:numFmt numFmtId="203" formatCode="0.0"/>
    <x:numFmt numFmtId="204" formatCode="yyyy-mm-dd"/>
    <x:numFmt numFmtId="205" formatCode="#,##0.0"/>
    <x:numFmt numFmtId="206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72019"/>
      <x:name val="Carlito"/>
    </x:font>
    <x:font>
      <x:b/>
      <x:sz val="11"/>
      <x:color rgb="FF172019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75E45"/>
      </x:patternFill>
    </x:fill>
    <x:fill>
      <x:patternFill patternType="solid">
        <x:fgColor rgb="FFDDEFE5"/>
      </x:patternFill>
    </x:fill>
    <x:fill>
      <x:patternFill patternType="solid">
        <x:fgColor rgb="FFFFF3D3"/>
      </x:patternFill>
    </x:fill>
    <x:fill>
      <x:patternFill patternType="solid">
        <x:fgColor rgb="FFFBFCF9"/>
      </x:patternFill>
    </x:fill>
    <x:fill>
      <x:patternFill patternType="solid">
        <x:fgColor rgb="FFEAF1FF"/>
      </x:patternFill>
    </x:fill>
    <x:fill>
      <x:patternFill patternType="solid">
        <x:fgColor rgb="FF275E45"/>
      </x:patternFill>
    </x:fill>
    <x:fill>
      <x:patternFill patternType="solid">
        <x:fgColor rgb="FFE8D6AF"/>
      </x:patternFill>
    </x:fill>
    <x:fill>
      <x:patternFill patternType="solid">
        <x:fgColor rgb="FFDDEFE5"/>
      </x:patternFill>
    </x:fill>
  </x:fills>
  <x:borders count="24">
    <x:border/>
    <x:border>
      <x:right style="thin">
        <x:color rgb="FFE6E8E6"/>
      </x:right>
      <x:bottom style="thin">
        <x:color rgb="FFE6E8E6"/>
      </x:bottom>
    </x:border>
    <x:border>
      <x:left style="thin">
        <x:color rgb="FFE6E8E6"/>
      </x:left>
      <x:right style="thin">
        <x:color rgb="FFE6E8E6"/>
      </x:right>
      <x:bottom style="thin">
        <x:color rgb="FFE6E8E6"/>
      </x:bottom>
    </x:border>
    <x:border>
      <x:left style="thin">
        <x:color rgb="FFE6E8E6"/>
      </x:left>
      <x:bottom style="thin">
        <x:color rgb="FFE6E8E6"/>
      </x:bottom>
    </x:border>
    <x:border>
      <x:right style="thin">
        <x:color rgb="FFE6E8E6"/>
      </x:right>
      <x:top style="thin">
        <x:color rgb="FFE6E8E6"/>
      </x:top>
      <x:bottom style="thin">
        <x:color rgb="FFE6E8E6"/>
      </x:bottom>
    </x:border>
    <x:border>
      <x:left style="thin">
        <x:color rgb="FFE6E8E6"/>
      </x:left>
      <x:right style="thin">
        <x:color rgb="FFE6E8E6"/>
      </x:right>
      <x:top style="thin">
        <x:color rgb="FFE6E8E6"/>
      </x:top>
      <x:bottom style="thin">
        <x:color rgb="FFE6E8E6"/>
      </x:bottom>
    </x:border>
    <x:border>
      <x:left style="thin">
        <x:color rgb="FFE6E8E6"/>
      </x:left>
      <x:top style="thin">
        <x:color rgb="FFE6E8E6"/>
      </x:top>
      <x:bottom style="thin">
        <x:color rgb="FFE6E8E6"/>
      </x:bottom>
    </x:border>
    <x:border>
      <x:right style="thin">
        <x:color rgb="FFE6E8E6"/>
      </x:right>
      <x:top style="thin">
        <x:color rgb="FFE6E8E6"/>
      </x:top>
    </x:border>
    <x:border>
      <x:left style="thin">
        <x:color rgb="FFE6E8E6"/>
      </x:left>
      <x:right style="thin">
        <x:color rgb="FFE6E8E6"/>
      </x:right>
      <x:top style="thin">
        <x:color rgb="FFE6E8E6"/>
      </x:top>
    </x:border>
    <x:border>
      <x:left style="thin">
        <x:color rgb="FFE6E8E6"/>
      </x:left>
      <x:top style="thin">
        <x:color rgb="FFE6E8E6"/>
      </x:top>
    </x:border>
    <x:border>
      <x:top style="thin">
        <x:color rgb="FFE6E8E6"/>
      </x:top>
      <x:bottom style="thin">
        <x:color rgb="FFE6E8E6"/>
      </x:bottom>
    </x:border>
    <x:border>
      <x:top style="thin">
        <x:color rgb="FFE6E8E6"/>
      </x:top>
    </x:border>
    <x:border>
      <x:left style="thin">
        <x:color rgb="FFE6E8E6"/>
      </x:left>
    </x:border>
    <x:border>
      <x:right style="thin">
        <x:color rgb="FFE6E8E6"/>
      </x:right>
    </x:border>
    <x:border>
      <x:bottom style="thin">
        <x:color rgb="FFE6E8E6"/>
      </x:bottom>
    </x:border>
    <x:border>
      <x:left style="medium">
        <x:color rgb="FFB7C2BA"/>
      </x:left>
      <x:right style="thin">
        <x:color rgb="FFE6E8E6"/>
      </x:right>
      <x:top style="medium">
        <x:color rgb="FFB7C2BA"/>
      </x:top>
      <x:bottom style="thin">
        <x:color rgb="FFE6E8E6"/>
      </x:bottom>
    </x:border>
    <x:border>
      <x:left style="thin">
        <x:color rgb="FFE6E8E6"/>
      </x:left>
      <x:right style="thin">
        <x:color rgb="FFE6E8E6"/>
      </x:right>
      <x:top style="medium">
        <x:color rgb="FFB7C2BA"/>
      </x:top>
      <x:bottom style="thin">
        <x:color rgb="FFE6E8E6"/>
      </x:bottom>
    </x:border>
    <x:border>
      <x:left style="thin">
        <x:color rgb="FFE6E8E6"/>
      </x:left>
      <x:right style="medium">
        <x:color rgb="FFB7C2BA"/>
      </x:right>
      <x:top style="medium">
        <x:color rgb="FFB7C2BA"/>
      </x:top>
      <x:bottom style="thin">
        <x:color rgb="FFE6E8E6"/>
      </x:bottom>
    </x:border>
    <x:border>
      <x:left style="medium">
        <x:color rgb="FFB7C2BA"/>
      </x:left>
      <x:right style="thin">
        <x:color rgb="FFE6E8E6"/>
      </x:right>
      <x:top style="thin">
        <x:color rgb="FFE6E8E6"/>
      </x:top>
      <x:bottom style="thin">
        <x:color rgb="FFE6E8E6"/>
      </x:bottom>
    </x:border>
    <x:border>
      <x:left style="thin">
        <x:color rgb="FFE6E8E6"/>
      </x:left>
      <x:right style="medium">
        <x:color rgb="FFB7C2BA"/>
      </x:right>
      <x:top style="thin">
        <x:color rgb="FFE6E8E6"/>
      </x:top>
      <x:bottom style="thin">
        <x:color rgb="FFE6E8E6"/>
      </x:bottom>
    </x:border>
    <x:border>
      <x:left style="medium">
        <x:color rgb="FFB7C2BA"/>
      </x:left>
      <x:right style="thin">
        <x:color rgb="FFE6E8E6"/>
      </x:right>
      <x:top style="thin">
        <x:color rgb="FFE6E8E6"/>
      </x:top>
      <x:bottom style="medium">
        <x:color rgb="FFB7C2BA"/>
      </x:bottom>
    </x:border>
    <x:border>
      <x:left style="thin">
        <x:color rgb="FFE6E8E6"/>
      </x:left>
      <x:right style="thin">
        <x:color rgb="FFE6E8E6"/>
      </x:right>
      <x:top style="thin">
        <x:color rgb="FFE6E8E6"/>
      </x:top>
      <x:bottom style="medium">
        <x:color rgb="FFB7C2BA"/>
      </x:bottom>
    </x:border>
    <x:border>
      <x:left style="thin">
        <x:color rgb="FFE6E8E6"/>
      </x:left>
      <x:right style="medium">
        <x:color rgb="FFB7C2BA"/>
      </x:right>
      <x:top style="thin">
        <x:color rgb="FFE6E8E6"/>
      </x:top>
      <x:bottom style="medium">
        <x:color rgb="FFB7C2BA"/>
      </x:bottom>
    </x:border>
    <x:border>
      <x:left style="thin">
        <x:color rgb="FFD8CFB8"/>
      </x:left>
      <x:right style="thin">
        <x:color rgb="FFD8CFB8"/>
      </x:right>
      <x:top style="thin">
        <x:color rgb="FFD8CFB8"/>
      </x:top>
      <x:bottom style="thin">
        <x:color rgb="FFD8CFB8"/>
      </x:bottom>
    </x:border>
  </x:borders>
  <x:cellStyleXfs count="1">
    <x:xf numFmtId="0" fontId="0" fillId="0" borderId="0"/>
  </x:cellStyleXfs>
  <x:cellXfs count="1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/>
    <x:xf numFmtId="0" fontId="3" fillId="4" borderId="10" xfId="0" applyNumberFormat="1" applyFont="1" applyFill="1" applyBorder="1"/>
    <x:xf numFmtId="0" fontId="3" fillId="4" borderId="4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1" xfId="0" applyNumberFormat="1" applyFont="1" applyFill="1" applyBorder="1"/>
    <x:xf numFmtId="0" fontId="2" fillId="4" borderId="7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3" xfId="0" applyNumberFormat="1" applyFont="1" applyFill="1" applyBorder="1"/>
    <x:xf numFmtId="0" fontId="2" fillId="4" borderId="14" xfId="0" applyNumberFormat="1" applyFont="1" applyFill="1" applyBorder="1"/>
    <x:xf numFmtId="0" fontId="2" fillId="4" borderId="1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200" fontId="0" fillId="5" borderId="2" xfId="0" applyNumberFormat="1" applyFont="1" applyFill="1" applyBorder="1" applyAlignment="1">
      <x:alignment vertical="top" wrapText="1"/>
    </x:xf>
    <x:xf numFmtId="200" fontId="0" fillId="5" borderId="5" xfId="0" applyNumberFormat="1" applyFont="1" applyFill="1" applyBorder="1" applyAlignment="1">
      <x:alignment vertical="top" wrapText="1"/>
    </x:xf>
    <x:xf numFmtId="200" fontId="0" fillId="5" borderId="8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15" xfId="0" applyNumberFormat="1" applyFont="1" applyFill="1" applyBorder="1" applyAlignment="1">
      <x:alignment horizontal="center" vertical="center" wrapText="1"/>
    </x:xf>
    <x:xf numFmtId="0" fontId="4" fillId="2" borderId="16" xfId="0" applyNumberFormat="1" applyFont="1" applyFill="1" applyBorder="1" applyAlignment="1">
      <x:alignment horizontal="center" vertical="center" wrapText="1"/>
    </x:xf>
    <x:xf numFmtId="0" fontId="4" fillId="2" borderId="17" xfId="0" applyNumberFormat="1" applyFont="1" applyFill="1" applyBorder="1" applyAlignment="1">
      <x:alignment horizontal="center" vertical="center" wrapText="1"/>
    </x:xf>
    <x:xf numFmtId="0" fontId="3" fillId="3" borderId="18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3" fillId="3" borderId="20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0" fillId="5" borderId="22" xfId="0" applyNumberFormat="1" applyFont="1" applyFill="1" applyBorder="1" applyAlignment="1">
      <x:alignment vertical="top" wrapText="1"/>
    </x:xf>
    <x:xf numFmtId="201" fontId="0" fillId="5" borderId="2" xfId="0" applyNumberFormat="1" applyFont="1" applyFill="1" applyBorder="1" applyAlignment="1">
      <x:alignment vertical="top" wrapText="1"/>
    </x:xf>
    <x:xf numFmtId="201" fontId="0" fillId="5" borderId="5" xfId="0" applyNumberFormat="1" applyFont="1" applyFill="1" applyBorder="1" applyAlignment="1">
      <x:alignment vertical="top" wrapText="1"/>
    </x:xf>
    <x:xf numFmtId="201" fontId="0" fillId="5" borderId="8" xfId="0" applyNumberFormat="1" applyFont="1" applyFill="1" applyBorder="1" applyAlignment="1">
      <x:alignment vertical="top" wrapText="1"/>
    </x:xf>
    <x:xf numFmtId="202" fontId="0" fillId="5" borderId="2" xfId="0" applyNumberFormat="1" applyFont="1" applyFill="1" applyBorder="1" applyAlignment="1">
      <x:alignment vertical="top" wrapText="1"/>
    </x:xf>
    <x:xf numFmtId="202" fontId="0" fillId="5" borderId="5" xfId="0" applyNumberFormat="1" applyFont="1" applyFill="1" applyBorder="1" applyAlignment="1">
      <x:alignment vertical="top" wrapText="1"/>
    </x:xf>
    <x:xf numFmtId="202" fontId="0" fillId="5" borderId="8" xfId="0" applyNumberFormat="1" applyFont="1" applyFill="1" applyBorder="1" applyAlignment="1">
      <x:alignment vertical="top" wrapText="1"/>
    </x:xf>
    <x:xf numFmtId="203" fontId="0" fillId="5" borderId="2" xfId="0" applyNumberFormat="1" applyFont="1" applyFill="1" applyBorder="1" applyAlignment="1">
      <x:alignment vertical="top" wrapText="1"/>
    </x:xf>
    <x:xf numFmtId="203" fontId="0" fillId="5" borderId="5" xfId="0" applyNumberFormat="1" applyFont="1" applyFill="1" applyBorder="1" applyAlignment="1">
      <x:alignment vertical="top" wrapText="1"/>
    </x:xf>
    <x:xf numFmtId="203" fontId="0" fillId="5" borderId="8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6" borderId="5" xfId="0" applyNumberFormat="1" applyFont="1" applyFill="1" applyBorder="1" applyAlignment="1">
      <x:alignment vertical="top" wrapText="1"/>
    </x:xf>
    <x:xf numFmtId="0" fontId="3" fillId="6" borderId="8" xfId="0" applyNumberFormat="1" applyFont="1" applyFill="1" applyBorder="1" applyAlignment="1">
      <x:alignment vertical="top" wrapText="1"/>
    </x:xf>
    <x:xf numFmtId="0" fontId="0" fillId="5" borderId="18" xfId="0" applyNumberFormat="1" applyFont="1" applyFill="1" applyBorder="1" applyAlignment="1">
      <x:alignment vertical="top" wrapText="1"/>
    </x:xf>
    <x:xf numFmtId="0" fontId="0" fillId="5" borderId="20" xfId="0" applyNumberFormat="1" applyFont="1" applyFill="1" applyBorder="1" applyAlignment="1">
      <x:alignment vertical="top" wrapText="1"/>
    </x:xf>
    <x:xf numFmtId="201" fontId="0" fillId="5" borderId="21" xfId="0" applyNumberFormat="1" applyFont="1" applyFill="1" applyBorder="1" applyAlignment="1">
      <x:alignment vertical="top" wrapText="1"/>
    </x:xf>
    <x:xf numFmtId="202" fontId="0" fillId="5" borderId="21" xfId="0" applyNumberFormat="1" applyFont="1" applyFill="1" applyBorder="1" applyAlignment="1">
      <x:alignment vertical="top" wrapText="1"/>
    </x:xf>
    <x:xf numFmtId="200" fontId="0" fillId="5" borderId="21" xfId="0" applyNumberFormat="1" applyFont="1" applyFill="1" applyBorder="1" applyAlignment="1">
      <x:alignment vertical="top" wrapText="1"/>
    </x:xf>
    <x:xf numFmtId="203" fontId="0" fillId="5" borderId="21" xfId="0" applyNumberFormat="1" applyFont="1" applyFill="1" applyBorder="1" applyAlignment="1">
      <x:alignment vertical="top" wrapText="1"/>
    </x:xf>
    <x:xf numFmtId="0" fontId="3" fillId="3" borderId="21" xfId="0" applyNumberFormat="1" applyFont="1" applyFill="1" applyBorder="1" applyAlignment="1">
      <x:alignment vertical="top" wrapText="1"/>
    </x:xf>
    <x:xf numFmtId="0" fontId="3" fillId="6" borderId="21" xfId="0" applyNumberFormat="1" applyFont="1" applyFill="1" applyBorder="1" applyAlignment="1">
      <x:alignment vertical="top" wrapText="1"/>
    </x:xf>
    <x:xf numFmtId="204" fontId="0" fillId="5" borderId="2" xfId="0" applyNumberFormat="1" applyFont="1" applyFill="1" applyBorder="1" applyAlignment="1">
      <x:alignment vertical="top" wrapText="1"/>
    </x:xf>
    <x:xf numFmtId="204" fontId="0" fillId="5" borderId="5" xfId="0" applyNumberFormat="1" applyFont="1" applyFill="1" applyBorder="1" applyAlignment="1">
      <x:alignment vertical="top" wrapText="1"/>
    </x:xf>
    <x:xf numFmtId="204" fontId="0" fillId="5" borderId="8" xfId="0" applyNumberFormat="1" applyFont="1" applyFill="1" applyBorder="1" applyAlignment="1">
      <x:alignment vertical="top" wrapText="1"/>
    </x:xf>
    <x:xf numFmtId="201" fontId="0" fillId="5" borderId="3" xfId="0" applyNumberFormat="1" applyFont="1" applyFill="1" applyBorder="1" applyAlignment="1">
      <x:alignment wrapText="1"/>
    </x:xf>
    <x:xf numFmtId="201" fontId="0" fillId="5" borderId="6" xfId="0" applyNumberFormat="1" applyFont="1" applyFill="1" applyBorder="1" applyAlignment="1">
      <x:alignment wrapText="1"/>
    </x:xf>
    <x:xf numFmtId="203" fontId="0" fillId="5" borderId="6" xfId="0" applyNumberFormat="1" applyFont="1" applyFill="1" applyBorder="1" applyAlignment="1">
      <x:alignment wrapText="1"/>
    </x:xf>
    <x:xf numFmtId="203" fontId="0" fillId="5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vertical="top" wrapText="1"/>
    </x:xf>
    <x:xf numFmtId="0" fontId="2" fillId="4" borderId="11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0" fontId="2" fillId="4" borderId="12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3" xfId="0" applyNumberFormat="1" applyFont="1" applyFill="1" applyBorder="1" applyAlignment="1">
      <x:alignment vertical="top" wrapText="1"/>
    </x:xf>
    <x:xf numFmtId="0" fontId="2" fillId="4" borderId="3" xfId="0" applyNumberFormat="1" applyFont="1" applyFill="1" applyBorder="1" applyAlignment="1">
      <x:alignment vertical="top" wrapText="1"/>
    </x:xf>
    <x:xf numFmtId="0" fontId="2" fillId="4" borderId="14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2" borderId="15" xfId="0" applyNumberFormat="1" applyFont="1" applyFill="1" applyBorder="1" applyAlignment="1">
      <x:alignment horizontal="center" vertical="top" wrapText="1"/>
    </x:xf>
    <x:xf numFmtId="0" fontId="4" fillId="2" borderId="16" xfId="0" applyNumberFormat="1" applyFont="1" applyFill="1" applyBorder="1" applyAlignment="1">
      <x:alignment horizontal="center" vertical="top" wrapText="1"/>
    </x:xf>
    <x:xf numFmtId="0" fontId="4" fillId="2" borderId="17" xfId="0" applyNumberFormat="1" applyFont="1" applyFill="1" applyBorder="1" applyAlignment="1">
      <x:alignment horizontal="center" vertical="top" wrapText="1"/>
    </x:xf>
    <x:xf numFmtId="201" fontId="0" fillId="5" borderId="3" xfId="0" applyNumberFormat="1" applyFont="1" applyFill="1" applyBorder="1" applyAlignment="1">
      <x:alignment vertical="top" wrapText="1"/>
    </x:xf>
    <x:xf numFmtId="201" fontId="0" fillId="5" borderId="6" xfId="0" applyNumberFormat="1" applyFont="1" applyFill="1" applyBorder="1" applyAlignment="1">
      <x:alignment vertical="top" wrapText="1"/>
    </x:xf>
    <x:xf numFmtId="203" fontId="0" fillId="5" borderId="6" xfId="0" applyNumberFormat="1" applyFont="1" applyFill="1" applyBorder="1" applyAlignment="1">
      <x:alignment vertical="top" wrapText="1"/>
    </x:xf>
    <x:xf numFmtId="203" fontId="0" fillId="5" borderId="9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3" xfId="0" applyNumberFormat="1" applyFont="1" applyFill="1" applyBorder="1"/>
    <x:xf numFmtId="0" fontId="2" fillId="0" borderId="23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vertical="top" wrapText="1"/>
    </x:xf>
    <x:xf numFmtId="0" fontId="2" fillId="8" borderId="23" xfId="0" applyNumberFormat="1" applyFont="1" applyFill="1" applyBorder="1" applyAlignment="1">
      <x:alignment vertical="top" wrapText="1"/>
    </x:xf>
    <x:xf numFmtId="0" fontId="3" fillId="8" borderId="23" xfId="0" applyNumberFormat="1" applyFont="1" applyFill="1" applyBorder="1" applyAlignment="1">
      <x:alignment vertical="top" wrapText="1"/>
    </x:xf>
    <x:xf numFmtId="0" fontId="3" fillId="8" borderId="23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vertical="center" wrapText="1"/>
    </x:xf>
    <x:xf numFmtId="205" fontId="2" fillId="0" borderId="23" xfId="0" applyNumberFormat="1" applyFont="1" applyFill="1" applyBorder="1" applyAlignment="1">
      <x:alignment vertical="top" wrapText="1"/>
    </x:xf>
    <x:xf numFmtId="206" fontId="2" fillId="0" borderId="23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/>
    <x:xf numFmtId="0" fontId="3" fillId="9" borderId="23" xfId="0" applyNumberFormat="1" applyFont="1" applyFill="1" applyBorder="1"/>
    <x:xf numFmtId="201" fontId="2" fillId="0" borderId="23" xfId="0" applyNumberFormat="1" applyFont="1" applyFill="1" applyBorder="1" applyAlignment="1">
      <x:alignment vertical="top" wrapText="1"/>
    </x:xf>
    <x:xf numFmtId="204" fontId="2" fillId="0" borderId="23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275E45"/>
      </x:font>
      <x:fill>
        <x:patternFill>
          <x:bgColor rgb="FFDDEFE5"/>
        </x:patternFill>
      </x:fill>
    </x:dxf>
    <x:dxf>
      <x:font>
        <x:b/>
        <x:color rgb="FFC2410C"/>
      </x:font>
      <x:fill>
        <x:patternFill>
          <x:bgColor rgb="FFFEE2D5"/>
        </x:patternFill>
      </x:fill>
    </x:dxf>
    <x:dxf>
      <x:font>
        <x:b/>
        <x:color rgb="FFC2410C"/>
      </x:font>
      <x:fill>
        <x:patternFill>
          <x:bgColor rgb="FFFEE2D5"/>
        </x:patternFill>
      </x:fill>
    </x:dxf>
    <x:dxf>
      <x:font>
        <x:b/>
        <x:color rgb="FF275E45"/>
      </x:font>
      <x:fill>
        <x:patternFill>
          <x:bgColor rgb="FFDDEF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d80250b94437f" /><Relationship Type="http://schemas.openxmlformats.org/officeDocument/2006/relationships/theme" Target="/xl/theme/theme1.xml" Id="Rfb2195a4f75e41cd" /><Relationship Type="http://schemas.openxmlformats.org/officeDocument/2006/relationships/sharedStrings" Target="/xl/sharedStrings.xml" Id="R0a2747d3d7b849f1" /><Relationship Type="http://schemas.openxmlformats.org/officeDocument/2006/relationships/worksheet" Target="/xl/worksheets/sheet1.xml" Id="R8bdd98a5c986414d" /><Relationship Type="http://schemas.openxmlformats.org/officeDocument/2006/relationships/worksheet" Target="/xl/worksheets/sheet2.xml" Id="Rc60ca5efd85440d9" /><Relationship Type="http://schemas.openxmlformats.org/officeDocument/2006/relationships/worksheet" Target="/xl/worksheets/sheet3.xml" Id="R2dcfc2b105e846bc" /><Relationship Type="http://schemas.openxmlformats.org/officeDocument/2006/relationships/worksheet" Target="/xl/worksheets/sheet4.xml" Id="R7390657b3c644c34" /><Relationship Type="http://schemas.openxmlformats.org/officeDocument/2006/relationships/worksheet" Target="/xl/worksheets/sheet5.xml" Id="R7e824aba5dda4095" /><Relationship Type="http://schemas.openxmlformats.org/officeDocument/2006/relationships/worksheet" Target="/xl/worksheets/sheet6.xml" Id="R45f961d603fa498b" /><Relationship Type="http://schemas.openxmlformats.org/officeDocument/2006/relationships/worksheet" Target="/xl/worksheets/sheet7.xml" Id="R78016dc8639c4c9e" /><Relationship Type="http://schemas.openxmlformats.org/officeDocument/2006/relationships/worksheet" Target="/xl/worksheets/sheet8.xml" Id="R0ab54cd677864fd0" /><Relationship Type="http://schemas.openxmlformats.org/officeDocument/2006/relationships/worksheet" Target="/xl/worksheets/sheet9.xml" Id="R4e3807cab7984d97" /><Relationship Type="http://schemas.openxmlformats.org/officeDocument/2006/relationships/worksheet" Target="/xl/worksheets/sheet10.xml" Id="Rb9a0e5b0326345ce" /><Relationship Type="http://schemas.openxmlformats.org/officeDocument/2006/relationships/worksheet" Target="/xl/worksheets/sheet11.xml" Id="Rc79f2fa5d7d744ee" /><Relationship Type="http://schemas.openxmlformats.org/officeDocument/2006/relationships/worksheet" Target="/xl/worksheets/sheet12.xml" Id="R189aad6400b64e2f" /><Relationship Type="http://schemas.openxmlformats.org/officeDocument/2006/relationships/worksheet" Target="/xl/worksheets/sheet13.xml" Id="R4af18edf1d504a77" /><Relationship Type="http://schemas.openxmlformats.org/officeDocument/2006/relationships/worksheet" Target="/xl/worksheets/sheet14.xml" Id="Rf6dd2ece88364327" /><Relationship Type="http://schemas.openxmlformats.org/officeDocument/2006/relationships/worksheet" Target="/xl/worksheets/sheet15.xml" Id="Rc5609e2b8b974579" /><Relationship Type="http://schemas.openxmlformats.org/officeDocument/2006/relationships/worksheet" Target="/xl/worksheets/sheet16.xml" Id="R3090306741f04875" /></Relationships>
</file>

<file path=xl/tables/table1.xml><?xml version="1.0" encoding="utf-8"?>
<x:table xmlns:x="http://schemas.openxmlformats.org/spreadsheetml/2006/main" id="1" name="DataSourcesTable" displayName="DataSourcesTable" ref="A5:H12" headerRowCount="1" totalsRowCount="0" totalsRowShown="0">
  <x:tableColumns count="8">
    <x:tableColumn id="1" name="数据源"/>
    <x:tableColumn id="2" name="接入方式"/>
    <x:tableColumn id="3" name="关键字段"/>
    <x:tableColumn id="4" name="主要用途"/>
    <x:tableColumn id="5" name="健康检查"/>
    <x:tableColumn id="6" name="失败/缺失时影响"/>
    <x:tableColumn id="7" name="优先级"/>
    <x:tableColumn id="8" name="下一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ReviewSummaryTable" displayName="MonthlyReviewSummaryTable" ref="A5:E10" headerRowCount="1" totalsRowCount="0" totalsRowShown="0">
  <x:tableColumns count="5">
    <x:tableColumn id="1" name="复盘对象"/>
    <x:tableColumn id="2" name="填写值"/>
    <x:tableColumn id="3" name="说明"/>
    <x:tableColumn id="4" name="判断结果"/>
    <x:tableColumn id="5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nthlySignalTable" displayName="MonthlySignalTable" ref="A13:G18" headerRowCount="1" totalsRowCount="0" totalsRowShown="0">
  <x:tableColumns count="7">
    <x:tableColumn id="1" name="信号层"/>
    <x:tableColumn id="2" name="核心问题"/>
    <x:tableColumn id="3" name="关键指标"/>
    <x:tableColumn id="4" name="健康信号"/>
    <x:tableColumn id="5" name="风险信号"/>
    <x:tableColumn id="6" name="结论填写"/>
    <x:tableColumn id="7" name="输出动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nthlyActionRuleTable" displayName="MonthlyActionRuleTable" ref="A22:E28" headerRowCount="1" totalsRowCount="0" totalsRowShown="0">
  <x:tableColumns count="5">
    <x:tableColumn id="1" name="机会类型"/>
    <x:tableColumn id="2" name="触发条件"/>
    <x:tableColumn id="3" name="优先动作"/>
    <x:tableColumn id="4" name="不要做什么"/>
    <x:tableColumn id="5" name="回流位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scRankValidationTable" displayName="GscRankValidationTable" ref="A5:S104" headerRowCount="1" totalsRowCount="0" totalsRowShown="0">
  <x:tableColumns count="19">
    <x:tableColumn id="1" name="查询词"/>
    <x:tableColumn id="2" name="主题集群"/>
    <x:tableColumn id="3" name="目标市场"/>
    <x:tableColumn id="4" name="GSC Clicks"/>
    <x:tableColumn id="5" name="GSC Impressions"/>
    <x:tableColumn id="6" name="GSC CTR"/>
    <x:tableColumn id="7" name="GSC Avg Position"/>
    <x:tableColumn id="8" name="当前排名 Provider"/>
    <x:tableColumn id="9" name="当前排名"/>
    <x:tableColumn id="10" name="当前排名 URL"/>
    <x:tableColumn id="11" name="预期承接 URL"/>
    <x:tableColumn id="12" name="URL匹配"/>
    <x:tableColumn id="13" name="当前URL类型"/>
    <x:tableColumn id="14" name="预期页面类型"/>
    <x:tableColumn id="15" name="机会类型"/>
    <x:tableColumn id="16" name="优先级"/>
    <x:tableColumn id="17" name="建议动作"/>
    <x:tableColumn id="18" name="回流位置"/>
    <x:tableColumn id="19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a4QualityTable" displayName="Ga4QualityTable" ref="A7:N106" headerRowCount="1" totalsRowCount="0" totalsRowShown="0">
  <x:tableColumns count="14">
    <x:tableColumn id="1" name="站点"/>
    <x:tableColumn id="2" name="市场"/>
    <x:tableColumn id="3" name="入口页"/>
    <x:tableColumn id="4" name="国家"/>
    <x:tableColumn id="5" name="Source / Medium"/>
    <x:tableColumn id="6" name="Active Users"/>
    <x:tableColumn id="7" name="Sessions"/>
    <x:tableColumn id="8" name="Views"/>
    <x:tableColumn id="9" name="Engagement Rate"/>
    <x:tableColumn id="10" name="Bounce Rate"/>
    <x:tableColumn id="11" name="Avg Time Sec"/>
    <x:tableColumn id="12" name="质量分"/>
    <x:tableColumn id="13" name="建议动作"/>
    <x:tableColumn id="14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nthlyActionPlanTable" displayName="MonthlyActionPlanTable" ref="A5:P104" headerRowCount="1" totalsRowCount="0" totalsRowShown="0">
  <x:tableColumns count="16">
    <x:tableColumn id="1" name="优先级"/>
    <x:tableColumn id="2" name="任务类型"/>
    <x:tableColumn id="3" name="来源信号"/>
    <x:tableColumn id="4" name="关键词 / 主题"/>
    <x:tableColumn id="5" name="目标站点"/>
    <x:tableColumn id="6" name="当前 URL"/>
    <x:tableColumn id="7" name="目标 URL"/>
    <x:tableColumn id="8" name="页面类型"/>
    <x:tableColumn id="9" name="建议动作"/>
    <x:tableColumn id="10" name="预期收益"/>
    <x:tableColumn id="11" name="状态"/>
    <x:tableColumn id="12" name="负责人"/>
    <x:tableColumn id="13" name="截止日期"/>
    <x:tableColumn id="14" name="是否推送"/>
    <x:tableColumn id="15" name="复盘指标"/>
    <x:tableColumn id="16" name="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viewAiPromptTable" displayName="ReviewAiPromptTable" ref="A5:H13" headerRowCount="1" totalsRowCount="0" totalsRowShown="0">
  <x:tableColumns count="8">
    <x:tableColumn id="1" name="模块"/>
    <x:tableColumn id="2" name="AI要做什么"/>
    <x:tableColumn id="3" name="输入"/>
    <x:tableColumn id="4" name="判断标准"/>
    <x:tableColumn id="5" name="输出"/>
    <x:tableColumn id="6" name="禁止事项"/>
    <x:tableColumn id="7" name="适用阶段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.xml" Id="Ra34e34c0a47d4f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2.xml" Id="R310c035d250d4b26" /><Relationship Type="http://schemas.openxmlformats.org/officeDocument/2006/relationships/table" Target="/xl/tables/table3.xml" Id="R21f9cd9b81504059" /><Relationship Type="http://schemas.openxmlformats.org/officeDocument/2006/relationships/table" Target="/xl/tables/table4.xml" Id="R978bb5d53af14bb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5.xml" Id="Ra56f981e66064d3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6.xml" Id="R24e575500a8a478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7.xml" Id="R2865b824e770424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8.xml" Id="Rd9ec39e1872d4a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4" hidden="0" customWidth="1"/>
    <x:col min="4" max="4" width="34" hidden="0" customWidth="1"/>
    <x:col min="5" max="5" width="30" hidden="0" customWidth="1"/>
    <x:col min="6" max="6" width="28" hidden="0" customWidth="1"/>
    <x:col min="7" max="7" width="28" hidden="0" customWidth="1"/>
    <x:col min="8" max="8" width="26" hidden="0" customWidth="1"/>
  </x:cols>
  <x:sheetData>
    <x:row r="1">
      <x:c r="A1" s="124" t="str">
        <x:v>关键词到文章规划标准骨架</x:v>
      </x:c>
      <x:c r="B1" s="124" t="str">
        <x:v>关键词到文章规划标准骨架</x:v>
      </x:c>
      <x:c r="C1" s="124" t="str">
        <x:v>关键词到文章规划标准骨架</x:v>
      </x:c>
      <x:c r="D1" s="124" t="str">
        <x:v>关键词到文章规划标准骨架</x:v>
      </x:c>
      <x:c r="E1" s="124" t="str">
        <x:v>关键词到文章规划标准骨架</x:v>
      </x:c>
      <x:c r="F1" s="124" t="str">
        <x:v>关键词到文章规划标准骨架</x:v>
      </x:c>
      <x:c r="G1" s="124" t="str">
        <x:v>关键词到文章规划标准骨架</x:v>
      </x:c>
      <x:c r="H1" s="124" t="str">
        <x:v>关键词到文章规划标准骨架</x:v>
      </x:c>
    </x:row>
    <x:row r="2" ht="34" customHeight="1">
      <x:c r="A2" s="125" t="str">
        <x:v>这张表用于交接给人或 AI：先理解网站定位，再做关键词分流、文章评分、Brief 和内容日历。</x:v>
      </x:c>
      <x:c r="B2" s="125" t="str">
        <x:v>这张表用于交接给人或 AI：先理解网站定位，再做关键词分流、文章评分、Brief 和内容日历。</x:v>
      </x:c>
      <x:c r="C2" s="125" t="str">
        <x:v>这张表用于交接给人或 AI：先理解网站定位，再做关键词分流、文章评分、Brief 和内容日历。</x:v>
      </x:c>
      <x:c r="D2" s="125" t="str">
        <x:v>这张表用于交接给人或 AI：先理解网站定位，再做关键词分流、文章评分、Brief 和内容日历。</x:v>
      </x:c>
      <x:c r="E2" s="125" t="str">
        <x:v>这张表用于交接给人或 AI：先理解网站定位，再做关键词分流、文章评分、Brief 和内容日历。</x:v>
      </x:c>
      <x:c r="F2" s="125" t="str">
        <x:v>这张表用于交接给人或 AI：先理解网站定位，再做关键词分流、文章评分、Brief 和内容日历。</x:v>
      </x:c>
      <x:c r="G2" s="125" t="str">
        <x:v>这张表用于交接给人或 AI：先理解网站定位，再做关键词分流、文章评分、Brief 和内容日历。</x:v>
      </x:c>
      <x:c r="H2" s="125" t="str">
        <x:v>这张表用于交接给人或 AI：先理解网站定位，再做关键词分流、文章评分、Brief 和内容日历。</x:v>
      </x:c>
    </x:row>
    <x:row r="3">
      <x:c r="A3" s="126"/>
      <x:c r="B3" s="126"/>
      <x:c r="C3" s="126"/>
      <x:c r="D3" s="126"/>
      <x:c r="E3" s="126"/>
      <x:c r="F3" s="126"/>
      <x:c r="G3" s="126"/>
      <x:c r="H3" s="126"/>
    </x:row>
    <x:row r="4">
      <x:c r="A4" s="127" t="str">
        <x:v>核心原则：不要把所有关键词都拿来写文章。先判断这个关键词在 Google 里应该由哪种页面承接，再决定写博客、做分类页、做产品页、合并到 FAQ，还是暂时不做。</x:v>
      </x:c>
      <x:c r="B4" s="127" t="str">
        <x:v>核心原则：不要把所有关键词都拿来写文章。先判断这个关键词在 Google 里应该由哪种页面承接，再决定写博客、做分类页、做产品页、合并到 FAQ，还是暂时不做。</x:v>
      </x:c>
      <x:c r="C4" s="127" t="str">
        <x:v>核心原则：不要把所有关键词都拿来写文章。先判断这个关键词在 Google 里应该由哪种页面承接，再决定写博客、做分类页、做产品页、合并到 FAQ，还是暂时不做。</x:v>
      </x:c>
      <x:c r="D4" s="127" t="str">
        <x:v>核心原则：不要把所有关键词都拿来写文章。先判断这个关键词在 Google 里应该由哪种页面承接，再决定写博客、做分类页、做产品页、合并到 FAQ，还是暂时不做。</x:v>
      </x:c>
      <x:c r="E4" s="127" t="str">
        <x:v>核心原则：不要把所有关键词都拿来写文章。先判断这个关键词在 Google 里应该由哪种页面承接，再决定写博客、做分类页、做产品页、合并到 FAQ，还是暂时不做。</x:v>
      </x:c>
      <x:c r="F4" s="127" t="str">
        <x:v>核心原则：不要把所有关键词都拿来写文章。先判断这个关键词在 Google 里应该由哪种页面承接，再决定写博客、做分类页、做产品页、合并到 FAQ，还是暂时不做。</x:v>
      </x:c>
      <x:c r="G4" s="127" t="str">
        <x:v>核心原则：不要把所有关键词都拿来写文章。先判断这个关键词在 Google 里应该由哪种页面承接，再决定写博客、做分类页、做产品页、合并到 FAQ，还是暂时不做。</x:v>
      </x:c>
      <x:c r="H4" s="127" t="str">
        <x:v>核心原则：不要把所有关键词都拿来写文章。先判断这个关键词在 Google 里应该由哪种页面承接，再决定写博客、做分类页、做产品页、合并到 FAQ，还是暂时不做。</x:v>
      </x:c>
    </x:row>
    <x:row r="5">
      <x:c r="A5" s="126"/>
      <x:c r="B5" s="126"/>
      <x:c r="C5" s="126"/>
      <x:c r="D5" s="126"/>
      <x:c r="E5" s="126"/>
      <x:c r="F5" s="126"/>
      <x:c r="G5" s="126"/>
      <x:c r="H5" s="126"/>
    </x:row>
    <x:row r="6">
      <x:c r="A6" s="128" t="str">
        <x:v>阶段</x:v>
      </x:c>
      <x:c r="B6" s="128" t="str">
        <x:v>目标</x:v>
      </x:c>
      <x:c r="C6" s="128" t="str">
        <x:v>操作</x:v>
      </x:c>
      <x:c r="D6" s="128" t="str">
        <x:v>判断口径</x:v>
      </x:c>
      <x:c r="E6" s="128" t="str">
        <x:v>输出物</x:v>
      </x:c>
      <x:c r="F6" s="128" t="str">
        <x:v>AI必须遵守</x:v>
      </x:c>
      <x:c r="G6" s="128" t="str">
        <x:v>常见错误</x:v>
      </x:c>
      <x:c r="H6" s="128" t="str">
        <x:v>通过标准</x:v>
      </x:c>
    </x:row>
    <x:row r="7">
      <x:c r="A7" s="45" t="str">
        <x:v>0. 网站定位</x:v>
      </x:c>
      <x:c r="B7" s="34" t="str">
        <x:v>明确商业模型和内容边界</x:v>
      </x:c>
      <x:c r="C7" s="34" t="str">
        <x:v>填写「网站定位输入卡」</x:v>
      </x:c>
      <x:c r="D7" s="34" t="str">
        <x:v>网站是 2C 商城、B2B 询盘站，还是内容站；目标是下单、加购、询盘还是订阅</x:v>
      </x:c>
      <x:c r="E7" s="34" t="str">
        <x:v>网站定位说明</x:v>
      </x:c>
      <x:c r="F7" s="34" t="str">
        <x:v>没有定位信息时，先让用户补齐，不要直接规划文章</x:v>
      </x:c>
      <x:c r="G7" s="34" t="str">
        <x:v>套用别人的 B2B 方法到 2C 商城</x:v>
      </x:c>
      <x:c r="H7" s="35" t="str">
        <x:v>能说清楚核心产品、目标人群、成交页面</x:v>
      </x:c>
    </x:row>
    <x:row r="8">
      <x:c r="A8" s="46" t="str">
        <x:v>1. 关键词收集</x:v>
      </x:c>
      <x:c r="B8" s="37" t="str">
        <x:v>建立完整关键词池</x:v>
      </x:c>
      <x:c r="C8" s="37" t="str">
        <x:v>从 Semrush/GSC/竞品/站内搜索导入词</x:v>
      </x:c>
      <x:c r="D8" s="37" t="str">
        <x:v>保留搜索量、KD、CPC、Intent、URL、国家/语言</x:v>
      </x:c>
      <x:c r="E8" s="37" t="str">
        <x:v>原始关键词池</x:v>
      </x:c>
      <x:c r="F8" s="37" t="str">
        <x:v>不要只按搜索量排序</x:v>
      </x:c>
      <x:c r="G8" s="37" t="str">
        <x:v>删掉低搜索量但高转化长尾词</x:v>
      </x:c>
      <x:c r="H8" s="38" t="str">
        <x:v>每个词至少有主题簇或产品线归属</x:v>
      </x:c>
    </x:row>
    <x:row r="9">
      <x:c r="A9" s="46" t="str">
        <x:v>2. 关键词分流</x:v>
      </x:c>
      <x:c r="B9" s="37" t="str">
        <x:v>决定承接页面类型</x:v>
      </x:c>
      <x:c r="C9" s="37" t="str">
        <x:v>人工查看 Google 前 10 名 SERP</x:v>
      </x:c>
      <x:c r="D9" s="37" t="str">
        <x:v>前排是什么页面：商品/分类/集合/博客/指南/对比/FAQ/品牌首页</x:v>
      </x:c>
      <x:c r="E9" s="37" t="str">
        <x:v>页面类型判断</x:v>
      </x:c>
      <x:c r="F9" s="37" t="str">
        <x:v>SERP 文章占比低于 4 时，不建议单独写博客</x:v>
      </x:c>
      <x:c r="G9" s="37" t="str">
        <x:v>买词写博客，信息词做商品页</x:v>
      </x:c>
      <x:c r="H9" s="38" t="str">
        <x:v>每个词有明确页面类型</x:v>
      </x:c>
    </x:row>
    <x:row r="10">
      <x:c r="A10" s="46" t="str">
        <x:v>3. 商业映射</x:v>
      </x:c>
      <x:c r="B10" s="37" t="str">
        <x:v>让内容服务成交</x:v>
      </x:c>
      <x:c r="C10" s="37" t="str">
        <x:v>给每个候选文章词指定父级商业页</x:v>
      </x:c>
      <x:c r="D10" s="37" t="str">
        <x:v>文章能否自然链接到分类页、集合页、商品页</x:v>
      </x:c>
      <x:c r="E10" s="37" t="str">
        <x:v>父级商业页 + 目标URL</x:v>
      </x:c>
      <x:c r="F10" s="37" t="str">
        <x:v>没有父级商业页的文章默认降级</x:v>
      </x:c>
      <x:c r="G10" s="37" t="str">
        <x:v>博客孤岛化</x:v>
      </x:c>
      <x:c r="H10" s="38" t="str">
        <x:v>每篇文章至少支撑 1 个成交页面</x:v>
      </x:c>
    </x:row>
    <x:row r="11">
      <x:c r="A11" s="46" t="str">
        <x:v>4. 文章评分</x:v>
      </x:c>
      <x:c r="B11" s="37" t="str">
        <x:v>筛出值得写的文章词</x:v>
      </x:c>
      <x:c r="C11" s="37" t="str">
        <x:v>按 7 维 100 分评分</x:v>
      </x:c>
      <x:c r="D11" s="37" t="str">
        <x:v>SERP匹配、商业支撑、需求、难度、内容深度、主题内链、更新价值</x:v>
      </x:c>
      <x:c r="E11" s="37" t="str">
        <x:v>P0/P1/P2/P3</x:v>
      </x:c>
      <x:c r="F11" s="37" t="str">
        <x:v>P0/P1 才进入内容日历；P2 多数做 FAQ/段落；P3 不单独写</x:v>
      </x:c>
      <x:c r="G11" s="37" t="str">
        <x:v>为了凑数量写定义文</x:v>
      </x:c>
      <x:c r="H11" s="38" t="str">
        <x:v>总分和风险提示一致</x:v>
      </x:c>
    </x:row>
    <x:row r="12">
      <x:c r="A12" s="46" t="str">
        <x:v>5. 主题簇规划</x:v>
      </x:c>
      <x:c r="B12" s="37" t="str">
        <x:v>形成可积累的权重</x:v>
      </x:c>
      <x:c r="C12" s="37" t="str">
        <x:v>把文章挂到产品线/主题簇下面</x:v>
      </x:c>
      <x:c r="D12" s="37" t="str">
        <x:v>一个父级商业页周围应有比较、教程、场景、标准、FAQ 等内容</x:v>
      </x:c>
      <x:c r="E12" s="37" t="str">
        <x:v>主题簇地图</x:v>
      </x:c>
      <x:c r="F12" s="37" t="str">
        <x:v>文章之间要有上下游内链</x:v>
      </x:c>
      <x:c r="G12" s="37" t="str">
        <x:v>东一篇西一篇</x:v>
      </x:c>
      <x:c r="H12" s="38" t="str">
        <x:v>能看出 pillar page 和 supporting content</x:v>
      </x:c>
    </x:row>
    <x:row r="13">
      <x:c r="A13" s="46" t="str">
        <x:v>6. 文章 Brief</x:v>
      </x:c>
      <x:c r="B13" s="37" t="str">
        <x:v>把关键词变成可写内容</x:v>
      </x:c>
      <x:c r="C13" s="37" t="str">
        <x:v>填写「文章Brief模板」</x:v>
      </x:c>
      <x:c r="D13" s="37" t="str">
        <x:v>先回答用户问题，再补对比、数据、图片、表格、FAQ、CTA；如有图片，必须输出 Image Placement Map；如触发外部事实/高风险主题，再加 References</x:v>
      </x:c>
      <x:c r="E13" s="37" t="str">
        <x:v>文章 Brief</x:v>
      </x:c>
      <x:c r="F13" s="37" t="str">
        <x:v>不要只输出标题，要输出结构、证据、内链、CTA、图片位置表、引用触发判断</x:v>
      </x:c>
      <x:c r="G13" s="37" t="str">
        <x:v>AI 定义型水文、图片只说放正文、每篇机械加同一套引用</x:v>
      </x:c>
      <x:c r="H13" s="38" t="str">
        <x:v>编辑拿到 Brief 可以直接写</x:v>
      </x:c>
    </x:row>
    <x:row r="14">
      <x:c r="A14" s="46" t="str">
        <x:v>7. 内容日历</x:v>
      </x:c>
      <x:c r="B14" s="37" t="str">
        <x:v>安排生产节奏</x:v>
      </x:c>
      <x:c r="C14" s="37" t="str">
        <x:v>把 P0/P1 放入「内容日历」</x:v>
      </x:c>
      <x:c r="D14" s="37" t="str">
        <x:v>小站先聚焦一个主题簇，资源少时少而深</x:v>
      </x:c>
      <x:c r="E14" s="37" t="str">
        <x:v>发布计划</x:v>
      </x:c>
      <x:c r="F14" s="37" t="str">
        <x:v>优先连续打透一个产品线</x:v>
      </x:c>
      <x:c r="G14" s="37" t="str">
        <x:v>无节奏日更</x:v>
      </x:c>
      <x:c r="H14" s="38" t="str">
        <x:v>每篇文章有发布日期、状态、内链</x:v>
      </x:c>
    </x:row>
    <x:row r="15">
      <x:c r="A15" s="47" t="str">
        <x:v>8. 发布复盘</x:v>
      </x:c>
      <x:c r="B15" s="40" t="str">
        <x:v>用数据决定更新</x:v>
      </x:c>
      <x:c r="C15" s="40" t="str">
        <x:v>30-60 天看 GSC 查询、页面、排名</x:v>
      </x:c>
      <x:c r="D15" s="40" t="str">
        <x:v>有展现没点击改标题；有排名没进前10补内容/内链；没展现重查意图</x:v>
      </x:c>
      <x:c r="E15" s="40" t="str">
        <x:v>更新/合并任务</x:v>
      </x:c>
      <x:c r="F15" s="40" t="str">
        <x:v>发布不是结束，复盘后更新才是闭环</x:v>
      </x:c>
      <x:c r="G15" s="40" t="str">
        <x:v>只发不改</x:v>
      </x:c>
      <x:c r="H15" s="41" t="str">
        <x:v>每篇文章有复盘指标</x:v>
      </x:c>
    </x:row>
    <x:row r="16">
      <x:c r="A16" s="126"/>
      <x:c r="B16" s="126"/>
      <x:c r="C16" s="126"/>
      <x:c r="D16" s="126"/>
      <x:c r="E16" s="126"/>
      <x:c r="F16" s="126"/>
      <x:c r="G16" s="126"/>
      <x:c r="H16" s="126"/>
    </x:row>
    <x:row r="17">
      <x:c r="A17" s="129" t="str">
        <x:v>关键词分流决策树</x:v>
      </x:c>
      <x:c r="B17" s="130" t="str">
        <x:v>关键词分流决策树</x:v>
      </x:c>
      <x:c r="C17" s="130" t="str">
        <x:v>关键词分流决策树</x:v>
      </x:c>
      <x:c r="D17" s="130" t="str">
        <x:v>关键词分流决策树</x:v>
      </x:c>
      <x:c r="E17" s="130" t="str">
        <x:v>关键词分流决策树</x:v>
      </x:c>
      <x:c r="F17" s="130" t="str">
        <x:v>关键词分流决策树</x:v>
      </x:c>
      <x:c r="G17" s="130" t="str">
        <x:v>关键词分流决策树</x:v>
      </x:c>
      <x:c r="H17" s="131" t="str">
        <x:v>关键词分流决策树</x:v>
      </x:c>
    </x:row>
    <x:row r="18">
      <x:c r="A18" s="128" t="str">
        <x:v>SERP信号</x:v>
      </x:c>
      <x:c r="B18" s="128" t="str">
        <x:v>搜索意图</x:v>
      </x:c>
      <x:c r="C18" s="128" t="str">
        <x:v>优先页面</x:v>
      </x:c>
      <x:c r="D18" s="128" t="str">
        <x:v>什么时候写文章</x:v>
      </x:c>
      <x:c r="E18" s="128" t="str">
        <x:v>什么时候不写文章</x:v>
      </x:c>
      <x:c r="F18" s="128" t="str">
        <x:v>2C商城迁移</x:v>
      </x:c>
      <x:c r="G18" s="128" t="str">
        <x:v>输出动作</x:v>
      </x:c>
      <x:c r="H18" s="128" t="str">
        <x:v>备注</x:v>
      </x:c>
    </x:row>
    <x:row r="19">
      <x:c r="A19" s="33" t="str">
        <x:v>前排多为商品页/分类页/集合页</x:v>
      </x:c>
      <x:c r="B19" s="34" t="str">
        <x:v>Transactional</x:v>
      </x:c>
      <x:c r="C19" s="34" t="str">
        <x:v>分类页/商品页/集合页</x:v>
      </x:c>
      <x:c r="D19" s="34" t="str">
        <x:v>可在商业页内增加 FAQ 或购买指南段落</x:v>
      </x:c>
      <x:c r="E19" s="34" t="str">
        <x:v>不要单独写博客抢商业页意图</x:v>
      </x:c>
      <x:c r="F19" s="34" t="str">
        <x:v>用商业页承接加购/下单</x:v>
      </x:c>
      <x:c r="G19" s="34" t="str">
        <x:v>商业页优化</x:v>
      </x:c>
      <x:c r="H19" s="35" t="str">
        <x:v>buy/sale/price/shop 等词常见</x:v>
      </x:c>
    </x:row>
    <x:row r="20">
      <x:c r="A20" s="36" t="str">
        <x:v>前排多为 best/top/recommended</x:v>
      </x:c>
      <x:c r="B20" s="37" t="str">
        <x:v>Commercial Investigation</x:v>
      </x:c>
      <x:c r="C20" s="37" t="str">
        <x:v>榜单/购买指南</x:v>
      </x:c>
      <x:c r="D20" s="37" t="str">
        <x:v>文章能自然推荐产品并内链到集合页</x:v>
      </x:c>
      <x:c r="E20" s="37" t="str">
        <x:v>没有商品可承接时不写</x:v>
      </x:c>
      <x:c r="F20" s="37" t="str">
        <x:v>适合写导购文，导向集合页</x:v>
      </x:c>
      <x:c r="G20" s="37" t="str">
        <x:v>写文章</x:v>
      </x:c>
      <x:c r="H20" s="38" t="str">
        <x:v>适合 P0/P1</x:v>
      </x:c>
    </x:row>
    <x:row r="21">
      <x:c r="A21" s="36" t="str">
        <x:v>前排多为 vs/comparison</x:v>
      </x:c>
      <x:c r="B21" s="37" t="str">
        <x:v>Commercial Investigation</x:v>
      </x:c>
      <x:c r="C21" s="37" t="str">
        <x:v>对比文</x:v>
      </x:c>
      <x:c r="D21" s="37" t="str">
        <x:v>用户在购买前做选择</x:v>
      </x:c>
      <x:c r="E21" s="37" t="str">
        <x:v>无法给出明确购买建议时不写</x:v>
      </x:c>
      <x:c r="F21" s="37" t="str">
        <x:v>对比后引导到优势品类/商品</x:v>
      </x:c>
      <x:c r="G21" s="37" t="str">
        <x:v>写文章</x:v>
      </x:c>
      <x:c r="H21" s="38" t="str">
        <x:v>强转化辅助</x:v>
      </x:c>
    </x:row>
    <x:row r="22">
      <x:c r="A22" s="36" t="str">
        <x:v>前排多为 how-to/care/tutorial</x:v>
      </x:c>
      <x:c r="B22" s="37" t="str">
        <x:v>Informational</x:v>
      </x:c>
      <x:c r="C22" s="37" t="str">
        <x:v>教程文/FAQ</x:v>
      </x:c>
      <x:c r="D22" s="37" t="str">
        <x:v>能降低购买顾虑或售后问题</x:v>
      </x:c>
      <x:c r="E22" s="37" t="str">
        <x:v>与产品弱相关时只做 FAQ</x:v>
      </x:c>
      <x:c r="F22" s="37" t="str">
        <x:v>教程中低门槛推荐产品</x:v>
      </x:c>
      <x:c r="G22" s="37" t="str">
        <x:v>写文章或FAQ</x:v>
      </x:c>
      <x:c r="H22" s="38" t="str">
        <x:v>适合长期更新</x:v>
      </x:c>
    </x:row>
    <x:row r="23">
      <x:c r="A23" s="36" t="str">
        <x:v>前排多为 what is/definition/百科</x:v>
      </x:c>
      <x:c r="B23" s="37" t="str">
        <x:v>Informational</x:v>
      </x:c>
      <x:c r="C23" s="37" t="str">
        <x:v>FAQ/商业页段落</x:v>
      </x:c>
      <x:c r="D23" s="37" t="str">
        <x:v>只有当 SERP 有商业文章机会且能做深</x:v>
      </x:c>
      <x:c r="E23" s="37" t="str">
        <x:v>多数不单独写</x:v>
      </x:c>
      <x:c r="F23" s="37" t="str">
        <x:v>放到品类页解释或 FAQ</x:v>
      </x:c>
      <x:c r="G23" s="37" t="str">
        <x:v>合并/不写</x:v>
      </x:c>
      <x:c r="H23" s="38" t="str">
        <x:v>防止定义型水文</x:v>
      </x:c>
    </x:row>
    <x:row r="24">
      <x:c r="A24" s="39" t="str">
        <x:v>前排多为品牌/权威大站</x:v>
      </x:c>
      <x:c r="B24" s="40" t="str">
        <x:v>Navigational/High Authority</x:v>
      </x:c>
      <x:c r="C24" s="40" t="str">
        <x:v>暂缓或长尾切入</x:v>
      </x:c>
      <x:c r="D24" s="40" t="str">
        <x:v>找到更长尾、更具体场景</x:v>
      </x:c>
      <x:c r="E24" s="40" t="str">
        <x:v>不要硬冲大词</x:v>
      </x:c>
      <x:c r="F24" s="40" t="str">
        <x:v>从人群、场景、材质长尾切入</x:v>
      </x:c>
      <x:c r="G24" s="40" t="str">
        <x:v>降级/拆长尾</x:v>
      </x:c>
      <x:c r="H24" s="41" t="str">
        <x:v>小站尤其重要</x:v>
      </x:c>
    </x:row>
    <x:row r="26">
      <x:c r="A26" s="153" t="str">
        <x:v>发布后复盘闭环：把 GSC、当前排名、GA4、询盘和页面承接统一成下月动作</x:v>
      </x:c>
      <x:c r="B26" s="153" t="str"/>
      <x:c r="C26" s="153" t="str"/>
      <x:c r="D26" s="153" t="str"/>
      <x:c r="E26" s="153" t="str"/>
      <x:c r="F26" s="153" t="str"/>
      <x:c r="G26" s="153" t="str"/>
      <x:c r="H26" s="153" t="str"/>
    </x:row>
    <x:row r="27" ht="27" customHeight="1">
      <x:c r="A27" s="160" t="str">
        <x:v>阶段</x:v>
      </x:c>
      <x:c r="B27" s="160" t="str">
        <x:v>目标</x:v>
      </x:c>
      <x:c r="C27" s="160" t="str">
        <x:v>操作</x:v>
      </x:c>
      <x:c r="D27" s="160" t="str">
        <x:v>判断口径</x:v>
      </x:c>
      <x:c r="E27" s="160" t="str">
        <x:v>输出物</x:v>
      </x:c>
      <x:c r="F27" s="160" t="str">
        <x:v>AI必须遵守</x:v>
      </x:c>
      <x:c r="G27" s="160" t="str">
        <x:v>常见错误</x:v>
      </x:c>
      <x:c r="H27" s="160" t="str">
        <x:v>通过标准</x:v>
      </x:c>
    </x:row>
    <x:row r="28" ht="51" customHeight="1">
      <x:c r="A28" s="157" t="str">
        <x:v>9. 数据源统一</x:v>
      </x:c>
      <x:c r="B28" s="157" t="str">
        <x:v>把关键词、文章库、GSC、GA4、当前排名、询盘接到同一站点画像</x:v>
      </x:c>
      <x:c r="C28" s="157" t="str">
        <x:v>在「数据源中心」记录数据来源、字段、市场/语言、同步频率</x:v>
      </x:c>
      <x:c r="D28" s="157" t="str">
        <x:v>数据是否同国家、同语言、同站点；是否能追到页面与关键词</x:v>
      </x:c>
      <x:c r="E28" s="157" t="str">
        <x:v>站点数据源状态表</x:v>
      </x:c>
      <x:c r="F28" s="157" t="str">
        <x:v>数据市场不匹配时必须标红风险，不允许直接生成结论</x:v>
      </x:c>
      <x:c r="G28" s="157" t="str">
        <x:v>DE 站点用 US 数据复盘；只看 Semrush 不看真实站点数据</x:v>
      </x:c>
      <x:c r="H28" s="157" t="str">
        <x:v>能说明每个结论来自哪个数据源</x:v>
      </x:c>
    </x:row>
    <x:row r="29" ht="51" customHeight="1">
      <x:c r="A29" s="157" t="str">
        <x:v>10. 月度复盘</x:v>
      </x:c>
      <x:c r="B29" s="157" t="str">
        <x:v>判断本月 SEO 是否有效、下月优先做什么</x:v>
      </x:c>
      <x:c r="C29" s="157" t="str">
        <x:v>填写「月度复盘总控」：需求、排名承接、行为质量、转化/询盘</x:v>
      </x:c>
      <x:c r="D29" s="157" t="str">
        <x:v>GSC 证明需求；当前排名证明承接；GA4 判断流量质量；询盘/订单判断商业价值</x:v>
      </x:c>
      <x:c r="E29" s="157" t="str">
        <x:v>月度结论 + 下月主打法</x:v>
      </x:c>
      <x:c r="F29" s="157" t="str">
        <x:v>不要把月报写成流水账，必须输出结论和动作</x:v>
      </x:c>
      <x:c r="G29" s="157" t="str">
        <x:v>只报点击曝光，不判断为什么和下一步</x:v>
      </x:c>
      <x:c r="H29" s="157" t="str">
        <x:v>能得出 P0/P1/P2 的任务方向</x:v>
      </x:c>
    </x:row>
    <x:row r="30" ht="51" customHeight="1">
      <x:c r="A30" s="157" t="str">
        <x:v>11. 排名校验</x:v>
      </x:c>
      <x:c r="B30" s="157" t="str">
        <x:v>解决 GSC 均位不是当前排名的问题</x:v>
      </x:c>
      <x:c r="C30" s="157" t="str">
        <x:v>用「GSC排名校验」把 GSC 查询词与 DataForSEO/Semrush 当前排名对齐</x:v>
      </x:c>
      <x:c r="D30" s="157" t="str">
        <x:v>GSC avg position 是历史均值；当前排名要看实时 provider 和排名 URL</x:v>
      </x:c>
      <x:c r="E30" s="157" t="str">
        <x:v>机会类型：Quick Win / Product Page Needed / Blog Supporting / Internal Link / Monitor</x:v>
      </x:c>
      <x:c r="F30" s="157" t="str">
        <x:v>有 GSC 曝光但当前排名缺失时，要先判断承接页是否缺失</x:v>
      </x:c>
      <x:c r="G30" s="157" t="str">
        <x:v>把 GSC 均位当真实排名；URL 错配还继续写新文章</x:v>
      </x:c>
      <x:c r="H30" s="157" t="str">
        <x:v>每个机会词有当前 URL、目标 URL 和动作</x:v>
      </x:c>
    </x:row>
    <x:row r="31" ht="51" customHeight="1">
      <x:c r="A31" s="157" t="str">
        <x:v>12. 任务回流</x:v>
      </x:c>
      <x:c r="B31" s="157" t="str">
        <x:v>把复盘结果推回内容中枢、生产和发布</x:v>
      </x:c>
      <x:c r="C31" s="157" t="str">
        <x:v>在「月度ActionPlan」生成任务池，再推到内容中枢或待办</x:v>
      </x:c>
      <x:c r="D31" s="157" t="str">
        <x:v>不是所有机会都写新文章；有些是改旧文、补内链、做产品页、观察</x:v>
      </x:c>
      <x:c r="E31" s="157" t="str">
        <x:v>下月 Action Plan</x:v>
      </x:c>
      <x:c r="F31" s="157" t="str">
        <x:v>Product Page Needed 不应直接变成博客；Update Old Page 应回到文章库存优化</x:v>
      </x:c>
      <x:c r="G31" s="157" t="str">
        <x:v>所有机会都生成文章；重复抢同一关键词</x:v>
      </x:c>
      <x:c r="H31" s="157" t="str">
        <x:v>任务能进入生成、优化、内链或页面规划流程</x:v>
      </x:c>
    </x:row>
  </x:sheetData>
  <x:mergeCells>
    <x:mergeCell ref="A1:H1"/>
    <x:mergeCell ref="A2:H2"/>
    <x:mergeCell ref="A4:H4"/>
    <x:mergeCell ref="A17:H17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34" hidden="0" customWidth="1"/>
    <x:col min="4" max="4" width="30" hidden="0" customWidth="1"/>
    <x:col min="5" max="5" width="26" hidden="0" customWidth="1"/>
    <x:col min="6" max="6" width="26" hidden="0" customWidth="1"/>
    <x:col min="7" max="7" width="28" hidden="0" customWidth="1"/>
    <x:col min="8" max="8" width="28" hidden="0" customWidth="1"/>
  </x:cols>
  <x:sheetData>
    <x:row r="1">
      <x:c r="A1" s="124" t="str">
        <x:v>网站定位输入卡</x:v>
      </x:c>
      <x:c r="B1" s="124" t="str">
        <x:v>网站定位输入卡</x:v>
      </x:c>
      <x:c r="C1" s="124" t="str">
        <x:v>网站定位输入卡</x:v>
      </x:c>
      <x:c r="D1" s="124" t="str">
        <x:v>网站定位输入卡</x:v>
      </x:c>
      <x:c r="E1" s="124" t="str">
        <x:v>网站定位输入卡</x:v>
      </x:c>
      <x:c r="F1" s="124" t="str">
        <x:v>网站定位输入卡</x:v>
      </x:c>
      <x:c r="G1" s="124" t="str">
        <x:v>网站定位输入卡</x:v>
      </x:c>
      <x:c r="H1" s="124" t="str">
        <x:v>网站定位输入卡</x:v>
      </x:c>
    </x:row>
    <x:row r="2" ht="34" customHeight="1">
      <x:c r="A2" s="125" t="str">
        <x:v>把这页填好后，再让 AI 做关键词筛选和文章规划。没有这些信息，AI 很容易把页面类型和内容策略判断错。</x:v>
      </x:c>
      <x:c r="B2" s="125" t="str">
        <x:v>把这页填好后，再让 AI 做关键词筛选和文章规划。没有这些信息，AI 很容易把页面类型和内容策略判断错。</x:v>
      </x:c>
      <x:c r="C2" s="125" t="str">
        <x:v>把这页填好后，再让 AI 做关键词筛选和文章规划。没有这些信息，AI 很容易把页面类型和内容策略判断错。</x:v>
      </x:c>
      <x:c r="D2" s="125" t="str">
        <x:v>把这页填好后，再让 AI 做关键词筛选和文章规划。没有这些信息，AI 很容易把页面类型和内容策略判断错。</x:v>
      </x:c>
      <x:c r="E2" s="125" t="str">
        <x:v>把这页填好后，再让 AI 做关键词筛选和文章规划。没有这些信息，AI 很容易把页面类型和内容策略判断错。</x:v>
      </x:c>
      <x:c r="F2" s="125" t="str">
        <x:v>把这页填好后，再让 AI 做关键词筛选和文章规划。没有这些信息，AI 很容易把页面类型和内容策略判断错。</x:v>
      </x:c>
      <x:c r="G2" s="125" t="str">
        <x:v>把这页填好后，再让 AI 做关键词筛选和文章规划。没有这些信息，AI 很容易把页面类型和内容策略判断错。</x:v>
      </x:c>
      <x:c r="H2" s="125" t="str">
        <x:v>把这页填好后，再让 AI 做关键词筛选和文章规划。没有这些信息，AI 很容易把页面类型和内容策略判断错。</x:v>
      </x:c>
    </x:row>
    <x:row r="3">
      <x:c r="A3" s="126"/>
      <x:c r="B3" s="126"/>
      <x:c r="C3" s="126"/>
      <x:c r="D3" s="126"/>
      <x:c r="E3" s="126"/>
      <x:c r="F3" s="126"/>
      <x:c r="G3" s="126"/>
      <x:c r="H3" s="126"/>
    </x:row>
    <x:row r="4">
      <x:c r="A4" s="128" t="str">
        <x:v>信息项</x:v>
      </x:c>
      <x:c r="B4" s="128" t="str">
        <x:v>你需要填写</x:v>
      </x:c>
      <x:c r="C4" s="128" t="str">
        <x:v>为什么重要</x:v>
      </x:c>
      <x:c r="D4" s="128" t="str">
        <x:v>示例</x:v>
      </x:c>
      <x:c r="E4" s="128" t="str">
        <x:v>AI使用方式</x:v>
      </x:c>
      <x:c r="F4" s="128" t="str">
        <x:v>是否必填</x:v>
      </x:c>
      <x:c r="G4" s="128" t="str">
        <x:v>常见错误</x:v>
      </x:c>
      <x:c r="H4" s="128" t="str">
        <x:v>备注</x:v>
      </x:c>
    </x:row>
    <x:row r="5">
      <x:c r="A5" s="45" t="str">
        <x:v>网站类型</x:v>
      </x:c>
      <x:c r="B5" s="34" t="str">
        <x:v>2C商城 / B2B询盘站 / SaaS / 内容站 / 本地服务</x:v>
      </x:c>
      <x:c r="C5" s="34" t="str">
        <x:v>决定关键词承接页面</x:v>
      </x:c>
      <x:c r="D5" s="34" t="str">
        <x:v>2C Shopify 商城</x:v>
      </x:c>
      <x:c r="E5" s="34" t="str">
        <x:v>判断博客和商业页边界</x:v>
      </x:c>
      <x:c r="F5" s="34" t="str">
        <x:v>必填</x:v>
      </x:c>
      <x:c r="G5" s="34" t="str">
        <x:v>把 B2B 线索逻辑套到商城</x:v>
      </x:c>
      <x:c r="H5" s="35" t="str"/>
    </x:row>
    <x:row r="6">
      <x:c r="A6" s="46" t="str">
        <x:v>商业目标</x:v>
      </x:c>
      <x:c r="B6" s="37" t="str">
        <x:v>下单、加购、询盘、注册、订阅、下载</x:v>
      </x:c>
      <x:c r="C6" s="37" t="str">
        <x:v>决定文章 CTA 和内链</x:v>
      </x:c>
      <x:c r="D6" s="37" t="str">
        <x:v>加购 + 下单购买</x:v>
      </x:c>
      <x:c r="E6" s="37" t="str">
        <x:v>每篇文章要支撑该目标</x:v>
      </x:c>
      <x:c r="F6" s="37" t="str">
        <x:v>必填</x:v>
      </x:c>
      <x:c r="G6" s="37" t="str">
        <x:v>只追流量不追转化</x:v>
      </x:c>
      <x:c r="H6" s="38" t="str"/>
    </x:row>
    <x:row r="7">
      <x:c r="A7" s="46" t="str">
        <x:v>核心产品/品类</x:v>
      </x:c>
      <x:c r="B7" s="37" t="str">
        <x:v>列出 3-10 个优先产品线</x:v>
      </x:c>
      <x:c r="C7" s="37" t="str">
        <x:v>决定主题簇</x:v>
      </x:c>
      <x:c r="D7" s="37" t="str">
        <x:v>silk pillowcase, silk eye mask</x:v>
      </x:c>
      <x:c r="E7" s="37" t="str">
        <x:v>按产品线归类关键词</x:v>
      </x:c>
      <x:c r="F7" s="37" t="str">
        <x:v>必填</x:v>
      </x:c>
      <x:c r="G7" s="37" t="str">
        <x:v>关键词和产品线脱节</x:v>
      </x:c>
      <x:c r="H7" s="38" t="str"/>
    </x:row>
    <x:row r="8">
      <x:c r="A8" s="46" t="str">
        <x:v>目标市场/语言</x:v>
      </x:c>
      <x:c r="B8" s="37" t="str">
        <x:v>国家、语言、币种、地区限制</x:v>
      </x:c>
      <x:c r="C8" s="37" t="str">
        <x:v>SERP 和词意图会变</x:v>
      </x:c>
      <x:c r="D8" s="37" t="str">
        <x:v>US / English / USD</x:v>
      </x:c>
      <x:c r="E8" s="37" t="str">
        <x:v>选择对应国家 SERP 判断</x:v>
      </x:c>
      <x:c r="F8" s="37" t="str">
        <x:v>必填</x:v>
      </x:c>
      <x:c r="G8" s="37" t="str">
        <x:v>拿中文直觉判断英文 SERP</x:v>
      </x:c>
      <x:c r="H8" s="38" t="str"/>
    </x:row>
    <x:row r="9">
      <x:c r="A9" s="46" t="str">
        <x:v>目标人群</x:v>
      </x:c>
      <x:c r="B9" s="37" t="str">
        <x:v>用户是谁、痛点是什么、购买前顾虑是什么</x:v>
      </x:c>
      <x:c r="C9" s="37" t="str">
        <x:v>决定文章角度</x:v>
      </x:c>
      <x:c r="D9" s="37" t="str">
        <x:v>curly hair users, skincare buyers</x:v>
      </x:c>
      <x:c r="E9" s="37" t="str">
        <x:v>生成场景文和 FAQ</x:v>
      </x:c>
      <x:c r="F9" s="37" t="str">
        <x:v>必填</x:v>
      </x:c>
      <x:c r="G9" s="37" t="str">
        <x:v>只写产品，不写人群</x:v>
      </x:c>
      <x:c r="H9" s="38" t="str"/>
    </x:row>
    <x:row r="10">
      <x:c r="A10" s="46" t="str">
        <x:v>成交页面</x:v>
      </x:c>
      <x:c r="B10" s="37" t="str">
        <x:v>分类页、集合页、商品页 URL</x:v>
      </x:c>
      <x:c r="C10" s="37" t="str">
        <x:v>文章必须能导流</x:v>
      </x:c>
      <x:c r="D10" s="37" t="str">
        <x:v>/collections/silk-pillowcases</x:v>
      </x:c>
      <x:c r="E10" s="37" t="str">
        <x:v>作为父级商业页</x:v>
      </x:c>
      <x:c r="F10" s="37" t="str">
        <x:v>必填</x:v>
      </x:c>
      <x:c r="G10" s="37" t="str">
        <x:v>博客没有目标 URL</x:v>
      </x:c>
      <x:c r="H10" s="38" t="str"/>
    </x:row>
    <x:row r="11">
      <x:c r="A11" s="46" t="str">
        <x:v>站点阶段</x:v>
      </x:c>
      <x:c r="B11" s="37" t="str">
        <x:v>DA/DR、Semrush流量、GSC展现/点击、上线时间</x:v>
      </x:c>
      <x:c r="C11" s="37" t="str">
        <x:v>决定难度阈值和发文量</x:v>
      </x:c>
      <x:c r="D11" s="37" t="str">
        <x:v>新站，Semrush流量&lt;300</x:v>
      </x:c>
      <x:c r="E11" s="37" t="str">
        <x:v>小站先长尾和低 KD</x:v>
      </x:c>
      <x:c r="F11" s="37" t="str">
        <x:v>建议填</x:v>
      </x:c>
      <x:c r="G11" s="37" t="str">
        <x:v>小站硬冲大词</x:v>
      </x:c>
      <x:c r="H11" s="38" t="str"/>
    </x:row>
    <x:row r="12">
      <x:c r="A12" s="46" t="str">
        <x:v>内容资源</x:v>
      </x:c>
      <x:c r="B12" s="37" t="str">
        <x:v>是否有实拍图、测评、数据、专家、客户案例</x:v>
      </x:c>
      <x:c r="C12" s="37" t="str">
        <x:v>决定内容深度和 E-E-A-T</x:v>
      </x:c>
      <x:c r="D12" s="37" t="str">
        <x:v>有产品图和材质参数，无实验数据</x:v>
      </x:c>
      <x:c r="E12" s="37" t="str">
        <x:v>决定哪些词能写深</x:v>
      </x:c>
      <x:c r="F12" s="37" t="str">
        <x:v>建议填</x:v>
      </x:c>
      <x:c r="G12" s="37" t="str">
        <x:v>AI 空写无证据</x:v>
      </x:c>
      <x:c r="H12" s="38" t="str"/>
    </x:row>
    <x:row r="13">
      <x:c r="A13" s="46" t="str">
        <x:v>竞品网站</x:v>
      </x:c>
      <x:c r="B13" s="37" t="str">
        <x:v>3-10 个竞品 URL</x:v>
      </x:c>
      <x:c r="C13" s="37" t="str">
        <x:v>用于 SERP 和内容缺口分析</x:v>
      </x:c>
      <x:c r="D13" s="37" t="str">
        <x:v>competitor.com</x:v>
      </x:c>
      <x:c r="E13" s="37" t="str">
        <x:v>提取竞品页面类型和 H2</x:v>
      </x:c>
      <x:c r="F13" s="37" t="str">
        <x:v>建议填</x:v>
      </x:c>
      <x:c r="G13" s="37" t="str">
        <x:v>只看工具数据不看竞品</x:v>
      </x:c>
      <x:c r="H13" s="38" t="str"/>
    </x:row>
    <x:row r="14">
      <x:c r="A14" s="46" t="str">
        <x:v>品牌定位</x:v>
      </x:c>
      <x:c r="B14" s="37" t="str">
        <x:v>高端/性价比/专业/礼品/环保等</x:v>
      </x:c>
      <x:c r="C14" s="37" t="str">
        <x:v>决定标题和 CTA</x:v>
      </x:c>
      <x:c r="D14" s="37" t="str">
        <x:v>premium mulberry silk</x:v>
      </x:c>
      <x:c r="E14" s="37" t="str">
        <x:v>保持内容口径一致</x:v>
      </x:c>
      <x:c r="F14" s="37" t="str">
        <x:v>建议填</x:v>
      </x:c>
      <x:c r="G14" s="37" t="str">
        <x:v>文章风格和商品定位冲突</x:v>
      </x:c>
      <x:c r="H14" s="38" t="str"/>
    </x:row>
    <x:row r="15">
      <x:c r="A15" s="46" t="str">
        <x:v>禁止表达</x:v>
      </x:c>
      <x:c r="B15" s="37" t="str">
        <x:v>医疗承诺、夸大功效、敏感词</x:v>
      </x:c>
      <x:c r="C15" s="37" t="str">
        <x:v>降低合规风险</x:v>
      </x:c>
      <x:c r="D15" s="37" t="str">
        <x:v>不承诺治愈 acne/hair loss</x:v>
      </x:c>
      <x:c r="E15" s="37" t="str">
        <x:v>写作时规避</x:v>
      </x:c>
      <x:c r="F15" s="37" t="str">
        <x:v>建议填</x:v>
      </x:c>
      <x:c r="G15" s="37" t="str">
        <x:v>为了转化夸大功效</x:v>
      </x:c>
      <x:c r="H15" s="38" t="str"/>
    </x:row>
    <x:row r="16">
      <x:c r="A16" s="46" t="str">
        <x:v>内容产能</x:v>
      </x:c>
      <x:c r="B16" s="37" t="str">
        <x:v>每月可写几篇、是否有人审稿、是否能拍图</x:v>
      </x:c>
      <x:c r="C16" s="37" t="str">
        <x:v>决定内容日历</x:v>
      </x:c>
      <x:c r="D16" s="37" t="str">
        <x:v>每月 8-12 篇</x:v>
      </x:c>
      <x:c r="E16" s="37" t="str">
        <x:v>控制发文节奏</x:v>
      </x:c>
      <x:c r="F16" s="37" t="str">
        <x:v>建议填</x:v>
      </x:c>
      <x:c r="G16" s="37" t="str">
        <x:v>计划超过执行能力</x:v>
      </x:c>
      <x:c r="H16" s="38" t="str"/>
    </x:row>
    <x:row r="17">
      <x:c r="A17" s="46" t="str">
        <x:v>当前已有内容</x:v>
      </x:c>
      <x:c r="B17" s="37" t="str">
        <x:v>已有博客、分类页、产品页、排名 URL</x:v>
      </x:c>
      <x:c r="C17" s="37" t="str">
        <x:v>避免重复和内耗</x:v>
      </x:c>
      <x:c r="D17" s="37" t="str">
        <x:v>已有 20 篇 blog</x:v>
      </x:c>
      <x:c r="E17" s="37" t="str">
        <x:v>判断更新/合并/新写</x:v>
      </x:c>
      <x:c r="F17" s="37" t="str">
        <x:v>建议填</x:v>
      </x:c>
      <x:c r="G17" s="37" t="str">
        <x:v>重复写相同意图文章</x:v>
      </x:c>
      <x:c r="H17" s="38" t="str"/>
    </x:row>
    <x:row r="18">
      <x:c r="A18" s="46" t="str">
        <x:v>优先业务</x:v>
      </x:c>
      <x:c r="B18" s="37" t="str">
        <x:v>未来 1-3 个月最想推的品类</x:v>
      </x:c>
      <x:c r="C18" s="37" t="str">
        <x:v>决定先打哪个主题簇</x:v>
      </x:c>
      <x:c r="D18" s="37" t="str">
        <x:v>silk pillowcase</x:v>
      </x:c>
      <x:c r="E18" s="37" t="str">
        <x:v>优先规划该主题簇</x:v>
      </x:c>
      <x:c r="F18" s="37" t="str">
        <x:v>必填</x:v>
      </x:c>
      <x:c r="G18" s="37" t="str">
        <x:v>所有品类同时推进</x:v>
      </x:c>
      <x:c r="H18" s="38" t="str"/>
    </x:row>
    <x:row r="19">
      <x:c r="A19" s="46" t="str">
        <x:v>衡量指标</x:v>
      </x:c>
      <x:c r="B19" s="37" t="str">
        <x:v>点击、排名、内链点击、加购、订单、询盘</x:v>
      </x:c>
      <x:c r="C19" s="37" t="str">
        <x:v>决定复盘方式</x:v>
      </x:c>
      <x:c r="D19" s="37" t="str">
        <x:v>GSC点击 + 商品页点击</x:v>
      </x:c>
      <x:c r="E19" s="37" t="str">
        <x:v>输出复盘指标</x:v>
      </x:c>
      <x:c r="F19" s="37" t="str">
        <x:v>建议填</x:v>
      </x:c>
      <x:c r="G19" s="37" t="str">
        <x:v>只看文章流量</x:v>
      </x:c>
      <x:c r="H19" s="38" t="str"/>
    </x:row>
    <x:row r="20">
      <x:c r="A20" s="47" t="str">
        <x:v>交付要求</x:v>
      </x:c>
      <x:c r="B20" s="40" t="str">
        <x:v>需要关键词表、内容日历、Brief、标题、文章草稿</x:v>
      </x:c>
      <x:c r="C20" s="40" t="str">
        <x:v>决定 AI 输出粒度</x:v>
      </x:c>
      <x:c r="D20" s="40" t="str">
        <x:v>先输出评分表和 Brief</x:v>
      </x:c>
      <x:c r="E20" s="40" t="str">
        <x:v>控制交付格式</x:v>
      </x:c>
      <x:c r="F20" s="40" t="str">
        <x:v>必填</x:v>
      </x:c>
      <x:c r="G20" s="40" t="str">
        <x:v>直接让 AI 写全文</x:v>
      </x:c>
      <x:c r="H20" s="41" t="str"/>
    </x:row>
  </x:sheetData>
  <x:mergeCells>
    <x:mergeCell ref="A1:H1"/>
    <x:mergeCell ref="A2:H2"/>
  </x:mergeCells>
  <x:dataValidations count="1">
    <x:dataValidation type="list" sqref="F5:F20">
      <x:formula1>"必填,建议填,可选"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4" hidden="0" customWidth="1"/>
    <x:col min="3" max="3" width="36" hidden="0" customWidth="1"/>
    <x:col min="4" max="4" width="30" hidden="0" customWidth="1"/>
    <x:col min="5" max="5" width="28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24" t="str">
        <x:v>给其他 AI 的协作提示词</x:v>
      </x:c>
      <x:c r="B1" s="124" t="str">
        <x:v>给其他 AI 的协作提示词</x:v>
      </x:c>
      <x:c r="C1" s="124" t="str">
        <x:v>给其他 AI 的协作提示词</x:v>
      </x:c>
      <x:c r="D1" s="124" t="str">
        <x:v>给其他 AI 的协作提示词</x:v>
      </x:c>
      <x:c r="E1" s="124" t="str">
        <x:v>给其他 AI 的协作提示词</x:v>
      </x:c>
      <x:c r="F1" s="124" t="str">
        <x:v>给其他 AI 的协作提示词</x:v>
      </x:c>
      <x:c r="G1" s="124" t="str">
        <x:v>给其他 AI 的协作提示词</x:v>
      </x:c>
      <x:c r="H1" s="124" t="str">
        <x:v>给其他 AI 的协作提示词</x:v>
      </x:c>
    </x:row>
    <x:row r="2" ht="34" customHeight="1">
      <x:c r="A2" s="125" t="str">
        <x:v>复制这页内容给其他 AI，并同时上传本 Excel。要求它按本标准输出，不要直接跳到写文章。</x:v>
      </x:c>
      <x:c r="B2" s="125" t="str">
        <x:v>复制这页内容给其他 AI，并同时上传本 Excel。要求它按本标准输出，不要直接跳到写文章。</x:v>
      </x:c>
      <x:c r="C2" s="125" t="str">
        <x:v>复制这页内容给其他 AI，并同时上传本 Excel。要求它按本标准输出，不要直接跳到写文章。</x:v>
      </x:c>
      <x:c r="D2" s="125" t="str">
        <x:v>复制这页内容给其他 AI，并同时上传本 Excel。要求它按本标准输出，不要直接跳到写文章。</x:v>
      </x:c>
      <x:c r="E2" s="125" t="str">
        <x:v>复制这页内容给其他 AI，并同时上传本 Excel。要求它按本标准输出，不要直接跳到写文章。</x:v>
      </x:c>
      <x:c r="F2" s="125" t="str">
        <x:v>复制这页内容给其他 AI，并同时上传本 Excel。要求它按本标准输出，不要直接跳到写文章。</x:v>
      </x:c>
      <x:c r="G2" s="125" t="str">
        <x:v>复制这页内容给其他 AI，并同时上传本 Excel。要求它按本标准输出，不要直接跳到写文章。</x:v>
      </x:c>
      <x:c r="H2" s="125" t="str">
        <x:v>复制这页内容给其他 AI，并同时上传本 Excel。要求它按本标准输出，不要直接跳到写文章。</x:v>
      </x:c>
    </x:row>
    <x:row r="3">
      <x:c r="A3" s="126"/>
      <x:c r="B3" s="126"/>
      <x:c r="C3" s="126"/>
      <x:c r="D3" s="126"/>
      <x:c r="E3" s="126"/>
      <x:c r="F3" s="126"/>
      <x:c r="G3" s="126"/>
      <x:c r="H3" s="126"/>
    </x:row>
    <x:row r="4">
      <x:c r="A4" s="128" t="str">
        <x:v>模块</x:v>
      </x:c>
      <x:c r="B4" s="128" t="str">
        <x:v>提示词内容</x:v>
      </x:c>
      <x:c r="C4" s="128" t="str">
        <x:v>目的</x:v>
      </x:c>
      <x:c r="D4" s="128" t="str">
        <x:v>输出要求</x:v>
      </x:c>
      <x:c r="E4" s="128" t="str">
        <x:v>检查点</x:v>
      </x:c>
      <x:c r="F4" s="128" t="str">
        <x:v>状态</x:v>
      </x:c>
      <x:c r="G4" s="128" t="str">
        <x:v>备注</x:v>
      </x:c>
      <x:c r="H4" s="128" t="str"/>
    </x:row>
    <x:row r="5">
      <x:c r="A5" s="45" t="str">
        <x:v>角色</x:v>
      </x:c>
      <x:c r="B5" s="34" t="str">
        <x:v>你是 Google SEO 内容策略师，任务不是直接写文章，而是根据网站定位、关键词数据和 SERP 页面类型，完成关键词到页面/文章的规划。</x:v>
      </x:c>
      <x:c r="C5" s="34" t="str">
        <x:v>限定 AI 角色</x:v>
      </x:c>
      <x:c r="D5" s="34" t="str">
        <x:v>先规划，后写作</x:v>
      </x:c>
      <x:c r="E5" s="34" t="str">
        <x:v>是否先问定位</x:v>
      </x:c>
      <x:c r="F5" s="34" t="str"/>
      <x:c r="G5" s="34" t="str"/>
      <x:c r="H5" s="35" t="str"/>
    </x:row>
    <x:row r="6">
      <x:c r="A6" s="46" t="str">
        <x:v>输入</x:v>
      </x:c>
      <x:c r="B6" s="37" t="str">
        <x:v>我会提供：网站定位输入卡、Semrush/GSC 关键词数据、现有页面 URL、竞品/目标市场。你必须先读取这些信息。</x:v>
      </x:c>
      <x:c r="C6" s="37" t="str">
        <x:v>统一上下文</x:v>
      </x:c>
      <x:c r="D6" s="37" t="str">
        <x:v>列出已读取信息和缺失信息</x:v>
      </x:c>
      <x:c r="E6" s="37" t="str">
        <x:v>是否遗漏目标国家/产品线</x:v>
      </x:c>
      <x:c r="F6" s="37" t="str"/>
      <x:c r="G6" s="37" t="str"/>
      <x:c r="H6" s="38" t="str"/>
    </x:row>
    <x:row r="7">
      <x:c r="A7" s="46" t="str">
        <x:v>总原则</x:v>
      </x:c>
      <x:c r="B7" s="37" t="str">
        <x:v>不要把所有关键词都拿来写文章。先判断关键词应由哪种页面承接：分类页、集合页、商品页、博客文章、FAQ/段落，或暂时不做。</x:v>
      </x:c>
      <x:c r="C7" s="37" t="str">
        <x:v>防止误写文章</x:v>
      </x:c>
      <x:c r="D7" s="37" t="str">
        <x:v>输出页面类型分流</x:v>
      </x:c>
      <x:c r="E7" s="37" t="str">
        <x:v>是否每个词有页面类型</x:v>
      </x:c>
      <x:c r="F7" s="37" t="str"/>
      <x:c r="G7" s="37" t="str"/>
      <x:c r="H7" s="38" t="str"/>
    </x:row>
    <x:row r="8">
      <x:c r="A8" s="46" t="str">
        <x:v>SERP规则</x:v>
      </x:c>
      <x:c r="B8" s="37" t="str">
        <x:v>每个候选词必须人工或基于 SERP 信息判断前 10 名页面类型。如果 SERP 文章占比低于 4/10，默认不单独写博客，除非有明确商业理由。</x:v>
      </x:c>
      <x:c r="C8" s="37" t="str">
        <x:v>锁定判断顺序</x:v>
      </x:c>
      <x:c r="D8" s="37" t="str">
        <x:v>填写 SERP文章占比和获胜类型</x:v>
      </x:c>
      <x:c r="E8" s="37" t="str">
        <x:v>是否看 SERP</x:v>
      </x:c>
      <x:c r="F8" s="37" t="str"/>
      <x:c r="G8" s="37" t="str"/>
      <x:c r="H8" s="38" t="str"/>
    </x:row>
    <x:row r="9">
      <x:c r="A9" s="46" t="str">
        <x:v>商业规则</x:v>
      </x:c>
      <x:c r="B9" s="37" t="str">
        <x:v>每个文章词必须指定父级商业页。没有父级商业页、无法自然内链到产品/分类/集合页的词，默认降级为 P2/P3。</x:v>
      </x:c>
      <x:c r="C9" s="37" t="str">
        <x:v>让文章服务转化</x:v>
      </x:c>
      <x:c r="D9" s="37" t="str">
        <x:v>输出父级商业页和目标URL</x:v>
      </x:c>
      <x:c r="E9" s="37" t="str">
        <x:v>是否博客孤岛</x:v>
      </x:c>
      <x:c r="F9" s="37" t="str"/>
      <x:c r="G9" s="37" t="str"/>
      <x:c r="H9" s="38" t="str"/>
    </x:row>
    <x:row r="10">
      <x:c r="A10" s="46" t="str">
        <x:v>评分规则</x:v>
      </x:c>
      <x:c r="B10" s="37" t="str">
        <x:v>按 100 分模型评分：SERP文章匹配20、商业支撑20、需求15、难度机会15、内容深度15、主题内链10、更新价值5。</x:v>
      </x:c>
      <x:c r="C10" s="37" t="str">
        <x:v>统一量化标准</x:v>
      </x:c>
      <x:c r="D10" s="37" t="str">
        <x:v>输出各维度分和总分</x:v>
      </x:c>
      <x:c r="E10" s="37" t="str">
        <x:v>是否可追溯</x:v>
      </x:c>
      <x:c r="F10" s="37" t="str"/>
      <x:c r="G10" s="37" t="str"/>
      <x:c r="H10" s="38" t="str"/>
    </x:row>
    <x:row r="11">
      <x:c r="A11" s="46" t="str">
        <x:v>优先级</x:v>
      </x:c>
      <x:c r="B11" s="37" t="str">
        <x:v>P0&gt;=75 立即写；P1=60-74 排入内容日历；P2=45-59 做 FAQ/段落或低优先文章；P3&lt;45 不单独写。</x:v>
      </x:c>
      <x:c r="C11" s="37" t="str">
        <x:v>统一动作</x:v>
      </x:c>
      <x:c r="D11" s="37" t="str">
        <x:v>输出推荐动作</x:v>
      </x:c>
      <x:c r="E11" s="37" t="str">
        <x:v>动作是否和分数一致</x:v>
      </x:c>
      <x:c r="F11" s="37" t="str"/>
      <x:c r="G11" s="37" t="str"/>
      <x:c r="H11" s="38" t="str"/>
    </x:row>
    <x:row r="12">
      <x:c r="A12" s="46" t="str">
        <x:v>文章类型</x:v>
      </x:c>
      <x:c r="B12" s="37" t="str">
        <x:v>根据关键词和 SERP 选择文章类型：榜单/购买指南、对比文、教程文、价值解释文、标准/规格文、场景解决方案、FAQ/段落。</x:v>
      </x:c>
      <x:c r="C12" s="37" t="str">
        <x:v>避免模板化</x:v>
      </x:c>
      <x:c r="D12" s="37" t="str">
        <x:v>输出推荐文章类型</x:v>
      </x:c>
      <x:c r="E12" s="37" t="str">
        <x:v>是否匹配意图</x:v>
      </x:c>
      <x:c r="F12" s="37" t="str"/>
      <x:c r="G12" s="37" t="str"/>
      <x:c r="H12" s="38" t="str"/>
    </x:row>
    <x:row r="13">
      <x:c r="A13" s="46" t="str">
        <x:v>Brief要求</x:v>
      </x:c>
      <x:c r="B13" s="37" t="str">
        <x:v>每篇 P0/P1 文章必须输出：主关键词、父级商业页、用户问题、一句话答案、H2结构、原创证据、竞品缺口、内链、CTA、FAQ、复盘指标；并判断是否需要 References。</x:v>
      </x:c>
      <x:c r="C13" s="37" t="str">
        <x:v>让文章可执行</x:v>
      </x:c>
      <x:c r="D13" s="37" t="str">
        <x:v>输出文章 Brief</x:v>
      </x:c>
      <x:c r="E13" s="37" t="str">
        <x:v>是否包含证据、内链和引用触发判断</x:v>
      </x:c>
      <x:c r="F13" s="37" t="str"/>
      <x:c r="G13" s="37" t="str"/>
      <x:c r="H13" s="38" t="str"/>
    </x:row>
    <x:row r="14">
      <x:c r="A14" s="46" t="str">
        <x:v>引用触发规则</x:v>
      </x:c>
      <x:c r="B14" s="37" t="str">
        <x:v>References 不是每篇文章固定模块。只有正文使用外部事实、官方定义、法律/年龄、健康风险、安全、电池/回收、行业标准、平台规则或研究数据时，才加 ## References。普通经验、口味、场景、产品灵感文可以 0 引用。</x:v>
      </x:c>
      <x:c r="C14" s="37" t="str">
        <x:v>避免模板化引用</x:v>
      </x:c>
      <x:c r="D14" s="37" t="str">
        <x:v>需要时输出 References；不需要时写明不触发</x:v>
      </x:c>
      <x:c r="E14" s="37" t="str">
        <x:v>是否避免每篇重复同一套来源</x:v>
      </x:c>
      <x:c r="F14" s="37" t="str"/>
      <x:c r="G14" s="37" t="str"/>
      <x:c r="H14" s="38" t="str"/>
    </x:row>
    <x:row r="15">
      <x:c r="A15" s="46" t="str">
        <x:v>图片位置规则</x:v>
      </x:c>
      <x:c r="B15" s="37" t="str">
        <x:v>如果文章需要图片或已经生成图片，必须输出 Image Placement Map：Image、File、Exact placement、Purpose、Alt tag。Exact placement 必须写到 H2/H3、段落后、表格前后，或 CMS featured image，不能只写“放正文中”。</x:v>
      </x:c>
      <x:c r="C15" s="37" t="str">
        <x:v>统一配图落点</x:v>
      </x:c>
      <x:c r="D15" s="37" t="str">
        <x:v>输出图片位置表</x:v>
      </x:c>
      <x:c r="E15" s="37" t="str">
        <x:v>是否写清楚插入点和 alt</x:v>
      </x:c>
      <x:c r="F15" s="37" t="str"/>
      <x:c r="G15" s="37" t="str"/>
      <x:c r="H15" s="38" t="str"/>
    </x:row>
    <x:row r="16">
      <x:c r="A16" s="46" t="str">
        <x:v>2C商城迁移</x:v>
      </x:c>
      <x:c r="B16" s="37" t="str">
        <x:v>如果网站是 2C 商城，博客负责购买前教育、比较、教程和顾虑解除；分类页/集合页/商品页负责成交。不要让博客替代应该成交的商业页。</x:v>
      </x:c>
      <x:c r="C16" s="37" t="str">
        <x:v>适配用户网站</x:v>
      </x:c>
      <x:c r="D16" s="37" t="str">
        <x:v>明确每篇文章如何导向加购/下单</x:v>
      </x:c>
      <x:c r="E16" s="37" t="str">
        <x:v>是否导向成交页</x:v>
      </x:c>
      <x:c r="F16" s="37" t="str"/>
      <x:c r="G16" s="37" t="str"/>
      <x:c r="H16" s="38" t="str"/>
    </x:row>
    <x:row r="17">
      <x:c r="A17" s="46" t="str">
        <x:v>输出格式</x:v>
      </x:c>
      <x:c r="B17" s="37" t="str">
        <x:v>请按以下顺序输出：1 网站定位摘要；2 关键词分流表；3 文章关键词评分表；4 P0/P1 内容日历；5 每篇文章 Brief；6 风险和需要人工确认的问题。</x:v>
      </x:c>
      <x:c r="C17" s="37" t="str">
        <x:v>固定交付</x:v>
      </x:c>
      <x:c r="D17" s="37" t="str">
        <x:v>不要只给建议，要给表格</x:v>
      </x:c>
      <x:c r="E17" s="37" t="str">
        <x:v>是否完整</x:v>
      </x:c>
      <x:c r="F17" s="37" t="str"/>
      <x:c r="G17" s="37" t="str"/>
      <x:c r="H17" s="38" t="str"/>
    </x:row>
    <x:row r="18">
      <x:c r="A18" s="47" t="str">
        <x:v>质量门槛</x:v>
      </x:c>
      <x:c r="B18" s="40" t="str">
        <x:v>不要输出泛泛定义文。每篇文章都要说明如何比前排内容更好：数据、图片、表格、经验、对比、FAQ、真实产品信息或独特视角。</x:v>
      </x:c>
      <x:c r="C18" s="40" t="str">
        <x:v>避免 AI 水文</x:v>
      </x:c>
      <x:c r="D18" s="40" t="str">
        <x:v>输出可差异化模块</x:v>
      </x:c>
      <x:c r="E18" s="40" t="str">
        <x:v>是否能超越竞品</x:v>
      </x:c>
      <x:c r="F18" s="40" t="str"/>
      <x:c r="G18" s="40" t="str"/>
      <x:c r="H18" s="41" t="str"/>
    </x:row>
    <x:row r="19">
      <x:c r="A19" s="129" t="str">
        <x:v>可直接复制的完整 Prompt</x:v>
      </x:c>
      <x:c r="B19" s="130" t="str">
        <x:v>可直接复制的完整 Prompt</x:v>
      </x:c>
      <x:c r="C19" s="130" t="str">
        <x:v>可直接复制的完整 Prompt</x:v>
      </x:c>
      <x:c r="D19" s="130" t="str">
        <x:v>可直接复制的完整 Prompt</x:v>
      </x:c>
      <x:c r="E19" s="130" t="str">
        <x:v>可直接复制的完整 Prompt</x:v>
      </x:c>
      <x:c r="F19" s="130" t="str">
        <x:v>可直接复制的完整 Prompt</x:v>
      </x:c>
      <x:c r="G19" s="130" t="str">
        <x:v>可直接复制的完整 Prompt</x:v>
      </x:c>
      <x:c r="H19" s="131" t="str">
        <x:v>可直接复制的完整 Prompt</x:v>
      </x:c>
    </x:row>
    <x:row r="20">
      <x:c r="A20" s="132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B20" s="133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C20" s="133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D20" s="133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E20" s="133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F20" s="133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G20" s="133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H20" s="134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</x:row>
    <x:row r="21">
      <x:c r="A21" s="135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B21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C21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D21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E21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F21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G21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H21" s="13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</x:row>
    <x:row r="22">
      <x:c r="A22" s="135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B22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C22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D22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E22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F22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G22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H22" s="13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</x:row>
    <x:row r="23">
      <x:c r="A23" s="135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B23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C23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D23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E23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F23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G23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H23" s="13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</x:row>
    <x:row r="24">
      <x:c r="A24" s="135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B24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C24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D24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E24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F24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G24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H24" s="13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</x:row>
    <x:row r="25">
      <x:c r="A25" s="135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B25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C25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D25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E25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F25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G25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H25" s="13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</x:row>
    <x:row r="26">
      <x:c r="A26" s="138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B26" s="139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C26" s="139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D26" s="139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E26" s="139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F26" s="139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G26" s="139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H26" s="140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</x:row>
  </x:sheetData>
  <x:mergeCells>
    <x:mergeCell ref="A1:H1"/>
    <x:mergeCell ref="A2:H2"/>
    <x:mergeCell ref="A19:H19"/>
    <x:mergeCell ref="A20:H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6" hidden="0" customWidth="1"/>
    <x:col min="4" max="4" width="28" hidden="0" customWidth="1"/>
    <x:col min="5" max="5" width="26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24" t="str">
        <x:v>Google SEO 文章关键词评分表</x:v>
      </x:c>
      <x:c r="B1" s="124" t="str">
        <x:v>Google SEO 文章关键词评分表</x:v>
      </x:c>
      <x:c r="C1" s="124" t="str">
        <x:v>Google SEO 文章关键词评分表</x:v>
      </x:c>
      <x:c r="D1" s="124" t="str">
        <x:v>Google SEO 文章关键词评分表</x:v>
      </x:c>
      <x:c r="E1" s="124" t="str">
        <x:v>Google SEO 文章关键词评分表</x:v>
      </x:c>
      <x:c r="F1" s="124" t="str">
        <x:v>Google SEO 文章关键词评分表</x:v>
      </x:c>
      <x:c r="G1" s="124" t="str">
        <x:v>Google SEO 文章关键词评分表</x:v>
      </x:c>
      <x:c r="H1" s="124" t="str">
        <x:v>Google SEO 文章关键词评分表</x:v>
      </x:c>
    </x:row>
    <x:row r="2" ht="34" customHeight="1">
      <x:c r="A2" s="125" t="str">
        <x:v>用途：把 Semrush / GSC / 人工 SERP 判断合在一张表里，筛出真正值得写博客的关键词，并生成文章规划。</x:v>
      </x:c>
      <x:c r="B2" s="125" t="str">
        <x:v>用途：把 Semrush / GSC / 人工 SERP 判断合在一张表里，筛出真正值得写博客的关键词，并生成文章规划。</x:v>
      </x:c>
      <x:c r="C2" s="125" t="str">
        <x:v>用途：把 Semrush / GSC / 人工 SERP 判断合在一张表里，筛出真正值得写博客的关键词，并生成文章规划。</x:v>
      </x:c>
      <x:c r="D2" s="125" t="str">
        <x:v>用途：把 Semrush / GSC / 人工 SERP 判断合在一张表里，筛出真正值得写博客的关键词，并生成文章规划。</x:v>
      </x:c>
      <x:c r="E2" s="125" t="str">
        <x:v>用途：把 Semrush / GSC / 人工 SERP 判断合在一张表里，筛出真正值得写博客的关键词，并生成文章规划。</x:v>
      </x:c>
      <x:c r="F2" s="125" t="str">
        <x:v>用途：把 Semrush / GSC / 人工 SERP 判断合在一张表里，筛出真正值得写博客的关键词，并生成文章规划。</x:v>
      </x:c>
      <x:c r="G2" s="125" t="str">
        <x:v>用途：把 Semrush / GSC / 人工 SERP 判断合在一张表里，筛出真正值得写博客的关键词，并生成文章规划。</x:v>
      </x:c>
      <x:c r="H2" s="125" t="str">
        <x:v>用途：把 Semrush / GSC / 人工 SERP 判断合在一张表里，筛出真正值得写博客的关键词，并生成文章规划。</x:v>
      </x:c>
    </x:row>
    <x:row r="3">
      <x:c r="A3" s="126"/>
      <x:c r="B3" s="126"/>
      <x:c r="C3" s="126"/>
      <x:c r="D3" s="126"/>
      <x:c r="E3" s="126"/>
      <x:c r="F3" s="126"/>
      <x:c r="G3" s="126"/>
      <x:c r="H3" s="126"/>
    </x:row>
    <x:row r="4">
      <x:c r="A4" s="127" t="str">
        <x:v>先记住一句话：关键词不是都拿来写文章。先判断页面类型，再决定写博客、分类页、产品页，还是只放到 FAQ/段落里。</x:v>
      </x:c>
      <x:c r="B4" s="127" t="str">
        <x:v>先记住一句话：关键词不是都拿来写文章。先判断页面类型，再决定写博客、分类页、产品页，还是只放到 FAQ/段落里。</x:v>
      </x:c>
      <x:c r="C4" s="127" t="str">
        <x:v>先记住一句话：关键词不是都拿来写文章。先判断页面类型，再决定写博客、分类页、产品页，还是只放到 FAQ/段落里。</x:v>
      </x:c>
      <x:c r="D4" s="127" t="str">
        <x:v>先记住一句话：关键词不是都拿来写文章。先判断页面类型，再决定写博客、分类页、产品页，还是只放到 FAQ/段落里。</x:v>
      </x:c>
      <x:c r="E4" s="127" t="str">
        <x:v>先记住一句话：关键词不是都拿来写文章。先判断页面类型，再决定写博客、分类页、产品页，还是只放到 FAQ/段落里。</x:v>
      </x:c>
      <x:c r="F4" s="127" t="str">
        <x:v>先记住一句话：关键词不是都拿来写文章。先判断页面类型，再决定写博客、分类页、产品页，还是只放到 FAQ/段落里。</x:v>
      </x:c>
      <x:c r="G4" s="127" t="str">
        <x:v>先记住一句话：关键词不是都拿来写文章。先判断页面类型，再决定写博客、分类页、产品页，还是只放到 FAQ/段落里。</x:v>
      </x:c>
      <x:c r="H4" s="127" t="str">
        <x:v>先记住一句话：关键词不是都拿来写文章。先判断页面类型，再决定写博客、分类页、产品页，还是只放到 FAQ/段落里。</x:v>
      </x:c>
    </x:row>
    <x:row r="5">
      <x:c r="A5" s="126"/>
      <x:c r="B5" s="126"/>
      <x:c r="C5" s="126"/>
      <x:c r="D5" s="126"/>
      <x:c r="E5" s="126"/>
      <x:c r="F5" s="126"/>
      <x:c r="G5" s="126"/>
      <x:c r="H5" s="126"/>
    </x:row>
    <x:row r="6">
      <x:c r="A6" s="128" t="str">
        <x:v>步骤</x:v>
      </x:c>
      <x:c r="B6" s="128" t="str">
        <x:v>你要做什么</x:v>
      </x:c>
      <x:c r="C6" s="128" t="str">
        <x:v>判断标准</x:v>
      </x:c>
      <x:c r="D6" s="128" t="str">
        <x:v>输出结果</x:v>
      </x:c>
      <x:c r="E6" s="128" t="str">
        <x:v>适合 2C 商城怎么迁移</x:v>
      </x:c>
      <x:c r="F6" s="128" t="str">
        <x:v>常见错误</x:v>
      </x:c>
      <x:c r="G6" s="128" t="str">
        <x:v>复盘指标</x:v>
      </x:c>
      <x:c r="H6" s="128" t="str">
        <x:v>备注</x:v>
      </x:c>
    </x:row>
    <x:row r="7">
      <x:c r="A7" s="45" t="str">
        <x:v>1. 导入词</x:v>
      </x:c>
      <x:c r="B7" s="34" t="str">
        <x:v>从 Semrush 导出 Keyword、Volume、CPC、KD、Intent</x:v>
      </x:c>
      <x:c r="C7" s="34" t="str">
        <x:v>先不急着删词，保留原始数据</x:v>
      </x:c>
      <x:c r="D7" s="34" t="str">
        <x:v>关键词池</x:v>
      </x:c>
      <x:c r="E7" s="34" t="str">
        <x:v>按产品线/集合页分组，如 silk pillowcase、silk eye mask</x:v>
      </x:c>
      <x:c r="F7" s="34" t="str">
        <x:v>只看搜索量，忽略意图</x:v>
      </x:c>
      <x:c r="G7" s="34" t="str">
        <x:v>词数、主题簇覆盖</x:v>
      </x:c>
      <x:c r="H7" s="35" t="str">
        <x:v>原始数据可粘到「文章关键词池」</x:v>
      </x:c>
    </x:row>
    <x:row r="8">
      <x:c r="A8" s="46" t="str">
        <x:v>2. 看 SERP</x:v>
      </x:c>
      <x:c r="B8" s="37" t="str">
        <x:v>手动搜 Google 前 10 名</x:v>
      </x:c>
      <x:c r="C8" s="37" t="str">
        <x:v>前排是否有 guide、best、vs、how-to、FAQ、list 文章</x:v>
      </x:c>
      <x:c r="D8" s="37" t="str">
        <x:v>SERP文章占比 0-10</x:v>
      </x:c>
      <x:c r="E8" s="37" t="str">
        <x:v>如果前排多是 collection/product，就不要硬写博客</x:v>
      </x:c>
      <x:c r="F8" s="37" t="str">
        <x:v>不看页面类型就写文章</x:v>
      </x:c>
      <x:c r="G8" s="37" t="str">
        <x:v>目标词前排页面类型</x:v>
      </x:c>
      <x:c r="H8" s="38" t="str">
        <x:v>这是最关键的人工校正</x:v>
      </x:c>
    </x:row>
    <x:row r="9">
      <x:c r="A9" s="46" t="str">
        <x:v>3. 分配页面</x:v>
      </x:c>
      <x:c r="B9" s="37" t="str">
        <x:v>给关键词指定父级商业页</x:v>
      </x:c>
      <x:c r="C9" s="37" t="str">
        <x:v>文章必须能支撑一个分类页/商品页/集合页</x:v>
      </x:c>
      <x:c r="D9" s="37" t="str">
        <x:v>父级商业页 + 目标URL</x:v>
      </x:c>
      <x:c r="E9" s="37" t="str">
        <x:v>博客负责解释、比较、教育，商业页负责成交</x:v>
      </x:c>
      <x:c r="F9" s="37" t="str">
        <x:v>博客孤岛，没有内链</x:v>
      </x:c>
      <x:c r="G9" s="37" t="str">
        <x:v>内链点击、商业页排名</x:v>
      </x:c>
      <x:c r="H9" s="38" t="str">
        <x:v>每篇文章至少链接 1 个成交页</x:v>
      </x:c>
    </x:row>
    <x:row r="10">
      <x:c r="A10" s="46" t="str">
        <x:v>4. 打分筛选</x:v>
      </x:c>
      <x:c r="B10" s="37" t="str">
        <x:v>按 7 个维度评分</x:v>
      </x:c>
      <x:c r="C10" s="37" t="str">
        <x:v>总分 &gt;=75 优先写，60-74 排入内容日历</x:v>
      </x:c>
      <x:c r="D10" s="37" t="str">
        <x:v>优先级 P0/P1/P2/P3</x:v>
      </x:c>
      <x:c r="E10" s="37" t="str">
        <x:v>小站先做长尾、商业支撑强、内容能做深的词</x:v>
      </x:c>
      <x:c r="F10" s="37" t="str">
        <x:v>把定义词当高价值文章</x:v>
      </x:c>
      <x:c r="G10" s="37" t="str">
        <x:v>排名、点击、转化辅助</x:v>
      </x:c>
      <x:c r="H10" s="38" t="str">
        <x:v>评分会自动计算</x:v>
      </x:c>
    </x:row>
    <x:row r="11">
      <x:c r="A11" s="46" t="str">
        <x:v>5. 写 Brief</x:v>
      </x:c>
      <x:c r="B11" s="37" t="str">
        <x:v>根据推荐文章类型生成写作提纲</x:v>
      </x:c>
      <x:c r="C11" s="37" t="str">
        <x:v>不要只写定义，要有对比、数据、经验、表格、图片、FAQ；有图片时必须写 Image Placement Map；需要外部事实背书时才加 References</x:v>
      </x:c>
      <x:c r="D11" s="37" t="str">
        <x:v>文章 Brief</x:v>
      </x:c>
      <x:c r="E11" s="37" t="str">
        <x:v>2C 要加入购买场景、材质、尺码、护理、适用人群；引用要有触发原因；图片要写具体插入位置</x:v>
      </x:c>
      <x:c r="F11" s="37" t="str">
        <x:v>AI 水文、无证据、无 CTA、图片只写放正文、每篇机械加引用</x:v>
      </x:c>
      <x:c r="G11" s="37" t="str">
        <x:v>阅读时长、跳出、内链点击</x:v>
      </x:c>
      <x:c r="H11" s="38" t="str">
        <x:v>见「文章Brief模板」</x:v>
      </x:c>
    </x:row>
    <x:row r="12">
      <x:c r="A12" s="46" t="str">
        <x:v>6. 发布频率</x:v>
      </x:c>
      <x:c r="B12" s="37" t="str">
        <x:v>按网站阶段发文</x:v>
      </x:c>
      <x:c r="C12" s="37" t="str">
        <x:v>起步 10篇/月，成长 20篇/月，发展约 30篇/月，成熟不超过 5篇/天</x:v>
      </x:c>
      <x:c r="D12" s="37" t="str">
        <x:v>内容日历</x:v>
      </x:c>
      <x:c r="E12" s="37" t="str">
        <x:v>资源少时宁可少发，也要围绕主题簇持续更新</x:v>
      </x:c>
      <x:c r="F12" s="37" t="str">
        <x:v>无节奏日更低质内容</x:v>
      </x:c>
      <x:c r="G12" s="37" t="str">
        <x:v>收录、展现、点击</x:v>
      </x:c>
      <x:c r="H12" s="38" t="str">
        <x:v>来自视频中的发文阶段逻辑</x:v>
      </x:c>
    </x:row>
    <x:row r="13">
      <x:c r="A13" s="47" t="str">
        <x:v>7. 复盘迭代</x:v>
      </x:c>
      <x:c r="B13" s="40" t="str">
        <x:v>用 GSC 看查询、页面、排名</x:v>
      </x:c>
      <x:c r="C13" s="40" t="str">
        <x:v>有展现没点击改标题；有排名没进前 10 补内容/内链；没展现重查意图</x:v>
      </x:c>
      <x:c r="D13" s="40" t="str">
        <x:v>更新任务</x:v>
      </x:c>
      <x:c r="E13" s="40" t="str">
        <x:v>保留能带来辅助成交的内容，合并无价值薄内容</x:v>
      </x:c>
      <x:c r="F13" s="40" t="str">
        <x:v>只发布不复盘</x:v>
      </x:c>
      <x:c r="G13" s="40" t="str">
        <x:v>GSC 点击、展示、平均排名</x:v>
      </x:c>
      <x:c r="H13" s="41" t="str">
        <x:v>每 30-60 天复盘一次</x:v>
      </x:c>
    </x:row>
    <x:row r="14">
      <x:c r="A14" s="126"/>
      <x:c r="B14" s="126"/>
      <x:c r="C14" s="126"/>
      <x:c r="D14" s="126"/>
      <x:c r="E14" s="126"/>
      <x:c r="F14" s="126"/>
      <x:c r="G14" s="126"/>
      <x:c r="H14" s="126"/>
    </x:row>
    <x:row r="15">
      <x:c r="A15" s="142" t="str">
        <x:v>视频里可迁移出来的博客规则</x:v>
      </x:c>
      <x:c r="B15" s="142" t="str">
        <x:v>视频里可迁移出来的博客规则</x:v>
      </x:c>
      <x:c r="C15" s="142" t="str">
        <x:v>视频里可迁移出来的博客规则</x:v>
      </x:c>
      <x:c r="D15" s="142" t="str">
        <x:v>视频里可迁移出来的博客规则</x:v>
      </x:c>
      <x:c r="E15" s="142" t="str">
        <x:v>视频里可迁移出来的博客规则</x:v>
      </x:c>
      <x:c r="F15" s="142" t="str">
        <x:v>视频里可迁移出来的博客规则</x:v>
      </x:c>
      <x:c r="G15" s="142" t="str">
        <x:v>视频里可迁移出来的博客规则</x:v>
      </x:c>
      <x:c r="H15" s="142" t="str">
        <x:v>视频里可迁移出来的博客规则</x:v>
      </x:c>
    </x:row>
    <x:row r="16">
      <x:c r="A16" s="33" t="str">
        <x:v>规则1</x:v>
      </x:c>
      <x:c r="B16" s="34" t="str">
        <x:v>博客不是流量玄学，必须拿到“对应的词”。</x:v>
      </x:c>
      <x:c r="C16" s="34" t="str">
        <x:v>先查 SERP，再写文章。</x:v>
      </x:c>
      <x:c r="D16" s="34" t="str"/>
      <x:c r="E16" s="34" t="str"/>
      <x:c r="F16" s="34" t="str"/>
      <x:c r="G16" s="34" t="str"/>
      <x:c r="H16" s="35" t="str"/>
    </x:row>
    <x:row r="17">
      <x:c r="A17" s="36" t="str">
        <x:v>规则2</x:v>
      </x:c>
      <x:c r="B17" s="37" t="str">
        <x:v>文章要服务核心聚合页/商业页。</x:v>
      </x:c>
      <x:c r="C17" s="37" t="str">
        <x:v>每篇文章要明确链接到哪个分类页、产品页或集合页。</x:v>
      </x:c>
      <x:c r="D17" s="37" t="str"/>
      <x:c r="E17" s="37" t="str"/>
      <x:c r="F17" s="37" t="str"/>
      <x:c r="G17" s="37" t="str"/>
      <x:c r="H17" s="38" t="str"/>
    </x:row>
    <x:row r="18">
      <x:c r="A18" s="36" t="str">
        <x:v>规则3</x:v>
      </x:c>
      <x:c r="B18" s="37" t="str">
        <x:v>不要堆定义。</x:v>
      </x:c>
      <x:c r="C18" s="37" t="str">
        <x:v>AI 时代要补数据、标准、对比、场景、经验、图片和表格。</x:v>
      </x:c>
      <x:c r="D18" s="37" t="str"/>
      <x:c r="E18" s="37" t="str"/>
      <x:c r="F18" s="37" t="str"/>
      <x:c r="G18" s="37" t="str"/>
      <x:c r="H18" s="38" t="str"/>
    </x:row>
    <x:row r="19">
      <x:c r="A19" s="36" t="str">
        <x:v>规则3.1</x:v>
      </x:c>
      <x:c r="B19" s="37" t="str">
        <x:v>引用是触发式，不是固定模板。</x:v>
      </x:c>
      <x:c r="C19" s="37" t="str">
        <x:v>只有涉及外部事实、官方定义、法律/年龄、健康、安全、电池/回收、行业标准等内容才加 References；普通经验、口味、场景文可以 0 引用。</x:v>
      </x:c>
      <x:c r="D19" s="37" t="str"/>
      <x:c r="E19" s="37" t="str"/>
      <x:c r="F19" s="37" t="str"/>
      <x:c r="G19" s="37" t="str"/>
      <x:c r="H19" s="38" t="str"/>
    </x:row>
    <x:row r="20">
      <x:c r="A20" s="36" t="str">
        <x:v>规则3.2</x:v>
      </x:c>
      <x:c r="B20" s="37" t="str">
        <x:v>图片必须有具体位置。</x:v>
      </x:c>
      <x:c r="C20" s="37" t="str">
        <x:v>生成图片或规划配图时，必须输出 Image Placement Map，写清楚放在哪个 H2/H3、哪段后、哪个表格前后，或是否作为 CMS featured image。</x:v>
      </x:c>
      <x:c r="D20" s="37" t="str"/>
      <x:c r="E20" s="37" t="str"/>
      <x:c r="F20" s="37" t="str"/>
      <x:c r="G20" s="37" t="str"/>
      <x:c r="H20" s="38" t="str"/>
    </x:row>
    <x:row r="21">
      <x:c r="A21" s="36" t="str">
        <x:v>规则4</x:v>
      </x:c>
      <x:c r="B21" s="37" t="str">
        <x:v>文章页面也可能抢核心词排名。</x:v>
      </x:c>
      <x:c r="C21" s="37" t="str">
        <x:v>如果 Google 更喜欢文章，就让文章排名，再把流量导向商业页。</x:v>
      </x:c>
      <x:c r="D21" s="37" t="str"/>
      <x:c r="E21" s="37" t="str"/>
      <x:c r="F21" s="37" t="str"/>
      <x:c r="G21" s="37" t="str"/>
      <x:c r="H21" s="38" t="str"/>
    </x:row>
    <x:row r="22">
      <x:c r="A22" s="39" t="str">
        <x:v>规则5</x:v>
      </x:c>
      <x:c r="B22" s="40" t="str">
        <x:v>内容规划要按阶段。</x:v>
      </x:c>
      <x:c r="C22" s="40" t="str">
        <x:v>小站先长尾和质量，成长后补核心词矩阵。</x:v>
      </x:c>
      <x:c r="D22" s="40" t="str"/>
      <x:c r="E22" s="40" t="str"/>
      <x:c r="F22" s="40" t="str"/>
      <x:c r="G22" s="40" t="str"/>
      <x:c r="H22" s="41" t="str"/>
    </x:row>
  </x:sheetData>
  <x:mergeCells>
    <x:mergeCell ref="A1:H1"/>
    <x:mergeCell ref="A2:H2"/>
    <x:mergeCell ref="A4:H4"/>
    <x:mergeCell ref="A15:H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46" hidden="0" customWidth="1"/>
    <x:col min="4" max="4" width="32" hidden="0" customWidth="1"/>
    <x:col min="5" max="5" width="34" hidden="0" customWidth="1"/>
    <x:col min="6" max="6" width="26" hidden="0" customWidth="1"/>
    <x:col min="7" max="7" width="26" hidden="0" customWidth="1"/>
  </x:cols>
  <x:sheetData>
    <x:row r="1">
      <x:c r="A1" s="124" t="str">
        <x:v>文章关键词 100 分评分规则</x:v>
      </x:c>
      <x:c r="B1" s="124" t="str">
        <x:v>文章关键词 100 分评分规则</x:v>
      </x:c>
      <x:c r="C1" s="124" t="str">
        <x:v>文章关键词 100 分评分规则</x:v>
      </x:c>
      <x:c r="D1" s="124" t="str">
        <x:v>文章关键词 100 分评分规则</x:v>
      </x:c>
      <x:c r="E1" s="124" t="str">
        <x:v>文章关键词 100 分评分规则</x:v>
      </x:c>
      <x:c r="F1" s="124" t="str">
        <x:v>文章关键词 100 分评分规则</x:v>
      </x:c>
      <x:c r="G1" s="124" t="str">
        <x:v>文章关键词 100 分评分规则</x:v>
      </x:c>
      <x:c r="H1" s="126"/>
    </x:row>
    <x:row r="2" ht="34" customHeight="1">
      <x:c r="A2" s="125" t="str">
        <x:v>分数不是替代判断，而是帮助你稳定筛出“值得单独写文章”的关键词。</x:v>
      </x:c>
      <x:c r="B2" s="125" t="str">
        <x:v>分数不是替代判断，而是帮助你稳定筛出“值得单独写文章”的关键词。</x:v>
      </x:c>
      <x:c r="C2" s="125" t="str">
        <x:v>分数不是替代判断，而是帮助你稳定筛出“值得单独写文章”的关键词。</x:v>
      </x:c>
      <x:c r="D2" s="125" t="str">
        <x:v>分数不是替代判断，而是帮助你稳定筛出“值得单独写文章”的关键词。</x:v>
      </x:c>
      <x:c r="E2" s="125" t="str">
        <x:v>分数不是替代判断，而是帮助你稳定筛出“值得单独写文章”的关键词。</x:v>
      </x:c>
      <x:c r="F2" s="125" t="str">
        <x:v>分数不是替代判断，而是帮助你稳定筛出“值得单独写文章”的关键词。</x:v>
      </x:c>
      <x:c r="G2" s="125" t="str">
        <x:v>分数不是替代判断，而是帮助你稳定筛出“值得单独写文章”的关键词。</x:v>
      </x:c>
      <x:c r="H2" s="125" t="str">
        <x:v>分数不是替代判断，而是帮助你稳定筛出“值得单独写文章”的关键词。</x:v>
      </x:c>
    </x:row>
    <x:row r="3">
      <x:c r="A3" s="126"/>
      <x:c r="B3" s="126"/>
      <x:c r="C3" s="126"/>
      <x:c r="D3" s="126"/>
      <x:c r="E3" s="126"/>
      <x:c r="F3" s="126"/>
      <x:c r="G3" s="126"/>
      <x:c r="H3" s="126"/>
    </x:row>
    <x:row r="4">
      <x:c r="A4" s="128" t="str">
        <x:v>维度</x:v>
      </x:c>
      <x:c r="B4" s="128" t="str">
        <x:v>权重</x:v>
      </x:c>
      <x:c r="C4" s="128" t="str">
        <x:v>高分标准</x:v>
      </x:c>
      <x:c r="D4" s="128" t="str">
        <x:v>低分信号</x:v>
      </x:c>
      <x:c r="E4" s="128" t="str">
        <x:v>你怎么判断</x:v>
      </x:c>
      <x:c r="F4" s="128" t="str">
        <x:v>适合写文章的例子</x:v>
      </x:c>
      <x:c r="G4" s="128" t="str">
        <x:v>不适合单独写的例子</x:v>
      </x:c>
      <x:c r="H4" s="126"/>
    </x:row>
    <x:row r="5">
      <x:c r="A5" s="33" t="str">
        <x:v>SERP文章匹配</x:v>
      </x:c>
      <x:c r="B5" s="73" t="n">
        <x:v>20</x:v>
      </x:c>
      <x:c r="C5" s="34" t="str">
        <x:v>Google 前排有大量 guide / best / vs / how-to / list / FAQ</x:v>
      </x:c>
      <x:c r="D5" s="34" t="str">
        <x:v>前排几乎都是商品页、分类页、品牌首页</x:v>
      </x:c>
      <x:c r="E5" s="34" t="str">
        <x:v>搜索关键词，看前 10 个自然结果页面类型</x:v>
      </x:c>
      <x:c r="F5" s="34" t="str">
        <x:v>best silk pillowcase for hair</x:v>
      </x:c>
      <x:c r="G5" s="35" t="str">
        <x:v>silk pillowcase sale</x:v>
      </x:c>
      <x:c r="H5" s="126"/>
    </x:row>
    <x:row r="6">
      <x:c r="A6" s="36" t="str">
        <x:v>商业支撑</x:v>
      </x:c>
      <x:c r="B6" s="74" t="n">
        <x:v>20</x:v>
      </x:c>
      <x:c r="C6" s="37" t="str">
        <x:v>文章能自然导向分类页/商品页/集合页</x:v>
      </x:c>
      <x:c r="D6" s="37" t="str">
        <x:v>与产品弱相关，读完也不会买</x:v>
      </x:c>
      <x:c r="E6" s="37" t="str">
        <x:v>给每个词指定父级商业页</x:v>
      </x:c>
      <x:c r="F6" s="37" t="str">
        <x:v>silk vs satin pillowcase -&gt; silk pillowcase</x:v>
      </x:c>
      <x:c r="G6" s="38" t="str">
        <x:v>history of silk in ancient china</x:v>
      </x:c>
      <x:c r="H6" s="126"/>
    </x:row>
    <x:row r="7">
      <x:c r="A7" s="36" t="str">
        <x:v>需求强度</x:v>
      </x:c>
      <x:c r="B7" s="74" t="n">
        <x:v>15</x:v>
      </x:c>
      <x:c r="C7" s="37" t="str">
        <x:v>有搜索量，CPC 或商业意图不为 0</x:v>
      </x:c>
      <x:c r="D7" s="37" t="str">
        <x:v>无人搜，且没有购买辅助意义</x:v>
      </x:c>
      <x:c r="E7" s="37" t="str">
        <x:v>看 Volume、CPC、GSC 展现</x:v>
      </x:c>
      <x:c r="F7" s="37" t="str">
        <x:v>how to wash silk pillowcase</x:v>
      </x:c>
      <x:c r="G7" s="38" t="str">
        <x:v>random poetic keyword</x:v>
      </x:c>
      <x:c r="H7" s="126"/>
    </x:row>
    <x:row r="8">
      <x:c r="A8" s="36" t="str">
        <x:v>难度机会</x:v>
      </x:c>
      <x:c r="B8" s="74" t="n">
        <x:v>15</x:v>
      </x:c>
      <x:c r="C8" s="37" t="str">
        <x:v>KD 适合当前网站阶段，SERP 有弱内容可超越</x:v>
      </x:c>
      <x:c r="D8" s="37" t="str">
        <x:v>KD 极高且前排都是强站强内容</x:v>
      </x:c>
      <x:c r="E8" s="37" t="str">
        <x:v>看 KD、竞品内容薄弱点、站点权重</x:v>
      </x:c>
      <x:c r="F8" s="37" t="str">
        <x:v>silk pillowcase for curly hair</x:v>
      </x:c>
      <x:c r="G8" s="38" t="str">
        <x:v>best pillow</x:v>
      </x:c>
      <x:c r="H8" s="126"/>
    </x:row>
    <x:row r="9">
      <x:c r="A9" s="36" t="str">
        <x:v>内容深度</x:v>
      </x:c>
      <x:c r="B9" s="74" t="n">
        <x:v>15</x:v>
      </x:c>
      <x:c r="C9" s="37" t="str">
        <x:v>能加入实测、表格、图片、对比、FAQ、经验</x:v>
      </x:c>
      <x:c r="D9" s="37" t="str">
        <x:v>只能写定义，无法做出差异</x:v>
      </x:c>
      <x:c r="E9" s="37" t="str">
        <x:v>能不能列出至少 5 个有价值小节</x:v>
      </x:c>
      <x:c r="F9" s="37" t="str">
        <x:v>silk pillowcase size guide</x:v>
      </x:c>
      <x:c r="G9" s="38" t="str">
        <x:v>what is silk</x:v>
      </x:c>
      <x:c r="H9" s="126"/>
    </x:row>
    <x:row r="10">
      <x:c r="A10" s="36" t="str">
        <x:v>主题内链价值</x:v>
      </x:c>
      <x:c r="B10" s="74" t="n">
        <x:v>10</x:v>
      </x:c>
      <x:c r="C10" s="37" t="str">
        <x:v>能加入主题簇，向上支撑商业页，向下链接相关文章</x:v>
      </x:c>
      <x:c r="D10" s="37" t="str">
        <x:v>孤立文章，无内链关系</x:v>
      </x:c>
      <x:c r="E10" s="37" t="str">
        <x:v>是否属于一个清晰 topic cluster</x:v>
      </x:c>
      <x:c r="F10" s="37" t="str">
        <x:v>silk pillowcase benefits for skin</x:v>
      </x:c>
      <x:c r="G10" s="38" t="str">
        <x:v>unrelated lifestyle topic</x:v>
      </x:c>
      <x:c r="H10" s="126"/>
    </x:row>
    <x:row r="11">
      <x:c r="A11" s="39" t="str">
        <x:v>更新价值</x:v>
      </x:c>
      <x:c r="B11" s="75" t="n">
        <x:v>5</x:v>
      </x:c>
      <x:c r="C11" s="40" t="str">
        <x:v>可以每季度/半年更新，能跟产品、场景、趋势变化</x:v>
      </x:c>
      <x:c r="D11" s="40" t="str">
        <x:v>一次性短答案，长期无更新价值</x:v>
      </x:c>
      <x:c r="E11" s="40" t="str">
        <x:v>是否适合加新案例、新产品、新 FAQ</x:v>
      </x:c>
      <x:c r="F11" s="40" t="str">
        <x:v>best silk pillowcases 2026</x:v>
      </x:c>
      <x:c r="G11" s="41" t="str">
        <x:v>silk definition</x:v>
      </x:c>
      <x:c r="H11" s="126"/>
    </x:row>
    <x:row r="12">
      <x:c r="A12" s="126"/>
      <x:c r="B12" s="126"/>
      <x:c r="C12" s="126"/>
      <x:c r="D12" s="126"/>
      <x:c r="E12" s="126"/>
      <x:c r="F12" s="126"/>
      <x:c r="G12" s="126"/>
      <x:c r="H12" s="126"/>
    </x:row>
    <x:row r="13">
      <x:c r="A13" s="129" t="str">
        <x:v>推荐动作阈值</x:v>
      </x:c>
      <x:c r="B13" s="130" t="str">
        <x:v>推荐动作阈值</x:v>
      </x:c>
      <x:c r="C13" s="130" t="str">
        <x:v>推荐动作阈值</x:v>
      </x:c>
      <x:c r="D13" s="130" t="str">
        <x:v>推荐动作阈值</x:v>
      </x:c>
      <x:c r="E13" s="130" t="str">
        <x:v>推荐动作阈值</x:v>
      </x:c>
      <x:c r="F13" s="130" t="str">
        <x:v>推荐动作阈值</x:v>
      </x:c>
      <x:c r="G13" s="131" t="str">
        <x:v>推荐动作阈值</x:v>
      </x:c>
      <x:c r="H13" s="126"/>
    </x:row>
    <x:row r="14">
      <x:c r="A14" s="128" t="str">
        <x:v>总分</x:v>
      </x:c>
      <x:c r="B14" s="128" t="str">
        <x:v>等级</x:v>
      </x:c>
      <x:c r="C14" s="128" t="str">
        <x:v>动作</x:v>
      </x:c>
      <x:c r="D14" s="128" t="str">
        <x:v>解释</x:v>
      </x:c>
      <x:c r="E14" s="126"/>
      <x:c r="F14" s="126"/>
      <x:c r="G14" s="126"/>
      <x:c r="H14" s="126"/>
    </x:row>
    <x:row r="15">
      <x:c r="A15" s="33" t="n">
        <x:v>75</x:v>
      </x:c>
      <x:c r="B15" s="34" t="str">
        <x:v>P0</x:v>
      </x:c>
      <x:c r="C15" s="34" t="str">
        <x:v>立即写独立文章</x:v>
      </x:c>
      <x:c r="D15" s="35" t="str">
        <x:v>搜索意图适合文章，商业价值明确，内容能做深。</x:v>
      </x:c>
      <x:c r="E15" s="126"/>
      <x:c r="F15" s="126"/>
      <x:c r="G15" s="126"/>
      <x:c r="H15" s="126"/>
    </x:row>
    <x:row r="16">
      <x:c r="A16" s="36" t="n">
        <x:v>60</x:v>
      </x:c>
      <x:c r="B16" s="37" t="str">
        <x:v>P1</x:v>
      </x:c>
      <x:c r="C16" s="37" t="str">
        <x:v>排入本批内容日历</x:v>
      </x:c>
      <x:c r="D16" s="38" t="str">
        <x:v>值得写，但需要人工补 SERP 或内容证据。</x:v>
      </x:c>
      <x:c r="E16" s="126"/>
      <x:c r="F16" s="126"/>
      <x:c r="G16" s="126"/>
      <x:c r="H16" s="126"/>
    </x:row>
    <x:row r="17">
      <x:c r="A17" s="36" t="n">
        <x:v>45</x:v>
      </x:c>
      <x:c r="B17" s="37" t="str">
        <x:v>P2</x:v>
      </x:c>
      <x:c r="C17" s="37" t="str">
        <x:v>先做 FAQ/段落/低优先文章</x:v>
      </x:c>
      <x:c r="D17" s="38" t="str">
        <x:v>可能有价值，但独立文章风险较高。</x:v>
      </x:c>
      <x:c r="E17" s="126"/>
      <x:c r="F17" s="126"/>
      <x:c r="G17" s="126"/>
      <x:c r="H17" s="126"/>
    </x:row>
    <x:row r="18">
      <x:c r="A18" s="39" t="n">
        <x:v>0</x:v>
      </x:c>
      <x:c r="B18" s="40" t="str">
        <x:v>P3</x:v>
      </x:c>
      <x:c r="C18" s="40" t="str">
        <x:v>不单独写</x:v>
      </x:c>
      <x:c r="D18" s="41" t="str">
        <x:v>合并到商业页、FAQ，或暂时放弃。</x:v>
      </x:c>
      <x:c r="E18" s="126"/>
      <x:c r="F18" s="126"/>
      <x:c r="G18" s="126"/>
      <x:c r="H18" s="126"/>
    </x:row>
    <x:row r="19">
      <x:c r="A19" s="126"/>
      <x:c r="B19" s="126"/>
      <x:c r="C19" s="126"/>
      <x:c r="D19" s="126"/>
      <x:c r="E19" s="126"/>
      <x:c r="F19" s="126"/>
      <x:c r="G19" s="126"/>
      <x:c r="H19" s="126"/>
    </x:row>
    <x:row r="20">
      <x:c r="A20" s="129" t="str">
        <x:v>文章类型选择规则</x:v>
      </x:c>
      <x:c r="B20" s="130" t="str">
        <x:v>文章类型选择规则</x:v>
      </x:c>
      <x:c r="C20" s="130" t="str">
        <x:v>文章类型选择规则</x:v>
      </x:c>
      <x:c r="D20" s="130" t="str">
        <x:v>文章类型选择规则</x:v>
      </x:c>
      <x:c r="E20" s="130" t="str">
        <x:v>文章类型选择规则</x:v>
      </x:c>
      <x:c r="F20" s="130" t="str">
        <x:v>文章类型选择规则</x:v>
      </x:c>
      <x:c r="G20" s="131" t="str">
        <x:v>文章类型选择规则</x:v>
      </x:c>
      <x:c r="H20" s="126"/>
    </x:row>
    <x:row r="21">
      <x:c r="A21" s="128" t="str">
        <x:v>SERP/关键词信号</x:v>
      </x:c>
      <x:c r="B21" s="128" t="str">
        <x:v>推荐文章类型</x:v>
      </x:c>
      <x:c r="C21" s="128" t="str">
        <x:v>文章目的</x:v>
      </x:c>
      <x:c r="D21" s="128" t="str">
        <x:v>必须包含</x:v>
      </x:c>
      <x:c r="E21" s="128" t="str">
        <x:v>导向页面</x:v>
      </x:c>
      <x:c r="F21" s="126"/>
      <x:c r="G21" s="126"/>
      <x:c r="H21" s="126"/>
    </x:row>
    <x:row r="22">
      <x:c r="A22" s="33" t="str">
        <x:v>best / top / recommended</x:v>
      </x:c>
      <x:c r="B22" s="34" t="str">
        <x:v>榜单/购买指南</x:v>
      </x:c>
      <x:c r="C22" s="34" t="str">
        <x:v>辅助选择并导向商品</x:v>
      </x:c>
      <x:c r="D22" s="34" t="str">
        <x:v>筛选标准、对比表、推荐人群、CTA</x:v>
      </x:c>
      <x:c r="E22" s="35" t="str">
        <x:v>集合页/分类页/产品页</x:v>
      </x:c>
      <x:c r="F22" s="126"/>
      <x:c r="G22" s="126"/>
      <x:c r="H22" s="126"/>
    </x:row>
    <x:row r="23">
      <x:c r="A23" s="36" t="str">
        <x:v>vs / comparison</x:v>
      </x:c>
      <x:c r="B23" s="37" t="str">
        <x:v>对比文</x:v>
      </x:c>
      <x:c r="C23" s="37" t="str">
        <x:v>帮助用户做决策</x:v>
      </x:c>
      <x:c r="D23" s="37" t="str">
        <x:v>差异表、适用场景、结论、内链</x:v>
      </x:c>
      <x:c r="E23" s="38" t="str">
        <x:v>胜出产品页/分类页</x:v>
      </x:c>
      <x:c r="F23" s="126"/>
      <x:c r="G23" s="126"/>
      <x:c r="H23" s="126"/>
    </x:row>
    <x:row r="24">
      <x:c r="A24" s="36" t="str">
        <x:v>how to / care / clean</x:v>
      </x:c>
      <x:c r="B24" s="37" t="str">
        <x:v>教程文</x:v>
      </x:c>
      <x:c r="C24" s="37" t="str">
        <x:v>解决使用问题并降低顾虑</x:v>
      </x:c>
      <x:c r="D24" s="37" t="str">
        <x:v>步骤、注意事项、图片、FAQ</x:v>
      </x:c>
      <x:c r="E24" s="38" t="str">
        <x:v>相关产品页</x:v>
      </x:c>
      <x:c r="F24" s="126"/>
      <x:c r="G24" s="126"/>
      <x:c r="H24" s="126"/>
    </x:row>
    <x:row r="25">
      <x:c r="A25" s="36" t="str">
        <x:v>benefits / good for</x:v>
      </x:c>
      <x:c r="B25" s="37" t="str">
        <x:v>价值解释文</x:v>
      </x:c>
      <x:c r="C25" s="37" t="str">
        <x:v>教育用户为什么买</x:v>
      </x:c>
      <x:c r="D25" s="37" t="str">
        <x:v>机制解释、证据、适合人群、反例</x:v>
      </x:c>
      <x:c r="E25" s="38" t="str">
        <x:v>品类页/产品页</x:v>
      </x:c>
      <x:c r="F25" s="126"/>
      <x:c r="G25" s="126"/>
      <x:c r="H25" s="126"/>
    </x:row>
    <x:row r="26">
      <x:c r="A26" s="36" t="str">
        <x:v>size / material / standard</x:v>
      </x:c>
      <x:c r="B26" s="37" t="str">
        <x:v>标准/规格文</x:v>
      </x:c>
      <x:c r="C26" s="37" t="str">
        <x:v>帮助用户避免买错</x:v>
      </x:c>
      <x:c r="D26" s="37" t="str">
        <x:v>尺寸表、材质表、适配建议</x:v>
      </x:c>
      <x:c r="E26" s="38" t="str">
        <x:v>分类页/变体页</x:v>
      </x:c>
      <x:c r="F26" s="126"/>
      <x:c r="G26" s="126"/>
      <x:c r="H26" s="126"/>
    </x:row>
    <x:row r="27">
      <x:c r="A27" s="36" t="str">
        <x:v>problem / for + user group</x:v>
      </x:c>
      <x:c r="B27" s="37" t="str">
        <x:v>场景解决方案</x:v>
      </x:c>
      <x:c r="C27" s="37" t="str">
        <x:v>对齐具体人群痛点</x:v>
      </x:c>
      <x:c r="D27" s="37" t="str">
        <x:v>痛点、选购标准、推荐组合</x:v>
      </x:c>
      <x:c r="E27" s="38" t="str">
        <x:v>集合页/产品页</x:v>
      </x:c>
      <x:c r="F27" s="126"/>
      <x:c r="G27" s="126"/>
      <x:c r="H27" s="126"/>
    </x:row>
    <x:row r="28">
      <x:c r="A28" s="36" t="str">
        <x:v>what is / definition</x:v>
      </x:c>
      <x:c r="B28" s="37" t="str">
        <x:v>通常不建议单独写</x:v>
      </x:c>
      <x:c r="C28" s="37" t="str">
        <x:v>除非 SERP 显示有商业机会</x:v>
      </x:c>
      <x:c r="D28" s="37" t="str">
        <x:v>定义外必须有购买决策信息</x:v>
      </x:c>
      <x:c r="E28" s="38" t="str">
        <x:v>FAQ/商业页段落</x:v>
      </x:c>
      <x:c r="F28" s="126"/>
      <x:c r="G28" s="126"/>
      <x:c r="H28" s="126"/>
    </x:row>
    <x:row r="29">
      <x:c r="A29" s="39" t="str">
        <x:v>coupon / sale / buy</x:v>
      </x:c>
      <x:c r="B29" s="40" t="str">
        <x:v>商业页优先</x:v>
      </x:c>
      <x:c r="C29" s="40" t="str">
        <x:v>直接成交</x:v>
      </x:c>
      <x:c r="D29" s="40" t="str">
        <x:v>价格、库存、优惠、评价</x:v>
      </x:c>
      <x:c r="E29" s="41" t="str">
        <x:v>分类页/产品页</x:v>
      </x:c>
      <x:c r="F29" s="126"/>
      <x:c r="G29" s="126"/>
      <x:c r="H29" s="126"/>
    </x:row>
  </x:sheetData>
  <x:mergeCells>
    <x:mergeCell ref="A1:G1"/>
    <x:mergeCell ref="A2:H2"/>
    <x:mergeCell ref="A13:G13"/>
    <x:mergeCell ref="A20:G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26" hidden="0" customWidth="1"/>
    <x:col min="4" max="4" width="30" hidden="0" customWidth="1"/>
    <x:col min="5" max="5" width="24" hidden="0" customWidth="1"/>
    <x:col min="6" max="6" width="20" hidden="0" customWidth="1"/>
    <x:col min="7" max="7" width="18" hidden="0" customWidth="1"/>
    <x:col min="8" max="8" width="14" hidden="0" customWidth="1"/>
    <x:col min="9" max="9" width="14" hidden="0" customWidth="1"/>
    <x:col min="10" max="10" width="42" hidden="0" customWidth="1"/>
  </x:cols>
  <x:sheetData>
    <x:row r="1">
      <x:c r="A1" s="124" t="str">
        <x:v>页面规划</x:v>
      </x:c>
      <x:c r="B1" s="124" t="str">
        <x:v>页面规划</x:v>
      </x:c>
      <x:c r="C1" s="124" t="str">
        <x:v>页面规划</x:v>
      </x:c>
      <x:c r="D1" s="124" t="str">
        <x:v>页面规划</x:v>
      </x:c>
      <x:c r="E1" s="124" t="str">
        <x:v>页面规划</x:v>
      </x:c>
      <x:c r="F1" s="124" t="str">
        <x:v>页面规划</x:v>
      </x:c>
      <x:c r="G1" s="124" t="str">
        <x:v>页面规划</x:v>
      </x:c>
      <x:c r="H1" s="124" t="str">
        <x:v>页面规划</x:v>
      </x:c>
      <x:c r="I1" s="124" t="str">
        <x:v>页面规划</x:v>
      </x:c>
      <x:c r="J1" s="124" t="str">
        <x:v>页面规划</x:v>
      </x:c>
    </x:row>
    <x:row r="2" ht="34" customHeight="1">
      <x:c r="A2" s="125" t="str">
        <x:v>这是全站页面主数据。文章关键词池里的父级商业页和目标URL，应该优先从这里匹配，避免博客文章孤岛化。</x:v>
      </x:c>
      <x:c r="B2" s="125" t="str">
        <x:v>这是全站页面主数据。文章关键词池里的父级商业页和目标URL，应该优先从这里匹配，避免博客文章孤岛化。</x:v>
      </x:c>
      <x:c r="C2" s="125" t="str">
        <x:v>这是全站页面主数据。文章关键词池里的父级商业页和目标URL，应该优先从这里匹配，避免博客文章孤岛化。</x:v>
      </x:c>
      <x:c r="D2" s="125" t="str">
        <x:v>这是全站页面主数据。文章关键词池里的父级商业页和目标URL，应该优先从这里匹配，避免博客文章孤岛化。</x:v>
      </x:c>
      <x:c r="E2" s="125" t="str">
        <x:v>这是全站页面主数据。文章关键词池里的父级商业页和目标URL，应该优先从这里匹配，避免博客文章孤岛化。</x:v>
      </x:c>
      <x:c r="F2" s="125" t="str">
        <x:v>这是全站页面主数据。文章关键词池里的父级商业页和目标URL，应该优先从这里匹配，避免博客文章孤岛化。</x:v>
      </x:c>
      <x:c r="G2" s="125" t="str">
        <x:v>这是全站页面主数据。文章关键词池里的父级商业页和目标URL，应该优先从这里匹配，避免博客文章孤岛化。</x:v>
      </x:c>
      <x:c r="H2" s="125" t="str">
        <x:v>这是全站页面主数据。文章关键词池里的父级商业页和目标URL，应该优先从这里匹配，避免博客文章孤岛化。</x:v>
      </x:c>
      <x:c r="I2" s="126"/>
      <x:c r="J2" s="126"/>
    </x:row>
    <x:row r="3">
      <x:c r="A3" s="126"/>
      <x:c r="B3" s="126"/>
      <x:c r="C3" s="126"/>
      <x:c r="D3" s="126"/>
      <x:c r="E3" s="126"/>
      <x:c r="F3" s="126"/>
      <x:c r="G3" s="126"/>
      <x:c r="H3" s="126"/>
      <x:c r="I3" s="126"/>
      <x:c r="J3" s="126"/>
    </x:row>
    <x:row r="4">
      <x:c r="A4" s="143" t="str">
        <x:v>层级</x:v>
      </x:c>
      <x:c r="B4" s="144" t="str">
        <x:v>页面名称</x:v>
      </x:c>
      <x:c r="C4" s="144" t="str">
        <x:v>主关键词</x:v>
      </x:c>
      <x:c r="D4" s="144" t="str">
        <x:v>URL路径</x:v>
      </x:c>
      <x:c r="E4" s="144" t="str">
        <x:v>父页面</x:v>
      </x:c>
      <x:c r="F4" s="144" t="str">
        <x:v>页面类型</x:v>
      </x:c>
      <x:c r="G4" s="144" t="str">
        <x:v>搜索意图</x:v>
      </x:c>
      <x:c r="H4" s="144" t="str">
        <x:v>建议优先级</x:v>
      </x:c>
      <x:c r="I4" s="144" t="str">
        <x:v>审计状态</x:v>
      </x:c>
      <x:c r="J4" s="145" t="str">
        <x:v>内容要求</x:v>
      </x:c>
    </x:row>
    <x:row r="5">
      <x:c r="A5" s="82" t="str">
        <x:v>L1</x:v>
      </x:c>
      <x:c r="B5" s="37" t="str">
        <x:v>Silk Pillowcase</x:v>
      </x:c>
      <x:c r="C5" s="37" t="str">
        <x:v>silk pillowcase</x:v>
      </x:c>
      <x:c r="D5" s="37" t="str">
        <x:v>/collections/silk-pillowcases</x:v>
      </x:c>
      <x:c r="E5" s="37" t="str">
        <x:v>-</x:v>
      </x:c>
      <x:c r="F5" s="37" t="str">
        <x:v>分类页/集合页</x:v>
      </x:c>
      <x:c r="G5" s="37" t="str">
        <x:v>Commercial</x:v>
      </x:c>
      <x:c r="H5" s="37" t="str">
        <x:v>P0</x:v>
      </x:c>
      <x:c r="I5" s="37" t="str">
        <x:v>Draft</x:v>
      </x:c>
      <x:c r="J5" s="83" t="str">
        <x:v>类目介绍、材质、Momme、适用人群、FAQ、产品集合</x:v>
      </x:c>
    </x:row>
    <x:row r="6">
      <x:c r="A6" s="82" t="str">
        <x:v>L2</x:v>
      </x:c>
      <x:c r="B6" s="37" t="str">
        <x:v>Mulberry Silk Pillowcase</x:v>
      </x:c>
      <x:c r="C6" s="37" t="str">
        <x:v>mulberry silk pillowcase</x:v>
      </x:c>
      <x:c r="D6" s="37" t="str">
        <x:v>/collections/mulberry-silk</x:v>
      </x:c>
      <x:c r="E6" s="37" t="str">
        <x:v>Silk Pillowcase</x:v>
      </x:c>
      <x:c r="F6" s="37" t="str">
        <x:v>可索引筛选集合页</x:v>
      </x:c>
      <x:c r="G6" s="37" t="str">
        <x:v>Commercial</x:v>
      </x:c>
      <x:c r="H6" s="37" t="str">
        <x:v>P0</x:v>
      </x:c>
      <x:c r="I6" s="37" t="str">
        <x:v>Draft</x:v>
      </x:c>
      <x:c r="J6" s="83" t="str">
        <x:v>解释材质差异、Momme、证书、护理和购买建议</x:v>
      </x:c>
    </x:row>
    <x:row r="7">
      <x:c r="A7" s="82" t="str">
        <x:v>L2</x:v>
      </x:c>
      <x:c r="B7" s="37" t="str">
        <x:v>Queen Silk Pillowcase</x:v>
      </x:c>
      <x:c r="C7" s="37" t="str">
        <x:v>queen silk pillowcase</x:v>
      </x:c>
      <x:c r="D7" s="37" t="str">
        <x:v>/collections/silk-pillowcases/queen-size</x:v>
      </x:c>
      <x:c r="E7" s="37" t="str">
        <x:v>Silk Pillowcase</x:v>
      </x:c>
      <x:c r="F7" s="37" t="str">
        <x:v>可索引筛选集合页</x:v>
      </x:c>
      <x:c r="G7" s="37" t="str">
        <x:v>Transactional</x:v>
      </x:c>
      <x:c r="H7" s="37" t="str">
        <x:v>P1</x:v>
      </x:c>
      <x:c r="I7" s="37" t="str">
        <x:v>Draft</x:v>
      </x:c>
      <x:c r="J7" s="83" t="str">
        <x:v>尺寸、适配床品、商品列表、FAQ</x:v>
      </x:c>
    </x:row>
    <x:row r="8">
      <x:c r="A8" s="82" t="str">
        <x:v>L2</x:v>
      </x:c>
      <x:c r="B8" s="37" t="str">
        <x:v>Pink Silk Pillowcase</x:v>
      </x:c>
      <x:c r="C8" s="37" t="str">
        <x:v>pink silk pillowcase</x:v>
      </x:c>
      <x:c r="D8" s="37" t="str">
        <x:v>/collections/silk-pillowcases/pink</x:v>
      </x:c>
      <x:c r="E8" s="37" t="str">
        <x:v>Silk Pillowcase</x:v>
      </x:c>
      <x:c r="F8" s="37" t="str">
        <x:v>可索引筛选集合页</x:v>
      </x:c>
      <x:c r="G8" s="37" t="str">
        <x:v>Transactional</x:v>
      </x:c>
      <x:c r="H8" s="37" t="str">
        <x:v>P1</x:v>
      </x:c>
      <x:c r="I8" s="37" t="str">
        <x:v>Draft</x:v>
      </x:c>
      <x:c r="J8" s="83" t="str">
        <x:v>颜色页、商品列表、材质说明、FAQ</x:v>
      </x:c>
    </x:row>
    <x:row r="9">
      <x:c r="A9" s="82" t="str">
        <x:v>L1</x:v>
      </x:c>
      <x:c r="B9" s="37" t="str">
        <x:v>Silk Eye Mask</x:v>
      </x:c>
      <x:c r="C9" s="37" t="str">
        <x:v>silk eye mask</x:v>
      </x:c>
      <x:c r="D9" s="37" t="str">
        <x:v>/collections/silk-eye-masks</x:v>
      </x:c>
      <x:c r="E9" s="37" t="str">
        <x:v>-</x:v>
      </x:c>
      <x:c r="F9" s="37" t="str">
        <x:v>分类页/集合页</x:v>
      </x:c>
      <x:c r="G9" s="37" t="str">
        <x:v>Commercial</x:v>
      </x:c>
      <x:c r="H9" s="37" t="str">
        <x:v>P0</x:v>
      </x:c>
      <x:c r="I9" s="37" t="str">
        <x:v>Draft</x:v>
      </x:c>
      <x:c r="J9" s="83" t="str">
        <x:v>类目页、睡眠场景、材质、遮光、商品集合</x:v>
      </x:c>
    </x:row>
    <x:row r="10">
      <x:c r="A10" s="82" t="str">
        <x:v>L2</x:v>
      </x:c>
      <x:c r="B10" s="37" t="str">
        <x:v>Travel Silk Eye Mask</x:v>
      </x:c>
      <x:c r="C10" s="37" t="str">
        <x:v>travel silk eye mask</x:v>
      </x:c>
      <x:c r="D10" s="37" t="str">
        <x:v>/collections/silk-eye-masks/travel</x:v>
      </x:c>
      <x:c r="E10" s="37" t="str">
        <x:v>Silk Eye Mask</x:v>
      </x:c>
      <x:c r="F10" s="37" t="str">
        <x:v>专题集合页</x:v>
      </x:c>
      <x:c r="G10" s="37" t="str">
        <x:v>Transactional</x:v>
      </x:c>
      <x:c r="H10" s="37" t="str">
        <x:v>P1</x:v>
      </x:c>
      <x:c r="I10" s="37" t="str">
        <x:v>Draft</x:v>
      </x:c>
      <x:c r="J10" s="83" t="str">
        <x:v>旅行场景、便携性、产品推荐、FAQ</x:v>
      </x:c>
    </x:row>
    <x:row r="11">
      <x:c r="A11" s="82" t="str">
        <x:v>L1</x:v>
      </x:c>
      <x:c r="B11" s="37" t="str">
        <x:v>Silk Hair Scrunchies</x:v>
      </x:c>
      <x:c r="C11" s="37" t="str">
        <x:v>silk hair scrunchies</x:v>
      </x:c>
      <x:c r="D11" s="37" t="str">
        <x:v>/collections/silk-scrunchies</x:v>
      </x:c>
      <x:c r="E11" s="37" t="str">
        <x:v>-</x:v>
      </x:c>
      <x:c r="F11" s="37" t="str">
        <x:v>分类页/集合页</x:v>
      </x:c>
      <x:c r="G11" s="37" t="str">
        <x:v>Commercial</x:v>
      </x:c>
      <x:c r="H11" s="37" t="str">
        <x:v>P0</x:v>
      </x:c>
      <x:c r="I11" s="37" t="str">
        <x:v>Draft</x:v>
      </x:c>
      <x:c r="J11" s="83" t="str">
        <x:v>类目页、发质场景、颜色、套装和护理</x:v>
      </x:c>
    </x:row>
    <x:row r="12">
      <x:c r="A12" s="82" t="str">
        <x:v>Blog</x:v>
      </x:c>
      <x:c r="B12" s="37" t="str">
        <x:v>Best Silk Pillowcase for Hair</x:v>
      </x:c>
      <x:c r="C12" s="37" t="str">
        <x:v>best silk pillowcase for hair</x:v>
      </x:c>
      <x:c r="D12" s="37" t="str">
        <x:v>/blogs/best-silk-pillowcase-for-hair</x:v>
      </x:c>
      <x:c r="E12" s="37" t="str">
        <x:v>Silk Pillowcase</x:v>
      </x:c>
      <x:c r="F12" s="37" t="str">
        <x:v>购买指南</x:v>
      </x:c>
      <x:c r="G12" s="37" t="str">
        <x:v>Commercial</x:v>
      </x:c>
      <x:c r="H12" s="37" t="str">
        <x:v>P1</x:v>
      </x:c>
      <x:c r="I12" s="37" t="str">
        <x:v>Draft</x:v>
      </x:c>
      <x:c r="J12" s="83" t="str">
        <x:v>榜单/选购标准/对比表/内链到 Silk Pillowcase</x:v>
      </x:c>
    </x:row>
    <x:row r="13">
      <x:c r="A13" s="82" t="str">
        <x:v>Blog</x:v>
      </x:c>
      <x:c r="B13" s="37" t="str">
        <x:v>Silk Pillowcase vs Satin</x:v>
      </x:c>
      <x:c r="C13" s="37" t="str">
        <x:v>silk pillowcase vs satin</x:v>
      </x:c>
      <x:c r="D13" s="37" t="str">
        <x:v>/blogs/silk-pillowcase-vs-satin</x:v>
      </x:c>
      <x:c r="E13" s="37" t="str">
        <x:v>Silk Pillowcase</x:v>
      </x:c>
      <x:c r="F13" s="37" t="str">
        <x:v>对比文章</x:v>
      </x:c>
      <x:c r="G13" s="37" t="str">
        <x:v>Commercial</x:v>
      </x:c>
      <x:c r="H13" s="37" t="str">
        <x:v>P1</x:v>
      </x:c>
      <x:c r="I13" s="37" t="str">
        <x:v>Draft</x:v>
      </x:c>
      <x:c r="J13" s="83" t="str">
        <x:v>对比表、材质差异、适合人群、内链到集合页</x:v>
      </x:c>
    </x:row>
    <x:row r="14">
      <x:c r="A14" s="82" t="str">
        <x:v>Help</x:v>
      </x:c>
      <x:c r="B14" s="37" t="str">
        <x:v>How to Wash Silk Pillowcase</x:v>
      </x:c>
      <x:c r="C14" s="37" t="str">
        <x:v>how to wash silk pillowcase</x:v>
      </x:c>
      <x:c r="D14" s="37" t="str">
        <x:v>/blogs/how-to-wash-silk-pillowcase</x:v>
      </x:c>
      <x:c r="E14" s="37" t="str">
        <x:v>Silk Pillowcase</x:v>
      </x:c>
      <x:c r="F14" s="37" t="str">
        <x:v>帮助/FAQ</x:v>
      </x:c>
      <x:c r="G14" s="37" t="str">
        <x:v>Informational</x:v>
      </x:c>
      <x:c r="H14" s="37" t="str">
        <x:v>P2</x:v>
      </x:c>
      <x:c r="I14" s="37" t="str">
        <x:v>Draft</x:v>
      </x:c>
      <x:c r="J14" s="83" t="str">
        <x:v>护理步骤、注意事项、FAQ、内链到产品页</x:v>
      </x:c>
    </x:row>
    <x:row r="15">
      <x:c r="A15" s="82" t="str">
        <x:v>L2</x:v>
      </x:c>
      <x:c r="B15" s="37" t="str">
        <x:v>Silk Pillowcase Set</x:v>
      </x:c>
      <x:c r="C15" s="37" t="str">
        <x:v>silk pillowcase set</x:v>
      </x:c>
      <x:c r="D15" s="37" t="str">
        <x:v>/collections/silk-pillowcases/sets</x:v>
      </x:c>
      <x:c r="E15" s="37" t="str">
        <x:v>Silk Pillowcase</x:v>
      </x:c>
      <x:c r="F15" s="37" t="str">
        <x:v>集合页/商品页</x:v>
      </x:c>
      <x:c r="G15" s="37" t="str">
        <x:v>Transactional</x:v>
      </x:c>
      <x:c r="H15" s="37" t="str">
        <x:v>P1</x:v>
      </x:c>
      <x:c r="I15" s="37" t="str">
        <x:v>Draft</x:v>
      </x:c>
      <x:c r="J15" s="83" t="str">
        <x:v>套装商品、礼品场景、价格和FAQ</x:v>
      </x:c>
    </x:row>
    <x:row r="16">
      <x:c r="A16" s="82" t="str">
        <x:v>Observe</x:v>
      </x:c>
      <x:c r="B16" s="37" t="str">
        <x:v>Silk Pillowcase Amazon</x:v>
      </x:c>
      <x:c r="C16" s="37" t="str">
        <x:v>silk pillowcase amazon</x:v>
      </x:c>
      <x:c r="D16" s="37" t="str"/>
      <x:c r="E16" s="37" t="str">
        <x:v>-</x:v>
      </x:c>
      <x:c r="F16" s="37" t="str">
        <x:v>暂缓</x:v>
      </x:c>
      <x:c r="G16" s="37" t="str">
        <x:v>Navigational</x:v>
      </x:c>
      <x:c r="H16" s="37" t="str">
        <x:v>P3</x:v>
      </x:c>
      <x:c r="I16" s="37" t="str">
        <x:v>Hold</x:v>
      </x:c>
      <x:c r="J16" s="83" t="str">
        <x:v>SERP偏平台导航，暂不独立做</x:v>
      </x:c>
    </x:row>
    <x:row r="17">
      <x:c r="A17" s="82" t="str">
        <x:v>Commercial</x:v>
      </x:c>
      <x:c r="B17" s="37" t="str">
        <x:v>Mulberry Silk Pillowcase Product</x:v>
      </x:c>
      <x:c r="C17" s="37" t="str">
        <x:v>mulberry silk pillowcase</x:v>
      </x:c>
      <x:c r="D17" s="37" t="str">
        <x:v>/products/mulberry-silk-pillowcase</x:v>
      </x:c>
      <x:c r="E17" s="37" t="str">
        <x:v>Silk Pillowcase</x:v>
      </x:c>
      <x:c r="F17" s="37" t="str">
        <x:v>产品页</x:v>
      </x:c>
      <x:c r="G17" s="37" t="str">
        <x:v>Transactional</x:v>
      </x:c>
      <x:c r="H17" s="37" t="str">
        <x:v>P1</x:v>
      </x:c>
      <x:c r="I17" s="37" t="str">
        <x:v>Draft</x:v>
      </x:c>
      <x:c r="J17" s="83" t="str">
        <x:v>商品详情、材质参数、评价、护理说明</x:v>
      </x:c>
    </x:row>
    <x:row r="18">
      <x:c r="A18" s="82"/>
      <x:c r="B18" s="37"/>
      <x:c r="C18" s="37"/>
      <x:c r="D18" s="37"/>
      <x:c r="E18" s="37"/>
      <x:c r="F18" s="37"/>
      <x:c r="G18" s="37"/>
      <x:c r="H18" s="37"/>
      <x:c r="I18" s="37"/>
      <x:c r="J18" s="83"/>
    </x:row>
    <x:row r="19">
      <x:c r="A19" s="82"/>
      <x:c r="B19" s="37"/>
      <x:c r="C19" s="37"/>
      <x:c r="D19" s="37"/>
      <x:c r="E19" s="37"/>
      <x:c r="F19" s="37"/>
      <x:c r="G19" s="37"/>
      <x:c r="H19" s="37"/>
      <x:c r="I19" s="37"/>
      <x:c r="J19" s="83"/>
    </x:row>
    <x:row r="20">
      <x:c r="A20" s="82"/>
      <x:c r="B20" s="37"/>
      <x:c r="C20" s="37"/>
      <x:c r="D20" s="37"/>
      <x:c r="E20" s="37"/>
      <x:c r="F20" s="37"/>
      <x:c r="G20" s="37"/>
      <x:c r="H20" s="37"/>
      <x:c r="I20" s="37"/>
      <x:c r="J20" s="83"/>
    </x:row>
    <x:row r="21">
      <x:c r="A21" s="82"/>
      <x:c r="B21" s="37"/>
      <x:c r="C21" s="37"/>
      <x:c r="D21" s="37"/>
      <x:c r="E21" s="37"/>
      <x:c r="F21" s="37"/>
      <x:c r="G21" s="37"/>
      <x:c r="H21" s="37"/>
      <x:c r="I21" s="37"/>
      <x:c r="J21" s="83"/>
    </x:row>
    <x:row r="22">
      <x:c r="A22" s="82"/>
      <x:c r="B22" s="37"/>
      <x:c r="C22" s="37"/>
      <x:c r="D22" s="37"/>
      <x:c r="E22" s="37"/>
      <x:c r="F22" s="37"/>
      <x:c r="G22" s="37"/>
      <x:c r="H22" s="37"/>
      <x:c r="I22" s="37"/>
      <x:c r="J22" s="83"/>
    </x:row>
    <x:row r="23">
      <x:c r="A23" s="82"/>
      <x:c r="B23" s="37"/>
      <x:c r="C23" s="37"/>
      <x:c r="D23" s="37"/>
      <x:c r="E23" s="37"/>
      <x:c r="F23" s="37"/>
      <x:c r="G23" s="37"/>
      <x:c r="H23" s="37"/>
      <x:c r="I23" s="37"/>
      <x:c r="J23" s="83"/>
    </x:row>
    <x:row r="24">
      <x:c r="A24" s="82"/>
      <x:c r="B24" s="37"/>
      <x:c r="C24" s="37"/>
      <x:c r="D24" s="37"/>
      <x:c r="E24" s="37"/>
      <x:c r="F24" s="37"/>
      <x:c r="G24" s="37"/>
      <x:c r="H24" s="37"/>
      <x:c r="I24" s="37"/>
      <x:c r="J24" s="83"/>
    </x:row>
    <x:row r="25">
      <x:c r="A25" s="82"/>
      <x:c r="B25" s="37"/>
      <x:c r="C25" s="37"/>
      <x:c r="D25" s="37"/>
      <x:c r="E25" s="37"/>
      <x:c r="F25" s="37"/>
      <x:c r="G25" s="37"/>
      <x:c r="H25" s="37"/>
      <x:c r="I25" s="37"/>
      <x:c r="J25" s="83"/>
    </x:row>
    <x:row r="26">
      <x:c r="A26" s="82"/>
      <x:c r="B26" s="37"/>
      <x:c r="C26" s="37"/>
      <x:c r="D26" s="37"/>
      <x:c r="E26" s="37"/>
      <x:c r="F26" s="37"/>
      <x:c r="G26" s="37"/>
      <x:c r="H26" s="37"/>
      <x:c r="I26" s="37"/>
      <x:c r="J26" s="83"/>
    </x:row>
    <x:row r="27">
      <x:c r="A27" s="82"/>
      <x:c r="B27" s="37"/>
      <x:c r="C27" s="37"/>
      <x:c r="D27" s="37"/>
      <x:c r="E27" s="37"/>
      <x:c r="F27" s="37"/>
      <x:c r="G27" s="37"/>
      <x:c r="H27" s="37"/>
      <x:c r="I27" s="37"/>
      <x:c r="J27" s="83"/>
    </x:row>
    <x:row r="28">
      <x:c r="A28" s="82"/>
      <x:c r="B28" s="37"/>
      <x:c r="C28" s="37"/>
      <x:c r="D28" s="37"/>
      <x:c r="E28" s="37"/>
      <x:c r="F28" s="37"/>
      <x:c r="G28" s="37"/>
      <x:c r="H28" s="37"/>
      <x:c r="I28" s="37"/>
      <x:c r="J28" s="83"/>
    </x:row>
    <x:row r="29">
      <x:c r="A29" s="82"/>
      <x:c r="B29" s="37"/>
      <x:c r="C29" s="37"/>
      <x:c r="D29" s="37"/>
      <x:c r="E29" s="37"/>
      <x:c r="F29" s="37"/>
      <x:c r="G29" s="37"/>
      <x:c r="H29" s="37"/>
      <x:c r="I29" s="37"/>
      <x:c r="J29" s="83"/>
    </x:row>
    <x:row r="30">
      <x:c r="A30" s="82"/>
      <x:c r="B30" s="37"/>
      <x:c r="C30" s="37"/>
      <x:c r="D30" s="37"/>
      <x:c r="E30" s="37"/>
      <x:c r="F30" s="37"/>
      <x:c r="G30" s="37"/>
      <x:c r="H30" s="37"/>
      <x:c r="I30" s="37"/>
      <x:c r="J30" s="83"/>
    </x:row>
    <x:row r="31">
      <x:c r="A31" s="82"/>
      <x:c r="B31" s="37"/>
      <x:c r="C31" s="37"/>
      <x:c r="D31" s="37"/>
      <x:c r="E31" s="37"/>
      <x:c r="F31" s="37"/>
      <x:c r="G31" s="37"/>
      <x:c r="H31" s="37"/>
      <x:c r="I31" s="37"/>
      <x:c r="J31" s="83"/>
    </x:row>
    <x:row r="32">
      <x:c r="A32" s="82"/>
      <x:c r="B32" s="37"/>
      <x:c r="C32" s="37"/>
      <x:c r="D32" s="37"/>
      <x:c r="E32" s="37"/>
      <x:c r="F32" s="37"/>
      <x:c r="G32" s="37"/>
      <x:c r="H32" s="37"/>
      <x:c r="I32" s="37"/>
      <x:c r="J32" s="83"/>
    </x:row>
    <x:row r="33">
      <x:c r="A33" s="82"/>
      <x:c r="B33" s="37"/>
      <x:c r="C33" s="37"/>
      <x:c r="D33" s="37"/>
      <x:c r="E33" s="37"/>
      <x:c r="F33" s="37"/>
      <x:c r="G33" s="37"/>
      <x:c r="H33" s="37"/>
      <x:c r="I33" s="37"/>
      <x:c r="J33" s="83"/>
    </x:row>
    <x:row r="34">
      <x:c r="A34" s="82"/>
      <x:c r="B34" s="37"/>
      <x:c r="C34" s="37"/>
      <x:c r="D34" s="37"/>
      <x:c r="E34" s="37"/>
      <x:c r="F34" s="37"/>
      <x:c r="G34" s="37"/>
      <x:c r="H34" s="37"/>
      <x:c r="I34" s="37"/>
      <x:c r="J34" s="83"/>
    </x:row>
    <x:row r="35">
      <x:c r="A35" s="82"/>
      <x:c r="B35" s="37"/>
      <x:c r="C35" s="37"/>
      <x:c r="D35" s="37"/>
      <x:c r="E35" s="37"/>
      <x:c r="F35" s="37"/>
      <x:c r="G35" s="37"/>
      <x:c r="H35" s="37"/>
      <x:c r="I35" s="37"/>
      <x:c r="J35" s="83"/>
    </x:row>
    <x:row r="36">
      <x:c r="A36" s="82"/>
      <x:c r="B36" s="37"/>
      <x:c r="C36" s="37"/>
      <x:c r="D36" s="37"/>
      <x:c r="E36" s="37"/>
      <x:c r="F36" s="37"/>
      <x:c r="G36" s="37"/>
      <x:c r="H36" s="37"/>
      <x:c r="I36" s="37"/>
      <x:c r="J36" s="83"/>
    </x:row>
    <x:row r="37">
      <x:c r="A37" s="82"/>
      <x:c r="B37" s="37"/>
      <x:c r="C37" s="37"/>
      <x:c r="D37" s="37"/>
      <x:c r="E37" s="37"/>
      <x:c r="F37" s="37"/>
      <x:c r="G37" s="37"/>
      <x:c r="H37" s="37"/>
      <x:c r="I37" s="37"/>
      <x:c r="J37" s="83"/>
    </x:row>
    <x:row r="38">
      <x:c r="A38" s="82"/>
      <x:c r="B38" s="37"/>
      <x:c r="C38" s="37"/>
      <x:c r="D38" s="37"/>
      <x:c r="E38" s="37"/>
      <x:c r="F38" s="37"/>
      <x:c r="G38" s="37"/>
      <x:c r="H38" s="37"/>
      <x:c r="I38" s="37"/>
      <x:c r="J38" s="83"/>
    </x:row>
    <x:row r="39">
      <x:c r="A39" s="82"/>
      <x:c r="B39" s="37"/>
      <x:c r="C39" s="37"/>
      <x:c r="D39" s="37"/>
      <x:c r="E39" s="37"/>
      <x:c r="F39" s="37"/>
      <x:c r="G39" s="37"/>
      <x:c r="H39" s="37"/>
      <x:c r="I39" s="37"/>
      <x:c r="J39" s="83"/>
    </x:row>
    <x:row r="40">
      <x:c r="A40" s="82"/>
      <x:c r="B40" s="37"/>
      <x:c r="C40" s="37"/>
      <x:c r="D40" s="37"/>
      <x:c r="E40" s="37"/>
      <x:c r="F40" s="37"/>
      <x:c r="G40" s="37"/>
      <x:c r="H40" s="37"/>
      <x:c r="I40" s="37"/>
      <x:c r="J40" s="83"/>
    </x:row>
    <x:row r="41">
      <x:c r="A41" s="82"/>
      <x:c r="B41" s="37"/>
      <x:c r="C41" s="37"/>
      <x:c r="D41" s="37"/>
      <x:c r="E41" s="37"/>
      <x:c r="F41" s="37"/>
      <x:c r="G41" s="37"/>
      <x:c r="H41" s="37"/>
      <x:c r="I41" s="37"/>
      <x:c r="J41" s="83"/>
    </x:row>
    <x:row r="42">
      <x:c r="A42" s="82"/>
      <x:c r="B42" s="37"/>
      <x:c r="C42" s="37"/>
      <x:c r="D42" s="37"/>
      <x:c r="E42" s="37"/>
      <x:c r="F42" s="37"/>
      <x:c r="G42" s="37"/>
      <x:c r="H42" s="37"/>
      <x:c r="I42" s="37"/>
      <x:c r="J42" s="83"/>
    </x:row>
    <x:row r="43">
      <x:c r="A43" s="82"/>
      <x:c r="B43" s="37"/>
      <x:c r="C43" s="37"/>
      <x:c r="D43" s="37"/>
      <x:c r="E43" s="37"/>
      <x:c r="F43" s="37"/>
      <x:c r="G43" s="37"/>
      <x:c r="H43" s="37"/>
      <x:c r="I43" s="37"/>
      <x:c r="J43" s="83"/>
    </x:row>
    <x:row r="44">
      <x:c r="A44" s="82"/>
      <x:c r="B44" s="37"/>
      <x:c r="C44" s="37"/>
      <x:c r="D44" s="37"/>
      <x:c r="E44" s="37"/>
      <x:c r="F44" s="37"/>
      <x:c r="G44" s="37"/>
      <x:c r="H44" s="37"/>
      <x:c r="I44" s="37"/>
      <x:c r="J44" s="83"/>
    </x:row>
    <x:row r="45">
      <x:c r="A45" s="82"/>
      <x:c r="B45" s="37"/>
      <x:c r="C45" s="37"/>
      <x:c r="D45" s="37"/>
      <x:c r="E45" s="37"/>
      <x:c r="F45" s="37"/>
      <x:c r="G45" s="37"/>
      <x:c r="H45" s="37"/>
      <x:c r="I45" s="37"/>
      <x:c r="J45" s="83"/>
    </x:row>
    <x:row r="46">
      <x:c r="A46" s="82"/>
      <x:c r="B46" s="37"/>
      <x:c r="C46" s="37"/>
      <x:c r="D46" s="37"/>
      <x:c r="E46" s="37"/>
      <x:c r="F46" s="37"/>
      <x:c r="G46" s="37"/>
      <x:c r="H46" s="37"/>
      <x:c r="I46" s="37"/>
      <x:c r="J46" s="83"/>
    </x:row>
    <x:row r="47">
      <x:c r="A47" s="82"/>
      <x:c r="B47" s="37"/>
      <x:c r="C47" s="37"/>
      <x:c r="D47" s="37"/>
      <x:c r="E47" s="37"/>
      <x:c r="F47" s="37"/>
      <x:c r="G47" s="37"/>
      <x:c r="H47" s="37"/>
      <x:c r="I47" s="37"/>
      <x:c r="J47" s="83"/>
    </x:row>
    <x:row r="48">
      <x:c r="A48" s="82"/>
      <x:c r="B48" s="37"/>
      <x:c r="C48" s="37"/>
      <x:c r="D48" s="37"/>
      <x:c r="E48" s="37"/>
      <x:c r="F48" s="37"/>
      <x:c r="G48" s="37"/>
      <x:c r="H48" s="37"/>
      <x:c r="I48" s="37"/>
      <x:c r="J48" s="83"/>
    </x:row>
    <x:row r="49">
      <x:c r="A49" s="82"/>
      <x:c r="B49" s="37"/>
      <x:c r="C49" s="37"/>
      <x:c r="D49" s="37"/>
      <x:c r="E49" s="37"/>
      <x:c r="F49" s="37"/>
      <x:c r="G49" s="37"/>
      <x:c r="H49" s="37"/>
      <x:c r="I49" s="37"/>
      <x:c r="J49" s="83"/>
    </x:row>
    <x:row r="50">
      <x:c r="A50" s="82"/>
      <x:c r="B50" s="37"/>
      <x:c r="C50" s="37"/>
      <x:c r="D50" s="37"/>
      <x:c r="E50" s="37"/>
      <x:c r="F50" s="37"/>
      <x:c r="G50" s="37"/>
      <x:c r="H50" s="37"/>
      <x:c r="I50" s="37"/>
      <x:c r="J50" s="83"/>
    </x:row>
    <x:row r="51">
      <x:c r="A51" s="82"/>
      <x:c r="B51" s="37"/>
      <x:c r="C51" s="37"/>
      <x:c r="D51" s="37"/>
      <x:c r="E51" s="37"/>
      <x:c r="F51" s="37"/>
      <x:c r="G51" s="37"/>
      <x:c r="H51" s="37"/>
      <x:c r="I51" s="37"/>
      <x:c r="J51" s="83"/>
    </x:row>
    <x:row r="52">
      <x:c r="A52" s="82"/>
      <x:c r="B52" s="37"/>
      <x:c r="C52" s="37"/>
      <x:c r="D52" s="37"/>
      <x:c r="E52" s="37"/>
      <x:c r="F52" s="37"/>
      <x:c r="G52" s="37"/>
      <x:c r="H52" s="37"/>
      <x:c r="I52" s="37"/>
      <x:c r="J52" s="83"/>
    </x:row>
    <x:row r="53">
      <x:c r="A53" s="82"/>
      <x:c r="B53" s="37"/>
      <x:c r="C53" s="37"/>
      <x:c r="D53" s="37"/>
      <x:c r="E53" s="37"/>
      <x:c r="F53" s="37"/>
      <x:c r="G53" s="37"/>
      <x:c r="H53" s="37"/>
      <x:c r="I53" s="37"/>
      <x:c r="J53" s="83"/>
    </x:row>
    <x:row r="54">
      <x:c r="A54" s="82"/>
      <x:c r="B54" s="37"/>
      <x:c r="C54" s="37"/>
      <x:c r="D54" s="37"/>
      <x:c r="E54" s="37"/>
      <x:c r="F54" s="37"/>
      <x:c r="G54" s="37"/>
      <x:c r="H54" s="37"/>
      <x:c r="I54" s="37"/>
      <x:c r="J54" s="83"/>
    </x:row>
    <x:row r="55">
      <x:c r="A55" s="82"/>
      <x:c r="B55" s="37"/>
      <x:c r="C55" s="37"/>
      <x:c r="D55" s="37"/>
      <x:c r="E55" s="37"/>
      <x:c r="F55" s="37"/>
      <x:c r="G55" s="37"/>
      <x:c r="H55" s="37"/>
      <x:c r="I55" s="37"/>
      <x:c r="J55" s="83"/>
    </x:row>
    <x:row r="56">
      <x:c r="A56" s="82"/>
      <x:c r="B56" s="37"/>
      <x:c r="C56" s="37"/>
      <x:c r="D56" s="37"/>
      <x:c r="E56" s="37"/>
      <x:c r="F56" s="37"/>
      <x:c r="G56" s="37"/>
      <x:c r="H56" s="37"/>
      <x:c r="I56" s="37"/>
      <x:c r="J56" s="83"/>
    </x:row>
    <x:row r="57">
      <x:c r="A57" s="82"/>
      <x:c r="B57" s="37"/>
      <x:c r="C57" s="37"/>
      <x:c r="D57" s="37"/>
      <x:c r="E57" s="37"/>
      <x:c r="F57" s="37"/>
      <x:c r="G57" s="37"/>
      <x:c r="H57" s="37"/>
      <x:c r="I57" s="37"/>
      <x:c r="J57" s="83"/>
    </x:row>
    <x:row r="58">
      <x:c r="A58" s="82"/>
      <x:c r="B58" s="37"/>
      <x:c r="C58" s="37"/>
      <x:c r="D58" s="37"/>
      <x:c r="E58" s="37"/>
      <x:c r="F58" s="37"/>
      <x:c r="G58" s="37"/>
      <x:c r="H58" s="37"/>
      <x:c r="I58" s="37"/>
      <x:c r="J58" s="83"/>
    </x:row>
    <x:row r="59">
      <x:c r="A59" s="82"/>
      <x:c r="B59" s="37"/>
      <x:c r="C59" s="37"/>
      <x:c r="D59" s="37"/>
      <x:c r="E59" s="37"/>
      <x:c r="F59" s="37"/>
      <x:c r="G59" s="37"/>
      <x:c r="H59" s="37"/>
      <x:c r="I59" s="37"/>
      <x:c r="J59" s="83"/>
    </x:row>
    <x:row r="60">
      <x:c r="A60" s="82"/>
      <x:c r="B60" s="37"/>
      <x:c r="C60" s="37"/>
      <x:c r="D60" s="37"/>
      <x:c r="E60" s="37"/>
      <x:c r="F60" s="37"/>
      <x:c r="G60" s="37"/>
      <x:c r="H60" s="37"/>
      <x:c r="I60" s="37"/>
      <x:c r="J60" s="83"/>
    </x:row>
    <x:row r="61">
      <x:c r="A61" s="82"/>
      <x:c r="B61" s="37"/>
      <x:c r="C61" s="37"/>
      <x:c r="D61" s="37"/>
      <x:c r="E61" s="37"/>
      <x:c r="F61" s="37"/>
      <x:c r="G61" s="37"/>
      <x:c r="H61" s="37"/>
      <x:c r="I61" s="37"/>
      <x:c r="J61" s="83"/>
    </x:row>
    <x:row r="62">
      <x:c r="A62" s="82"/>
      <x:c r="B62" s="37"/>
      <x:c r="C62" s="37"/>
      <x:c r="D62" s="37"/>
      <x:c r="E62" s="37"/>
      <x:c r="F62" s="37"/>
      <x:c r="G62" s="37"/>
      <x:c r="H62" s="37"/>
      <x:c r="I62" s="37"/>
      <x:c r="J62" s="83"/>
    </x:row>
    <x:row r="63">
      <x:c r="A63" s="82"/>
      <x:c r="B63" s="37"/>
      <x:c r="C63" s="37"/>
      <x:c r="D63" s="37"/>
      <x:c r="E63" s="37"/>
      <x:c r="F63" s="37"/>
      <x:c r="G63" s="37"/>
      <x:c r="H63" s="37"/>
      <x:c r="I63" s="37"/>
      <x:c r="J63" s="83"/>
    </x:row>
    <x:row r="64">
      <x:c r="A64" s="82"/>
      <x:c r="B64" s="37"/>
      <x:c r="C64" s="37"/>
      <x:c r="D64" s="37"/>
      <x:c r="E64" s="37"/>
      <x:c r="F64" s="37"/>
      <x:c r="G64" s="37"/>
      <x:c r="H64" s="37"/>
      <x:c r="I64" s="37"/>
      <x:c r="J64" s="83"/>
    </x:row>
    <x:row r="65">
      <x:c r="A65" s="82"/>
      <x:c r="B65" s="37"/>
      <x:c r="C65" s="37"/>
      <x:c r="D65" s="37"/>
      <x:c r="E65" s="37"/>
      <x:c r="F65" s="37"/>
      <x:c r="G65" s="37"/>
      <x:c r="H65" s="37"/>
      <x:c r="I65" s="37"/>
      <x:c r="J65" s="83"/>
    </x:row>
    <x:row r="66">
      <x:c r="A66" s="82"/>
      <x:c r="B66" s="37"/>
      <x:c r="C66" s="37"/>
      <x:c r="D66" s="37"/>
      <x:c r="E66" s="37"/>
      <x:c r="F66" s="37"/>
      <x:c r="G66" s="37"/>
      <x:c r="H66" s="37"/>
      <x:c r="I66" s="37"/>
      <x:c r="J66" s="83"/>
    </x:row>
    <x:row r="67">
      <x:c r="A67" s="82"/>
      <x:c r="B67" s="37"/>
      <x:c r="C67" s="37"/>
      <x:c r="D67" s="37"/>
      <x:c r="E67" s="37"/>
      <x:c r="F67" s="37"/>
      <x:c r="G67" s="37"/>
      <x:c r="H67" s="37"/>
      <x:c r="I67" s="37"/>
      <x:c r="J67" s="83"/>
    </x:row>
    <x:row r="68">
      <x:c r="A68" s="82"/>
      <x:c r="B68" s="37"/>
      <x:c r="C68" s="37"/>
      <x:c r="D68" s="37"/>
      <x:c r="E68" s="37"/>
      <x:c r="F68" s="37"/>
      <x:c r="G68" s="37"/>
      <x:c r="H68" s="37"/>
      <x:c r="I68" s="37"/>
      <x:c r="J68" s="83"/>
    </x:row>
    <x:row r="69">
      <x:c r="A69" s="82"/>
      <x:c r="B69" s="37"/>
      <x:c r="C69" s="37"/>
      <x:c r="D69" s="37"/>
      <x:c r="E69" s="37"/>
      <x:c r="F69" s="37"/>
      <x:c r="G69" s="37"/>
      <x:c r="H69" s="37"/>
      <x:c r="I69" s="37"/>
      <x:c r="J69" s="83"/>
    </x:row>
    <x:row r="70">
      <x:c r="A70" s="82"/>
      <x:c r="B70" s="37"/>
      <x:c r="C70" s="37"/>
      <x:c r="D70" s="37"/>
      <x:c r="E70" s="37"/>
      <x:c r="F70" s="37"/>
      <x:c r="G70" s="37"/>
      <x:c r="H70" s="37"/>
      <x:c r="I70" s="37"/>
      <x:c r="J70" s="83"/>
    </x:row>
    <x:row r="71">
      <x:c r="A71" s="82"/>
      <x:c r="B71" s="37"/>
      <x:c r="C71" s="37"/>
      <x:c r="D71" s="37"/>
      <x:c r="E71" s="37"/>
      <x:c r="F71" s="37"/>
      <x:c r="G71" s="37"/>
      <x:c r="H71" s="37"/>
      <x:c r="I71" s="37"/>
      <x:c r="J71" s="83"/>
    </x:row>
    <x:row r="72">
      <x:c r="A72" s="82"/>
      <x:c r="B72" s="37"/>
      <x:c r="C72" s="37"/>
      <x:c r="D72" s="37"/>
      <x:c r="E72" s="37"/>
      <x:c r="F72" s="37"/>
      <x:c r="G72" s="37"/>
      <x:c r="H72" s="37"/>
      <x:c r="I72" s="37"/>
      <x:c r="J72" s="83"/>
    </x:row>
    <x:row r="73">
      <x:c r="A73" s="82"/>
      <x:c r="B73" s="37"/>
      <x:c r="C73" s="37"/>
      <x:c r="D73" s="37"/>
      <x:c r="E73" s="37"/>
      <x:c r="F73" s="37"/>
      <x:c r="G73" s="37"/>
      <x:c r="H73" s="37"/>
      <x:c r="I73" s="37"/>
      <x:c r="J73" s="83"/>
    </x:row>
    <x:row r="74">
      <x:c r="A74" s="82"/>
      <x:c r="B74" s="37"/>
      <x:c r="C74" s="37"/>
      <x:c r="D74" s="37"/>
      <x:c r="E74" s="37"/>
      <x:c r="F74" s="37"/>
      <x:c r="G74" s="37"/>
      <x:c r="H74" s="37"/>
      <x:c r="I74" s="37"/>
      <x:c r="J74" s="83"/>
    </x:row>
    <x:row r="75">
      <x:c r="A75" s="82"/>
      <x:c r="B75" s="37"/>
      <x:c r="C75" s="37"/>
      <x:c r="D75" s="37"/>
      <x:c r="E75" s="37"/>
      <x:c r="F75" s="37"/>
      <x:c r="G75" s="37"/>
      <x:c r="H75" s="37"/>
      <x:c r="I75" s="37"/>
      <x:c r="J75" s="83"/>
    </x:row>
    <x:row r="76">
      <x:c r="A76" s="82"/>
      <x:c r="B76" s="37"/>
      <x:c r="C76" s="37"/>
      <x:c r="D76" s="37"/>
      <x:c r="E76" s="37"/>
      <x:c r="F76" s="37"/>
      <x:c r="G76" s="37"/>
      <x:c r="H76" s="37"/>
      <x:c r="I76" s="37"/>
      <x:c r="J76" s="83"/>
    </x:row>
    <x:row r="77">
      <x:c r="A77" s="82"/>
      <x:c r="B77" s="37"/>
      <x:c r="C77" s="37"/>
      <x:c r="D77" s="37"/>
      <x:c r="E77" s="37"/>
      <x:c r="F77" s="37"/>
      <x:c r="G77" s="37"/>
      <x:c r="H77" s="37"/>
      <x:c r="I77" s="37"/>
      <x:c r="J77" s="83"/>
    </x:row>
    <x:row r="78">
      <x:c r="A78" s="82"/>
      <x:c r="B78" s="37"/>
      <x:c r="C78" s="37"/>
      <x:c r="D78" s="37"/>
      <x:c r="E78" s="37"/>
      <x:c r="F78" s="37"/>
      <x:c r="G78" s="37"/>
      <x:c r="H78" s="37"/>
      <x:c r="I78" s="37"/>
      <x:c r="J78" s="83"/>
    </x:row>
    <x:row r="79">
      <x:c r="A79" s="82"/>
      <x:c r="B79" s="37"/>
      <x:c r="C79" s="37"/>
      <x:c r="D79" s="37"/>
      <x:c r="E79" s="37"/>
      <x:c r="F79" s="37"/>
      <x:c r="G79" s="37"/>
      <x:c r="H79" s="37"/>
      <x:c r="I79" s="37"/>
      <x:c r="J79" s="83"/>
    </x:row>
    <x:row r="80">
      <x:c r="A80" s="82"/>
      <x:c r="B80" s="37"/>
      <x:c r="C80" s="37"/>
      <x:c r="D80" s="37"/>
      <x:c r="E80" s="37"/>
      <x:c r="F80" s="37"/>
      <x:c r="G80" s="37"/>
      <x:c r="H80" s="37"/>
      <x:c r="I80" s="37"/>
      <x:c r="J80" s="83"/>
    </x:row>
    <x:row r="81">
      <x:c r="A81" s="82"/>
      <x:c r="B81" s="37"/>
      <x:c r="C81" s="37"/>
      <x:c r="D81" s="37"/>
      <x:c r="E81" s="37"/>
      <x:c r="F81" s="37"/>
      <x:c r="G81" s="37"/>
      <x:c r="H81" s="37"/>
      <x:c r="I81" s="37"/>
      <x:c r="J81" s="83"/>
    </x:row>
    <x:row r="82">
      <x:c r="A82" s="82"/>
      <x:c r="B82" s="37"/>
      <x:c r="C82" s="37"/>
      <x:c r="D82" s="37"/>
      <x:c r="E82" s="37"/>
      <x:c r="F82" s="37"/>
      <x:c r="G82" s="37"/>
      <x:c r="H82" s="37"/>
      <x:c r="I82" s="37"/>
      <x:c r="J82" s="83"/>
    </x:row>
    <x:row r="83">
      <x:c r="A83" s="82"/>
      <x:c r="B83" s="37"/>
      <x:c r="C83" s="37"/>
      <x:c r="D83" s="37"/>
      <x:c r="E83" s="37"/>
      <x:c r="F83" s="37"/>
      <x:c r="G83" s="37"/>
      <x:c r="H83" s="37"/>
      <x:c r="I83" s="37"/>
      <x:c r="J83" s="83"/>
    </x:row>
    <x:row r="84">
      <x:c r="A84" s="82"/>
      <x:c r="B84" s="37"/>
      <x:c r="C84" s="37"/>
      <x:c r="D84" s="37"/>
      <x:c r="E84" s="37"/>
      <x:c r="F84" s="37"/>
      <x:c r="G84" s="37"/>
      <x:c r="H84" s="37"/>
      <x:c r="I84" s="37"/>
      <x:c r="J84" s="83"/>
    </x:row>
    <x:row r="85">
      <x:c r="A85" s="82"/>
      <x:c r="B85" s="37"/>
      <x:c r="C85" s="37"/>
      <x:c r="D85" s="37"/>
      <x:c r="E85" s="37"/>
      <x:c r="F85" s="37"/>
      <x:c r="G85" s="37"/>
      <x:c r="H85" s="37"/>
      <x:c r="I85" s="37"/>
      <x:c r="J85" s="83"/>
    </x:row>
    <x:row r="86">
      <x:c r="A86" s="82"/>
      <x:c r="B86" s="37"/>
      <x:c r="C86" s="37"/>
      <x:c r="D86" s="37"/>
      <x:c r="E86" s="37"/>
      <x:c r="F86" s="37"/>
      <x:c r="G86" s="37"/>
      <x:c r="H86" s="37"/>
      <x:c r="I86" s="37"/>
      <x:c r="J86" s="83"/>
    </x:row>
    <x:row r="87">
      <x:c r="A87" s="82"/>
      <x:c r="B87" s="37"/>
      <x:c r="C87" s="37"/>
      <x:c r="D87" s="37"/>
      <x:c r="E87" s="37"/>
      <x:c r="F87" s="37"/>
      <x:c r="G87" s="37"/>
      <x:c r="H87" s="37"/>
      <x:c r="I87" s="37"/>
      <x:c r="J87" s="83"/>
    </x:row>
    <x:row r="88">
      <x:c r="A88" s="82"/>
      <x:c r="B88" s="37"/>
      <x:c r="C88" s="37"/>
      <x:c r="D88" s="37"/>
      <x:c r="E88" s="37"/>
      <x:c r="F88" s="37"/>
      <x:c r="G88" s="37"/>
      <x:c r="H88" s="37"/>
      <x:c r="I88" s="37"/>
      <x:c r="J88" s="83"/>
    </x:row>
    <x:row r="89">
      <x:c r="A89" s="82"/>
      <x:c r="B89" s="37"/>
      <x:c r="C89" s="37"/>
      <x:c r="D89" s="37"/>
      <x:c r="E89" s="37"/>
      <x:c r="F89" s="37"/>
      <x:c r="G89" s="37"/>
      <x:c r="H89" s="37"/>
      <x:c r="I89" s="37"/>
      <x:c r="J89" s="83"/>
    </x:row>
    <x:row r="90">
      <x:c r="A90" s="82"/>
      <x:c r="B90" s="37"/>
      <x:c r="C90" s="37"/>
      <x:c r="D90" s="37"/>
      <x:c r="E90" s="37"/>
      <x:c r="F90" s="37"/>
      <x:c r="G90" s="37"/>
      <x:c r="H90" s="37"/>
      <x:c r="I90" s="37"/>
      <x:c r="J90" s="83"/>
    </x:row>
    <x:row r="91">
      <x:c r="A91" s="82"/>
      <x:c r="B91" s="37"/>
      <x:c r="C91" s="37"/>
      <x:c r="D91" s="37"/>
      <x:c r="E91" s="37"/>
      <x:c r="F91" s="37"/>
      <x:c r="G91" s="37"/>
      <x:c r="H91" s="37"/>
      <x:c r="I91" s="37"/>
      <x:c r="J91" s="83"/>
    </x:row>
    <x:row r="92">
      <x:c r="A92" s="82"/>
      <x:c r="B92" s="37"/>
      <x:c r="C92" s="37"/>
      <x:c r="D92" s="37"/>
      <x:c r="E92" s="37"/>
      <x:c r="F92" s="37"/>
      <x:c r="G92" s="37"/>
      <x:c r="H92" s="37"/>
      <x:c r="I92" s="37"/>
      <x:c r="J92" s="83"/>
    </x:row>
    <x:row r="93">
      <x:c r="A93" s="82"/>
      <x:c r="B93" s="37"/>
      <x:c r="C93" s="37"/>
      <x:c r="D93" s="37"/>
      <x:c r="E93" s="37"/>
      <x:c r="F93" s="37"/>
      <x:c r="G93" s="37"/>
      <x:c r="H93" s="37"/>
      <x:c r="I93" s="37"/>
      <x:c r="J93" s="83"/>
    </x:row>
    <x:row r="94">
      <x:c r="A94" s="82"/>
      <x:c r="B94" s="37"/>
      <x:c r="C94" s="37"/>
      <x:c r="D94" s="37"/>
      <x:c r="E94" s="37"/>
      <x:c r="F94" s="37"/>
      <x:c r="G94" s="37"/>
      <x:c r="H94" s="37"/>
      <x:c r="I94" s="37"/>
      <x:c r="J94" s="83"/>
    </x:row>
    <x:row r="95">
      <x:c r="A95" s="82"/>
      <x:c r="B95" s="37"/>
      <x:c r="C95" s="37"/>
      <x:c r="D95" s="37"/>
      <x:c r="E95" s="37"/>
      <x:c r="F95" s="37"/>
      <x:c r="G95" s="37"/>
      <x:c r="H95" s="37"/>
      <x:c r="I95" s="37"/>
      <x:c r="J95" s="83"/>
    </x:row>
    <x:row r="96">
      <x:c r="A96" s="82"/>
      <x:c r="B96" s="37"/>
      <x:c r="C96" s="37"/>
      <x:c r="D96" s="37"/>
      <x:c r="E96" s="37"/>
      <x:c r="F96" s="37"/>
      <x:c r="G96" s="37"/>
      <x:c r="H96" s="37"/>
      <x:c r="I96" s="37"/>
      <x:c r="J96" s="83"/>
    </x:row>
    <x:row r="97">
      <x:c r="A97" s="82"/>
      <x:c r="B97" s="37"/>
      <x:c r="C97" s="37"/>
      <x:c r="D97" s="37"/>
      <x:c r="E97" s="37"/>
      <x:c r="F97" s="37"/>
      <x:c r="G97" s="37"/>
      <x:c r="H97" s="37"/>
      <x:c r="I97" s="37"/>
      <x:c r="J97" s="83"/>
    </x:row>
    <x:row r="98">
      <x:c r="A98" s="82"/>
      <x:c r="B98" s="37"/>
      <x:c r="C98" s="37"/>
      <x:c r="D98" s="37"/>
      <x:c r="E98" s="37"/>
      <x:c r="F98" s="37"/>
      <x:c r="G98" s="37"/>
      <x:c r="H98" s="37"/>
      <x:c r="I98" s="37"/>
      <x:c r="J98" s="83"/>
    </x:row>
    <x:row r="99">
      <x:c r="A99" s="82"/>
      <x:c r="B99" s="37"/>
      <x:c r="C99" s="37"/>
      <x:c r="D99" s="37"/>
      <x:c r="E99" s="37"/>
      <x:c r="F99" s="37"/>
      <x:c r="G99" s="37"/>
      <x:c r="H99" s="37"/>
      <x:c r="I99" s="37"/>
      <x:c r="J99" s="83"/>
    </x:row>
    <x:row r="100">
      <x:c r="A100" s="82"/>
      <x:c r="B100" s="37"/>
      <x:c r="C100" s="37"/>
      <x:c r="D100" s="37"/>
      <x:c r="E100" s="37"/>
      <x:c r="F100" s="37"/>
      <x:c r="G100" s="37"/>
      <x:c r="H100" s="37"/>
      <x:c r="I100" s="37"/>
      <x:c r="J100" s="83"/>
    </x:row>
    <x:row r="101">
      <x:c r="A101" s="82"/>
      <x:c r="B101" s="37"/>
      <x:c r="C101" s="37"/>
      <x:c r="D101" s="37"/>
      <x:c r="E101" s="37"/>
      <x:c r="F101" s="37"/>
      <x:c r="G101" s="37"/>
      <x:c r="H101" s="37"/>
      <x:c r="I101" s="37"/>
      <x:c r="J101" s="83"/>
    </x:row>
    <x:row r="102">
      <x:c r="A102" s="82"/>
      <x:c r="B102" s="37"/>
      <x:c r="C102" s="37"/>
      <x:c r="D102" s="37"/>
      <x:c r="E102" s="37"/>
      <x:c r="F102" s="37"/>
      <x:c r="G102" s="37"/>
      <x:c r="H102" s="37"/>
      <x:c r="I102" s="37"/>
      <x:c r="J102" s="83"/>
    </x:row>
    <x:row r="103">
      <x:c r="A103" s="82"/>
      <x:c r="B103" s="37"/>
      <x:c r="C103" s="37"/>
      <x:c r="D103" s="37"/>
      <x:c r="E103" s="37"/>
      <x:c r="F103" s="37"/>
      <x:c r="G103" s="37"/>
      <x:c r="H103" s="37"/>
      <x:c r="I103" s="37"/>
      <x:c r="J103" s="83"/>
    </x:row>
    <x:row r="104">
      <x:c r="A104" s="84"/>
      <x:c r="B104" s="85"/>
      <x:c r="C104" s="85"/>
      <x:c r="D104" s="85"/>
      <x:c r="E104" s="85"/>
      <x:c r="F104" s="85"/>
      <x:c r="G104" s="85"/>
      <x:c r="H104" s="85"/>
      <x:c r="I104" s="85"/>
      <x:c r="J104" s="86"/>
    </x:row>
  </x:sheetData>
  <x:mergeCells>
    <x:mergeCell ref="A1:J1"/>
    <x:mergeCell ref="A2:H2"/>
  </x:mergeCells>
  <x:dataValidations count="5">
    <x:dataValidation type="list" sqref="A5:A104">
      <x:formula1>"L1,L2,L3,Blog,Help,Commercial,Observe"</x:formula1>
    </x:dataValidation>
    <x:dataValidation type="list" sqref="F5:F104">
      <x:formula1>"分类页/集合页,可索引筛选集合页,专题集合页,产品页,集合页/商品页,购买指南,对比文章,帮助/FAQ,暂缓"</x:formula1>
    </x:dataValidation>
    <x:dataValidation type="list" sqref="G5:G104">
      <x:formula1>"Informational,Commercial,Transactional,Navigational,Mixed,Unknown"</x:formula1>
    </x:dataValidation>
    <x:dataValidation type="list" sqref="H5:H104">
      <x:formula1>"P0,P1,P2,P3"</x:formula1>
    </x:dataValidation>
    <x:dataValidation type="list" sqref="I5:I104">
      <x:formula1>"Draft,Live,Update,Hold"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18" hidden="0" customWidth="1"/>
    <x:col min="5" max="5" width="11" hidden="0" customWidth="1"/>
    <x:col min="6" max="6" width="10" hidden="0" customWidth="1"/>
    <x:col min="7" max="7" width="9" hidden="0" customWidth="1"/>
    <x:col min="8" max="8" width="14" hidden="0" customWidth="1"/>
    <x:col min="9" max="9" width="16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8" hidden="0" customWidth="1"/>
    <x:col min="20" max="20" width="28" hidden="0" customWidth="1"/>
    <x:col min="21" max="21" width="30" hidden="0" customWidth="1"/>
    <x:col min="22" max="22" width="14" hidden="0" customWidth="1"/>
    <x:col min="23" max="23" width="13" hidden="0" customWidth="1"/>
    <x:col min="24" max="24" width="11" hidden="0" customWidth="1"/>
    <x:col min="25" max="25" width="13" hidden="0" customWidth="1"/>
    <x:col min="26" max="26" width="13" hidden="0" customWidth="1"/>
    <x:col min="27" max="27" width="13" hidden="0" customWidth="1"/>
    <x:col min="28" max="28" width="12" hidden="0" customWidth="1"/>
    <x:col min="29" max="29" width="10" hidden="0" customWidth="1"/>
    <x:col min="30" max="30" width="10" hidden="0" customWidth="1"/>
    <x:col min="31" max="31" width="22" hidden="0" customWidth="1"/>
    <x:col min="32" max="32" width="48" hidden="0" customWidth="1"/>
    <x:col min="33" max="33" width="44" hidden="0" customWidth="1"/>
    <x:col min="34" max="34" width="16" hidden="0" customWidth="1"/>
    <x:col min="35" max="35" width="24" hidden="0" customWidth="1"/>
    <x:col min="36" max="36" width="18" hidden="0" customWidth="1"/>
    <x:col min="37" max="37" width="14" hidden="0" customWidth="1"/>
    <x:col min="38" max="38" width="34" hidden="0" customWidth="1"/>
  </x:cols>
  <x:sheetData>
    <x:row r="1">
      <x:c r="A1" s="143" t="str">
        <x:v>关键词</x:v>
      </x:c>
      <x:c r="B1" s="144" t="str">
        <x:v>中文含义/备注</x:v>
      </x:c>
      <x:c r="C1" s="144" t="str">
        <x:v>父级商业页</x:v>
      </x:c>
      <x:c r="D1" s="144" t="str">
        <x:v>主题簇</x:v>
      </x:c>
      <x:c r="E1" s="144" t="str">
        <x:v>搜索量</x:v>
      </x:c>
      <x:c r="F1" s="144" t="str">
        <x:v>CPC</x:v>
      </x:c>
      <x:c r="G1" s="144" t="str">
        <x:v>KD</x:v>
      </x:c>
      <x:c r="H1" s="144" t="str">
        <x:v>Semrush意图</x:v>
      </x:c>
      <x:c r="I1" s="144" t="str">
        <x:v>SERP文章占比(0-10)</x:v>
      </x:c>
      <x:c r="J1" s="144" t="str">
        <x:v>SERP获胜类型</x:v>
      </x:c>
      <x:c r="K1" s="144" t="str">
        <x:v>推荐文章类型</x:v>
      </x:c>
      <x:c r="L1" s="144" t="str">
        <x:v>产品相关度(1-5)</x:v>
      </x:c>
      <x:c r="M1" s="144" t="str">
        <x:v>转化支撑(1-5)</x:v>
      </x:c>
      <x:c r="N1" s="144" t="str">
        <x:v>独特证据(1-5)</x:v>
      </x:c>
      <x:c r="O1" s="144" t="str">
        <x:v>内容深度(1-5)</x:v>
      </x:c>
      <x:c r="P1" s="144" t="str">
        <x:v>主题簇匹配(1-5)</x:v>
      </x:c>
      <x:c r="Q1" s="144" t="str">
        <x:v>内链机会(1-5)</x:v>
      </x:c>
      <x:c r="R1" s="144" t="str">
        <x:v>更新价值(1-5)</x:v>
      </x:c>
      <x:c r="S1" s="144" t="str">
        <x:v>已有URL</x:v>
      </x:c>
      <x:c r="T1" s="144" t="str">
        <x:v>目标商品/分类URL</x:v>
      </x:c>
      <x:c r="U1" s="144" t="str">
        <x:v>备注</x:v>
      </x:c>
      <x:c r="V1" s="144" t="str">
        <x:v>SERP文章匹配分</x:v>
      </x:c>
      <x:c r="W1" s="144" t="str">
        <x:v>商业支撑分</x:v>
      </x:c>
      <x:c r="X1" s="144" t="str">
        <x:v>需求分</x:v>
      </x:c>
      <x:c r="Y1" s="144" t="str">
        <x:v>难度机会分</x:v>
      </x:c>
      <x:c r="Z1" s="144" t="str">
        <x:v>内容深度分</x:v>
      </x:c>
      <x:c r="AA1" s="144" t="str">
        <x:v>主题内链分</x:v>
      </x:c>
      <x:c r="AB1" s="144" t="str">
        <x:v>更新价值分</x:v>
      </x:c>
      <x:c r="AC1" s="144" t="str">
        <x:v>总分</x:v>
      </x:c>
      <x:c r="AD1" s="144" t="str">
        <x:v>等级</x:v>
      </x:c>
      <x:c r="AE1" s="144" t="str">
        <x:v>推荐动作</x:v>
      </x:c>
      <x:c r="AF1" s="144" t="str">
        <x:v>文章Brief提示</x:v>
      </x:c>
      <x:c r="AG1" s="144" t="str">
        <x:v>风险提示</x:v>
      </x:c>
      <x:c r="AH1" s="144" t="str">
        <x:v>父级页匹配</x:v>
      </x:c>
      <x:c r="AI1" s="144" t="str">
        <x:v>匹配页面名称</x:v>
      </x:c>
      <x:c r="AJ1" s="144" t="str">
        <x:v>匹配页面类型</x:v>
      </x:c>
      <x:c r="AK1" s="144" t="str">
        <x:v>匹配优先级</x:v>
      </x:c>
      <x:c r="AL1" s="145" t="str">
        <x:v>关联动作</x:v>
      </x:c>
    </x:row>
    <x:row r="2">
      <x:c r="A2" s="108" t="str">
        <x:v>best silk pillowcase for hair</x:v>
      </x:c>
      <x:c r="B2" s="37" t="str">
        <x:v>适合写购买指南/榜单</x:v>
      </x:c>
      <x:c r="C2" s="37" t="str">
        <x:v>/collections/silk-pillowcases</x:v>
      </x:c>
      <x:c r="D2" s="37" t="str">
        <x:v>silk pillowcase</x:v>
      </x:c>
      <x:c r="E2" s="88" t="n">
        <x:v>2400</x:v>
      </x:c>
      <x:c r="F2" s="91" t="n">
        <x:v>1.8</x:v>
      </x:c>
      <x:c r="G2" s="74" t="n">
        <x:v>38</x:v>
      </x:c>
      <x:c r="H2" s="74" t="str">
        <x:v>Commercial</x:v>
      </x:c>
      <x:c r="I2" s="74" t="n">
        <x:v>8</x:v>
      </x:c>
      <x:c r="J2" s="37" t="str">
        <x:v>博客/榜单</x:v>
      </x:c>
      <x:c r="K2" s="37" t="str">
        <x:v>榜单/购买指南</x:v>
      </x:c>
      <x:c r="L2" s="74" t="n">
        <x:v>5</x:v>
      </x:c>
      <x:c r="M2" s="74" t="n">
        <x:v>5</x:v>
      </x:c>
      <x:c r="N2" s="74" t="n">
        <x:v>4</x:v>
      </x:c>
      <x:c r="O2" s="74" t="n">
        <x:v>5</x:v>
      </x:c>
      <x:c r="P2" s="74" t="n">
        <x:v>5</x:v>
      </x:c>
      <x:c r="Q2" s="74" t="n">
        <x:v>5</x:v>
      </x:c>
      <x:c r="R2" s="74" t="n">
        <x:v>4</x:v>
      </x:c>
      <x:c r="S2" s="37" t="str"/>
      <x:c r="T2" s="37" t="str">
        <x:v>/collections/silk-pillowcases</x:v>
      </x:c>
      <x:c r="U2" s="37" t="str">
        <x:v>可导向多个 SKU</x:v>
      </x:c>
      <x:c r="V2" s="94" t="n">
        <x:f>IF($A2="","",MIN(20,MAX(0,$I2*2)))</x:f>
        <x:v>16</x:v>
      </x:c>
      <x:c r="W2" s="94" t="n">
        <x:f>IF($A2="","",(($L2+$M2)/10)*20)</x:f>
        <x:v>20</x:v>
      </x:c>
      <x:c r="X2" s="94" t="n">
        <x:f>IF($A2="","",IF($E2&gt;=1000,10,IF($E2&gt;=300,8,IF($E2&gt;=100,6,IF($E2&gt;=30,4,IF($E2&gt;0,2,0)))))+IF($F2&gt;=2,5,IF($F2&gt;=1,4,IF($F2&gt;=0.3,3,IF($F2&gt;0,2,0)))))</x:f>
        <x:v>14</x:v>
      </x:c>
      <x:c r="Y2" s="94" t="n">
        <x:f>IF($A2="","",IF($G2&lt;=20,15,IF($G2&lt;=35,12,IF($G2&lt;=50,9,IF($G2&lt;=65,6,IF($G2&lt;=80,3,1))))))</x:f>
        <x:v>9</x:v>
      </x:c>
      <x:c r="Z2" s="94" t="n">
        <x:f>IF($A2="","",(($N2+$O2)/10)*15)</x:f>
        <x:v>13.5</x:v>
      </x:c>
      <x:c r="AA2" s="94" t="n">
        <x:f>IF($A2="","",(($P2+$Q2)/10)*10)</x:f>
        <x:v>10</x:v>
      </x:c>
      <x:c r="AB2" s="94" t="n">
        <x:f>IF($A2="","",$R2)</x:f>
        <x:v>4</x:v>
      </x:c>
      <x:c r="AC2" s="94" t="n">
        <x:f>IF($A2="","",SUM($V2:$AB2))</x:f>
        <x:v>86.5</x:v>
      </x:c>
      <x:c r="AD2" s="100" t="str">
        <x:f>IF($A2="","",IF($AC2&gt;=75,"P0",IF($AC2&gt;=60,"P1",IF($AC2&gt;=45,"P2","P3"))))</x:f>
        <x:v>P0</x:v>
      </x:c>
      <x:c r="AE2" s="100" t="str">
        <x:f>IF($A2="","",IF($AC2&gt;=75,"立即写独立文章",IF($AC2&gt;=60,"排入本批内容日历",IF($AC2&gt;=45,"先做FAQ/段落或低优先文章","不单独写，合并到商业页/FAQ"))))</x:f>
        <x:v>立即写独立文章</x:v>
      </x:c>
      <x:c r="AF2" s="37" t="str">
        <x:f>IF($A2="","",$K2&amp;" | 父级页: "&amp;$C2&amp;" | 目标URL: "&amp;$T2&amp;" | 必补: 竞品结构+原创证据+对比表+FAQ+内链CTA")</x:f>
        <x:v>榜单/购买指南 | 父级页: /collections/silk-pillowcases | 目标URL: /collections/silk-pillowcases | 必补: 竞品结构+原创证据+对比表+FAQ+内链CTA</x:v>
      </x:c>
      <x:c r="AG2" s="37" t="str">
        <x:f>IF($A2="","",IF($I2&lt;4,"SERP不支持文章，优先做商业页/FAQ",IF($L2&lt;3,"产品相关弱，谨慎写",IF($N2&lt;3,"证据不足，容易变AI水文",IF($G2&gt;70,"难度偏高，需要更强外链/权威",IF($Q2&lt;3,"内链弱，先补主题簇","可进入规划"))))))</x:f>
        <x:v>可进入规划</x:v>
      </x:c>
      <x:c r="AH2" s="106" t="str">
        <x:f>IF($A2="","",IF($T2="","缺少目标URL",IF(COUNTIF('页面规划'!$D$5:$D$104,$T2)&gt;0,"已匹配","未匹配")))</x:f>
        <x:v>已匹配</x:v>
      </x:c>
      <x:c r="AI2" s="37" t="str">
        <x:f>IF($A2="","",IFERROR(INDEX('页面规划'!$B$5:$B$104,MATCH($T2,'页面规划'!$D$5:$D$104,0)),""))</x:f>
        <x:v>Silk Pillowcase</x:v>
      </x:c>
      <x:c r="AJ2" s="37" t="str">
        <x:f>IF($A2="","",IFERROR(INDEX('页面规划'!$F$5:$F$104,MATCH($T2,'页面规划'!$D$5:$D$104,0)),""))</x:f>
        <x:v>分类页/集合页</x:v>
      </x:c>
      <x:c r="AK2" s="37" t="str">
        <x:f>IF($A2="","",IFERROR(INDEX('页面规划'!$H$5:$H$104,MATCH($T2,'页面规划'!$D$5:$D$104,0)),""))</x:f>
        <x:v>P0</x:v>
      </x:c>
      <x:c r="AL2" s="83" t="str">
        <x:f>IF($A2="","",IF($AH2="已匹配","OK：文章可内链到页面规划中的父级页","先到【页面规划】新增/修正目标URL，再排文章"))</x:f>
        <x:v>OK：文章可内链到页面规划中的父级页</x:v>
      </x:c>
    </x:row>
    <x:row r="3">
      <x:c r="A3" s="108" t="str">
        <x:v>silk pillowcase vs satin</x:v>
      </x:c>
      <x:c r="B3" s="37" t="str">
        <x:v>对比真丝与缎面</x:v>
      </x:c>
      <x:c r="C3" s="37" t="str">
        <x:v>/collections/silk-pillowcases</x:v>
      </x:c>
      <x:c r="D3" s="37" t="str">
        <x:v>silk pillowcase</x:v>
      </x:c>
      <x:c r="E3" s="88" t="n">
        <x:v>1900</x:v>
      </x:c>
      <x:c r="F3" s="91" t="n">
        <x:v>1.2</x:v>
      </x:c>
      <x:c r="G3" s="74" t="n">
        <x:v>32</x:v>
      </x:c>
      <x:c r="H3" s="74" t="str">
        <x:v>Commercial</x:v>
      </x:c>
      <x:c r="I3" s="74" t="n">
        <x:v>9</x:v>
      </x:c>
      <x:c r="J3" s="37" t="str">
        <x:v>博客/对比</x:v>
      </x:c>
      <x:c r="K3" s="37" t="str">
        <x:v>对比文</x:v>
      </x:c>
      <x:c r="L3" s="74" t="n">
        <x:v>5</x:v>
      </x:c>
      <x:c r="M3" s="74" t="n">
        <x:v>4</x:v>
      </x:c>
      <x:c r="N3" s="74" t="n">
        <x:v>4</x:v>
      </x:c>
      <x:c r="O3" s="74" t="n">
        <x:v>5</x:v>
      </x:c>
      <x:c r="P3" s="74" t="n">
        <x:v>5</x:v>
      </x:c>
      <x:c r="Q3" s="74" t="n">
        <x:v>5</x:v>
      </x:c>
      <x:c r="R3" s="74" t="n">
        <x:v>4</x:v>
      </x:c>
      <x:c r="S3" s="37" t="str"/>
      <x:c r="T3" s="37" t="str">
        <x:v>/collections/silk-pillowcases</x:v>
      </x:c>
      <x:c r="U3" s="37" t="str">
        <x:v>强购买决策词</x:v>
      </x:c>
      <x:c r="V3" s="94" t="n">
        <x:f>IF($A3="","",MIN(20,MAX(0,$I3*2)))</x:f>
        <x:v>18</x:v>
      </x:c>
      <x:c r="W3" s="94" t="n">
        <x:f>IF($A3="","",(($L3+$M3)/10)*20)</x:f>
        <x:v>18</x:v>
      </x:c>
      <x:c r="X3" s="94" t="n">
        <x:f>IF($A3="","",IF($E3&gt;=1000,10,IF($E3&gt;=300,8,IF($E3&gt;=100,6,IF($E3&gt;=30,4,IF($E3&gt;0,2,0)))))+IF($F3&gt;=2,5,IF($F3&gt;=1,4,IF($F3&gt;=0.3,3,IF($F3&gt;0,2,0)))))</x:f>
        <x:v>14</x:v>
      </x:c>
      <x:c r="Y3" s="94" t="n">
        <x:f>IF($A3="","",IF($G3&lt;=20,15,IF($G3&lt;=35,12,IF($G3&lt;=50,9,IF($G3&lt;=65,6,IF($G3&lt;=80,3,1))))))</x:f>
        <x:v>12</x:v>
      </x:c>
      <x:c r="Z3" s="94" t="n">
        <x:f>IF($A3="","",(($N3+$O3)/10)*15)</x:f>
        <x:v>13.5</x:v>
      </x:c>
      <x:c r="AA3" s="94" t="n">
        <x:f>IF($A3="","",(($P3+$Q3)/10)*10)</x:f>
        <x:v>10</x:v>
      </x:c>
      <x:c r="AB3" s="94" t="n">
        <x:f>IF($A3="","",$R3)</x:f>
        <x:v>4</x:v>
      </x:c>
      <x:c r="AC3" s="94" t="n">
        <x:f>IF($A3="","",SUM($V3:$AB3))</x:f>
        <x:v>89.5</x:v>
      </x:c>
      <x:c r="AD3" s="100" t="str">
        <x:f>IF($A3="","",IF($AC3&gt;=75,"P0",IF($AC3&gt;=60,"P1",IF($AC3&gt;=45,"P2","P3"))))</x:f>
        <x:v>P0</x:v>
      </x:c>
      <x:c r="AE3" s="100" t="str">
        <x:f>IF($A3="","",IF($AC3&gt;=75,"立即写独立文章",IF($AC3&gt;=60,"排入本批内容日历",IF($AC3&gt;=45,"先做FAQ/段落或低优先文章","不单独写，合并到商业页/FAQ"))))</x:f>
        <x:v>立即写独立文章</x:v>
      </x:c>
      <x:c r="AF3" s="37" t="str">
        <x:f>IF($A3="","",$K3&amp;" | 父级页: "&amp;$C3&amp;" | 目标URL: "&amp;$T3&amp;" | 必补: 竞品结构+原创证据+对比表+FAQ+内链CTA")</x:f>
        <x:v>对比文 | 父级页: /collections/silk-pillowcases | 目标URL: /collections/silk-pillowcases | 必补: 竞品结构+原创证据+对比表+FAQ+内链CTA</x:v>
      </x:c>
      <x:c r="AG3" s="37" t="str">
        <x:f>IF($A3="","",IF($I3&lt;4,"SERP不支持文章，优先做商业页/FAQ",IF($L3&lt;3,"产品相关弱，谨慎写",IF($N3&lt;3,"证据不足，容易变AI水文",IF($G3&gt;70,"难度偏高，需要更强外链/权威",IF($Q3&lt;3,"内链弱，先补主题簇","可进入规划"))))))</x:f>
        <x:v>可进入规划</x:v>
      </x:c>
      <x:c r="AH3" s="106" t="str">
        <x:f>IF($A3="","",IF($T3="","缺少目标URL",IF(COUNTIF('页面规划'!$D$5:$D$104,$T3)&gt;0,"已匹配","未匹配")))</x:f>
        <x:v>已匹配</x:v>
      </x:c>
      <x:c r="AI3" s="37" t="str">
        <x:f>IF($A3="","",IFERROR(INDEX('页面规划'!$B$5:$B$104,MATCH($T3,'页面规划'!$D$5:$D$104,0)),""))</x:f>
        <x:v>Silk Pillowcase</x:v>
      </x:c>
      <x:c r="AJ3" s="37" t="str">
        <x:f>IF($A3="","",IFERROR(INDEX('页面规划'!$F$5:$F$104,MATCH($T3,'页面规划'!$D$5:$D$104,0)),""))</x:f>
        <x:v>分类页/集合页</x:v>
      </x:c>
      <x:c r="AK3" s="37" t="str">
        <x:f>IF($A3="","",IFERROR(INDEX('页面规划'!$H$5:$H$104,MATCH($T3,'页面规划'!$D$5:$D$104,0)),""))</x:f>
        <x:v>P0</x:v>
      </x:c>
      <x:c r="AL3" s="83" t="str">
        <x:f>IF($A3="","",IF($AH3="已匹配","OK：文章可内链到页面规划中的父级页","先到【页面规划】新增/修正目标URL，再排文章"))</x:f>
        <x:v>OK：文章可内链到页面规划中的父级页</x:v>
      </x:c>
    </x:row>
    <x:row r="4">
      <x:c r="A4" s="108" t="str">
        <x:v>how to wash silk pillowcase</x:v>
      </x:c>
      <x:c r="B4" s="37" t="str">
        <x:v>护理教程</x:v>
      </x:c>
      <x:c r="C4" s="37" t="str">
        <x:v>/products/mulberry-silk-pillowcase</x:v>
      </x:c>
      <x:c r="D4" s="37" t="str">
        <x:v>silk care</x:v>
      </x:c>
      <x:c r="E4" s="88" t="n">
        <x:v>1600</x:v>
      </x:c>
      <x:c r="F4" s="91" t="n">
        <x:v>0.7</x:v>
      </x:c>
      <x:c r="G4" s="74" t="n">
        <x:v>28</x:v>
      </x:c>
      <x:c r="H4" s="74" t="str">
        <x:v>Informational</x:v>
      </x:c>
      <x:c r="I4" s="74" t="n">
        <x:v>10</x:v>
      </x:c>
      <x:c r="J4" s="37" t="str">
        <x:v>教程/FAQ</x:v>
      </x:c>
      <x:c r="K4" s="37" t="str">
        <x:v>教程文</x:v>
      </x:c>
      <x:c r="L4" s="74" t="n">
        <x:v>4</x:v>
      </x:c>
      <x:c r="M4" s="74" t="n">
        <x:v>3</x:v>
      </x:c>
      <x:c r="N4" s="74" t="n">
        <x:v>5</x:v>
      </x:c>
      <x:c r="O4" s="74" t="n">
        <x:v>5</x:v>
      </x:c>
      <x:c r="P4" s="74" t="n">
        <x:v>4</x:v>
      </x:c>
      <x:c r="Q4" s="74" t="n">
        <x:v>4</x:v>
      </x:c>
      <x:c r="R4" s="74" t="n">
        <x:v>5</x:v>
      </x:c>
      <x:c r="S4" s="37" t="str"/>
      <x:c r="T4" s="37" t="str">
        <x:v>/products/mulberry-silk-pillowcase</x:v>
      </x:c>
      <x:c r="U4" s="37" t="str">
        <x:v>可降低售后疑虑</x:v>
      </x:c>
      <x:c r="V4" s="94" t="n">
        <x:f>IF($A4="","",MIN(20,MAX(0,$I4*2)))</x:f>
        <x:v>20</x:v>
      </x:c>
      <x:c r="W4" s="94" t="n">
        <x:f>IF($A4="","",(($L4+$M4)/10)*20)</x:f>
        <x:v>14</x:v>
      </x:c>
      <x:c r="X4" s="94" t="n">
        <x:f>IF($A4="","",IF($E4&gt;=1000,10,IF($E4&gt;=300,8,IF($E4&gt;=100,6,IF($E4&gt;=30,4,IF($E4&gt;0,2,0)))))+IF($F4&gt;=2,5,IF($F4&gt;=1,4,IF($F4&gt;=0.3,3,IF($F4&gt;0,2,0)))))</x:f>
        <x:v>13</x:v>
      </x:c>
      <x:c r="Y4" s="94" t="n">
        <x:f>IF($A4="","",IF($G4&lt;=20,15,IF($G4&lt;=35,12,IF($G4&lt;=50,9,IF($G4&lt;=65,6,IF($G4&lt;=80,3,1))))))</x:f>
        <x:v>12</x:v>
      </x:c>
      <x:c r="Z4" s="94" t="n">
        <x:f>IF($A4="","",(($N4+$O4)/10)*15)</x:f>
        <x:v>15</x:v>
      </x:c>
      <x:c r="AA4" s="94" t="n">
        <x:f>IF($A4="","",(($P4+$Q4)/10)*10)</x:f>
        <x:v>8</x:v>
      </x:c>
      <x:c r="AB4" s="94" t="n">
        <x:f>IF($A4="","",$R4)</x:f>
        <x:v>5</x:v>
      </x:c>
      <x:c r="AC4" s="94" t="n">
        <x:f>IF($A4="","",SUM($V4:$AB4))</x:f>
        <x:v>87</x:v>
      </x:c>
      <x:c r="AD4" s="100" t="str">
        <x:f>IF($A4="","",IF($AC4&gt;=75,"P0",IF($AC4&gt;=60,"P1",IF($AC4&gt;=45,"P2","P3"))))</x:f>
        <x:v>P0</x:v>
      </x:c>
      <x:c r="AE4" s="100" t="str">
        <x:f>IF($A4="","",IF($AC4&gt;=75,"立即写独立文章",IF($AC4&gt;=60,"排入本批内容日历",IF($AC4&gt;=45,"先做FAQ/段落或低优先文章","不单独写，合并到商业页/FAQ"))))</x:f>
        <x:v>立即写独立文章</x:v>
      </x:c>
      <x:c r="AF4" s="37" t="str">
        <x:f>IF($A4="","",$K4&amp;" | 父级页: "&amp;$C4&amp;" | 目标URL: "&amp;$T4&amp;" | 必补: 竞品结构+原创证据+对比表+FAQ+内链CTA")</x:f>
        <x:v>教程文 | 父级页: /products/mulberry-silk-pillowcase | 目标URL: /products/mulberry-silk-pillowcase | 必补: 竞品结构+原创证据+对比表+FAQ+内链CTA</x:v>
      </x:c>
      <x:c r="AG4" s="37" t="str">
        <x:f>IF($A4="","",IF($I4&lt;4,"SERP不支持文章，优先做商业页/FAQ",IF($L4&lt;3,"产品相关弱，谨慎写",IF($N4&lt;3,"证据不足，容易变AI水文",IF($G4&gt;70,"难度偏高，需要更强外链/权威",IF($Q4&lt;3,"内链弱，先补主题簇","可进入规划"))))))</x:f>
        <x:v>可进入规划</x:v>
      </x:c>
      <x:c r="AH4" s="106" t="str">
        <x:f>IF($A4="","",IF($T4="","缺少目标URL",IF(COUNTIF('页面规划'!$D$5:$D$104,$T4)&gt;0,"已匹配","未匹配")))</x:f>
        <x:v>已匹配</x:v>
      </x:c>
      <x:c r="AI4" s="37" t="str">
        <x:f>IF($A4="","",IFERROR(INDEX('页面规划'!$B$5:$B$104,MATCH($T4,'页面规划'!$D$5:$D$104,0)),""))</x:f>
        <x:v>Mulberry Silk Pillowcase Product</x:v>
      </x:c>
      <x:c r="AJ4" s="37" t="str">
        <x:f>IF($A4="","",IFERROR(INDEX('页面规划'!$F$5:$F$104,MATCH($T4,'页面规划'!$D$5:$D$104,0)),""))</x:f>
        <x:v>产品页</x:v>
      </x:c>
      <x:c r="AK4" s="37" t="str">
        <x:f>IF($A4="","",IFERROR(INDEX('页面规划'!$H$5:$H$104,MATCH($T4,'页面规划'!$D$5:$D$104,0)),""))</x:f>
        <x:v>P1</x:v>
      </x:c>
      <x:c r="AL4" s="83" t="str">
        <x:f>IF($A4="","",IF($AH4="已匹配","OK：文章可内链到页面规划中的父级页","先到【页面规划】新增/修正目标URL，再排文章"))</x:f>
        <x:v>OK：文章可内链到页面规划中的父级页</x:v>
      </x:c>
    </x:row>
    <x:row r="5">
      <x:c r="A5" s="108" t="str">
        <x:v>silk pillowcase benefits for skin</x:v>
      </x:c>
      <x:c r="B5" s="37" t="str">
        <x:v>功效解释</x:v>
      </x:c>
      <x:c r="C5" s="37" t="str">
        <x:v>/collections/silk-pillowcases</x:v>
      </x:c>
      <x:c r="D5" s="37" t="str">
        <x:v>silk pillowcase</x:v>
      </x:c>
      <x:c r="E5" s="88" t="n">
        <x:v>880</x:v>
      </x:c>
      <x:c r="F5" s="91" t="n">
        <x:v>1.1</x:v>
      </x:c>
      <x:c r="G5" s="74" t="n">
        <x:v>42</x:v>
      </x:c>
      <x:c r="H5" s="74" t="str">
        <x:v>Informational</x:v>
      </x:c>
      <x:c r="I5" s="74" t="n">
        <x:v>8</x:v>
      </x:c>
      <x:c r="J5" s="37" t="str">
        <x:v>博客/指南</x:v>
      </x:c>
      <x:c r="K5" s="37" t="str">
        <x:v>价值解释文</x:v>
      </x:c>
      <x:c r="L5" s="74" t="n">
        <x:v>5</x:v>
      </x:c>
      <x:c r="M5" s="74" t="n">
        <x:v>4</x:v>
      </x:c>
      <x:c r="N5" s="74" t="n">
        <x:v>3</x:v>
      </x:c>
      <x:c r="O5" s="74" t="n">
        <x:v>4</x:v>
      </x:c>
      <x:c r="P5" s="74" t="n">
        <x:v>5</x:v>
      </x:c>
      <x:c r="Q5" s="74" t="n">
        <x:v>5</x:v>
      </x:c>
      <x:c r="R5" s="74" t="n">
        <x:v>4</x:v>
      </x:c>
      <x:c r="S5" s="37" t="str"/>
      <x:c r="T5" s="37" t="str">
        <x:v>/collections/silk-pillowcases</x:v>
      </x:c>
      <x:c r="U5" s="37" t="str">
        <x:v>需要避免夸大功效</x:v>
      </x:c>
      <x:c r="V5" s="94" t="n">
        <x:f>IF($A5="","",MIN(20,MAX(0,$I5*2)))</x:f>
        <x:v>16</x:v>
      </x:c>
      <x:c r="W5" s="94" t="n">
        <x:f>IF($A5="","",(($L5+$M5)/10)*20)</x:f>
        <x:v>18</x:v>
      </x:c>
      <x:c r="X5" s="94" t="n">
        <x:f>IF($A5="","",IF($E5&gt;=1000,10,IF($E5&gt;=300,8,IF($E5&gt;=100,6,IF($E5&gt;=30,4,IF($E5&gt;0,2,0)))))+IF($F5&gt;=2,5,IF($F5&gt;=1,4,IF($F5&gt;=0.3,3,IF($F5&gt;0,2,0)))))</x:f>
        <x:v>12</x:v>
      </x:c>
      <x:c r="Y5" s="94" t="n">
        <x:f>IF($A5="","",IF($G5&lt;=20,15,IF($G5&lt;=35,12,IF($G5&lt;=50,9,IF($G5&lt;=65,6,IF($G5&lt;=80,3,1))))))</x:f>
        <x:v>9</x:v>
      </x:c>
      <x:c r="Z5" s="94" t="n">
        <x:f>IF($A5="","",(($N5+$O5)/10)*15)</x:f>
        <x:v>10.5</x:v>
      </x:c>
      <x:c r="AA5" s="94" t="n">
        <x:f>IF($A5="","",(($P5+$Q5)/10)*10)</x:f>
        <x:v>10</x:v>
      </x:c>
      <x:c r="AB5" s="94" t="n">
        <x:f>IF($A5="","",$R5)</x:f>
        <x:v>4</x:v>
      </x:c>
      <x:c r="AC5" s="94" t="n">
        <x:f>IF($A5="","",SUM($V5:$AB5))</x:f>
        <x:v>79.5</x:v>
      </x:c>
      <x:c r="AD5" s="100" t="str">
        <x:f>IF($A5="","",IF($AC5&gt;=75,"P0",IF($AC5&gt;=60,"P1",IF($AC5&gt;=45,"P2","P3"))))</x:f>
        <x:v>P0</x:v>
      </x:c>
      <x:c r="AE5" s="100" t="str">
        <x:f>IF($A5="","",IF($AC5&gt;=75,"立即写独立文章",IF($AC5&gt;=60,"排入本批内容日历",IF($AC5&gt;=45,"先做FAQ/段落或低优先文章","不单独写，合并到商业页/FAQ"))))</x:f>
        <x:v>立即写独立文章</x:v>
      </x:c>
      <x:c r="AF5" s="37" t="str">
        <x:f>IF($A5="","",$K5&amp;" | 父级页: "&amp;$C5&amp;" | 目标URL: "&amp;$T5&amp;" | 必补: 竞品结构+原创证据+对比表+FAQ+内链CTA")</x:f>
        <x:v>价值解释文 | 父级页: /collections/silk-pillowcases | 目标URL: /collections/silk-pillowcases | 必补: 竞品结构+原创证据+对比表+FAQ+内链CTA</x:v>
      </x:c>
      <x:c r="AG5" s="37" t="str">
        <x:f>IF($A5="","",IF($I5&lt;4,"SERP不支持文章，优先做商业页/FAQ",IF($L5&lt;3,"产品相关弱，谨慎写",IF($N5&lt;3,"证据不足，容易变AI水文",IF($G5&gt;70,"难度偏高，需要更强外链/权威",IF($Q5&lt;3,"内链弱，先补主题簇","可进入规划"))))))</x:f>
        <x:v>可进入规划</x:v>
      </x:c>
      <x:c r="AH5" s="106" t="str">
        <x:f>IF($A5="","",IF($T5="","缺少目标URL",IF(COUNTIF('页面规划'!$D$5:$D$104,$T5)&gt;0,"已匹配","未匹配")))</x:f>
        <x:v>已匹配</x:v>
      </x:c>
      <x:c r="AI5" s="37" t="str">
        <x:f>IF($A5="","",IFERROR(INDEX('页面规划'!$B$5:$B$104,MATCH($T5,'页面规划'!$D$5:$D$104,0)),""))</x:f>
        <x:v>Silk Pillowcase</x:v>
      </x:c>
      <x:c r="AJ5" s="37" t="str">
        <x:f>IF($A5="","",IFERROR(INDEX('页面规划'!$F$5:$F$104,MATCH($T5,'页面规划'!$D$5:$D$104,0)),""))</x:f>
        <x:v>分类页/集合页</x:v>
      </x:c>
      <x:c r="AK5" s="37" t="str">
        <x:f>IF($A5="","",IFERROR(INDEX('页面规划'!$H$5:$H$104,MATCH($T5,'页面规划'!$D$5:$D$104,0)),""))</x:f>
        <x:v>P0</x:v>
      </x:c>
      <x:c r="AL5" s="83" t="str">
        <x:f>IF($A5="","",IF($AH5="已匹配","OK：文章可内链到页面规划中的父级页","先到【页面规划】新增/修正目标URL，再排文章"))</x:f>
        <x:v>OK：文章可内链到页面规划中的父级页</x:v>
      </x:c>
    </x:row>
    <x:row r="6">
      <x:c r="A6" s="108" t="str">
        <x:v>mulberry silk pillowcase benefits</x:v>
      </x:c>
      <x:c r="B6" s="37" t="str">
        <x:v>材质教育</x:v>
      </x:c>
      <x:c r="C6" s="37" t="str">
        <x:v>/collections/mulberry-silk</x:v>
      </x:c>
      <x:c r="D6" s="37" t="str">
        <x:v>mulberry silk</x:v>
      </x:c>
      <x:c r="E6" s="88" t="n">
        <x:v>720</x:v>
      </x:c>
      <x:c r="F6" s="91" t="n">
        <x:v>0.9</x:v>
      </x:c>
      <x:c r="G6" s="74" t="n">
        <x:v>35</x:v>
      </x:c>
      <x:c r="H6" s="74" t="str">
        <x:v>Informational</x:v>
      </x:c>
      <x:c r="I6" s="74" t="n">
        <x:v>8</x:v>
      </x:c>
      <x:c r="J6" s="37" t="str">
        <x:v>博客/指南</x:v>
      </x:c>
      <x:c r="K6" s="37" t="str">
        <x:v>价值解释文</x:v>
      </x:c>
      <x:c r="L6" s="74" t="n">
        <x:v>5</x:v>
      </x:c>
      <x:c r="M6" s="74" t="n">
        <x:v>4</x:v>
      </x:c>
      <x:c r="N6" s="74" t="n">
        <x:v>4</x:v>
      </x:c>
      <x:c r="O6" s="74" t="n">
        <x:v>4</x:v>
      </x:c>
      <x:c r="P6" s="74" t="n">
        <x:v>5</x:v>
      </x:c>
      <x:c r="Q6" s="74" t="n">
        <x:v>5</x:v>
      </x:c>
      <x:c r="R6" s="74" t="n">
        <x:v>4</x:v>
      </x:c>
      <x:c r="S6" s="37" t="str"/>
      <x:c r="T6" s="37" t="str">
        <x:v>/collections/mulberry-silk</x:v>
      </x:c>
      <x:c r="U6" s="37" t="str">
        <x:v>可解释 19/22/25 momme</x:v>
      </x:c>
      <x:c r="V6" s="94" t="n">
        <x:f>IF($A6="","",MIN(20,MAX(0,$I6*2)))</x:f>
        <x:v>16</x:v>
      </x:c>
      <x:c r="W6" s="94" t="n">
        <x:f>IF($A6="","",(($L6+$M6)/10)*20)</x:f>
        <x:v>18</x:v>
      </x:c>
      <x:c r="X6" s="94" t="n">
        <x:f>IF($A6="","",IF($E6&gt;=1000,10,IF($E6&gt;=300,8,IF($E6&gt;=100,6,IF($E6&gt;=30,4,IF($E6&gt;0,2,0)))))+IF($F6&gt;=2,5,IF($F6&gt;=1,4,IF($F6&gt;=0.3,3,IF($F6&gt;0,2,0)))))</x:f>
        <x:v>11</x:v>
      </x:c>
      <x:c r="Y6" s="94" t="n">
        <x:f>IF($A6="","",IF($G6&lt;=20,15,IF($G6&lt;=35,12,IF($G6&lt;=50,9,IF($G6&lt;=65,6,IF($G6&lt;=80,3,1))))))</x:f>
        <x:v>12</x:v>
      </x:c>
      <x:c r="Z6" s="94" t="n">
        <x:f>IF($A6="","",(($N6+$O6)/10)*15)</x:f>
        <x:v>12</x:v>
      </x:c>
      <x:c r="AA6" s="94" t="n">
        <x:f>IF($A6="","",(($P6+$Q6)/10)*10)</x:f>
        <x:v>10</x:v>
      </x:c>
      <x:c r="AB6" s="94" t="n">
        <x:f>IF($A6="","",$R6)</x:f>
        <x:v>4</x:v>
      </x:c>
      <x:c r="AC6" s="94" t="n">
        <x:f>IF($A6="","",SUM($V6:$AB6))</x:f>
        <x:v>83</x:v>
      </x:c>
      <x:c r="AD6" s="100" t="str">
        <x:f>IF($A6="","",IF($AC6&gt;=75,"P0",IF($AC6&gt;=60,"P1",IF($AC6&gt;=45,"P2","P3"))))</x:f>
        <x:v>P0</x:v>
      </x:c>
      <x:c r="AE6" s="100" t="str">
        <x:f>IF($A6="","",IF($AC6&gt;=75,"立即写独立文章",IF($AC6&gt;=60,"排入本批内容日历",IF($AC6&gt;=45,"先做FAQ/段落或低优先文章","不单独写，合并到商业页/FAQ"))))</x:f>
        <x:v>立即写独立文章</x:v>
      </x:c>
      <x:c r="AF6" s="37" t="str">
        <x:f>IF($A6="","",$K6&amp;" | 父级页: "&amp;$C6&amp;" | 目标URL: "&amp;$T6&amp;" | 必补: 竞品结构+原创证据+对比表+FAQ+内链CTA")</x:f>
        <x:v>价值解释文 | 父级页: /collections/mulberry-silk | 目标URL: /collections/mulberry-silk | 必补: 竞品结构+原创证据+对比表+FAQ+内链CTA</x:v>
      </x:c>
      <x:c r="AG6" s="37" t="str">
        <x:f>IF($A6="","",IF($I6&lt;4,"SERP不支持文章，优先做商业页/FAQ",IF($L6&lt;3,"产品相关弱，谨慎写",IF($N6&lt;3,"证据不足，容易变AI水文",IF($G6&gt;70,"难度偏高，需要更强外链/权威",IF($Q6&lt;3,"内链弱，先补主题簇","可进入规划"))))))</x:f>
        <x:v>可进入规划</x:v>
      </x:c>
      <x:c r="AH6" s="106" t="str">
        <x:f>IF($A6="","",IF($T6="","缺少目标URL",IF(COUNTIF('页面规划'!$D$5:$D$104,$T6)&gt;0,"已匹配","未匹配")))</x:f>
        <x:v>已匹配</x:v>
      </x:c>
      <x:c r="AI6" s="37" t="str">
        <x:f>IF($A6="","",IFERROR(INDEX('页面规划'!$B$5:$B$104,MATCH($T6,'页面规划'!$D$5:$D$104,0)),""))</x:f>
        <x:v>Mulberry Silk Pillowcase</x:v>
      </x:c>
      <x:c r="AJ6" s="37" t="str">
        <x:f>IF($A6="","",IFERROR(INDEX('页面规划'!$F$5:$F$104,MATCH($T6,'页面规划'!$D$5:$D$104,0)),""))</x:f>
        <x:v>可索引筛选集合页</x:v>
      </x:c>
      <x:c r="AK6" s="37" t="str">
        <x:f>IF($A6="","",IFERROR(INDEX('页面规划'!$H$5:$H$104,MATCH($T6,'页面规划'!$D$5:$D$104,0)),""))</x:f>
        <x:v>P0</x:v>
      </x:c>
      <x:c r="AL6" s="83" t="str">
        <x:f>IF($A6="","",IF($AH6="已匹配","OK：文章可内链到页面规划中的父级页","先到【页面规划】新增/修正目标URL，再排文章"))</x:f>
        <x:v>OK：文章可内链到页面规划中的父级页</x:v>
      </x:c>
    </x:row>
    <x:row r="7">
      <x:c r="A7" s="108" t="str">
        <x:v>silk pillowcase for curly hair</x:v>
      </x:c>
      <x:c r="B7" s="37" t="str">
        <x:v>人群场景词</x:v>
      </x:c>
      <x:c r="C7" s="37" t="str">
        <x:v>/collections/silk-pillowcases</x:v>
      </x:c>
      <x:c r="D7" s="37" t="str">
        <x:v>curly hair</x:v>
      </x:c>
      <x:c r="E7" s="88" t="n">
        <x:v>590</x:v>
      </x:c>
      <x:c r="F7" s="91" t="n">
        <x:v>1.4</x:v>
      </x:c>
      <x:c r="G7" s="74" t="n">
        <x:v>31</x:v>
      </x:c>
      <x:c r="H7" s="74" t="str">
        <x:v>Commercial</x:v>
      </x:c>
      <x:c r="I7" s="74" t="n">
        <x:v>8</x:v>
      </x:c>
      <x:c r="J7" s="37" t="str">
        <x:v>博客/场景</x:v>
      </x:c>
      <x:c r="K7" s="37" t="str">
        <x:v>场景解决方案</x:v>
      </x:c>
      <x:c r="L7" s="74" t="n">
        <x:v>5</x:v>
      </x:c>
      <x:c r="M7" s="74" t="n">
        <x:v>5</x:v>
      </x:c>
      <x:c r="N7" s="74" t="n">
        <x:v>4</x:v>
      </x:c>
      <x:c r="O7" s="74" t="n">
        <x:v>5</x:v>
      </x:c>
      <x:c r="P7" s="74" t="n">
        <x:v>5</x:v>
      </x:c>
      <x:c r="Q7" s="74" t="n">
        <x:v>5</x:v>
      </x:c>
      <x:c r="R7" s="74" t="n">
        <x:v>4</x:v>
      </x:c>
      <x:c r="S7" s="37" t="str"/>
      <x:c r="T7" s="37" t="str">
        <x:v>/collections/silk-pillowcases</x:v>
      </x:c>
      <x:c r="U7" s="37" t="str">
        <x:v>可做强转化</x:v>
      </x:c>
      <x:c r="V7" s="94" t="n">
        <x:f>IF($A7="","",MIN(20,MAX(0,$I7*2)))</x:f>
        <x:v>16</x:v>
      </x:c>
      <x:c r="W7" s="94" t="n">
        <x:f>IF($A7="","",(($L7+$M7)/10)*20)</x:f>
        <x:v>20</x:v>
      </x:c>
      <x:c r="X7" s="94" t="n">
        <x:f>IF($A7="","",IF($E7&gt;=1000,10,IF($E7&gt;=300,8,IF($E7&gt;=100,6,IF($E7&gt;=30,4,IF($E7&gt;0,2,0)))))+IF($F7&gt;=2,5,IF($F7&gt;=1,4,IF($F7&gt;=0.3,3,IF($F7&gt;0,2,0)))))</x:f>
        <x:v>12</x:v>
      </x:c>
      <x:c r="Y7" s="94" t="n">
        <x:f>IF($A7="","",IF($G7&lt;=20,15,IF($G7&lt;=35,12,IF($G7&lt;=50,9,IF($G7&lt;=65,6,IF($G7&lt;=80,3,1))))))</x:f>
        <x:v>12</x:v>
      </x:c>
      <x:c r="Z7" s="94" t="n">
        <x:f>IF($A7="","",(($N7+$O7)/10)*15)</x:f>
        <x:v>13.5</x:v>
      </x:c>
      <x:c r="AA7" s="94" t="n">
        <x:f>IF($A7="","",(($P7+$Q7)/10)*10)</x:f>
        <x:v>10</x:v>
      </x:c>
      <x:c r="AB7" s="94" t="n">
        <x:f>IF($A7="","",$R7)</x:f>
        <x:v>4</x:v>
      </x:c>
      <x:c r="AC7" s="94" t="n">
        <x:f>IF($A7="","",SUM($V7:$AB7))</x:f>
        <x:v>87.5</x:v>
      </x:c>
      <x:c r="AD7" s="100" t="str">
        <x:f>IF($A7="","",IF($AC7&gt;=75,"P0",IF($AC7&gt;=60,"P1",IF($AC7&gt;=45,"P2","P3"))))</x:f>
        <x:v>P0</x:v>
      </x:c>
      <x:c r="AE7" s="100" t="str">
        <x:f>IF($A7="","",IF($AC7&gt;=75,"立即写独立文章",IF($AC7&gt;=60,"排入本批内容日历",IF($AC7&gt;=45,"先做FAQ/段落或低优先文章","不单独写，合并到商业页/FAQ"))))</x:f>
        <x:v>立即写独立文章</x:v>
      </x:c>
      <x:c r="AF7" s="37" t="str">
        <x:f>IF($A7="","",$K7&amp;" | 父级页: "&amp;$C7&amp;" | 目标URL: "&amp;$T7&amp;" | 必补: 竞品结构+原创证据+对比表+FAQ+内链CTA")</x:f>
        <x:v>场景解决方案 | 父级页: /collections/silk-pillowcases | 目标URL: /collections/silk-pillowcases | 必补: 竞品结构+原创证据+对比表+FAQ+内链CTA</x:v>
      </x:c>
      <x:c r="AG7" s="37" t="str">
        <x:f>IF($A7="","",IF($I7&lt;4,"SERP不支持文章，优先做商业页/FAQ",IF($L7&lt;3,"产品相关弱，谨慎写",IF($N7&lt;3,"证据不足，容易变AI水文",IF($G7&gt;70,"难度偏高，需要更强外链/权威",IF($Q7&lt;3,"内链弱，先补主题簇","可进入规划"))))))</x:f>
        <x:v>可进入规划</x:v>
      </x:c>
      <x:c r="AH7" s="106" t="str">
        <x:f>IF($A7="","",IF($T7="","缺少目标URL",IF(COUNTIF('页面规划'!$D$5:$D$104,$T7)&gt;0,"已匹配","未匹配")))</x:f>
        <x:v>已匹配</x:v>
      </x:c>
      <x:c r="AI7" s="37" t="str">
        <x:f>IF($A7="","",IFERROR(INDEX('页面规划'!$B$5:$B$104,MATCH($T7,'页面规划'!$D$5:$D$104,0)),""))</x:f>
        <x:v>Silk Pillowcase</x:v>
      </x:c>
      <x:c r="AJ7" s="37" t="str">
        <x:f>IF($A7="","",IFERROR(INDEX('页面规划'!$F$5:$F$104,MATCH($T7,'页面规划'!$D$5:$D$104,0)),""))</x:f>
        <x:v>分类页/集合页</x:v>
      </x:c>
      <x:c r="AK7" s="37" t="str">
        <x:f>IF($A7="","",IFERROR(INDEX('页面规划'!$H$5:$H$104,MATCH($T7,'页面规划'!$D$5:$D$104,0)),""))</x:f>
        <x:v>P0</x:v>
      </x:c>
      <x:c r="AL7" s="83" t="str">
        <x:f>IF($A7="","",IF($AH7="已匹配","OK：文章可内链到页面规划中的父级页","先到【页面规划】新增/修正目标URL，再排文章"))</x:f>
        <x:v>OK：文章可内链到页面规划中的父级页</x:v>
      </x:c>
    </x:row>
    <x:row r="8">
      <x:c r="A8" s="108" t="str">
        <x:v>silk pillowcase size guide</x:v>
      </x:c>
      <x:c r="B8" s="37" t="str">
        <x:v>规格选择</x:v>
      </x:c>
      <x:c r="C8" s="37" t="str">
        <x:v>/collections/silk-pillowcases</x:v>
      </x:c>
      <x:c r="D8" s="37" t="str">
        <x:v>size guide</x:v>
      </x:c>
      <x:c r="E8" s="88" t="n">
        <x:v>210</x:v>
      </x:c>
      <x:c r="F8" s="91" t="n">
        <x:v>0.5</x:v>
      </x:c>
      <x:c r="G8" s="74" t="n">
        <x:v>18</x:v>
      </x:c>
      <x:c r="H8" s="74" t="str">
        <x:v>Informational</x:v>
      </x:c>
      <x:c r="I8" s="74" t="n">
        <x:v>7</x:v>
      </x:c>
      <x:c r="J8" s="37" t="str">
        <x:v>指南/规格</x:v>
      </x:c>
      <x:c r="K8" s="37" t="str">
        <x:v>标准/规格文</x:v>
      </x:c>
      <x:c r="L8" s="74" t="n">
        <x:v>5</x:v>
      </x:c>
      <x:c r="M8" s="74" t="n">
        <x:v>4</x:v>
      </x:c>
      <x:c r="N8" s="74" t="n">
        <x:v>5</x:v>
      </x:c>
      <x:c r="O8" s="74" t="n">
        <x:v>4</x:v>
      </x:c>
      <x:c r="P8" s="74" t="n">
        <x:v>4</x:v>
      </x:c>
      <x:c r="Q8" s="74" t="n">
        <x:v>5</x:v>
      </x:c>
      <x:c r="R8" s="74" t="n">
        <x:v>4</x:v>
      </x:c>
      <x:c r="S8" s="37" t="str"/>
      <x:c r="T8" s="37" t="str">
        <x:v>/collections/silk-pillowcases</x:v>
      </x:c>
      <x:c r="U8" s="37" t="str">
        <x:v>表格型内容</x:v>
      </x:c>
      <x:c r="V8" s="94" t="n">
        <x:f>IF($A8="","",MIN(20,MAX(0,$I8*2)))</x:f>
        <x:v>14</x:v>
      </x:c>
      <x:c r="W8" s="94" t="n">
        <x:f>IF($A8="","",(($L8+$M8)/10)*20)</x:f>
        <x:v>18</x:v>
      </x:c>
      <x:c r="X8" s="94" t="n">
        <x:f>IF($A8="","",IF($E8&gt;=1000,10,IF($E8&gt;=300,8,IF($E8&gt;=100,6,IF($E8&gt;=30,4,IF($E8&gt;0,2,0)))))+IF($F8&gt;=2,5,IF($F8&gt;=1,4,IF($F8&gt;=0.3,3,IF($F8&gt;0,2,0)))))</x:f>
        <x:v>9</x:v>
      </x:c>
      <x:c r="Y8" s="94" t="n">
        <x:f>IF($A8="","",IF($G8&lt;=20,15,IF($G8&lt;=35,12,IF($G8&lt;=50,9,IF($G8&lt;=65,6,IF($G8&lt;=80,3,1))))))</x:f>
        <x:v>15</x:v>
      </x:c>
      <x:c r="Z8" s="94" t="n">
        <x:f>IF($A8="","",(($N8+$O8)/10)*15)</x:f>
        <x:v>13.5</x:v>
      </x:c>
      <x:c r="AA8" s="94" t="n">
        <x:f>IF($A8="","",(($P8+$Q8)/10)*10)</x:f>
        <x:v>9</x:v>
      </x:c>
      <x:c r="AB8" s="94" t="n">
        <x:f>IF($A8="","",$R8)</x:f>
        <x:v>4</x:v>
      </x:c>
      <x:c r="AC8" s="94" t="n">
        <x:f>IF($A8="","",SUM($V8:$AB8))</x:f>
        <x:v>82.5</x:v>
      </x:c>
      <x:c r="AD8" s="100" t="str">
        <x:f>IF($A8="","",IF($AC8&gt;=75,"P0",IF($AC8&gt;=60,"P1",IF($AC8&gt;=45,"P2","P3"))))</x:f>
        <x:v>P0</x:v>
      </x:c>
      <x:c r="AE8" s="100" t="str">
        <x:f>IF($A8="","",IF($AC8&gt;=75,"立即写独立文章",IF($AC8&gt;=60,"排入本批内容日历",IF($AC8&gt;=45,"先做FAQ/段落或低优先文章","不单独写，合并到商业页/FAQ"))))</x:f>
        <x:v>立即写独立文章</x:v>
      </x:c>
      <x:c r="AF8" s="37" t="str">
        <x:f>IF($A8="","",$K8&amp;" | 父级页: "&amp;$C8&amp;" | 目标URL: "&amp;$T8&amp;" | 必补: 竞品结构+原创证据+对比表+FAQ+内链CTA")</x:f>
        <x:v>标准/规格文 | 父级页: /collections/silk-pillowcases | 目标URL: /collections/silk-pillowcases | 必补: 竞品结构+原创证据+对比表+FAQ+内链CTA</x:v>
      </x:c>
      <x:c r="AG8" s="37" t="str">
        <x:f>IF($A8="","",IF($I8&lt;4,"SERP不支持文章，优先做商业页/FAQ",IF($L8&lt;3,"产品相关弱，谨慎写",IF($N8&lt;3,"证据不足，容易变AI水文",IF($G8&gt;70,"难度偏高，需要更强外链/权威",IF($Q8&lt;3,"内链弱，先补主题簇","可进入规划"))))))</x:f>
        <x:v>可进入规划</x:v>
      </x:c>
      <x:c r="AH8" s="106" t="str">
        <x:f>IF($A8="","",IF($T8="","缺少目标URL",IF(COUNTIF('页面规划'!$D$5:$D$104,$T8)&gt;0,"已匹配","未匹配")))</x:f>
        <x:v>已匹配</x:v>
      </x:c>
      <x:c r="AI8" s="37" t="str">
        <x:f>IF($A8="","",IFERROR(INDEX('页面规划'!$B$5:$B$104,MATCH($T8,'页面规划'!$D$5:$D$104,0)),""))</x:f>
        <x:v>Silk Pillowcase</x:v>
      </x:c>
      <x:c r="AJ8" s="37" t="str">
        <x:f>IF($A8="","",IFERROR(INDEX('页面规划'!$F$5:$F$104,MATCH($T8,'页面规划'!$D$5:$D$104,0)),""))</x:f>
        <x:v>分类页/集合页</x:v>
      </x:c>
      <x:c r="AK8" s="37" t="str">
        <x:f>IF($A8="","",IFERROR(INDEX('页面规划'!$H$5:$H$104,MATCH($T8,'页面规划'!$D$5:$D$104,0)),""))</x:f>
        <x:v>P0</x:v>
      </x:c>
      <x:c r="AL8" s="83" t="str">
        <x:f>IF($A8="","",IF($AH8="已匹配","OK：文章可内链到页面规划中的父级页","先到【页面规划】新增/修正目标URL，再排文章"))</x:f>
        <x:v>OK：文章可内链到页面规划中的父级页</x:v>
      </x:c>
    </x:row>
    <x:row r="9">
      <x:c r="A9" s="108" t="str">
        <x:v>silk eye mask benefits</x:v>
      </x:c>
      <x:c r="B9" s="37" t="str">
        <x:v>眼罩功效</x:v>
      </x:c>
      <x:c r="C9" s="37" t="str">
        <x:v>/collections/silk-eye-masks</x:v>
      </x:c>
      <x:c r="D9" s="37" t="str">
        <x:v>silk eye mask</x:v>
      </x:c>
      <x:c r="E9" s="88" t="n">
        <x:v>480</x:v>
      </x:c>
      <x:c r="F9" s="91" t="n">
        <x:v>0.8</x:v>
      </x:c>
      <x:c r="G9" s="74" t="n">
        <x:v>29</x:v>
      </x:c>
      <x:c r="H9" s="74" t="str">
        <x:v>Informational</x:v>
      </x:c>
      <x:c r="I9" s="74" t="n">
        <x:v>7</x:v>
      </x:c>
      <x:c r="J9" s="37" t="str">
        <x:v>博客/指南</x:v>
      </x:c>
      <x:c r="K9" s="37" t="str">
        <x:v>价值解释文</x:v>
      </x:c>
      <x:c r="L9" s="74" t="n">
        <x:v>5</x:v>
      </x:c>
      <x:c r="M9" s="74" t="n">
        <x:v>4</x:v>
      </x:c>
      <x:c r="N9" s="74" t="n">
        <x:v>4</x:v>
      </x:c>
      <x:c r="O9" s="74" t="n">
        <x:v>4</x:v>
      </x:c>
      <x:c r="P9" s="74" t="n">
        <x:v>4</x:v>
      </x:c>
      <x:c r="Q9" s="74" t="n">
        <x:v>4</x:v>
      </x:c>
      <x:c r="R9" s="74" t="n">
        <x:v>4</x:v>
      </x:c>
      <x:c r="S9" s="37" t="str"/>
      <x:c r="T9" s="37" t="str">
        <x:v>/collections/silk-eye-masks</x:v>
      </x:c>
      <x:c r="U9" s="37" t="str">
        <x:v>可做睡眠场景</x:v>
      </x:c>
      <x:c r="V9" s="94" t="n">
        <x:f>IF($A9="","",MIN(20,MAX(0,$I9*2)))</x:f>
        <x:v>14</x:v>
      </x:c>
      <x:c r="W9" s="94" t="n">
        <x:f>IF($A9="","",(($L9+$M9)/10)*20)</x:f>
        <x:v>18</x:v>
      </x:c>
      <x:c r="X9" s="94" t="n">
        <x:f>IF($A9="","",IF($E9&gt;=1000,10,IF($E9&gt;=300,8,IF($E9&gt;=100,6,IF($E9&gt;=30,4,IF($E9&gt;0,2,0)))))+IF($F9&gt;=2,5,IF($F9&gt;=1,4,IF($F9&gt;=0.3,3,IF($F9&gt;0,2,0)))))</x:f>
        <x:v>11</x:v>
      </x:c>
      <x:c r="Y9" s="94" t="n">
        <x:f>IF($A9="","",IF($G9&lt;=20,15,IF($G9&lt;=35,12,IF($G9&lt;=50,9,IF($G9&lt;=65,6,IF($G9&lt;=80,3,1))))))</x:f>
        <x:v>12</x:v>
      </x:c>
      <x:c r="Z9" s="94" t="n">
        <x:f>IF($A9="","",(($N9+$O9)/10)*15)</x:f>
        <x:v>12</x:v>
      </x:c>
      <x:c r="AA9" s="94" t="n">
        <x:f>IF($A9="","",(($P9+$Q9)/10)*10)</x:f>
        <x:v>8</x:v>
      </x:c>
      <x:c r="AB9" s="94" t="n">
        <x:f>IF($A9="","",$R9)</x:f>
        <x:v>4</x:v>
      </x:c>
      <x:c r="AC9" s="94" t="n">
        <x:f>IF($A9="","",SUM($V9:$AB9))</x:f>
        <x:v>79</x:v>
      </x:c>
      <x:c r="AD9" s="100" t="str">
        <x:f>IF($A9="","",IF($AC9&gt;=75,"P0",IF($AC9&gt;=60,"P1",IF($AC9&gt;=45,"P2","P3"))))</x:f>
        <x:v>P0</x:v>
      </x:c>
      <x:c r="AE9" s="100" t="str">
        <x:f>IF($A9="","",IF($AC9&gt;=75,"立即写独立文章",IF($AC9&gt;=60,"排入本批内容日历",IF($AC9&gt;=45,"先做FAQ/段落或低优先文章","不单独写，合并到商业页/FAQ"))))</x:f>
        <x:v>立即写独立文章</x:v>
      </x:c>
      <x:c r="AF9" s="37" t="str">
        <x:f>IF($A9="","",$K9&amp;" | 父级页: "&amp;$C9&amp;" | 目标URL: "&amp;$T9&amp;" | 必补: 竞品结构+原创证据+对比表+FAQ+内链CTA")</x:f>
        <x:v>价值解释文 | 父级页: /collections/silk-eye-masks | 目标URL: /collections/silk-eye-masks | 必补: 竞品结构+原创证据+对比表+FAQ+内链CTA</x:v>
      </x:c>
      <x:c r="AG9" s="37" t="str">
        <x:f>IF($A9="","",IF($I9&lt;4,"SERP不支持文章，优先做商业页/FAQ",IF($L9&lt;3,"产品相关弱，谨慎写",IF($N9&lt;3,"证据不足，容易变AI水文",IF($G9&gt;70,"难度偏高，需要更强外链/权威",IF($Q9&lt;3,"内链弱，先补主题簇","可进入规划"))))))</x:f>
        <x:v>可进入规划</x:v>
      </x:c>
      <x:c r="AH9" s="106" t="str">
        <x:f>IF($A9="","",IF($T9="","缺少目标URL",IF(COUNTIF('页面规划'!$D$5:$D$104,$T9)&gt;0,"已匹配","未匹配")))</x:f>
        <x:v>已匹配</x:v>
      </x:c>
      <x:c r="AI9" s="37" t="str">
        <x:f>IF($A9="","",IFERROR(INDEX('页面规划'!$B$5:$B$104,MATCH($T9,'页面规划'!$D$5:$D$104,0)),""))</x:f>
        <x:v>Silk Eye Mask</x:v>
      </x:c>
      <x:c r="AJ9" s="37" t="str">
        <x:f>IF($A9="","",IFERROR(INDEX('页面规划'!$F$5:$F$104,MATCH($T9,'页面规划'!$D$5:$D$104,0)),""))</x:f>
        <x:v>分类页/集合页</x:v>
      </x:c>
      <x:c r="AK9" s="37" t="str">
        <x:f>IF($A9="","",IFERROR(INDEX('页面规划'!$H$5:$H$104,MATCH($T9,'页面规划'!$D$5:$D$104,0)),""))</x:f>
        <x:v>P0</x:v>
      </x:c>
      <x:c r="AL9" s="83" t="str">
        <x:f>IF($A9="","",IF($AH9="已匹配","OK：文章可内链到页面规划中的父级页","先到【页面规划】新增/修正目标URL，再排文章"))</x:f>
        <x:v>OK：文章可内链到页面规划中的父级页</x:v>
      </x:c>
    </x:row>
    <x:row r="10">
      <x:c r="A10" s="108" t="str">
        <x:v>buy silk pillowcase</x:v>
      </x:c>
      <x:c r="B10" s="37" t="str">
        <x:v>购买词</x:v>
      </x:c>
      <x:c r="C10" s="37" t="str">
        <x:v>/collections/silk-pillowcases</x:v>
      </x:c>
      <x:c r="D10" s="37" t="str">
        <x:v>silk pillowcase</x:v>
      </x:c>
      <x:c r="E10" s="88" t="n">
        <x:v>1300</x:v>
      </x:c>
      <x:c r="F10" s="91" t="n">
        <x:v>2.4</x:v>
      </x:c>
      <x:c r="G10" s="74" t="n">
        <x:v>45</x:v>
      </x:c>
      <x:c r="H10" s="74" t="str">
        <x:v>Transactional</x:v>
      </x:c>
      <x:c r="I10" s="74" t="n">
        <x:v>2</x:v>
      </x:c>
      <x:c r="J10" s="37" t="str">
        <x:v>分类/商品</x:v>
      </x:c>
      <x:c r="K10" s="37" t="str">
        <x:v>商业页优先</x:v>
      </x:c>
      <x:c r="L10" s="74" t="n">
        <x:v>5</x:v>
      </x:c>
      <x:c r="M10" s="74" t="n">
        <x:v>5</x:v>
      </x:c>
      <x:c r="N10" s="74" t="n">
        <x:v>2</x:v>
      </x:c>
      <x:c r="O10" s="74" t="n">
        <x:v>2</x:v>
      </x:c>
      <x:c r="P10" s="74" t="n">
        <x:v>4</x:v>
      </x:c>
      <x:c r="Q10" s="74" t="n">
        <x:v>5</x:v>
      </x:c>
      <x:c r="R10" s="74" t="n">
        <x:v>2</x:v>
      </x:c>
      <x:c r="S10" s="37" t="str"/>
      <x:c r="T10" s="37" t="str">
        <x:v>/collections/silk-pillowcases</x:v>
      </x:c>
      <x:c r="U10" s="37" t="str">
        <x:v>不要单独写博客，做商业页</x:v>
      </x:c>
      <x:c r="V10" s="94" t="n">
        <x:f>IF($A10="","",MIN(20,MAX(0,$I10*2)))</x:f>
        <x:v>4</x:v>
      </x:c>
      <x:c r="W10" s="94" t="n">
        <x:f>IF($A10="","",(($L10+$M10)/10)*20)</x:f>
        <x:v>20</x:v>
      </x:c>
      <x:c r="X10" s="94" t="n">
        <x:f>IF($A10="","",IF($E10&gt;=1000,10,IF($E10&gt;=300,8,IF($E10&gt;=100,6,IF($E10&gt;=30,4,IF($E10&gt;0,2,0)))))+IF($F10&gt;=2,5,IF($F10&gt;=1,4,IF($F10&gt;=0.3,3,IF($F10&gt;0,2,0)))))</x:f>
        <x:v>15</x:v>
      </x:c>
      <x:c r="Y10" s="94" t="n">
        <x:f>IF($A10="","",IF($G10&lt;=20,15,IF($G10&lt;=35,12,IF($G10&lt;=50,9,IF($G10&lt;=65,6,IF($G10&lt;=80,3,1))))))</x:f>
        <x:v>9</x:v>
      </x:c>
      <x:c r="Z10" s="94" t="n">
        <x:f>IF($A10="","",(($N10+$O10)/10)*15)</x:f>
        <x:v>6</x:v>
      </x:c>
      <x:c r="AA10" s="94" t="n">
        <x:f>IF($A10="","",(($P10+$Q10)/10)*10)</x:f>
        <x:v>9</x:v>
      </x:c>
      <x:c r="AB10" s="94" t="n">
        <x:f>IF($A10="","",$R10)</x:f>
        <x:v>2</x:v>
      </x:c>
      <x:c r="AC10" s="94" t="n">
        <x:f>IF($A10="","",SUM($V10:$AB10))</x:f>
        <x:v>65</x:v>
      </x:c>
      <x:c r="AD10" s="100" t="str">
        <x:f>IF($A10="","",IF($AC10&gt;=75,"P0",IF($AC10&gt;=60,"P1",IF($AC10&gt;=45,"P2","P3"))))</x:f>
        <x:v>P1</x:v>
      </x:c>
      <x:c r="AE10" s="100" t="str">
        <x:f>IF($A10="","",IF($AC10&gt;=75,"立即写独立文章",IF($AC10&gt;=60,"排入本批内容日历",IF($AC10&gt;=45,"先做FAQ/段落或低优先文章","不单独写，合并到商业页/FAQ"))))</x:f>
        <x:v>排入本批内容日历</x:v>
      </x:c>
      <x:c r="AF10" s="37" t="str">
        <x:f>IF($A10="","",$K10&amp;" | 父级页: "&amp;$C10&amp;" | 目标URL: "&amp;$T10&amp;" | 必补: 竞品结构+原创证据+对比表+FAQ+内链CTA")</x:f>
        <x:v>商业页优先 | 父级页: /collections/silk-pillowcases | 目标URL: /collections/silk-pillowcases | 必补: 竞品结构+原创证据+对比表+FAQ+内链CTA</x:v>
      </x:c>
      <x:c r="AG10" s="37" t="str">
        <x:f>IF($A10="","",IF($I10&lt;4,"SERP不支持文章，优先做商业页/FAQ",IF($L10&lt;3,"产品相关弱，谨慎写",IF($N10&lt;3,"证据不足，容易变AI水文",IF($G10&gt;70,"难度偏高，需要更强外链/权威",IF($Q10&lt;3,"内链弱，先补主题簇","可进入规划"))))))</x:f>
        <x:v>SERP不支持文章，优先做商业页/FAQ</x:v>
      </x:c>
      <x:c r="AH10" s="106" t="str">
        <x:f>IF($A10="","",IF($T10="","缺少目标URL",IF(COUNTIF('页面规划'!$D$5:$D$104,$T10)&gt;0,"已匹配","未匹配")))</x:f>
        <x:v>已匹配</x:v>
      </x:c>
      <x:c r="AI10" s="37" t="str">
        <x:f>IF($A10="","",IFERROR(INDEX('页面规划'!$B$5:$B$104,MATCH($T10,'页面规划'!$D$5:$D$104,0)),""))</x:f>
        <x:v>Silk Pillowcase</x:v>
      </x:c>
      <x:c r="AJ10" s="37" t="str">
        <x:f>IF($A10="","",IFERROR(INDEX('页面规划'!$F$5:$F$104,MATCH($T10,'页面规划'!$D$5:$D$104,0)),""))</x:f>
        <x:v>分类页/集合页</x:v>
      </x:c>
      <x:c r="AK10" s="37" t="str">
        <x:f>IF($A10="","",IFERROR(INDEX('页面规划'!$H$5:$H$104,MATCH($T10,'页面规划'!$D$5:$D$104,0)),""))</x:f>
        <x:v>P0</x:v>
      </x:c>
      <x:c r="AL10" s="83" t="str">
        <x:f>IF($A10="","",IF($AH10="已匹配","OK：文章可内链到页面规划中的父级页","先到【页面规划】新增/修正目标URL，再排文章"))</x:f>
        <x:v>OK：文章可内链到页面规划中的父级页</x:v>
      </x:c>
    </x:row>
    <x:row r="11">
      <x:c r="A11" s="108" t="str">
        <x:v>what is silk</x:v>
      </x:c>
      <x:c r="B11" s="37" t="str">
        <x:v>泛定义词</x:v>
      </x:c>
      <x:c r="C11" s="37" t="str">
        <x:v>/pages/about-silk</x:v>
      </x:c>
      <x:c r="D11" s="37" t="str">
        <x:v>silk basics</x:v>
      </x:c>
      <x:c r="E11" s="88" t="n">
        <x:v>5400</x:v>
      </x:c>
      <x:c r="F11" s="91" t="n">
        <x:v>0.2</x:v>
      </x:c>
      <x:c r="G11" s="74" t="n">
        <x:v>78</x:v>
      </x:c>
      <x:c r="H11" s="74" t="str">
        <x:v>Informational</x:v>
      </x:c>
      <x:c r="I11" s="74" t="n">
        <x:v>5</x:v>
      </x:c>
      <x:c r="J11" s="37" t="str">
        <x:v>百科/大站</x:v>
      </x:c>
      <x:c r="K11" s="37" t="str">
        <x:v>通常不建议单独写</x:v>
      </x:c>
      <x:c r="L11" s="74" t="n">
        <x:v>2</x:v>
      </x:c>
      <x:c r="M11" s="74" t="n">
        <x:v>1</x:v>
      </x:c>
      <x:c r="N11" s="74" t="n">
        <x:v>1</x:v>
      </x:c>
      <x:c r="O11" s="74" t="n">
        <x:v>2</x:v>
      </x:c>
      <x:c r="P11" s="74" t="n">
        <x:v>2</x:v>
      </x:c>
      <x:c r="Q11" s="74" t="n">
        <x:v>1</x:v>
      </x:c>
      <x:c r="R11" s="74" t="n">
        <x:v>2</x:v>
      </x:c>
      <x:c r="S11" s="37" t="str"/>
      <x:c r="T11" s="37" t="str">
        <x:v>/pages/about-silk</x:v>
      </x:c>
      <x:c r="U11" s="37" t="str">
        <x:v>泛词难度高，商业弱</x:v>
      </x:c>
      <x:c r="V11" s="94" t="n">
        <x:f>IF($A11="","",MIN(20,MAX(0,$I11*2)))</x:f>
        <x:v>10</x:v>
      </x:c>
      <x:c r="W11" s="94" t="n">
        <x:f>IF($A11="","",(($L11+$M11)/10)*20)</x:f>
        <x:v>6</x:v>
      </x:c>
      <x:c r="X11" s="94" t="n">
        <x:f>IF($A11="","",IF($E11&gt;=1000,10,IF($E11&gt;=300,8,IF($E11&gt;=100,6,IF($E11&gt;=30,4,IF($E11&gt;0,2,0)))))+IF($F11&gt;=2,5,IF($F11&gt;=1,4,IF($F11&gt;=0.3,3,IF($F11&gt;0,2,0)))))</x:f>
        <x:v>12</x:v>
      </x:c>
      <x:c r="Y11" s="94" t="n">
        <x:f>IF($A11="","",IF($G11&lt;=20,15,IF($G11&lt;=35,12,IF($G11&lt;=50,9,IF($G11&lt;=65,6,IF($G11&lt;=80,3,1))))))</x:f>
        <x:v>3</x:v>
      </x:c>
      <x:c r="Z11" s="94" t="n">
        <x:f>IF($A11="","",(($N11+$O11)/10)*15)</x:f>
        <x:v>4.5</x:v>
      </x:c>
      <x:c r="AA11" s="94" t="n">
        <x:f>IF($A11="","",(($P11+$Q11)/10)*10)</x:f>
        <x:v>3</x:v>
      </x:c>
      <x:c r="AB11" s="94" t="n">
        <x:f>IF($A11="","",$R11)</x:f>
        <x:v>2</x:v>
      </x:c>
      <x:c r="AC11" s="94" t="n">
        <x:f>IF($A11="","",SUM($V11:$AB11))</x:f>
        <x:v>40.5</x:v>
      </x:c>
      <x:c r="AD11" s="100" t="str">
        <x:f>IF($A11="","",IF($AC11&gt;=75,"P0",IF($AC11&gt;=60,"P1",IF($AC11&gt;=45,"P2","P3"))))</x:f>
        <x:v>P3</x:v>
      </x:c>
      <x:c r="AE11" s="100" t="str">
        <x:f>IF($A11="","",IF($AC11&gt;=75,"立即写独立文章",IF($AC11&gt;=60,"排入本批内容日历",IF($AC11&gt;=45,"先做FAQ/段落或低优先文章","不单独写，合并到商业页/FAQ"))))</x:f>
        <x:v>不单独写，合并到商业页/FAQ</x:v>
      </x:c>
      <x:c r="AF11" s="37" t="str">
        <x:f>IF($A11="","",$K11&amp;" | 父级页: "&amp;$C11&amp;" | 目标URL: "&amp;$T11&amp;" | 必补: 竞品结构+原创证据+对比表+FAQ+内链CTA")</x:f>
        <x:v>通常不建议单独写 | 父级页: /pages/about-silk | 目标URL: /pages/about-silk | 必补: 竞品结构+原创证据+对比表+FAQ+内链CTA</x:v>
      </x:c>
      <x:c r="AG11" s="37" t="str">
        <x:f>IF($A11="","",IF($I11&lt;4,"SERP不支持文章，优先做商业页/FAQ",IF($L11&lt;3,"产品相关弱，谨慎写",IF($N11&lt;3,"证据不足，容易变AI水文",IF($G11&gt;70,"难度偏高，需要更强外链/权威",IF($Q11&lt;3,"内链弱，先补主题簇","可进入规划"))))))</x:f>
        <x:v>产品相关弱，谨慎写</x:v>
      </x:c>
      <x:c r="AH11" s="106" t="str">
        <x:f>IF($A11="","",IF($T11="","缺少目标URL",IF(COUNTIF('页面规划'!$D$5:$D$104,$T11)&gt;0,"已匹配","未匹配")))</x:f>
        <x:v>未匹配</x:v>
      </x:c>
      <x:c r="AI11" s="37" t="str">
        <x:f>IF($A11="","",IFERROR(INDEX('页面规划'!$B$5:$B$104,MATCH($T11,'页面规划'!$D$5:$D$104,0)),""))</x:f>
      </x:c>
      <x:c r="AJ11" s="37" t="str">
        <x:f>IF($A11="","",IFERROR(INDEX('页面规划'!$F$5:$F$104,MATCH($T11,'页面规划'!$D$5:$D$104,0)),""))</x:f>
      </x:c>
      <x:c r="AK11" s="37" t="str">
        <x:f>IF($A11="","",IFERROR(INDEX('页面规划'!$H$5:$H$104,MATCH($T11,'页面规划'!$D$5:$D$104,0)),""))</x:f>
      </x:c>
      <x:c r="AL11" s="83" t="str">
        <x:f>IF($A11="","",IF($AH11="已匹配","OK：文章可内链到页面规划中的父级页","先到【页面规划】新增/修正目标URL，再排文章"))</x:f>
        <x:v>先到【页面规划】新增/修正目标URL，再排文章</x:v>
      </x:c>
    </x:row>
    <x:row r="12">
      <x:c r="A12" s="108"/>
      <x:c r="B12" s="37"/>
      <x:c r="C12" s="37"/>
      <x:c r="D12" s="37"/>
      <x:c r="E12" s="88"/>
      <x:c r="F12" s="91"/>
      <x:c r="G12" s="74"/>
      <x:c r="H12" s="74"/>
      <x:c r="I12" s="74"/>
      <x:c r="J12" s="37"/>
      <x:c r="K12" s="37"/>
      <x:c r="L12" s="74"/>
      <x:c r="M12" s="74"/>
      <x:c r="N12" s="74"/>
      <x:c r="O12" s="74"/>
      <x:c r="P12" s="74"/>
      <x:c r="Q12" s="74"/>
      <x:c r="R12" s="74"/>
      <x:c r="S12" s="37"/>
      <x:c r="T12" s="37"/>
      <x:c r="U12" s="37"/>
      <x:c r="V12" s="94" t="str">
        <x:f>IF($A12="","",MIN(20,MAX(0,$I12*2)))</x:f>
      </x:c>
      <x:c r="W12" s="94" t="str">
        <x:f>IF($A12="","",(($L12+$M12)/10)*20)</x:f>
      </x:c>
      <x:c r="X12" s="94" t="str">
        <x:f>IF($A12="","",IF($E12&gt;=1000,10,IF($E12&gt;=300,8,IF($E12&gt;=100,6,IF($E12&gt;=30,4,IF($E12&gt;0,2,0)))))+IF($F12&gt;=2,5,IF($F12&gt;=1,4,IF($F12&gt;=0.3,3,IF($F12&gt;0,2,0)))))</x:f>
      </x:c>
      <x:c r="Y12" s="94" t="str">
        <x:f>IF($A12="","",IF($G12&lt;=20,15,IF($G12&lt;=35,12,IF($G12&lt;=50,9,IF($G12&lt;=65,6,IF($G12&lt;=80,3,1))))))</x:f>
      </x:c>
      <x:c r="Z12" s="94" t="str">
        <x:f>IF($A12="","",(($N12+$O12)/10)*15)</x:f>
      </x:c>
      <x:c r="AA12" s="94" t="str">
        <x:f>IF($A12="","",(($P12+$Q12)/10)*10)</x:f>
      </x:c>
      <x:c r="AB12" s="94" t="str">
        <x:f>IF($A12="","",$R12)</x:f>
      </x:c>
      <x:c r="AC12" s="94" t="str">
        <x:f>IF($A12="","",SUM($V12:$AB12))</x:f>
      </x:c>
      <x:c r="AD12" s="100" t="str">
        <x:f>IF($A12="","",IF($AC12&gt;=75,"P0",IF($AC12&gt;=60,"P1",IF($AC12&gt;=45,"P2","P3"))))</x:f>
      </x:c>
      <x:c r="AE12" s="100" t="str">
        <x:f>IF($A12="","",IF($AC12&gt;=75,"立即写独立文章",IF($AC12&gt;=60,"排入本批内容日历",IF($AC12&gt;=45,"先做FAQ/段落或低优先文章","不单独写，合并到商业页/FAQ"))))</x:f>
      </x:c>
      <x:c r="AF12" s="37" t="str">
        <x:f>IF($A12="","",$K12&amp;" | 父级页: "&amp;$C12&amp;" | 目标URL: "&amp;$T12&amp;" | 必补: 竞品结构+原创证据+对比表+FAQ+内链CTA")</x:f>
      </x:c>
      <x:c r="AG12" s="37" t="str">
        <x:f>IF($A12="","",IF($I12&lt;4,"SERP不支持文章，优先做商业页/FAQ",IF($L12&lt;3,"产品相关弱，谨慎写",IF($N12&lt;3,"证据不足，容易变AI水文",IF($G12&gt;70,"难度偏高，需要更强外链/权威",IF($Q12&lt;3,"内链弱，先补主题簇","可进入规划"))))))</x:f>
      </x:c>
      <x:c r="AH12" s="106" t="str">
        <x:f>IF($A12="","",IF($T12="","缺少目标URL",IF(COUNTIF('页面规划'!$D$5:$D$104,$T12)&gt;0,"已匹配","未匹配")))</x:f>
      </x:c>
      <x:c r="AI12" s="37" t="str">
        <x:f>IF($A12="","",IFERROR(INDEX('页面规划'!$B$5:$B$104,MATCH($T12,'页面规划'!$D$5:$D$104,0)),""))</x:f>
      </x:c>
      <x:c r="AJ12" s="37" t="str">
        <x:f>IF($A12="","",IFERROR(INDEX('页面规划'!$F$5:$F$104,MATCH($T12,'页面规划'!$D$5:$D$104,0)),""))</x:f>
      </x:c>
      <x:c r="AK12" s="37" t="str">
        <x:f>IF($A12="","",IFERROR(INDEX('页面规划'!$H$5:$H$104,MATCH($T12,'页面规划'!$D$5:$D$104,0)),""))</x:f>
      </x:c>
      <x:c r="AL12" s="83" t="str">
        <x:f>IF($A12="","",IF($AH12="已匹配","OK：文章可内链到页面规划中的父级页","先到【页面规划】新增/修正目标URL，再排文章"))</x:f>
      </x:c>
    </x:row>
    <x:row r="13">
      <x:c r="A13" s="108"/>
      <x:c r="B13" s="37"/>
      <x:c r="C13" s="37"/>
      <x:c r="D13" s="37"/>
      <x:c r="E13" s="88"/>
      <x:c r="F13" s="91"/>
      <x:c r="G13" s="74"/>
      <x:c r="H13" s="74"/>
      <x:c r="I13" s="74"/>
      <x:c r="J13" s="37"/>
      <x:c r="K13" s="37"/>
      <x:c r="L13" s="74"/>
      <x:c r="M13" s="74"/>
      <x:c r="N13" s="74"/>
      <x:c r="O13" s="74"/>
      <x:c r="P13" s="74"/>
      <x:c r="Q13" s="74"/>
      <x:c r="R13" s="74"/>
      <x:c r="S13" s="37"/>
      <x:c r="T13" s="37"/>
      <x:c r="U13" s="37"/>
      <x:c r="V13" s="94" t="str">
        <x:f>IF($A13="","",MIN(20,MAX(0,$I13*2)))</x:f>
      </x:c>
      <x:c r="W13" s="94" t="str">
        <x:f>IF($A13="","",(($L13+$M13)/10)*20)</x:f>
      </x:c>
      <x:c r="X13" s="94" t="str">
        <x:f>IF($A13="","",IF($E13&gt;=1000,10,IF($E13&gt;=300,8,IF($E13&gt;=100,6,IF($E13&gt;=30,4,IF($E13&gt;0,2,0)))))+IF($F13&gt;=2,5,IF($F13&gt;=1,4,IF($F13&gt;=0.3,3,IF($F13&gt;0,2,0)))))</x:f>
      </x:c>
      <x:c r="Y13" s="94" t="str">
        <x:f>IF($A13="","",IF($G13&lt;=20,15,IF($G13&lt;=35,12,IF($G13&lt;=50,9,IF($G13&lt;=65,6,IF($G13&lt;=80,3,1))))))</x:f>
      </x:c>
      <x:c r="Z13" s="94" t="str">
        <x:f>IF($A13="","",(($N13+$O13)/10)*15)</x:f>
      </x:c>
      <x:c r="AA13" s="94" t="str">
        <x:f>IF($A13="","",(($P13+$Q13)/10)*10)</x:f>
      </x:c>
      <x:c r="AB13" s="94" t="str">
        <x:f>IF($A13="","",$R13)</x:f>
      </x:c>
      <x:c r="AC13" s="94" t="str">
        <x:f>IF($A13="","",SUM($V13:$AB13))</x:f>
      </x:c>
      <x:c r="AD13" s="100" t="str">
        <x:f>IF($A13="","",IF($AC13&gt;=75,"P0",IF($AC13&gt;=60,"P1",IF($AC13&gt;=45,"P2","P3"))))</x:f>
      </x:c>
      <x:c r="AE13" s="100" t="str">
        <x:f>IF($A13="","",IF($AC13&gt;=75,"立即写独立文章",IF($AC13&gt;=60,"排入本批内容日历",IF($AC13&gt;=45,"先做FAQ/段落或低优先文章","不单独写，合并到商业页/FAQ"))))</x:f>
      </x:c>
      <x:c r="AF13" s="37" t="str">
        <x:f>IF($A13="","",$K13&amp;" | 父级页: "&amp;$C13&amp;" | 目标URL: "&amp;$T13&amp;" | 必补: 竞品结构+原创证据+对比表+FAQ+内链CTA")</x:f>
      </x:c>
      <x:c r="AG13" s="37" t="str">
        <x:f>IF($A13="","",IF($I13&lt;4,"SERP不支持文章，优先做商业页/FAQ",IF($L13&lt;3,"产品相关弱，谨慎写",IF($N13&lt;3,"证据不足，容易变AI水文",IF($G13&gt;70,"难度偏高，需要更强外链/权威",IF($Q13&lt;3,"内链弱，先补主题簇","可进入规划"))))))</x:f>
      </x:c>
      <x:c r="AH13" s="106" t="str">
        <x:f>IF($A13="","",IF($T13="","缺少目标URL",IF(COUNTIF('页面规划'!$D$5:$D$104,$T13)&gt;0,"已匹配","未匹配")))</x:f>
      </x:c>
      <x:c r="AI13" s="37" t="str">
        <x:f>IF($A13="","",IFERROR(INDEX('页面规划'!$B$5:$B$104,MATCH($T13,'页面规划'!$D$5:$D$104,0)),""))</x:f>
      </x:c>
      <x:c r="AJ13" s="37" t="str">
        <x:f>IF($A13="","",IFERROR(INDEX('页面规划'!$F$5:$F$104,MATCH($T13,'页面规划'!$D$5:$D$104,0)),""))</x:f>
      </x:c>
      <x:c r="AK13" s="37" t="str">
        <x:f>IF($A13="","",IFERROR(INDEX('页面规划'!$H$5:$H$104,MATCH($T13,'页面规划'!$D$5:$D$104,0)),""))</x:f>
      </x:c>
      <x:c r="AL13" s="83" t="str">
        <x:f>IF($A13="","",IF($AH13="已匹配","OK：文章可内链到页面规划中的父级页","先到【页面规划】新增/修正目标URL，再排文章"))</x:f>
      </x:c>
    </x:row>
    <x:row r="14">
      <x:c r="A14" s="108"/>
      <x:c r="B14" s="37"/>
      <x:c r="C14" s="37"/>
      <x:c r="D14" s="37"/>
      <x:c r="E14" s="88"/>
      <x:c r="F14" s="91"/>
      <x:c r="G14" s="74"/>
      <x:c r="H14" s="74"/>
      <x:c r="I14" s="74"/>
      <x:c r="J14" s="37"/>
      <x:c r="K14" s="37"/>
      <x:c r="L14" s="74"/>
      <x:c r="M14" s="74"/>
      <x:c r="N14" s="74"/>
      <x:c r="O14" s="74"/>
      <x:c r="P14" s="74"/>
      <x:c r="Q14" s="74"/>
      <x:c r="R14" s="74"/>
      <x:c r="S14" s="37"/>
      <x:c r="T14" s="37"/>
      <x:c r="U14" s="37"/>
      <x:c r="V14" s="94" t="str">
        <x:f>IF($A14="","",MIN(20,MAX(0,$I14*2)))</x:f>
      </x:c>
      <x:c r="W14" s="94" t="str">
        <x:f>IF($A14="","",(($L14+$M14)/10)*20)</x:f>
      </x:c>
      <x:c r="X14" s="94" t="str">
        <x:f>IF($A14="","",IF($E14&gt;=1000,10,IF($E14&gt;=300,8,IF($E14&gt;=100,6,IF($E14&gt;=30,4,IF($E14&gt;0,2,0)))))+IF($F14&gt;=2,5,IF($F14&gt;=1,4,IF($F14&gt;=0.3,3,IF($F14&gt;0,2,0)))))</x:f>
      </x:c>
      <x:c r="Y14" s="94" t="str">
        <x:f>IF($A14="","",IF($G14&lt;=20,15,IF($G14&lt;=35,12,IF($G14&lt;=50,9,IF($G14&lt;=65,6,IF($G14&lt;=80,3,1))))))</x:f>
      </x:c>
      <x:c r="Z14" s="94" t="str">
        <x:f>IF($A14="","",(($N14+$O14)/10)*15)</x:f>
      </x:c>
      <x:c r="AA14" s="94" t="str">
        <x:f>IF($A14="","",(($P14+$Q14)/10)*10)</x:f>
      </x:c>
      <x:c r="AB14" s="94" t="str">
        <x:f>IF($A14="","",$R14)</x:f>
      </x:c>
      <x:c r="AC14" s="94" t="str">
        <x:f>IF($A14="","",SUM($V14:$AB14))</x:f>
      </x:c>
      <x:c r="AD14" s="100" t="str">
        <x:f>IF($A14="","",IF($AC14&gt;=75,"P0",IF($AC14&gt;=60,"P1",IF($AC14&gt;=45,"P2","P3"))))</x:f>
      </x:c>
      <x:c r="AE14" s="100" t="str">
        <x:f>IF($A14="","",IF($AC14&gt;=75,"立即写独立文章",IF($AC14&gt;=60,"排入本批内容日历",IF($AC14&gt;=45,"先做FAQ/段落或低优先文章","不单独写，合并到商业页/FAQ"))))</x:f>
      </x:c>
      <x:c r="AF14" s="37" t="str">
        <x:f>IF($A14="","",$K14&amp;" | 父级页: "&amp;$C14&amp;" | 目标URL: "&amp;$T14&amp;" | 必补: 竞品结构+原创证据+对比表+FAQ+内链CTA")</x:f>
      </x:c>
      <x:c r="AG14" s="37" t="str">
        <x:f>IF($A14="","",IF($I14&lt;4,"SERP不支持文章，优先做商业页/FAQ",IF($L14&lt;3,"产品相关弱，谨慎写",IF($N14&lt;3,"证据不足，容易变AI水文",IF($G14&gt;70,"难度偏高，需要更强外链/权威",IF($Q14&lt;3,"内链弱，先补主题簇","可进入规划"))))))</x:f>
      </x:c>
      <x:c r="AH14" s="106" t="str">
        <x:f>IF($A14="","",IF($T14="","缺少目标URL",IF(COUNTIF('页面规划'!$D$5:$D$104,$T14)&gt;0,"已匹配","未匹配")))</x:f>
      </x:c>
      <x:c r="AI14" s="37" t="str">
        <x:f>IF($A14="","",IFERROR(INDEX('页面规划'!$B$5:$B$104,MATCH($T14,'页面规划'!$D$5:$D$104,0)),""))</x:f>
      </x:c>
      <x:c r="AJ14" s="37" t="str">
        <x:f>IF($A14="","",IFERROR(INDEX('页面规划'!$F$5:$F$104,MATCH($T14,'页面规划'!$D$5:$D$104,0)),""))</x:f>
      </x:c>
      <x:c r="AK14" s="37" t="str">
        <x:f>IF($A14="","",IFERROR(INDEX('页面规划'!$H$5:$H$104,MATCH($T14,'页面规划'!$D$5:$D$104,0)),""))</x:f>
      </x:c>
      <x:c r="AL14" s="83" t="str">
        <x:f>IF($A14="","",IF($AH14="已匹配","OK：文章可内链到页面规划中的父级页","先到【页面规划】新增/修正目标URL，再排文章"))</x:f>
      </x:c>
    </x:row>
    <x:row r="15">
      <x:c r="A15" s="108"/>
      <x:c r="B15" s="37"/>
      <x:c r="C15" s="37"/>
      <x:c r="D15" s="37"/>
      <x:c r="E15" s="88"/>
      <x:c r="F15" s="91"/>
      <x:c r="G15" s="74"/>
      <x:c r="H15" s="74"/>
      <x:c r="I15" s="74"/>
      <x:c r="J15" s="37"/>
      <x:c r="K15" s="37"/>
      <x:c r="L15" s="74"/>
      <x:c r="M15" s="74"/>
      <x:c r="N15" s="74"/>
      <x:c r="O15" s="74"/>
      <x:c r="P15" s="74"/>
      <x:c r="Q15" s="74"/>
      <x:c r="R15" s="74"/>
      <x:c r="S15" s="37"/>
      <x:c r="T15" s="37"/>
      <x:c r="U15" s="37"/>
      <x:c r="V15" s="94" t="str">
        <x:f>IF($A15="","",MIN(20,MAX(0,$I15*2)))</x:f>
      </x:c>
      <x:c r="W15" s="94" t="str">
        <x:f>IF($A15="","",(($L15+$M15)/10)*20)</x:f>
      </x:c>
      <x:c r="X15" s="94" t="str">
        <x:f>IF($A15="","",IF($E15&gt;=1000,10,IF($E15&gt;=300,8,IF($E15&gt;=100,6,IF($E15&gt;=30,4,IF($E15&gt;0,2,0)))))+IF($F15&gt;=2,5,IF($F15&gt;=1,4,IF($F15&gt;=0.3,3,IF($F15&gt;0,2,0)))))</x:f>
      </x:c>
      <x:c r="Y15" s="94" t="str">
        <x:f>IF($A15="","",IF($G15&lt;=20,15,IF($G15&lt;=35,12,IF($G15&lt;=50,9,IF($G15&lt;=65,6,IF($G15&lt;=80,3,1))))))</x:f>
      </x:c>
      <x:c r="Z15" s="94" t="str">
        <x:f>IF($A15="","",(($N15+$O15)/10)*15)</x:f>
      </x:c>
      <x:c r="AA15" s="94" t="str">
        <x:f>IF($A15="","",(($P15+$Q15)/10)*10)</x:f>
      </x:c>
      <x:c r="AB15" s="94" t="str">
        <x:f>IF($A15="","",$R15)</x:f>
      </x:c>
      <x:c r="AC15" s="94" t="str">
        <x:f>IF($A15="","",SUM($V15:$AB15))</x:f>
      </x:c>
      <x:c r="AD15" s="100" t="str">
        <x:f>IF($A15="","",IF($AC15&gt;=75,"P0",IF($AC15&gt;=60,"P1",IF($AC15&gt;=45,"P2","P3"))))</x:f>
      </x:c>
      <x:c r="AE15" s="100" t="str">
        <x:f>IF($A15="","",IF($AC15&gt;=75,"立即写独立文章",IF($AC15&gt;=60,"排入本批内容日历",IF($AC15&gt;=45,"先做FAQ/段落或低优先文章","不单独写，合并到商业页/FAQ"))))</x:f>
      </x:c>
      <x:c r="AF15" s="37" t="str">
        <x:f>IF($A15="","",$K15&amp;" | 父级页: "&amp;$C15&amp;" | 目标URL: "&amp;$T15&amp;" | 必补: 竞品结构+原创证据+对比表+FAQ+内链CTA")</x:f>
      </x:c>
      <x:c r="AG15" s="37" t="str">
        <x:f>IF($A15="","",IF($I15&lt;4,"SERP不支持文章，优先做商业页/FAQ",IF($L15&lt;3,"产品相关弱，谨慎写",IF($N15&lt;3,"证据不足，容易变AI水文",IF($G15&gt;70,"难度偏高，需要更强外链/权威",IF($Q15&lt;3,"内链弱，先补主题簇","可进入规划"))))))</x:f>
      </x:c>
      <x:c r="AH15" s="106" t="str">
        <x:f>IF($A15="","",IF($T15="","缺少目标URL",IF(COUNTIF('页面规划'!$D$5:$D$104,$T15)&gt;0,"已匹配","未匹配")))</x:f>
      </x:c>
      <x:c r="AI15" s="37" t="str">
        <x:f>IF($A15="","",IFERROR(INDEX('页面规划'!$B$5:$B$104,MATCH($T15,'页面规划'!$D$5:$D$104,0)),""))</x:f>
      </x:c>
      <x:c r="AJ15" s="37" t="str">
        <x:f>IF($A15="","",IFERROR(INDEX('页面规划'!$F$5:$F$104,MATCH($T15,'页面规划'!$D$5:$D$104,0)),""))</x:f>
      </x:c>
      <x:c r="AK15" s="37" t="str">
        <x:f>IF($A15="","",IFERROR(INDEX('页面规划'!$H$5:$H$104,MATCH($T15,'页面规划'!$D$5:$D$104,0)),""))</x:f>
      </x:c>
      <x:c r="AL15" s="83" t="str">
        <x:f>IF($A15="","",IF($AH15="已匹配","OK：文章可内链到页面规划中的父级页","先到【页面规划】新增/修正目标URL，再排文章"))</x:f>
      </x:c>
    </x:row>
    <x:row r="16">
      <x:c r="A16" s="108"/>
      <x:c r="B16" s="37"/>
      <x:c r="C16" s="37"/>
      <x:c r="D16" s="37"/>
      <x:c r="E16" s="88"/>
      <x:c r="F16" s="91"/>
      <x:c r="G16" s="74"/>
      <x:c r="H16" s="74"/>
      <x:c r="I16" s="74"/>
      <x:c r="J16" s="37"/>
      <x:c r="K16" s="37"/>
      <x:c r="L16" s="74"/>
      <x:c r="M16" s="74"/>
      <x:c r="N16" s="74"/>
      <x:c r="O16" s="74"/>
      <x:c r="P16" s="74"/>
      <x:c r="Q16" s="74"/>
      <x:c r="R16" s="74"/>
      <x:c r="S16" s="37"/>
      <x:c r="T16" s="37"/>
      <x:c r="U16" s="37"/>
      <x:c r="V16" s="94" t="str">
        <x:f>IF($A16="","",MIN(20,MAX(0,$I16*2)))</x:f>
      </x:c>
      <x:c r="W16" s="94" t="str">
        <x:f>IF($A16="","",(($L16+$M16)/10)*20)</x:f>
      </x:c>
      <x:c r="X16" s="94" t="str">
        <x:f>IF($A16="","",IF($E16&gt;=1000,10,IF($E16&gt;=300,8,IF($E16&gt;=100,6,IF($E16&gt;=30,4,IF($E16&gt;0,2,0)))))+IF($F16&gt;=2,5,IF($F16&gt;=1,4,IF($F16&gt;=0.3,3,IF($F16&gt;0,2,0)))))</x:f>
      </x:c>
      <x:c r="Y16" s="94" t="str">
        <x:f>IF($A16="","",IF($G16&lt;=20,15,IF($G16&lt;=35,12,IF($G16&lt;=50,9,IF($G16&lt;=65,6,IF($G16&lt;=80,3,1))))))</x:f>
      </x:c>
      <x:c r="Z16" s="94" t="str">
        <x:f>IF($A16="","",(($N16+$O16)/10)*15)</x:f>
      </x:c>
      <x:c r="AA16" s="94" t="str">
        <x:f>IF($A16="","",(($P16+$Q16)/10)*10)</x:f>
      </x:c>
      <x:c r="AB16" s="94" t="str">
        <x:f>IF($A16="","",$R16)</x:f>
      </x:c>
      <x:c r="AC16" s="94" t="str">
        <x:f>IF($A16="","",SUM($V16:$AB16))</x:f>
      </x:c>
      <x:c r="AD16" s="100" t="str">
        <x:f>IF($A16="","",IF($AC16&gt;=75,"P0",IF($AC16&gt;=60,"P1",IF($AC16&gt;=45,"P2","P3"))))</x:f>
      </x:c>
      <x:c r="AE16" s="100" t="str">
        <x:f>IF($A16="","",IF($AC16&gt;=75,"立即写独立文章",IF($AC16&gt;=60,"排入本批内容日历",IF($AC16&gt;=45,"先做FAQ/段落或低优先文章","不单独写，合并到商业页/FAQ"))))</x:f>
      </x:c>
      <x:c r="AF16" s="37" t="str">
        <x:f>IF($A16="","",$K16&amp;" | 父级页: "&amp;$C16&amp;" | 目标URL: "&amp;$T16&amp;" | 必补: 竞品结构+原创证据+对比表+FAQ+内链CTA")</x:f>
      </x:c>
      <x:c r="AG16" s="37" t="str">
        <x:f>IF($A16="","",IF($I16&lt;4,"SERP不支持文章，优先做商业页/FAQ",IF($L16&lt;3,"产品相关弱，谨慎写",IF($N16&lt;3,"证据不足，容易变AI水文",IF($G16&gt;70,"难度偏高，需要更强外链/权威",IF($Q16&lt;3,"内链弱，先补主题簇","可进入规划"))))))</x:f>
      </x:c>
      <x:c r="AH16" s="106" t="str">
        <x:f>IF($A16="","",IF($T16="","缺少目标URL",IF(COUNTIF('页面规划'!$D$5:$D$104,$T16)&gt;0,"已匹配","未匹配")))</x:f>
      </x:c>
      <x:c r="AI16" s="37" t="str">
        <x:f>IF($A16="","",IFERROR(INDEX('页面规划'!$B$5:$B$104,MATCH($T16,'页面规划'!$D$5:$D$104,0)),""))</x:f>
      </x:c>
      <x:c r="AJ16" s="37" t="str">
        <x:f>IF($A16="","",IFERROR(INDEX('页面规划'!$F$5:$F$104,MATCH($T16,'页面规划'!$D$5:$D$104,0)),""))</x:f>
      </x:c>
      <x:c r="AK16" s="37" t="str">
        <x:f>IF($A16="","",IFERROR(INDEX('页面规划'!$H$5:$H$104,MATCH($T16,'页面规划'!$D$5:$D$104,0)),""))</x:f>
      </x:c>
      <x:c r="AL16" s="83" t="str">
        <x:f>IF($A16="","",IF($AH16="已匹配","OK：文章可内链到页面规划中的父级页","先到【页面规划】新增/修正目标URL，再排文章"))</x:f>
      </x:c>
    </x:row>
    <x:row r="17">
      <x:c r="A17" s="108"/>
      <x:c r="B17" s="37"/>
      <x:c r="C17" s="37"/>
      <x:c r="D17" s="37"/>
      <x:c r="E17" s="88"/>
      <x:c r="F17" s="91"/>
      <x:c r="G17" s="74"/>
      <x:c r="H17" s="74"/>
      <x:c r="I17" s="74"/>
      <x:c r="J17" s="37"/>
      <x:c r="K17" s="37"/>
      <x:c r="L17" s="74"/>
      <x:c r="M17" s="74"/>
      <x:c r="N17" s="74"/>
      <x:c r="O17" s="74"/>
      <x:c r="P17" s="74"/>
      <x:c r="Q17" s="74"/>
      <x:c r="R17" s="74"/>
      <x:c r="S17" s="37"/>
      <x:c r="T17" s="37"/>
      <x:c r="U17" s="37"/>
      <x:c r="V17" s="94" t="str">
        <x:f>IF($A17="","",MIN(20,MAX(0,$I17*2)))</x:f>
      </x:c>
      <x:c r="W17" s="94" t="str">
        <x:f>IF($A17="","",(($L17+$M17)/10)*20)</x:f>
      </x:c>
      <x:c r="X17" s="94" t="str">
        <x:f>IF($A17="","",IF($E17&gt;=1000,10,IF($E17&gt;=300,8,IF($E17&gt;=100,6,IF($E17&gt;=30,4,IF($E17&gt;0,2,0)))))+IF($F17&gt;=2,5,IF($F17&gt;=1,4,IF($F17&gt;=0.3,3,IF($F17&gt;0,2,0)))))</x:f>
      </x:c>
      <x:c r="Y17" s="94" t="str">
        <x:f>IF($A17="","",IF($G17&lt;=20,15,IF($G17&lt;=35,12,IF($G17&lt;=50,9,IF($G17&lt;=65,6,IF($G17&lt;=80,3,1))))))</x:f>
      </x:c>
      <x:c r="Z17" s="94" t="str">
        <x:f>IF($A17="","",(($N17+$O17)/10)*15)</x:f>
      </x:c>
      <x:c r="AA17" s="94" t="str">
        <x:f>IF($A17="","",(($P17+$Q17)/10)*10)</x:f>
      </x:c>
      <x:c r="AB17" s="94" t="str">
        <x:f>IF($A17="","",$R17)</x:f>
      </x:c>
      <x:c r="AC17" s="94" t="str">
        <x:f>IF($A17="","",SUM($V17:$AB17))</x:f>
      </x:c>
      <x:c r="AD17" s="100" t="str">
        <x:f>IF($A17="","",IF($AC17&gt;=75,"P0",IF($AC17&gt;=60,"P1",IF($AC17&gt;=45,"P2","P3"))))</x:f>
      </x:c>
      <x:c r="AE17" s="100" t="str">
        <x:f>IF($A17="","",IF($AC17&gt;=75,"立即写独立文章",IF($AC17&gt;=60,"排入本批内容日历",IF($AC17&gt;=45,"先做FAQ/段落或低优先文章","不单独写，合并到商业页/FAQ"))))</x:f>
      </x:c>
      <x:c r="AF17" s="37" t="str">
        <x:f>IF($A17="","",$K17&amp;" | 父级页: "&amp;$C17&amp;" | 目标URL: "&amp;$T17&amp;" | 必补: 竞品结构+原创证据+对比表+FAQ+内链CTA")</x:f>
      </x:c>
      <x:c r="AG17" s="37" t="str">
        <x:f>IF($A17="","",IF($I17&lt;4,"SERP不支持文章，优先做商业页/FAQ",IF($L17&lt;3,"产品相关弱，谨慎写",IF($N17&lt;3,"证据不足，容易变AI水文",IF($G17&gt;70,"难度偏高，需要更强外链/权威",IF($Q17&lt;3,"内链弱，先补主题簇","可进入规划"))))))</x:f>
      </x:c>
      <x:c r="AH17" s="106" t="str">
        <x:f>IF($A17="","",IF($T17="","缺少目标URL",IF(COUNTIF('页面规划'!$D$5:$D$104,$T17)&gt;0,"已匹配","未匹配")))</x:f>
      </x:c>
      <x:c r="AI17" s="37" t="str">
        <x:f>IF($A17="","",IFERROR(INDEX('页面规划'!$B$5:$B$104,MATCH($T17,'页面规划'!$D$5:$D$104,0)),""))</x:f>
      </x:c>
      <x:c r="AJ17" s="37" t="str">
        <x:f>IF($A17="","",IFERROR(INDEX('页面规划'!$F$5:$F$104,MATCH($T17,'页面规划'!$D$5:$D$104,0)),""))</x:f>
      </x:c>
      <x:c r="AK17" s="37" t="str">
        <x:f>IF($A17="","",IFERROR(INDEX('页面规划'!$H$5:$H$104,MATCH($T17,'页面规划'!$D$5:$D$104,0)),""))</x:f>
      </x:c>
      <x:c r="AL17" s="83" t="str">
        <x:f>IF($A17="","",IF($AH17="已匹配","OK：文章可内链到页面规划中的父级页","先到【页面规划】新增/修正目标URL，再排文章"))</x:f>
      </x:c>
    </x:row>
    <x:row r="18">
      <x:c r="A18" s="108"/>
      <x:c r="B18" s="37"/>
      <x:c r="C18" s="37"/>
      <x:c r="D18" s="37"/>
      <x:c r="E18" s="88"/>
      <x:c r="F18" s="91"/>
      <x:c r="G18" s="74"/>
      <x:c r="H18" s="74"/>
      <x:c r="I18" s="74"/>
      <x:c r="J18" s="37"/>
      <x:c r="K18" s="37"/>
      <x:c r="L18" s="74"/>
      <x:c r="M18" s="74"/>
      <x:c r="N18" s="74"/>
      <x:c r="O18" s="74"/>
      <x:c r="P18" s="74"/>
      <x:c r="Q18" s="74"/>
      <x:c r="R18" s="74"/>
      <x:c r="S18" s="37"/>
      <x:c r="T18" s="37"/>
      <x:c r="U18" s="37"/>
      <x:c r="V18" s="94" t="str">
        <x:f>IF($A18="","",MIN(20,MAX(0,$I18*2)))</x:f>
      </x:c>
      <x:c r="W18" s="94" t="str">
        <x:f>IF($A18="","",(($L18+$M18)/10)*20)</x:f>
      </x:c>
      <x:c r="X18" s="94" t="str">
        <x:f>IF($A18="","",IF($E18&gt;=1000,10,IF($E18&gt;=300,8,IF($E18&gt;=100,6,IF($E18&gt;=30,4,IF($E18&gt;0,2,0)))))+IF($F18&gt;=2,5,IF($F18&gt;=1,4,IF($F18&gt;=0.3,3,IF($F18&gt;0,2,0)))))</x:f>
      </x:c>
      <x:c r="Y18" s="94" t="str">
        <x:f>IF($A18="","",IF($G18&lt;=20,15,IF($G18&lt;=35,12,IF($G18&lt;=50,9,IF($G18&lt;=65,6,IF($G18&lt;=80,3,1))))))</x:f>
      </x:c>
      <x:c r="Z18" s="94" t="str">
        <x:f>IF($A18="","",(($N18+$O18)/10)*15)</x:f>
      </x:c>
      <x:c r="AA18" s="94" t="str">
        <x:f>IF($A18="","",(($P18+$Q18)/10)*10)</x:f>
      </x:c>
      <x:c r="AB18" s="94" t="str">
        <x:f>IF($A18="","",$R18)</x:f>
      </x:c>
      <x:c r="AC18" s="94" t="str">
        <x:f>IF($A18="","",SUM($V18:$AB18))</x:f>
      </x:c>
      <x:c r="AD18" s="100" t="str">
        <x:f>IF($A18="","",IF($AC18&gt;=75,"P0",IF($AC18&gt;=60,"P1",IF($AC18&gt;=45,"P2","P3"))))</x:f>
      </x:c>
      <x:c r="AE18" s="100" t="str">
        <x:f>IF($A18="","",IF($AC18&gt;=75,"立即写独立文章",IF($AC18&gt;=60,"排入本批内容日历",IF($AC18&gt;=45,"先做FAQ/段落或低优先文章","不单独写，合并到商业页/FAQ"))))</x:f>
      </x:c>
      <x:c r="AF18" s="37" t="str">
        <x:f>IF($A18="","",$K18&amp;" | 父级页: "&amp;$C18&amp;" | 目标URL: "&amp;$T18&amp;" | 必补: 竞品结构+原创证据+对比表+FAQ+内链CTA")</x:f>
      </x:c>
      <x:c r="AG18" s="37" t="str">
        <x:f>IF($A18="","",IF($I18&lt;4,"SERP不支持文章，优先做商业页/FAQ",IF($L18&lt;3,"产品相关弱，谨慎写",IF($N18&lt;3,"证据不足，容易变AI水文",IF($G18&gt;70,"难度偏高，需要更强外链/权威",IF($Q18&lt;3,"内链弱，先补主题簇","可进入规划"))))))</x:f>
      </x:c>
      <x:c r="AH18" s="106" t="str">
        <x:f>IF($A18="","",IF($T18="","缺少目标URL",IF(COUNTIF('页面规划'!$D$5:$D$104,$T18)&gt;0,"已匹配","未匹配")))</x:f>
      </x:c>
      <x:c r="AI18" s="37" t="str">
        <x:f>IF($A18="","",IFERROR(INDEX('页面规划'!$B$5:$B$104,MATCH($T18,'页面规划'!$D$5:$D$104,0)),""))</x:f>
      </x:c>
      <x:c r="AJ18" s="37" t="str">
        <x:f>IF($A18="","",IFERROR(INDEX('页面规划'!$F$5:$F$104,MATCH($T18,'页面规划'!$D$5:$D$104,0)),""))</x:f>
      </x:c>
      <x:c r="AK18" s="37" t="str">
        <x:f>IF($A18="","",IFERROR(INDEX('页面规划'!$H$5:$H$104,MATCH($T18,'页面规划'!$D$5:$D$104,0)),""))</x:f>
      </x:c>
      <x:c r="AL18" s="83" t="str">
        <x:f>IF($A18="","",IF($AH18="已匹配","OK：文章可内链到页面规划中的父级页","先到【页面规划】新增/修正目标URL，再排文章"))</x:f>
      </x:c>
    </x:row>
    <x:row r="19">
      <x:c r="A19" s="108"/>
      <x:c r="B19" s="37"/>
      <x:c r="C19" s="37"/>
      <x:c r="D19" s="37"/>
      <x:c r="E19" s="88"/>
      <x:c r="F19" s="91"/>
      <x:c r="G19" s="74"/>
      <x:c r="H19" s="74"/>
      <x:c r="I19" s="74"/>
      <x:c r="J19" s="37"/>
      <x:c r="K19" s="37"/>
      <x:c r="L19" s="74"/>
      <x:c r="M19" s="74"/>
      <x:c r="N19" s="74"/>
      <x:c r="O19" s="74"/>
      <x:c r="P19" s="74"/>
      <x:c r="Q19" s="74"/>
      <x:c r="R19" s="74"/>
      <x:c r="S19" s="37"/>
      <x:c r="T19" s="37"/>
      <x:c r="U19" s="37"/>
      <x:c r="V19" s="94" t="str">
        <x:f>IF($A19="","",MIN(20,MAX(0,$I19*2)))</x:f>
      </x:c>
      <x:c r="W19" s="94" t="str">
        <x:f>IF($A19="","",(($L19+$M19)/10)*20)</x:f>
      </x:c>
      <x:c r="X19" s="94" t="str">
        <x:f>IF($A19="","",IF($E19&gt;=1000,10,IF($E19&gt;=300,8,IF($E19&gt;=100,6,IF($E19&gt;=30,4,IF($E19&gt;0,2,0)))))+IF($F19&gt;=2,5,IF($F19&gt;=1,4,IF($F19&gt;=0.3,3,IF($F19&gt;0,2,0)))))</x:f>
      </x:c>
      <x:c r="Y19" s="94" t="str">
        <x:f>IF($A19="","",IF($G19&lt;=20,15,IF($G19&lt;=35,12,IF($G19&lt;=50,9,IF($G19&lt;=65,6,IF($G19&lt;=80,3,1))))))</x:f>
      </x:c>
      <x:c r="Z19" s="94" t="str">
        <x:f>IF($A19="","",(($N19+$O19)/10)*15)</x:f>
      </x:c>
      <x:c r="AA19" s="94" t="str">
        <x:f>IF($A19="","",(($P19+$Q19)/10)*10)</x:f>
      </x:c>
      <x:c r="AB19" s="94" t="str">
        <x:f>IF($A19="","",$R19)</x:f>
      </x:c>
      <x:c r="AC19" s="94" t="str">
        <x:f>IF($A19="","",SUM($V19:$AB19))</x:f>
      </x:c>
      <x:c r="AD19" s="100" t="str">
        <x:f>IF($A19="","",IF($AC19&gt;=75,"P0",IF($AC19&gt;=60,"P1",IF($AC19&gt;=45,"P2","P3"))))</x:f>
      </x:c>
      <x:c r="AE19" s="100" t="str">
        <x:f>IF($A19="","",IF($AC19&gt;=75,"立即写独立文章",IF($AC19&gt;=60,"排入本批内容日历",IF($AC19&gt;=45,"先做FAQ/段落或低优先文章","不单独写，合并到商业页/FAQ"))))</x:f>
      </x:c>
      <x:c r="AF19" s="37" t="str">
        <x:f>IF($A19="","",$K19&amp;" | 父级页: "&amp;$C19&amp;" | 目标URL: "&amp;$T19&amp;" | 必补: 竞品结构+原创证据+对比表+FAQ+内链CTA")</x:f>
      </x:c>
      <x:c r="AG19" s="37" t="str">
        <x:f>IF($A19="","",IF($I19&lt;4,"SERP不支持文章，优先做商业页/FAQ",IF($L19&lt;3,"产品相关弱，谨慎写",IF($N19&lt;3,"证据不足，容易变AI水文",IF($G19&gt;70,"难度偏高，需要更强外链/权威",IF($Q19&lt;3,"内链弱，先补主题簇","可进入规划"))))))</x:f>
      </x:c>
      <x:c r="AH19" s="106" t="str">
        <x:f>IF($A19="","",IF($T19="","缺少目标URL",IF(COUNTIF('页面规划'!$D$5:$D$104,$T19)&gt;0,"已匹配","未匹配")))</x:f>
      </x:c>
      <x:c r="AI19" s="37" t="str">
        <x:f>IF($A19="","",IFERROR(INDEX('页面规划'!$B$5:$B$104,MATCH($T19,'页面规划'!$D$5:$D$104,0)),""))</x:f>
      </x:c>
      <x:c r="AJ19" s="37" t="str">
        <x:f>IF($A19="","",IFERROR(INDEX('页面规划'!$F$5:$F$104,MATCH($T19,'页面规划'!$D$5:$D$104,0)),""))</x:f>
      </x:c>
      <x:c r="AK19" s="37" t="str">
        <x:f>IF($A19="","",IFERROR(INDEX('页面规划'!$H$5:$H$104,MATCH($T19,'页面规划'!$D$5:$D$104,0)),""))</x:f>
      </x:c>
      <x:c r="AL19" s="83" t="str">
        <x:f>IF($A19="","",IF($AH19="已匹配","OK：文章可内链到页面规划中的父级页","先到【页面规划】新增/修正目标URL，再排文章"))</x:f>
      </x:c>
    </x:row>
    <x:row r="20">
      <x:c r="A20" s="108"/>
      <x:c r="B20" s="37"/>
      <x:c r="C20" s="37"/>
      <x:c r="D20" s="37"/>
      <x:c r="E20" s="88"/>
      <x:c r="F20" s="91"/>
      <x:c r="G20" s="74"/>
      <x:c r="H20" s="74"/>
      <x:c r="I20" s="74"/>
      <x:c r="J20" s="37"/>
      <x:c r="K20" s="37"/>
      <x:c r="L20" s="74"/>
      <x:c r="M20" s="74"/>
      <x:c r="N20" s="74"/>
      <x:c r="O20" s="74"/>
      <x:c r="P20" s="74"/>
      <x:c r="Q20" s="74"/>
      <x:c r="R20" s="74"/>
      <x:c r="S20" s="37"/>
      <x:c r="T20" s="37"/>
      <x:c r="U20" s="37"/>
      <x:c r="V20" s="94" t="str">
        <x:f>IF($A20="","",MIN(20,MAX(0,$I20*2)))</x:f>
      </x:c>
      <x:c r="W20" s="94" t="str">
        <x:f>IF($A20="","",(($L20+$M20)/10)*20)</x:f>
      </x:c>
      <x:c r="X20" s="94" t="str">
        <x:f>IF($A20="","",IF($E20&gt;=1000,10,IF($E20&gt;=300,8,IF($E20&gt;=100,6,IF($E20&gt;=30,4,IF($E20&gt;0,2,0)))))+IF($F20&gt;=2,5,IF($F20&gt;=1,4,IF($F20&gt;=0.3,3,IF($F20&gt;0,2,0)))))</x:f>
      </x:c>
      <x:c r="Y20" s="94" t="str">
        <x:f>IF($A20="","",IF($G20&lt;=20,15,IF($G20&lt;=35,12,IF($G20&lt;=50,9,IF($G20&lt;=65,6,IF($G20&lt;=80,3,1))))))</x:f>
      </x:c>
      <x:c r="Z20" s="94" t="str">
        <x:f>IF($A20="","",(($N20+$O20)/10)*15)</x:f>
      </x:c>
      <x:c r="AA20" s="94" t="str">
        <x:f>IF($A20="","",(($P20+$Q20)/10)*10)</x:f>
      </x:c>
      <x:c r="AB20" s="94" t="str">
        <x:f>IF($A20="","",$R20)</x:f>
      </x:c>
      <x:c r="AC20" s="94" t="str">
        <x:f>IF($A20="","",SUM($V20:$AB20))</x:f>
      </x:c>
      <x:c r="AD20" s="100" t="str">
        <x:f>IF($A20="","",IF($AC20&gt;=75,"P0",IF($AC20&gt;=60,"P1",IF($AC20&gt;=45,"P2","P3"))))</x:f>
      </x:c>
      <x:c r="AE20" s="100" t="str">
        <x:f>IF($A20="","",IF($AC20&gt;=75,"立即写独立文章",IF($AC20&gt;=60,"排入本批内容日历",IF($AC20&gt;=45,"先做FAQ/段落或低优先文章","不单独写，合并到商业页/FAQ"))))</x:f>
      </x:c>
      <x:c r="AF20" s="37" t="str">
        <x:f>IF($A20="","",$K20&amp;" | 父级页: "&amp;$C20&amp;" | 目标URL: "&amp;$T20&amp;" | 必补: 竞品结构+原创证据+对比表+FAQ+内链CTA")</x:f>
      </x:c>
      <x:c r="AG20" s="37" t="str">
        <x:f>IF($A20="","",IF($I20&lt;4,"SERP不支持文章，优先做商业页/FAQ",IF($L20&lt;3,"产品相关弱，谨慎写",IF($N20&lt;3,"证据不足，容易变AI水文",IF($G20&gt;70,"难度偏高，需要更强外链/权威",IF($Q20&lt;3,"内链弱，先补主题簇","可进入规划"))))))</x:f>
      </x:c>
      <x:c r="AH20" s="106" t="str">
        <x:f>IF($A20="","",IF($T20="","缺少目标URL",IF(COUNTIF('页面规划'!$D$5:$D$104,$T20)&gt;0,"已匹配","未匹配")))</x:f>
      </x:c>
      <x:c r="AI20" s="37" t="str">
        <x:f>IF($A20="","",IFERROR(INDEX('页面规划'!$B$5:$B$104,MATCH($T20,'页面规划'!$D$5:$D$104,0)),""))</x:f>
      </x:c>
      <x:c r="AJ20" s="37" t="str">
        <x:f>IF($A20="","",IFERROR(INDEX('页面规划'!$F$5:$F$104,MATCH($T20,'页面规划'!$D$5:$D$104,0)),""))</x:f>
      </x:c>
      <x:c r="AK20" s="37" t="str">
        <x:f>IF($A20="","",IFERROR(INDEX('页面规划'!$H$5:$H$104,MATCH($T20,'页面规划'!$D$5:$D$104,0)),""))</x:f>
      </x:c>
      <x:c r="AL20" s="83" t="str">
        <x:f>IF($A20="","",IF($AH20="已匹配","OK：文章可内链到页面规划中的父级页","先到【页面规划】新增/修正目标URL，再排文章"))</x:f>
      </x:c>
    </x:row>
    <x:row r="21">
      <x:c r="A21" s="108"/>
      <x:c r="B21" s="37"/>
      <x:c r="C21" s="37"/>
      <x:c r="D21" s="37"/>
      <x:c r="E21" s="88"/>
      <x:c r="F21" s="91"/>
      <x:c r="G21" s="74"/>
      <x:c r="H21" s="74"/>
      <x:c r="I21" s="74"/>
      <x:c r="J21" s="37"/>
      <x:c r="K21" s="37"/>
      <x:c r="L21" s="74"/>
      <x:c r="M21" s="74"/>
      <x:c r="N21" s="74"/>
      <x:c r="O21" s="74"/>
      <x:c r="P21" s="74"/>
      <x:c r="Q21" s="74"/>
      <x:c r="R21" s="74"/>
      <x:c r="S21" s="37"/>
      <x:c r="T21" s="37"/>
      <x:c r="U21" s="37"/>
      <x:c r="V21" s="94" t="str">
        <x:f>IF($A21="","",MIN(20,MAX(0,$I21*2)))</x:f>
      </x:c>
      <x:c r="W21" s="94" t="str">
        <x:f>IF($A21="","",(($L21+$M21)/10)*20)</x:f>
      </x:c>
      <x:c r="X21" s="94" t="str">
        <x:f>IF($A21="","",IF($E21&gt;=1000,10,IF($E21&gt;=300,8,IF($E21&gt;=100,6,IF($E21&gt;=30,4,IF($E21&gt;0,2,0)))))+IF($F21&gt;=2,5,IF($F21&gt;=1,4,IF($F21&gt;=0.3,3,IF($F21&gt;0,2,0)))))</x:f>
      </x:c>
      <x:c r="Y21" s="94" t="str">
        <x:f>IF($A21="","",IF($G21&lt;=20,15,IF($G21&lt;=35,12,IF($G21&lt;=50,9,IF($G21&lt;=65,6,IF($G21&lt;=80,3,1))))))</x:f>
      </x:c>
      <x:c r="Z21" s="94" t="str">
        <x:f>IF($A21="","",(($N21+$O21)/10)*15)</x:f>
      </x:c>
      <x:c r="AA21" s="94" t="str">
        <x:f>IF($A21="","",(($P21+$Q21)/10)*10)</x:f>
      </x:c>
      <x:c r="AB21" s="94" t="str">
        <x:f>IF($A21="","",$R21)</x:f>
      </x:c>
      <x:c r="AC21" s="94" t="str">
        <x:f>IF($A21="","",SUM($V21:$AB21))</x:f>
      </x:c>
      <x:c r="AD21" s="100" t="str">
        <x:f>IF($A21="","",IF($AC21&gt;=75,"P0",IF($AC21&gt;=60,"P1",IF($AC21&gt;=45,"P2","P3"))))</x:f>
      </x:c>
      <x:c r="AE21" s="100" t="str">
        <x:f>IF($A21="","",IF($AC21&gt;=75,"立即写独立文章",IF($AC21&gt;=60,"排入本批内容日历",IF($AC21&gt;=45,"先做FAQ/段落或低优先文章","不单独写，合并到商业页/FAQ"))))</x:f>
      </x:c>
      <x:c r="AF21" s="37" t="str">
        <x:f>IF($A21="","",$K21&amp;" | 父级页: "&amp;$C21&amp;" | 目标URL: "&amp;$T21&amp;" | 必补: 竞品结构+原创证据+对比表+FAQ+内链CTA")</x:f>
      </x:c>
      <x:c r="AG21" s="37" t="str">
        <x:f>IF($A21="","",IF($I21&lt;4,"SERP不支持文章，优先做商业页/FAQ",IF($L21&lt;3,"产品相关弱，谨慎写",IF($N21&lt;3,"证据不足，容易变AI水文",IF($G21&gt;70,"难度偏高，需要更强外链/权威",IF($Q21&lt;3,"内链弱，先补主题簇","可进入规划"))))))</x:f>
      </x:c>
      <x:c r="AH21" s="106" t="str">
        <x:f>IF($A21="","",IF($T21="","缺少目标URL",IF(COUNTIF('页面规划'!$D$5:$D$104,$T21)&gt;0,"已匹配","未匹配")))</x:f>
      </x:c>
      <x:c r="AI21" s="37" t="str">
        <x:f>IF($A21="","",IFERROR(INDEX('页面规划'!$B$5:$B$104,MATCH($T21,'页面规划'!$D$5:$D$104,0)),""))</x:f>
      </x:c>
      <x:c r="AJ21" s="37" t="str">
        <x:f>IF($A21="","",IFERROR(INDEX('页面规划'!$F$5:$F$104,MATCH($T21,'页面规划'!$D$5:$D$104,0)),""))</x:f>
      </x:c>
      <x:c r="AK21" s="37" t="str">
        <x:f>IF($A21="","",IFERROR(INDEX('页面规划'!$H$5:$H$104,MATCH($T21,'页面规划'!$D$5:$D$104,0)),""))</x:f>
      </x:c>
      <x:c r="AL21" s="83" t="str">
        <x:f>IF($A21="","",IF($AH21="已匹配","OK：文章可内链到页面规划中的父级页","先到【页面规划】新增/修正目标URL，再排文章"))</x:f>
      </x:c>
    </x:row>
    <x:row r="22">
      <x:c r="A22" s="108"/>
      <x:c r="B22" s="37"/>
      <x:c r="C22" s="37"/>
      <x:c r="D22" s="37"/>
      <x:c r="E22" s="88"/>
      <x:c r="F22" s="91"/>
      <x:c r="G22" s="74"/>
      <x:c r="H22" s="74"/>
      <x:c r="I22" s="74"/>
      <x:c r="J22" s="37"/>
      <x:c r="K22" s="37"/>
      <x:c r="L22" s="74"/>
      <x:c r="M22" s="74"/>
      <x:c r="N22" s="74"/>
      <x:c r="O22" s="74"/>
      <x:c r="P22" s="74"/>
      <x:c r="Q22" s="74"/>
      <x:c r="R22" s="74"/>
      <x:c r="S22" s="37"/>
      <x:c r="T22" s="37"/>
      <x:c r="U22" s="37"/>
      <x:c r="V22" s="94" t="str">
        <x:f>IF($A22="","",MIN(20,MAX(0,$I22*2)))</x:f>
      </x:c>
      <x:c r="W22" s="94" t="str">
        <x:f>IF($A22="","",(($L22+$M22)/10)*20)</x:f>
      </x:c>
      <x:c r="X22" s="94" t="str">
        <x:f>IF($A22="","",IF($E22&gt;=1000,10,IF($E22&gt;=300,8,IF($E22&gt;=100,6,IF($E22&gt;=30,4,IF($E22&gt;0,2,0)))))+IF($F22&gt;=2,5,IF($F22&gt;=1,4,IF($F22&gt;=0.3,3,IF($F22&gt;0,2,0)))))</x:f>
      </x:c>
      <x:c r="Y22" s="94" t="str">
        <x:f>IF($A22="","",IF($G22&lt;=20,15,IF($G22&lt;=35,12,IF($G22&lt;=50,9,IF($G22&lt;=65,6,IF($G22&lt;=80,3,1))))))</x:f>
      </x:c>
      <x:c r="Z22" s="94" t="str">
        <x:f>IF($A22="","",(($N22+$O22)/10)*15)</x:f>
      </x:c>
      <x:c r="AA22" s="94" t="str">
        <x:f>IF($A22="","",(($P22+$Q22)/10)*10)</x:f>
      </x:c>
      <x:c r="AB22" s="94" t="str">
        <x:f>IF($A22="","",$R22)</x:f>
      </x:c>
      <x:c r="AC22" s="94" t="str">
        <x:f>IF($A22="","",SUM($V22:$AB22))</x:f>
      </x:c>
      <x:c r="AD22" s="100" t="str">
        <x:f>IF($A22="","",IF($AC22&gt;=75,"P0",IF($AC22&gt;=60,"P1",IF($AC22&gt;=45,"P2","P3"))))</x:f>
      </x:c>
      <x:c r="AE22" s="100" t="str">
        <x:f>IF($A22="","",IF($AC22&gt;=75,"立即写独立文章",IF($AC22&gt;=60,"排入本批内容日历",IF($AC22&gt;=45,"先做FAQ/段落或低优先文章","不单独写，合并到商业页/FAQ"))))</x:f>
      </x:c>
      <x:c r="AF22" s="37" t="str">
        <x:f>IF($A22="","",$K22&amp;" | 父级页: "&amp;$C22&amp;" | 目标URL: "&amp;$T22&amp;" | 必补: 竞品结构+原创证据+对比表+FAQ+内链CTA")</x:f>
      </x:c>
      <x:c r="AG22" s="37" t="str">
        <x:f>IF($A22="","",IF($I22&lt;4,"SERP不支持文章，优先做商业页/FAQ",IF($L22&lt;3,"产品相关弱，谨慎写",IF($N22&lt;3,"证据不足，容易变AI水文",IF($G22&gt;70,"难度偏高，需要更强外链/权威",IF($Q22&lt;3,"内链弱，先补主题簇","可进入规划"))))))</x:f>
      </x:c>
      <x:c r="AH22" s="106" t="str">
        <x:f>IF($A22="","",IF($T22="","缺少目标URL",IF(COUNTIF('页面规划'!$D$5:$D$104,$T22)&gt;0,"已匹配","未匹配")))</x:f>
      </x:c>
      <x:c r="AI22" s="37" t="str">
        <x:f>IF($A22="","",IFERROR(INDEX('页面规划'!$B$5:$B$104,MATCH($T22,'页面规划'!$D$5:$D$104,0)),""))</x:f>
      </x:c>
      <x:c r="AJ22" s="37" t="str">
        <x:f>IF($A22="","",IFERROR(INDEX('页面规划'!$F$5:$F$104,MATCH($T22,'页面规划'!$D$5:$D$104,0)),""))</x:f>
      </x:c>
      <x:c r="AK22" s="37" t="str">
        <x:f>IF($A22="","",IFERROR(INDEX('页面规划'!$H$5:$H$104,MATCH($T22,'页面规划'!$D$5:$D$104,0)),""))</x:f>
      </x:c>
      <x:c r="AL22" s="83" t="str">
        <x:f>IF($A22="","",IF($AH22="已匹配","OK：文章可内链到页面规划中的父级页","先到【页面规划】新增/修正目标URL，再排文章"))</x:f>
      </x:c>
    </x:row>
    <x:row r="23">
      <x:c r="A23" s="108"/>
      <x:c r="B23" s="37"/>
      <x:c r="C23" s="37"/>
      <x:c r="D23" s="37"/>
      <x:c r="E23" s="88"/>
      <x:c r="F23" s="91"/>
      <x:c r="G23" s="74"/>
      <x:c r="H23" s="74"/>
      <x:c r="I23" s="74"/>
      <x:c r="J23" s="37"/>
      <x:c r="K23" s="37"/>
      <x:c r="L23" s="74"/>
      <x:c r="M23" s="74"/>
      <x:c r="N23" s="74"/>
      <x:c r="O23" s="74"/>
      <x:c r="P23" s="74"/>
      <x:c r="Q23" s="74"/>
      <x:c r="R23" s="74"/>
      <x:c r="S23" s="37"/>
      <x:c r="T23" s="37"/>
      <x:c r="U23" s="37"/>
      <x:c r="V23" s="94" t="str">
        <x:f>IF($A23="","",MIN(20,MAX(0,$I23*2)))</x:f>
      </x:c>
      <x:c r="W23" s="94" t="str">
        <x:f>IF($A23="","",(($L23+$M23)/10)*20)</x:f>
      </x:c>
      <x:c r="X23" s="94" t="str">
        <x:f>IF($A23="","",IF($E23&gt;=1000,10,IF($E23&gt;=300,8,IF($E23&gt;=100,6,IF($E23&gt;=30,4,IF($E23&gt;0,2,0)))))+IF($F23&gt;=2,5,IF($F23&gt;=1,4,IF($F23&gt;=0.3,3,IF($F23&gt;0,2,0)))))</x:f>
      </x:c>
      <x:c r="Y23" s="94" t="str">
        <x:f>IF($A23="","",IF($G23&lt;=20,15,IF($G23&lt;=35,12,IF($G23&lt;=50,9,IF($G23&lt;=65,6,IF($G23&lt;=80,3,1))))))</x:f>
      </x:c>
      <x:c r="Z23" s="94" t="str">
        <x:f>IF($A23="","",(($N23+$O23)/10)*15)</x:f>
      </x:c>
      <x:c r="AA23" s="94" t="str">
        <x:f>IF($A23="","",(($P23+$Q23)/10)*10)</x:f>
      </x:c>
      <x:c r="AB23" s="94" t="str">
        <x:f>IF($A23="","",$R23)</x:f>
      </x:c>
      <x:c r="AC23" s="94" t="str">
        <x:f>IF($A23="","",SUM($V23:$AB23))</x:f>
      </x:c>
      <x:c r="AD23" s="100" t="str">
        <x:f>IF($A23="","",IF($AC23&gt;=75,"P0",IF($AC23&gt;=60,"P1",IF($AC23&gt;=45,"P2","P3"))))</x:f>
      </x:c>
      <x:c r="AE23" s="100" t="str">
        <x:f>IF($A23="","",IF($AC23&gt;=75,"立即写独立文章",IF($AC23&gt;=60,"排入本批内容日历",IF($AC23&gt;=45,"先做FAQ/段落或低优先文章","不单独写，合并到商业页/FAQ"))))</x:f>
      </x:c>
      <x:c r="AF23" s="37" t="str">
        <x:f>IF($A23="","",$K23&amp;" | 父级页: "&amp;$C23&amp;" | 目标URL: "&amp;$T23&amp;" | 必补: 竞品结构+原创证据+对比表+FAQ+内链CTA")</x:f>
      </x:c>
      <x:c r="AG23" s="37" t="str">
        <x:f>IF($A23="","",IF($I23&lt;4,"SERP不支持文章，优先做商业页/FAQ",IF($L23&lt;3,"产品相关弱，谨慎写",IF($N23&lt;3,"证据不足，容易变AI水文",IF($G23&gt;70,"难度偏高，需要更强外链/权威",IF($Q23&lt;3,"内链弱，先补主题簇","可进入规划"))))))</x:f>
      </x:c>
      <x:c r="AH23" s="106" t="str">
        <x:f>IF($A23="","",IF($T23="","缺少目标URL",IF(COUNTIF('页面规划'!$D$5:$D$104,$T23)&gt;0,"已匹配","未匹配")))</x:f>
      </x:c>
      <x:c r="AI23" s="37" t="str">
        <x:f>IF($A23="","",IFERROR(INDEX('页面规划'!$B$5:$B$104,MATCH($T23,'页面规划'!$D$5:$D$104,0)),""))</x:f>
      </x:c>
      <x:c r="AJ23" s="37" t="str">
        <x:f>IF($A23="","",IFERROR(INDEX('页面规划'!$F$5:$F$104,MATCH($T23,'页面规划'!$D$5:$D$104,0)),""))</x:f>
      </x:c>
      <x:c r="AK23" s="37" t="str">
        <x:f>IF($A23="","",IFERROR(INDEX('页面规划'!$H$5:$H$104,MATCH($T23,'页面规划'!$D$5:$D$104,0)),""))</x:f>
      </x:c>
      <x:c r="AL23" s="83" t="str">
        <x:f>IF($A23="","",IF($AH23="已匹配","OK：文章可内链到页面规划中的父级页","先到【页面规划】新增/修正目标URL，再排文章"))</x:f>
      </x:c>
    </x:row>
    <x:row r="24">
      <x:c r="A24" s="108"/>
      <x:c r="B24" s="37"/>
      <x:c r="C24" s="37"/>
      <x:c r="D24" s="37"/>
      <x:c r="E24" s="88"/>
      <x:c r="F24" s="91"/>
      <x:c r="G24" s="74"/>
      <x:c r="H24" s="74"/>
      <x:c r="I24" s="74"/>
      <x:c r="J24" s="37"/>
      <x:c r="K24" s="37"/>
      <x:c r="L24" s="74"/>
      <x:c r="M24" s="74"/>
      <x:c r="N24" s="74"/>
      <x:c r="O24" s="74"/>
      <x:c r="P24" s="74"/>
      <x:c r="Q24" s="74"/>
      <x:c r="R24" s="74"/>
      <x:c r="S24" s="37"/>
      <x:c r="T24" s="37"/>
      <x:c r="U24" s="37"/>
      <x:c r="V24" s="94" t="str">
        <x:f>IF($A24="","",MIN(20,MAX(0,$I24*2)))</x:f>
      </x:c>
      <x:c r="W24" s="94" t="str">
        <x:f>IF($A24="","",(($L24+$M24)/10)*20)</x:f>
      </x:c>
      <x:c r="X24" s="94" t="str">
        <x:f>IF($A24="","",IF($E24&gt;=1000,10,IF($E24&gt;=300,8,IF($E24&gt;=100,6,IF($E24&gt;=30,4,IF($E24&gt;0,2,0)))))+IF($F24&gt;=2,5,IF($F24&gt;=1,4,IF($F24&gt;=0.3,3,IF($F24&gt;0,2,0)))))</x:f>
      </x:c>
      <x:c r="Y24" s="94" t="str">
        <x:f>IF($A24="","",IF($G24&lt;=20,15,IF($G24&lt;=35,12,IF($G24&lt;=50,9,IF($G24&lt;=65,6,IF($G24&lt;=80,3,1))))))</x:f>
      </x:c>
      <x:c r="Z24" s="94" t="str">
        <x:f>IF($A24="","",(($N24+$O24)/10)*15)</x:f>
      </x:c>
      <x:c r="AA24" s="94" t="str">
        <x:f>IF($A24="","",(($P24+$Q24)/10)*10)</x:f>
      </x:c>
      <x:c r="AB24" s="94" t="str">
        <x:f>IF($A24="","",$R24)</x:f>
      </x:c>
      <x:c r="AC24" s="94" t="str">
        <x:f>IF($A24="","",SUM($V24:$AB24))</x:f>
      </x:c>
      <x:c r="AD24" s="100" t="str">
        <x:f>IF($A24="","",IF($AC24&gt;=75,"P0",IF($AC24&gt;=60,"P1",IF($AC24&gt;=45,"P2","P3"))))</x:f>
      </x:c>
      <x:c r="AE24" s="100" t="str">
        <x:f>IF($A24="","",IF($AC24&gt;=75,"立即写独立文章",IF($AC24&gt;=60,"排入本批内容日历",IF($AC24&gt;=45,"先做FAQ/段落或低优先文章","不单独写，合并到商业页/FAQ"))))</x:f>
      </x:c>
      <x:c r="AF24" s="37" t="str">
        <x:f>IF($A24="","",$K24&amp;" | 父级页: "&amp;$C24&amp;" | 目标URL: "&amp;$T24&amp;" | 必补: 竞品结构+原创证据+对比表+FAQ+内链CTA")</x:f>
      </x:c>
      <x:c r="AG24" s="37" t="str">
        <x:f>IF($A24="","",IF($I24&lt;4,"SERP不支持文章，优先做商业页/FAQ",IF($L24&lt;3,"产品相关弱，谨慎写",IF($N24&lt;3,"证据不足，容易变AI水文",IF($G24&gt;70,"难度偏高，需要更强外链/权威",IF($Q24&lt;3,"内链弱，先补主题簇","可进入规划"))))))</x:f>
      </x:c>
      <x:c r="AH24" s="106" t="str">
        <x:f>IF($A24="","",IF($T24="","缺少目标URL",IF(COUNTIF('页面规划'!$D$5:$D$104,$T24)&gt;0,"已匹配","未匹配")))</x:f>
      </x:c>
      <x:c r="AI24" s="37" t="str">
        <x:f>IF($A24="","",IFERROR(INDEX('页面规划'!$B$5:$B$104,MATCH($T24,'页面规划'!$D$5:$D$104,0)),""))</x:f>
      </x:c>
      <x:c r="AJ24" s="37" t="str">
        <x:f>IF($A24="","",IFERROR(INDEX('页面规划'!$F$5:$F$104,MATCH($T24,'页面规划'!$D$5:$D$104,0)),""))</x:f>
      </x:c>
      <x:c r="AK24" s="37" t="str">
        <x:f>IF($A24="","",IFERROR(INDEX('页面规划'!$H$5:$H$104,MATCH($T24,'页面规划'!$D$5:$D$104,0)),""))</x:f>
      </x:c>
      <x:c r="AL24" s="83" t="str">
        <x:f>IF($A24="","",IF($AH24="已匹配","OK：文章可内链到页面规划中的父级页","先到【页面规划】新增/修正目标URL，再排文章"))</x:f>
      </x:c>
    </x:row>
    <x:row r="25">
      <x:c r="A25" s="108"/>
      <x:c r="B25" s="37"/>
      <x:c r="C25" s="37"/>
      <x:c r="D25" s="37"/>
      <x:c r="E25" s="88"/>
      <x:c r="F25" s="91"/>
      <x:c r="G25" s="74"/>
      <x:c r="H25" s="74"/>
      <x:c r="I25" s="74"/>
      <x:c r="J25" s="37"/>
      <x:c r="K25" s="37"/>
      <x:c r="L25" s="74"/>
      <x:c r="M25" s="74"/>
      <x:c r="N25" s="74"/>
      <x:c r="O25" s="74"/>
      <x:c r="P25" s="74"/>
      <x:c r="Q25" s="74"/>
      <x:c r="R25" s="74"/>
      <x:c r="S25" s="37"/>
      <x:c r="T25" s="37"/>
      <x:c r="U25" s="37"/>
      <x:c r="V25" s="94" t="str">
        <x:f>IF($A25="","",MIN(20,MAX(0,$I25*2)))</x:f>
      </x:c>
      <x:c r="W25" s="94" t="str">
        <x:f>IF($A25="","",(($L25+$M25)/10)*20)</x:f>
      </x:c>
      <x:c r="X25" s="94" t="str">
        <x:f>IF($A25="","",IF($E25&gt;=1000,10,IF($E25&gt;=300,8,IF($E25&gt;=100,6,IF($E25&gt;=30,4,IF($E25&gt;0,2,0)))))+IF($F25&gt;=2,5,IF($F25&gt;=1,4,IF($F25&gt;=0.3,3,IF($F25&gt;0,2,0)))))</x:f>
      </x:c>
      <x:c r="Y25" s="94" t="str">
        <x:f>IF($A25="","",IF($G25&lt;=20,15,IF($G25&lt;=35,12,IF($G25&lt;=50,9,IF($G25&lt;=65,6,IF($G25&lt;=80,3,1))))))</x:f>
      </x:c>
      <x:c r="Z25" s="94" t="str">
        <x:f>IF($A25="","",(($N25+$O25)/10)*15)</x:f>
      </x:c>
      <x:c r="AA25" s="94" t="str">
        <x:f>IF($A25="","",(($P25+$Q25)/10)*10)</x:f>
      </x:c>
      <x:c r="AB25" s="94" t="str">
        <x:f>IF($A25="","",$R25)</x:f>
      </x:c>
      <x:c r="AC25" s="94" t="str">
        <x:f>IF($A25="","",SUM($V25:$AB25))</x:f>
      </x:c>
      <x:c r="AD25" s="100" t="str">
        <x:f>IF($A25="","",IF($AC25&gt;=75,"P0",IF($AC25&gt;=60,"P1",IF($AC25&gt;=45,"P2","P3"))))</x:f>
      </x:c>
      <x:c r="AE25" s="100" t="str">
        <x:f>IF($A25="","",IF($AC25&gt;=75,"立即写独立文章",IF($AC25&gt;=60,"排入本批内容日历",IF($AC25&gt;=45,"先做FAQ/段落或低优先文章","不单独写，合并到商业页/FAQ"))))</x:f>
      </x:c>
      <x:c r="AF25" s="37" t="str">
        <x:f>IF($A25="","",$K25&amp;" | 父级页: "&amp;$C25&amp;" | 目标URL: "&amp;$T25&amp;" | 必补: 竞品结构+原创证据+对比表+FAQ+内链CTA")</x:f>
      </x:c>
      <x:c r="AG25" s="37" t="str">
        <x:f>IF($A25="","",IF($I25&lt;4,"SERP不支持文章，优先做商业页/FAQ",IF($L25&lt;3,"产品相关弱，谨慎写",IF($N25&lt;3,"证据不足，容易变AI水文",IF($G25&gt;70,"难度偏高，需要更强外链/权威",IF($Q25&lt;3,"内链弱，先补主题簇","可进入规划"))))))</x:f>
      </x:c>
      <x:c r="AH25" s="106" t="str">
        <x:f>IF($A25="","",IF($T25="","缺少目标URL",IF(COUNTIF('页面规划'!$D$5:$D$104,$T25)&gt;0,"已匹配","未匹配")))</x:f>
      </x:c>
      <x:c r="AI25" s="37" t="str">
        <x:f>IF($A25="","",IFERROR(INDEX('页面规划'!$B$5:$B$104,MATCH($T25,'页面规划'!$D$5:$D$104,0)),""))</x:f>
      </x:c>
      <x:c r="AJ25" s="37" t="str">
        <x:f>IF($A25="","",IFERROR(INDEX('页面规划'!$F$5:$F$104,MATCH($T25,'页面规划'!$D$5:$D$104,0)),""))</x:f>
      </x:c>
      <x:c r="AK25" s="37" t="str">
        <x:f>IF($A25="","",IFERROR(INDEX('页面规划'!$H$5:$H$104,MATCH($T25,'页面规划'!$D$5:$D$104,0)),""))</x:f>
      </x:c>
      <x:c r="AL25" s="83" t="str">
        <x:f>IF($A25="","",IF($AH25="已匹配","OK：文章可内链到页面规划中的父级页","先到【页面规划】新增/修正目标URL，再排文章"))</x:f>
      </x:c>
    </x:row>
    <x:row r="26">
      <x:c r="A26" s="108"/>
      <x:c r="B26" s="37"/>
      <x:c r="C26" s="37"/>
      <x:c r="D26" s="37"/>
      <x:c r="E26" s="88"/>
      <x:c r="F26" s="91"/>
      <x:c r="G26" s="74"/>
      <x:c r="H26" s="74"/>
      <x:c r="I26" s="74"/>
      <x:c r="J26" s="37"/>
      <x:c r="K26" s="37"/>
      <x:c r="L26" s="74"/>
      <x:c r="M26" s="74"/>
      <x:c r="N26" s="74"/>
      <x:c r="O26" s="74"/>
      <x:c r="P26" s="74"/>
      <x:c r="Q26" s="74"/>
      <x:c r="R26" s="74"/>
      <x:c r="S26" s="37"/>
      <x:c r="T26" s="37"/>
      <x:c r="U26" s="37"/>
      <x:c r="V26" s="94" t="str">
        <x:f>IF($A26="","",MIN(20,MAX(0,$I26*2)))</x:f>
      </x:c>
      <x:c r="W26" s="94" t="str">
        <x:f>IF($A26="","",(($L26+$M26)/10)*20)</x:f>
      </x:c>
      <x:c r="X26" s="94" t="str">
        <x:f>IF($A26="","",IF($E26&gt;=1000,10,IF($E26&gt;=300,8,IF($E26&gt;=100,6,IF($E26&gt;=30,4,IF($E26&gt;0,2,0)))))+IF($F26&gt;=2,5,IF($F26&gt;=1,4,IF($F26&gt;=0.3,3,IF($F26&gt;0,2,0)))))</x:f>
      </x:c>
      <x:c r="Y26" s="94" t="str">
        <x:f>IF($A26="","",IF($G26&lt;=20,15,IF($G26&lt;=35,12,IF($G26&lt;=50,9,IF($G26&lt;=65,6,IF($G26&lt;=80,3,1))))))</x:f>
      </x:c>
      <x:c r="Z26" s="94" t="str">
        <x:f>IF($A26="","",(($N26+$O26)/10)*15)</x:f>
      </x:c>
      <x:c r="AA26" s="94" t="str">
        <x:f>IF($A26="","",(($P26+$Q26)/10)*10)</x:f>
      </x:c>
      <x:c r="AB26" s="94" t="str">
        <x:f>IF($A26="","",$R26)</x:f>
      </x:c>
      <x:c r="AC26" s="94" t="str">
        <x:f>IF($A26="","",SUM($V26:$AB26))</x:f>
      </x:c>
      <x:c r="AD26" s="100" t="str">
        <x:f>IF($A26="","",IF($AC26&gt;=75,"P0",IF($AC26&gt;=60,"P1",IF($AC26&gt;=45,"P2","P3"))))</x:f>
      </x:c>
      <x:c r="AE26" s="100" t="str">
        <x:f>IF($A26="","",IF($AC26&gt;=75,"立即写独立文章",IF($AC26&gt;=60,"排入本批内容日历",IF($AC26&gt;=45,"先做FAQ/段落或低优先文章","不单独写，合并到商业页/FAQ"))))</x:f>
      </x:c>
      <x:c r="AF26" s="37" t="str">
        <x:f>IF($A26="","",$K26&amp;" | 父级页: "&amp;$C26&amp;" | 目标URL: "&amp;$T26&amp;" | 必补: 竞品结构+原创证据+对比表+FAQ+内链CTA")</x:f>
      </x:c>
      <x:c r="AG26" s="37" t="str">
        <x:f>IF($A26="","",IF($I26&lt;4,"SERP不支持文章，优先做商业页/FAQ",IF($L26&lt;3,"产品相关弱，谨慎写",IF($N26&lt;3,"证据不足，容易变AI水文",IF($G26&gt;70,"难度偏高，需要更强外链/权威",IF($Q26&lt;3,"内链弱，先补主题簇","可进入规划"))))))</x:f>
      </x:c>
      <x:c r="AH26" s="106" t="str">
        <x:f>IF($A26="","",IF($T26="","缺少目标URL",IF(COUNTIF('页面规划'!$D$5:$D$104,$T26)&gt;0,"已匹配","未匹配")))</x:f>
      </x:c>
      <x:c r="AI26" s="37" t="str">
        <x:f>IF($A26="","",IFERROR(INDEX('页面规划'!$B$5:$B$104,MATCH($T26,'页面规划'!$D$5:$D$104,0)),""))</x:f>
      </x:c>
      <x:c r="AJ26" s="37" t="str">
        <x:f>IF($A26="","",IFERROR(INDEX('页面规划'!$F$5:$F$104,MATCH($T26,'页面规划'!$D$5:$D$104,0)),""))</x:f>
      </x:c>
      <x:c r="AK26" s="37" t="str">
        <x:f>IF($A26="","",IFERROR(INDEX('页面规划'!$H$5:$H$104,MATCH($T26,'页面规划'!$D$5:$D$104,0)),""))</x:f>
      </x:c>
      <x:c r="AL26" s="83" t="str">
        <x:f>IF($A26="","",IF($AH26="已匹配","OK：文章可内链到页面规划中的父级页","先到【页面规划】新增/修正目标URL，再排文章"))</x:f>
      </x:c>
    </x:row>
    <x:row r="27">
      <x:c r="A27" s="108"/>
      <x:c r="B27" s="37"/>
      <x:c r="C27" s="37"/>
      <x:c r="D27" s="37"/>
      <x:c r="E27" s="88"/>
      <x:c r="F27" s="91"/>
      <x:c r="G27" s="74"/>
      <x:c r="H27" s="74"/>
      <x:c r="I27" s="74"/>
      <x:c r="J27" s="37"/>
      <x:c r="K27" s="37"/>
      <x:c r="L27" s="74"/>
      <x:c r="M27" s="74"/>
      <x:c r="N27" s="74"/>
      <x:c r="O27" s="74"/>
      <x:c r="P27" s="74"/>
      <x:c r="Q27" s="74"/>
      <x:c r="R27" s="74"/>
      <x:c r="S27" s="37"/>
      <x:c r="T27" s="37"/>
      <x:c r="U27" s="37"/>
      <x:c r="V27" s="94" t="str">
        <x:f>IF($A27="","",MIN(20,MAX(0,$I27*2)))</x:f>
      </x:c>
      <x:c r="W27" s="94" t="str">
        <x:f>IF($A27="","",(($L27+$M27)/10)*20)</x:f>
      </x:c>
      <x:c r="X27" s="94" t="str">
        <x:f>IF($A27="","",IF($E27&gt;=1000,10,IF($E27&gt;=300,8,IF($E27&gt;=100,6,IF($E27&gt;=30,4,IF($E27&gt;0,2,0)))))+IF($F27&gt;=2,5,IF($F27&gt;=1,4,IF($F27&gt;=0.3,3,IF($F27&gt;0,2,0)))))</x:f>
      </x:c>
      <x:c r="Y27" s="94" t="str">
        <x:f>IF($A27="","",IF($G27&lt;=20,15,IF($G27&lt;=35,12,IF($G27&lt;=50,9,IF($G27&lt;=65,6,IF($G27&lt;=80,3,1))))))</x:f>
      </x:c>
      <x:c r="Z27" s="94" t="str">
        <x:f>IF($A27="","",(($N27+$O27)/10)*15)</x:f>
      </x:c>
      <x:c r="AA27" s="94" t="str">
        <x:f>IF($A27="","",(($P27+$Q27)/10)*10)</x:f>
      </x:c>
      <x:c r="AB27" s="94" t="str">
        <x:f>IF($A27="","",$R27)</x:f>
      </x:c>
      <x:c r="AC27" s="94" t="str">
        <x:f>IF($A27="","",SUM($V27:$AB27))</x:f>
      </x:c>
      <x:c r="AD27" s="100" t="str">
        <x:f>IF($A27="","",IF($AC27&gt;=75,"P0",IF($AC27&gt;=60,"P1",IF($AC27&gt;=45,"P2","P3"))))</x:f>
      </x:c>
      <x:c r="AE27" s="100" t="str">
        <x:f>IF($A27="","",IF($AC27&gt;=75,"立即写独立文章",IF($AC27&gt;=60,"排入本批内容日历",IF($AC27&gt;=45,"先做FAQ/段落或低优先文章","不单独写，合并到商业页/FAQ"))))</x:f>
      </x:c>
      <x:c r="AF27" s="37" t="str">
        <x:f>IF($A27="","",$K27&amp;" | 父级页: "&amp;$C27&amp;" | 目标URL: "&amp;$T27&amp;" | 必补: 竞品结构+原创证据+对比表+FAQ+内链CTA")</x:f>
      </x:c>
      <x:c r="AG27" s="37" t="str">
        <x:f>IF($A27="","",IF($I27&lt;4,"SERP不支持文章，优先做商业页/FAQ",IF($L27&lt;3,"产品相关弱，谨慎写",IF($N27&lt;3,"证据不足，容易变AI水文",IF($G27&gt;70,"难度偏高，需要更强外链/权威",IF($Q27&lt;3,"内链弱，先补主题簇","可进入规划"))))))</x:f>
      </x:c>
      <x:c r="AH27" s="106" t="str">
        <x:f>IF($A27="","",IF($T27="","缺少目标URL",IF(COUNTIF('页面规划'!$D$5:$D$104,$T27)&gt;0,"已匹配","未匹配")))</x:f>
      </x:c>
      <x:c r="AI27" s="37" t="str">
        <x:f>IF($A27="","",IFERROR(INDEX('页面规划'!$B$5:$B$104,MATCH($T27,'页面规划'!$D$5:$D$104,0)),""))</x:f>
      </x:c>
      <x:c r="AJ27" s="37" t="str">
        <x:f>IF($A27="","",IFERROR(INDEX('页面规划'!$F$5:$F$104,MATCH($T27,'页面规划'!$D$5:$D$104,0)),""))</x:f>
      </x:c>
      <x:c r="AK27" s="37" t="str">
        <x:f>IF($A27="","",IFERROR(INDEX('页面规划'!$H$5:$H$104,MATCH($T27,'页面规划'!$D$5:$D$104,0)),""))</x:f>
      </x:c>
      <x:c r="AL27" s="83" t="str">
        <x:f>IF($A27="","",IF($AH27="已匹配","OK：文章可内链到页面规划中的父级页","先到【页面规划】新增/修正目标URL，再排文章"))</x:f>
      </x:c>
    </x:row>
    <x:row r="28">
      <x:c r="A28" s="108"/>
      <x:c r="B28" s="37"/>
      <x:c r="C28" s="37"/>
      <x:c r="D28" s="37"/>
      <x:c r="E28" s="88"/>
      <x:c r="F28" s="91"/>
      <x:c r="G28" s="74"/>
      <x:c r="H28" s="74"/>
      <x:c r="I28" s="74"/>
      <x:c r="J28" s="37"/>
      <x:c r="K28" s="37"/>
      <x:c r="L28" s="74"/>
      <x:c r="M28" s="74"/>
      <x:c r="N28" s="74"/>
      <x:c r="O28" s="74"/>
      <x:c r="P28" s="74"/>
      <x:c r="Q28" s="74"/>
      <x:c r="R28" s="74"/>
      <x:c r="S28" s="37"/>
      <x:c r="T28" s="37"/>
      <x:c r="U28" s="37"/>
      <x:c r="V28" s="94" t="str">
        <x:f>IF($A28="","",MIN(20,MAX(0,$I28*2)))</x:f>
      </x:c>
      <x:c r="W28" s="94" t="str">
        <x:f>IF($A28="","",(($L28+$M28)/10)*20)</x:f>
      </x:c>
      <x:c r="X28" s="94" t="str">
        <x:f>IF($A28="","",IF($E28&gt;=1000,10,IF($E28&gt;=300,8,IF($E28&gt;=100,6,IF($E28&gt;=30,4,IF($E28&gt;0,2,0)))))+IF($F28&gt;=2,5,IF($F28&gt;=1,4,IF($F28&gt;=0.3,3,IF($F28&gt;0,2,0)))))</x:f>
      </x:c>
      <x:c r="Y28" s="94" t="str">
        <x:f>IF($A28="","",IF($G28&lt;=20,15,IF($G28&lt;=35,12,IF($G28&lt;=50,9,IF($G28&lt;=65,6,IF($G28&lt;=80,3,1))))))</x:f>
      </x:c>
      <x:c r="Z28" s="94" t="str">
        <x:f>IF($A28="","",(($N28+$O28)/10)*15)</x:f>
      </x:c>
      <x:c r="AA28" s="94" t="str">
        <x:f>IF($A28="","",(($P28+$Q28)/10)*10)</x:f>
      </x:c>
      <x:c r="AB28" s="94" t="str">
        <x:f>IF($A28="","",$R28)</x:f>
      </x:c>
      <x:c r="AC28" s="94" t="str">
        <x:f>IF($A28="","",SUM($V28:$AB28))</x:f>
      </x:c>
      <x:c r="AD28" s="100" t="str">
        <x:f>IF($A28="","",IF($AC28&gt;=75,"P0",IF($AC28&gt;=60,"P1",IF($AC28&gt;=45,"P2","P3"))))</x:f>
      </x:c>
      <x:c r="AE28" s="100" t="str">
        <x:f>IF($A28="","",IF($AC28&gt;=75,"立即写独立文章",IF($AC28&gt;=60,"排入本批内容日历",IF($AC28&gt;=45,"先做FAQ/段落或低优先文章","不单独写，合并到商业页/FAQ"))))</x:f>
      </x:c>
      <x:c r="AF28" s="37" t="str">
        <x:f>IF($A28="","",$K28&amp;" | 父级页: "&amp;$C28&amp;" | 目标URL: "&amp;$T28&amp;" | 必补: 竞品结构+原创证据+对比表+FAQ+内链CTA")</x:f>
      </x:c>
      <x:c r="AG28" s="37" t="str">
        <x:f>IF($A28="","",IF($I28&lt;4,"SERP不支持文章，优先做商业页/FAQ",IF($L28&lt;3,"产品相关弱，谨慎写",IF($N28&lt;3,"证据不足，容易变AI水文",IF($G28&gt;70,"难度偏高，需要更强外链/权威",IF($Q28&lt;3,"内链弱，先补主题簇","可进入规划"))))))</x:f>
      </x:c>
      <x:c r="AH28" s="106" t="str">
        <x:f>IF($A28="","",IF($T28="","缺少目标URL",IF(COUNTIF('页面规划'!$D$5:$D$104,$T28)&gt;0,"已匹配","未匹配")))</x:f>
      </x:c>
      <x:c r="AI28" s="37" t="str">
        <x:f>IF($A28="","",IFERROR(INDEX('页面规划'!$B$5:$B$104,MATCH($T28,'页面规划'!$D$5:$D$104,0)),""))</x:f>
      </x:c>
      <x:c r="AJ28" s="37" t="str">
        <x:f>IF($A28="","",IFERROR(INDEX('页面规划'!$F$5:$F$104,MATCH($T28,'页面规划'!$D$5:$D$104,0)),""))</x:f>
      </x:c>
      <x:c r="AK28" s="37" t="str">
        <x:f>IF($A28="","",IFERROR(INDEX('页面规划'!$H$5:$H$104,MATCH($T28,'页面规划'!$D$5:$D$104,0)),""))</x:f>
      </x:c>
      <x:c r="AL28" s="83" t="str">
        <x:f>IF($A28="","",IF($AH28="已匹配","OK：文章可内链到页面规划中的父级页","先到【页面规划】新增/修正目标URL，再排文章"))</x:f>
      </x:c>
    </x:row>
    <x:row r="29">
      <x:c r="A29" s="108"/>
      <x:c r="B29" s="37"/>
      <x:c r="C29" s="37"/>
      <x:c r="D29" s="37"/>
      <x:c r="E29" s="88"/>
      <x:c r="F29" s="91"/>
      <x:c r="G29" s="74"/>
      <x:c r="H29" s="74"/>
      <x:c r="I29" s="74"/>
      <x:c r="J29" s="37"/>
      <x:c r="K29" s="37"/>
      <x:c r="L29" s="74"/>
      <x:c r="M29" s="74"/>
      <x:c r="N29" s="74"/>
      <x:c r="O29" s="74"/>
      <x:c r="P29" s="74"/>
      <x:c r="Q29" s="74"/>
      <x:c r="R29" s="74"/>
      <x:c r="S29" s="37"/>
      <x:c r="T29" s="37"/>
      <x:c r="U29" s="37"/>
      <x:c r="V29" s="94" t="str">
        <x:f>IF($A29="","",MIN(20,MAX(0,$I29*2)))</x:f>
      </x:c>
      <x:c r="W29" s="94" t="str">
        <x:f>IF($A29="","",(($L29+$M29)/10)*20)</x:f>
      </x:c>
      <x:c r="X29" s="94" t="str">
        <x:f>IF($A29="","",IF($E29&gt;=1000,10,IF($E29&gt;=300,8,IF($E29&gt;=100,6,IF($E29&gt;=30,4,IF($E29&gt;0,2,0)))))+IF($F29&gt;=2,5,IF($F29&gt;=1,4,IF($F29&gt;=0.3,3,IF($F29&gt;0,2,0)))))</x:f>
      </x:c>
      <x:c r="Y29" s="94" t="str">
        <x:f>IF($A29="","",IF($G29&lt;=20,15,IF($G29&lt;=35,12,IF($G29&lt;=50,9,IF($G29&lt;=65,6,IF($G29&lt;=80,3,1))))))</x:f>
      </x:c>
      <x:c r="Z29" s="94" t="str">
        <x:f>IF($A29="","",(($N29+$O29)/10)*15)</x:f>
      </x:c>
      <x:c r="AA29" s="94" t="str">
        <x:f>IF($A29="","",(($P29+$Q29)/10)*10)</x:f>
      </x:c>
      <x:c r="AB29" s="94" t="str">
        <x:f>IF($A29="","",$R29)</x:f>
      </x:c>
      <x:c r="AC29" s="94" t="str">
        <x:f>IF($A29="","",SUM($V29:$AB29))</x:f>
      </x:c>
      <x:c r="AD29" s="100" t="str">
        <x:f>IF($A29="","",IF($AC29&gt;=75,"P0",IF($AC29&gt;=60,"P1",IF($AC29&gt;=45,"P2","P3"))))</x:f>
      </x:c>
      <x:c r="AE29" s="100" t="str">
        <x:f>IF($A29="","",IF($AC29&gt;=75,"立即写独立文章",IF($AC29&gt;=60,"排入本批内容日历",IF($AC29&gt;=45,"先做FAQ/段落或低优先文章","不单独写，合并到商业页/FAQ"))))</x:f>
      </x:c>
      <x:c r="AF29" s="37" t="str">
        <x:f>IF($A29="","",$K29&amp;" | 父级页: "&amp;$C29&amp;" | 目标URL: "&amp;$T29&amp;" | 必补: 竞品结构+原创证据+对比表+FAQ+内链CTA")</x:f>
      </x:c>
      <x:c r="AG29" s="37" t="str">
        <x:f>IF($A29="","",IF($I29&lt;4,"SERP不支持文章，优先做商业页/FAQ",IF($L29&lt;3,"产品相关弱，谨慎写",IF($N29&lt;3,"证据不足，容易变AI水文",IF($G29&gt;70,"难度偏高，需要更强外链/权威",IF($Q29&lt;3,"内链弱，先补主题簇","可进入规划"))))))</x:f>
      </x:c>
      <x:c r="AH29" s="106" t="str">
        <x:f>IF($A29="","",IF($T29="","缺少目标URL",IF(COUNTIF('页面规划'!$D$5:$D$104,$T29)&gt;0,"已匹配","未匹配")))</x:f>
      </x:c>
      <x:c r="AI29" s="37" t="str">
        <x:f>IF($A29="","",IFERROR(INDEX('页面规划'!$B$5:$B$104,MATCH($T29,'页面规划'!$D$5:$D$104,0)),""))</x:f>
      </x:c>
      <x:c r="AJ29" s="37" t="str">
        <x:f>IF($A29="","",IFERROR(INDEX('页面规划'!$F$5:$F$104,MATCH($T29,'页面规划'!$D$5:$D$104,0)),""))</x:f>
      </x:c>
      <x:c r="AK29" s="37" t="str">
        <x:f>IF($A29="","",IFERROR(INDEX('页面规划'!$H$5:$H$104,MATCH($T29,'页面规划'!$D$5:$D$104,0)),""))</x:f>
      </x:c>
      <x:c r="AL29" s="83" t="str">
        <x:f>IF($A29="","",IF($AH29="已匹配","OK：文章可内链到页面规划中的父级页","先到【页面规划】新增/修正目标URL，再排文章"))</x:f>
      </x:c>
    </x:row>
    <x:row r="30">
      <x:c r="A30" s="108"/>
      <x:c r="B30" s="37"/>
      <x:c r="C30" s="37"/>
      <x:c r="D30" s="37"/>
      <x:c r="E30" s="88"/>
      <x:c r="F30" s="91"/>
      <x:c r="G30" s="74"/>
      <x:c r="H30" s="74"/>
      <x:c r="I30" s="74"/>
      <x:c r="J30" s="37"/>
      <x:c r="K30" s="37"/>
      <x:c r="L30" s="74"/>
      <x:c r="M30" s="74"/>
      <x:c r="N30" s="74"/>
      <x:c r="O30" s="74"/>
      <x:c r="P30" s="74"/>
      <x:c r="Q30" s="74"/>
      <x:c r="R30" s="74"/>
      <x:c r="S30" s="37"/>
      <x:c r="T30" s="37"/>
      <x:c r="U30" s="37"/>
      <x:c r="V30" s="94" t="str">
        <x:f>IF($A30="","",MIN(20,MAX(0,$I30*2)))</x:f>
      </x:c>
      <x:c r="W30" s="94" t="str">
        <x:f>IF($A30="","",(($L30+$M30)/10)*20)</x:f>
      </x:c>
      <x:c r="X30" s="94" t="str">
        <x:f>IF($A30="","",IF($E30&gt;=1000,10,IF($E30&gt;=300,8,IF($E30&gt;=100,6,IF($E30&gt;=30,4,IF($E30&gt;0,2,0)))))+IF($F30&gt;=2,5,IF($F30&gt;=1,4,IF($F30&gt;=0.3,3,IF($F30&gt;0,2,0)))))</x:f>
      </x:c>
      <x:c r="Y30" s="94" t="str">
        <x:f>IF($A30="","",IF($G30&lt;=20,15,IF($G30&lt;=35,12,IF($G30&lt;=50,9,IF($G30&lt;=65,6,IF($G30&lt;=80,3,1))))))</x:f>
      </x:c>
      <x:c r="Z30" s="94" t="str">
        <x:f>IF($A30="","",(($N30+$O30)/10)*15)</x:f>
      </x:c>
      <x:c r="AA30" s="94" t="str">
        <x:f>IF($A30="","",(($P30+$Q30)/10)*10)</x:f>
      </x:c>
      <x:c r="AB30" s="94" t="str">
        <x:f>IF($A30="","",$R30)</x:f>
      </x:c>
      <x:c r="AC30" s="94" t="str">
        <x:f>IF($A30="","",SUM($V30:$AB30))</x:f>
      </x:c>
      <x:c r="AD30" s="100" t="str">
        <x:f>IF($A30="","",IF($AC30&gt;=75,"P0",IF($AC30&gt;=60,"P1",IF($AC30&gt;=45,"P2","P3"))))</x:f>
      </x:c>
      <x:c r="AE30" s="100" t="str">
        <x:f>IF($A30="","",IF($AC30&gt;=75,"立即写独立文章",IF($AC30&gt;=60,"排入本批内容日历",IF($AC30&gt;=45,"先做FAQ/段落或低优先文章","不单独写，合并到商业页/FAQ"))))</x:f>
      </x:c>
      <x:c r="AF30" s="37" t="str">
        <x:f>IF($A30="","",$K30&amp;" | 父级页: "&amp;$C30&amp;" | 目标URL: "&amp;$T30&amp;" | 必补: 竞品结构+原创证据+对比表+FAQ+内链CTA")</x:f>
      </x:c>
      <x:c r="AG30" s="37" t="str">
        <x:f>IF($A30="","",IF($I30&lt;4,"SERP不支持文章，优先做商业页/FAQ",IF($L30&lt;3,"产品相关弱，谨慎写",IF($N30&lt;3,"证据不足，容易变AI水文",IF($G30&gt;70,"难度偏高，需要更强外链/权威",IF($Q30&lt;3,"内链弱，先补主题簇","可进入规划"))))))</x:f>
      </x:c>
      <x:c r="AH30" s="106" t="str">
        <x:f>IF($A30="","",IF($T30="","缺少目标URL",IF(COUNTIF('页面规划'!$D$5:$D$104,$T30)&gt;0,"已匹配","未匹配")))</x:f>
      </x:c>
      <x:c r="AI30" s="37" t="str">
        <x:f>IF($A30="","",IFERROR(INDEX('页面规划'!$B$5:$B$104,MATCH($T30,'页面规划'!$D$5:$D$104,0)),""))</x:f>
      </x:c>
      <x:c r="AJ30" s="37" t="str">
        <x:f>IF($A30="","",IFERROR(INDEX('页面规划'!$F$5:$F$104,MATCH($T30,'页面规划'!$D$5:$D$104,0)),""))</x:f>
      </x:c>
      <x:c r="AK30" s="37" t="str">
        <x:f>IF($A30="","",IFERROR(INDEX('页面规划'!$H$5:$H$104,MATCH($T30,'页面规划'!$D$5:$D$104,0)),""))</x:f>
      </x:c>
      <x:c r="AL30" s="83" t="str">
        <x:f>IF($A30="","",IF($AH30="已匹配","OK：文章可内链到页面规划中的父级页","先到【页面规划】新增/修正目标URL，再排文章"))</x:f>
      </x:c>
    </x:row>
    <x:row r="31">
      <x:c r="A31" s="108"/>
      <x:c r="B31" s="37"/>
      <x:c r="C31" s="37"/>
      <x:c r="D31" s="37"/>
      <x:c r="E31" s="88"/>
      <x:c r="F31" s="91"/>
      <x:c r="G31" s="74"/>
      <x:c r="H31" s="74"/>
      <x:c r="I31" s="74"/>
      <x:c r="J31" s="37"/>
      <x:c r="K31" s="37"/>
      <x:c r="L31" s="74"/>
      <x:c r="M31" s="74"/>
      <x:c r="N31" s="74"/>
      <x:c r="O31" s="74"/>
      <x:c r="P31" s="74"/>
      <x:c r="Q31" s="74"/>
      <x:c r="R31" s="74"/>
      <x:c r="S31" s="37"/>
      <x:c r="T31" s="37"/>
      <x:c r="U31" s="37"/>
      <x:c r="V31" s="94" t="str">
        <x:f>IF($A31="","",MIN(20,MAX(0,$I31*2)))</x:f>
      </x:c>
      <x:c r="W31" s="94" t="str">
        <x:f>IF($A31="","",(($L31+$M31)/10)*20)</x:f>
      </x:c>
      <x:c r="X31" s="94" t="str">
        <x:f>IF($A31="","",IF($E31&gt;=1000,10,IF($E31&gt;=300,8,IF($E31&gt;=100,6,IF($E31&gt;=30,4,IF($E31&gt;0,2,0)))))+IF($F31&gt;=2,5,IF($F31&gt;=1,4,IF($F31&gt;=0.3,3,IF($F31&gt;0,2,0)))))</x:f>
      </x:c>
      <x:c r="Y31" s="94" t="str">
        <x:f>IF($A31="","",IF($G31&lt;=20,15,IF($G31&lt;=35,12,IF($G31&lt;=50,9,IF($G31&lt;=65,6,IF($G31&lt;=80,3,1))))))</x:f>
      </x:c>
      <x:c r="Z31" s="94" t="str">
        <x:f>IF($A31="","",(($N31+$O31)/10)*15)</x:f>
      </x:c>
      <x:c r="AA31" s="94" t="str">
        <x:f>IF($A31="","",(($P31+$Q31)/10)*10)</x:f>
      </x:c>
      <x:c r="AB31" s="94" t="str">
        <x:f>IF($A31="","",$R31)</x:f>
      </x:c>
      <x:c r="AC31" s="94" t="str">
        <x:f>IF($A31="","",SUM($V31:$AB31))</x:f>
      </x:c>
      <x:c r="AD31" s="100" t="str">
        <x:f>IF($A31="","",IF($AC31&gt;=75,"P0",IF($AC31&gt;=60,"P1",IF($AC31&gt;=45,"P2","P3"))))</x:f>
      </x:c>
      <x:c r="AE31" s="100" t="str">
        <x:f>IF($A31="","",IF($AC31&gt;=75,"立即写独立文章",IF($AC31&gt;=60,"排入本批内容日历",IF($AC31&gt;=45,"先做FAQ/段落或低优先文章","不单独写，合并到商业页/FAQ"))))</x:f>
      </x:c>
      <x:c r="AF31" s="37" t="str">
        <x:f>IF($A31="","",$K31&amp;" | 父级页: "&amp;$C31&amp;" | 目标URL: "&amp;$T31&amp;" | 必补: 竞品结构+原创证据+对比表+FAQ+内链CTA")</x:f>
      </x:c>
      <x:c r="AG31" s="37" t="str">
        <x:f>IF($A31="","",IF($I31&lt;4,"SERP不支持文章，优先做商业页/FAQ",IF($L31&lt;3,"产品相关弱，谨慎写",IF($N31&lt;3,"证据不足，容易变AI水文",IF($G31&gt;70,"难度偏高，需要更强外链/权威",IF($Q31&lt;3,"内链弱，先补主题簇","可进入规划"))))))</x:f>
      </x:c>
      <x:c r="AH31" s="106" t="str">
        <x:f>IF($A31="","",IF($T31="","缺少目标URL",IF(COUNTIF('页面规划'!$D$5:$D$104,$T31)&gt;0,"已匹配","未匹配")))</x:f>
      </x:c>
      <x:c r="AI31" s="37" t="str">
        <x:f>IF($A31="","",IFERROR(INDEX('页面规划'!$B$5:$B$104,MATCH($T31,'页面规划'!$D$5:$D$104,0)),""))</x:f>
      </x:c>
      <x:c r="AJ31" s="37" t="str">
        <x:f>IF($A31="","",IFERROR(INDEX('页面规划'!$F$5:$F$104,MATCH($T31,'页面规划'!$D$5:$D$104,0)),""))</x:f>
      </x:c>
      <x:c r="AK31" s="37" t="str">
        <x:f>IF($A31="","",IFERROR(INDEX('页面规划'!$H$5:$H$104,MATCH($T31,'页面规划'!$D$5:$D$104,0)),""))</x:f>
      </x:c>
      <x:c r="AL31" s="83" t="str">
        <x:f>IF($A31="","",IF($AH31="已匹配","OK：文章可内链到页面规划中的父级页","先到【页面规划】新增/修正目标URL，再排文章"))</x:f>
      </x:c>
    </x:row>
    <x:row r="32">
      <x:c r="A32" s="108"/>
      <x:c r="B32" s="37"/>
      <x:c r="C32" s="37"/>
      <x:c r="D32" s="37"/>
      <x:c r="E32" s="88"/>
      <x:c r="F32" s="91"/>
      <x:c r="G32" s="74"/>
      <x:c r="H32" s="74"/>
      <x:c r="I32" s="74"/>
      <x:c r="J32" s="37"/>
      <x:c r="K32" s="37"/>
      <x:c r="L32" s="74"/>
      <x:c r="M32" s="74"/>
      <x:c r="N32" s="74"/>
      <x:c r="O32" s="74"/>
      <x:c r="P32" s="74"/>
      <x:c r="Q32" s="74"/>
      <x:c r="R32" s="74"/>
      <x:c r="S32" s="37"/>
      <x:c r="T32" s="37"/>
      <x:c r="U32" s="37"/>
      <x:c r="V32" s="94" t="str">
        <x:f>IF($A32="","",MIN(20,MAX(0,$I32*2)))</x:f>
      </x:c>
      <x:c r="W32" s="94" t="str">
        <x:f>IF($A32="","",(($L32+$M32)/10)*20)</x:f>
      </x:c>
      <x:c r="X32" s="94" t="str">
        <x:f>IF($A32="","",IF($E32&gt;=1000,10,IF($E32&gt;=300,8,IF($E32&gt;=100,6,IF($E32&gt;=30,4,IF($E32&gt;0,2,0)))))+IF($F32&gt;=2,5,IF($F32&gt;=1,4,IF($F32&gt;=0.3,3,IF($F32&gt;0,2,0)))))</x:f>
      </x:c>
      <x:c r="Y32" s="94" t="str">
        <x:f>IF($A32="","",IF($G32&lt;=20,15,IF($G32&lt;=35,12,IF($G32&lt;=50,9,IF($G32&lt;=65,6,IF($G32&lt;=80,3,1))))))</x:f>
      </x:c>
      <x:c r="Z32" s="94" t="str">
        <x:f>IF($A32="","",(($N32+$O32)/10)*15)</x:f>
      </x:c>
      <x:c r="AA32" s="94" t="str">
        <x:f>IF($A32="","",(($P32+$Q32)/10)*10)</x:f>
      </x:c>
      <x:c r="AB32" s="94" t="str">
        <x:f>IF($A32="","",$R32)</x:f>
      </x:c>
      <x:c r="AC32" s="94" t="str">
        <x:f>IF($A32="","",SUM($V32:$AB32))</x:f>
      </x:c>
      <x:c r="AD32" s="100" t="str">
        <x:f>IF($A32="","",IF($AC32&gt;=75,"P0",IF($AC32&gt;=60,"P1",IF($AC32&gt;=45,"P2","P3"))))</x:f>
      </x:c>
      <x:c r="AE32" s="100" t="str">
        <x:f>IF($A32="","",IF($AC32&gt;=75,"立即写独立文章",IF($AC32&gt;=60,"排入本批内容日历",IF($AC32&gt;=45,"先做FAQ/段落或低优先文章","不单独写，合并到商业页/FAQ"))))</x:f>
      </x:c>
      <x:c r="AF32" s="37" t="str">
        <x:f>IF($A32="","",$K32&amp;" | 父级页: "&amp;$C32&amp;" | 目标URL: "&amp;$T32&amp;" | 必补: 竞品结构+原创证据+对比表+FAQ+内链CTA")</x:f>
      </x:c>
      <x:c r="AG32" s="37" t="str">
        <x:f>IF($A32="","",IF($I32&lt;4,"SERP不支持文章，优先做商业页/FAQ",IF($L32&lt;3,"产品相关弱，谨慎写",IF($N32&lt;3,"证据不足，容易变AI水文",IF($G32&gt;70,"难度偏高，需要更强外链/权威",IF($Q32&lt;3,"内链弱，先补主题簇","可进入规划"))))))</x:f>
      </x:c>
      <x:c r="AH32" s="106" t="str">
        <x:f>IF($A32="","",IF($T32="","缺少目标URL",IF(COUNTIF('页面规划'!$D$5:$D$104,$T32)&gt;0,"已匹配","未匹配")))</x:f>
      </x:c>
      <x:c r="AI32" s="37" t="str">
        <x:f>IF($A32="","",IFERROR(INDEX('页面规划'!$B$5:$B$104,MATCH($T32,'页面规划'!$D$5:$D$104,0)),""))</x:f>
      </x:c>
      <x:c r="AJ32" s="37" t="str">
        <x:f>IF($A32="","",IFERROR(INDEX('页面规划'!$F$5:$F$104,MATCH($T32,'页面规划'!$D$5:$D$104,0)),""))</x:f>
      </x:c>
      <x:c r="AK32" s="37" t="str">
        <x:f>IF($A32="","",IFERROR(INDEX('页面规划'!$H$5:$H$104,MATCH($T32,'页面规划'!$D$5:$D$104,0)),""))</x:f>
      </x:c>
      <x:c r="AL32" s="83" t="str">
        <x:f>IF($A32="","",IF($AH32="已匹配","OK：文章可内链到页面规划中的父级页","先到【页面规划】新增/修正目标URL，再排文章"))</x:f>
      </x:c>
    </x:row>
    <x:row r="33">
      <x:c r="A33" s="108"/>
      <x:c r="B33" s="37"/>
      <x:c r="C33" s="37"/>
      <x:c r="D33" s="37"/>
      <x:c r="E33" s="88"/>
      <x:c r="F33" s="91"/>
      <x:c r="G33" s="74"/>
      <x:c r="H33" s="74"/>
      <x:c r="I33" s="74"/>
      <x:c r="J33" s="37"/>
      <x:c r="K33" s="37"/>
      <x:c r="L33" s="74"/>
      <x:c r="M33" s="74"/>
      <x:c r="N33" s="74"/>
      <x:c r="O33" s="74"/>
      <x:c r="P33" s="74"/>
      <x:c r="Q33" s="74"/>
      <x:c r="R33" s="74"/>
      <x:c r="S33" s="37"/>
      <x:c r="T33" s="37"/>
      <x:c r="U33" s="37"/>
      <x:c r="V33" s="94" t="str">
        <x:f>IF($A33="","",MIN(20,MAX(0,$I33*2)))</x:f>
      </x:c>
      <x:c r="W33" s="94" t="str">
        <x:f>IF($A33="","",(($L33+$M33)/10)*20)</x:f>
      </x:c>
      <x:c r="X33" s="94" t="str">
        <x:f>IF($A33="","",IF($E33&gt;=1000,10,IF($E33&gt;=300,8,IF($E33&gt;=100,6,IF($E33&gt;=30,4,IF($E33&gt;0,2,0)))))+IF($F33&gt;=2,5,IF($F33&gt;=1,4,IF($F33&gt;=0.3,3,IF($F33&gt;0,2,0)))))</x:f>
      </x:c>
      <x:c r="Y33" s="94" t="str">
        <x:f>IF($A33="","",IF($G33&lt;=20,15,IF($G33&lt;=35,12,IF($G33&lt;=50,9,IF($G33&lt;=65,6,IF($G33&lt;=80,3,1))))))</x:f>
      </x:c>
      <x:c r="Z33" s="94" t="str">
        <x:f>IF($A33="","",(($N33+$O33)/10)*15)</x:f>
      </x:c>
      <x:c r="AA33" s="94" t="str">
        <x:f>IF($A33="","",(($P33+$Q33)/10)*10)</x:f>
      </x:c>
      <x:c r="AB33" s="94" t="str">
        <x:f>IF($A33="","",$R33)</x:f>
      </x:c>
      <x:c r="AC33" s="94" t="str">
        <x:f>IF($A33="","",SUM($V33:$AB33))</x:f>
      </x:c>
      <x:c r="AD33" s="100" t="str">
        <x:f>IF($A33="","",IF($AC33&gt;=75,"P0",IF($AC33&gt;=60,"P1",IF($AC33&gt;=45,"P2","P3"))))</x:f>
      </x:c>
      <x:c r="AE33" s="100" t="str">
        <x:f>IF($A33="","",IF($AC33&gt;=75,"立即写独立文章",IF($AC33&gt;=60,"排入本批内容日历",IF($AC33&gt;=45,"先做FAQ/段落或低优先文章","不单独写，合并到商业页/FAQ"))))</x:f>
      </x:c>
      <x:c r="AF33" s="37" t="str">
        <x:f>IF($A33="","",$K33&amp;" | 父级页: "&amp;$C33&amp;" | 目标URL: "&amp;$T33&amp;" | 必补: 竞品结构+原创证据+对比表+FAQ+内链CTA")</x:f>
      </x:c>
      <x:c r="AG33" s="37" t="str">
        <x:f>IF($A33="","",IF($I33&lt;4,"SERP不支持文章，优先做商业页/FAQ",IF($L33&lt;3,"产品相关弱，谨慎写",IF($N33&lt;3,"证据不足，容易变AI水文",IF($G33&gt;70,"难度偏高，需要更强外链/权威",IF($Q33&lt;3,"内链弱，先补主题簇","可进入规划"))))))</x:f>
      </x:c>
      <x:c r="AH33" s="106" t="str">
        <x:f>IF($A33="","",IF($T33="","缺少目标URL",IF(COUNTIF('页面规划'!$D$5:$D$104,$T33)&gt;0,"已匹配","未匹配")))</x:f>
      </x:c>
      <x:c r="AI33" s="37" t="str">
        <x:f>IF($A33="","",IFERROR(INDEX('页面规划'!$B$5:$B$104,MATCH($T33,'页面规划'!$D$5:$D$104,0)),""))</x:f>
      </x:c>
      <x:c r="AJ33" s="37" t="str">
        <x:f>IF($A33="","",IFERROR(INDEX('页面规划'!$F$5:$F$104,MATCH($T33,'页面规划'!$D$5:$D$104,0)),""))</x:f>
      </x:c>
      <x:c r="AK33" s="37" t="str">
        <x:f>IF($A33="","",IFERROR(INDEX('页面规划'!$H$5:$H$104,MATCH($T33,'页面规划'!$D$5:$D$104,0)),""))</x:f>
      </x:c>
      <x:c r="AL33" s="83" t="str">
        <x:f>IF($A33="","",IF($AH33="已匹配","OK：文章可内链到页面规划中的父级页","先到【页面规划】新增/修正目标URL，再排文章"))</x:f>
      </x:c>
    </x:row>
    <x:row r="34">
      <x:c r="A34" s="108"/>
      <x:c r="B34" s="37"/>
      <x:c r="C34" s="37"/>
      <x:c r="D34" s="37"/>
      <x:c r="E34" s="88"/>
      <x:c r="F34" s="91"/>
      <x:c r="G34" s="74"/>
      <x:c r="H34" s="74"/>
      <x:c r="I34" s="74"/>
      <x:c r="J34" s="37"/>
      <x:c r="K34" s="37"/>
      <x:c r="L34" s="74"/>
      <x:c r="M34" s="74"/>
      <x:c r="N34" s="74"/>
      <x:c r="O34" s="74"/>
      <x:c r="P34" s="74"/>
      <x:c r="Q34" s="74"/>
      <x:c r="R34" s="74"/>
      <x:c r="S34" s="37"/>
      <x:c r="T34" s="37"/>
      <x:c r="U34" s="37"/>
      <x:c r="V34" s="94" t="str">
        <x:f>IF($A34="","",MIN(20,MAX(0,$I34*2)))</x:f>
      </x:c>
      <x:c r="W34" s="94" t="str">
        <x:f>IF($A34="","",(($L34+$M34)/10)*20)</x:f>
      </x:c>
      <x:c r="X34" s="94" t="str">
        <x:f>IF($A34="","",IF($E34&gt;=1000,10,IF($E34&gt;=300,8,IF($E34&gt;=100,6,IF($E34&gt;=30,4,IF($E34&gt;0,2,0)))))+IF($F34&gt;=2,5,IF($F34&gt;=1,4,IF($F34&gt;=0.3,3,IF($F34&gt;0,2,0)))))</x:f>
      </x:c>
      <x:c r="Y34" s="94" t="str">
        <x:f>IF($A34="","",IF($G34&lt;=20,15,IF($G34&lt;=35,12,IF($G34&lt;=50,9,IF($G34&lt;=65,6,IF($G34&lt;=80,3,1))))))</x:f>
      </x:c>
      <x:c r="Z34" s="94" t="str">
        <x:f>IF($A34="","",(($N34+$O34)/10)*15)</x:f>
      </x:c>
      <x:c r="AA34" s="94" t="str">
        <x:f>IF($A34="","",(($P34+$Q34)/10)*10)</x:f>
      </x:c>
      <x:c r="AB34" s="94" t="str">
        <x:f>IF($A34="","",$R34)</x:f>
      </x:c>
      <x:c r="AC34" s="94" t="str">
        <x:f>IF($A34="","",SUM($V34:$AB34))</x:f>
      </x:c>
      <x:c r="AD34" s="100" t="str">
        <x:f>IF($A34="","",IF($AC34&gt;=75,"P0",IF($AC34&gt;=60,"P1",IF($AC34&gt;=45,"P2","P3"))))</x:f>
      </x:c>
      <x:c r="AE34" s="100" t="str">
        <x:f>IF($A34="","",IF($AC34&gt;=75,"立即写独立文章",IF($AC34&gt;=60,"排入本批内容日历",IF($AC34&gt;=45,"先做FAQ/段落或低优先文章","不单独写，合并到商业页/FAQ"))))</x:f>
      </x:c>
      <x:c r="AF34" s="37" t="str">
        <x:f>IF($A34="","",$K34&amp;" | 父级页: "&amp;$C34&amp;" | 目标URL: "&amp;$T34&amp;" | 必补: 竞品结构+原创证据+对比表+FAQ+内链CTA")</x:f>
      </x:c>
      <x:c r="AG34" s="37" t="str">
        <x:f>IF($A34="","",IF($I34&lt;4,"SERP不支持文章，优先做商业页/FAQ",IF($L34&lt;3,"产品相关弱，谨慎写",IF($N34&lt;3,"证据不足，容易变AI水文",IF($G34&gt;70,"难度偏高，需要更强外链/权威",IF($Q34&lt;3,"内链弱，先补主题簇","可进入规划"))))))</x:f>
      </x:c>
      <x:c r="AH34" s="106" t="str">
        <x:f>IF($A34="","",IF($T34="","缺少目标URL",IF(COUNTIF('页面规划'!$D$5:$D$104,$T34)&gt;0,"已匹配","未匹配")))</x:f>
      </x:c>
      <x:c r="AI34" s="37" t="str">
        <x:f>IF($A34="","",IFERROR(INDEX('页面规划'!$B$5:$B$104,MATCH($T34,'页面规划'!$D$5:$D$104,0)),""))</x:f>
      </x:c>
      <x:c r="AJ34" s="37" t="str">
        <x:f>IF($A34="","",IFERROR(INDEX('页面规划'!$F$5:$F$104,MATCH($T34,'页面规划'!$D$5:$D$104,0)),""))</x:f>
      </x:c>
      <x:c r="AK34" s="37" t="str">
        <x:f>IF($A34="","",IFERROR(INDEX('页面规划'!$H$5:$H$104,MATCH($T34,'页面规划'!$D$5:$D$104,0)),""))</x:f>
      </x:c>
      <x:c r="AL34" s="83" t="str">
        <x:f>IF($A34="","",IF($AH34="已匹配","OK：文章可内链到页面规划中的父级页","先到【页面规划】新增/修正目标URL，再排文章"))</x:f>
      </x:c>
    </x:row>
    <x:row r="35">
      <x:c r="A35" s="108"/>
      <x:c r="B35" s="37"/>
      <x:c r="C35" s="37"/>
      <x:c r="D35" s="37"/>
      <x:c r="E35" s="88"/>
      <x:c r="F35" s="91"/>
      <x:c r="G35" s="74"/>
      <x:c r="H35" s="74"/>
      <x:c r="I35" s="74"/>
      <x:c r="J35" s="37"/>
      <x:c r="K35" s="37"/>
      <x:c r="L35" s="74"/>
      <x:c r="M35" s="74"/>
      <x:c r="N35" s="74"/>
      <x:c r="O35" s="74"/>
      <x:c r="P35" s="74"/>
      <x:c r="Q35" s="74"/>
      <x:c r="R35" s="74"/>
      <x:c r="S35" s="37"/>
      <x:c r="T35" s="37"/>
      <x:c r="U35" s="37"/>
      <x:c r="V35" s="94" t="str">
        <x:f>IF($A35="","",MIN(20,MAX(0,$I35*2)))</x:f>
      </x:c>
      <x:c r="W35" s="94" t="str">
        <x:f>IF($A35="","",(($L35+$M35)/10)*20)</x:f>
      </x:c>
      <x:c r="X35" s="94" t="str">
        <x:f>IF($A35="","",IF($E35&gt;=1000,10,IF($E35&gt;=300,8,IF($E35&gt;=100,6,IF($E35&gt;=30,4,IF($E35&gt;0,2,0)))))+IF($F35&gt;=2,5,IF($F35&gt;=1,4,IF($F35&gt;=0.3,3,IF($F35&gt;0,2,0)))))</x:f>
      </x:c>
      <x:c r="Y35" s="94" t="str">
        <x:f>IF($A35="","",IF($G35&lt;=20,15,IF($G35&lt;=35,12,IF($G35&lt;=50,9,IF($G35&lt;=65,6,IF($G35&lt;=80,3,1))))))</x:f>
      </x:c>
      <x:c r="Z35" s="94" t="str">
        <x:f>IF($A35="","",(($N35+$O35)/10)*15)</x:f>
      </x:c>
      <x:c r="AA35" s="94" t="str">
        <x:f>IF($A35="","",(($P35+$Q35)/10)*10)</x:f>
      </x:c>
      <x:c r="AB35" s="94" t="str">
        <x:f>IF($A35="","",$R35)</x:f>
      </x:c>
      <x:c r="AC35" s="94" t="str">
        <x:f>IF($A35="","",SUM($V35:$AB35))</x:f>
      </x:c>
      <x:c r="AD35" s="100" t="str">
        <x:f>IF($A35="","",IF($AC35&gt;=75,"P0",IF($AC35&gt;=60,"P1",IF($AC35&gt;=45,"P2","P3"))))</x:f>
      </x:c>
      <x:c r="AE35" s="100" t="str">
        <x:f>IF($A35="","",IF($AC35&gt;=75,"立即写独立文章",IF($AC35&gt;=60,"排入本批内容日历",IF($AC35&gt;=45,"先做FAQ/段落或低优先文章","不单独写，合并到商业页/FAQ"))))</x:f>
      </x:c>
      <x:c r="AF35" s="37" t="str">
        <x:f>IF($A35="","",$K35&amp;" | 父级页: "&amp;$C35&amp;" | 目标URL: "&amp;$T35&amp;" | 必补: 竞品结构+原创证据+对比表+FAQ+内链CTA")</x:f>
      </x:c>
      <x:c r="AG35" s="37" t="str">
        <x:f>IF($A35="","",IF($I35&lt;4,"SERP不支持文章，优先做商业页/FAQ",IF($L35&lt;3,"产品相关弱，谨慎写",IF($N35&lt;3,"证据不足，容易变AI水文",IF($G35&gt;70,"难度偏高，需要更强外链/权威",IF($Q35&lt;3,"内链弱，先补主题簇","可进入规划"))))))</x:f>
      </x:c>
      <x:c r="AH35" s="106" t="str">
        <x:f>IF($A35="","",IF($T35="","缺少目标URL",IF(COUNTIF('页面规划'!$D$5:$D$104,$T35)&gt;0,"已匹配","未匹配")))</x:f>
      </x:c>
      <x:c r="AI35" s="37" t="str">
        <x:f>IF($A35="","",IFERROR(INDEX('页面规划'!$B$5:$B$104,MATCH($T35,'页面规划'!$D$5:$D$104,0)),""))</x:f>
      </x:c>
      <x:c r="AJ35" s="37" t="str">
        <x:f>IF($A35="","",IFERROR(INDEX('页面规划'!$F$5:$F$104,MATCH($T35,'页面规划'!$D$5:$D$104,0)),""))</x:f>
      </x:c>
      <x:c r="AK35" s="37" t="str">
        <x:f>IF($A35="","",IFERROR(INDEX('页面规划'!$H$5:$H$104,MATCH($T35,'页面规划'!$D$5:$D$104,0)),""))</x:f>
      </x:c>
      <x:c r="AL35" s="83" t="str">
        <x:f>IF($A35="","",IF($AH35="已匹配","OK：文章可内链到页面规划中的父级页","先到【页面规划】新增/修正目标URL，再排文章"))</x:f>
      </x:c>
    </x:row>
    <x:row r="36">
      <x:c r="A36" s="108"/>
      <x:c r="B36" s="37"/>
      <x:c r="C36" s="37"/>
      <x:c r="D36" s="37"/>
      <x:c r="E36" s="88"/>
      <x:c r="F36" s="91"/>
      <x:c r="G36" s="74"/>
      <x:c r="H36" s="74"/>
      <x:c r="I36" s="74"/>
      <x:c r="J36" s="37"/>
      <x:c r="K36" s="37"/>
      <x:c r="L36" s="74"/>
      <x:c r="M36" s="74"/>
      <x:c r="N36" s="74"/>
      <x:c r="O36" s="74"/>
      <x:c r="P36" s="74"/>
      <x:c r="Q36" s="74"/>
      <x:c r="R36" s="74"/>
      <x:c r="S36" s="37"/>
      <x:c r="T36" s="37"/>
      <x:c r="U36" s="37"/>
      <x:c r="V36" s="94" t="str">
        <x:f>IF($A36="","",MIN(20,MAX(0,$I36*2)))</x:f>
      </x:c>
      <x:c r="W36" s="94" t="str">
        <x:f>IF($A36="","",(($L36+$M36)/10)*20)</x:f>
      </x:c>
      <x:c r="X36" s="94" t="str">
        <x:f>IF($A36="","",IF($E36&gt;=1000,10,IF($E36&gt;=300,8,IF($E36&gt;=100,6,IF($E36&gt;=30,4,IF($E36&gt;0,2,0)))))+IF($F36&gt;=2,5,IF($F36&gt;=1,4,IF($F36&gt;=0.3,3,IF($F36&gt;0,2,0)))))</x:f>
      </x:c>
      <x:c r="Y36" s="94" t="str">
        <x:f>IF($A36="","",IF($G36&lt;=20,15,IF($G36&lt;=35,12,IF($G36&lt;=50,9,IF($G36&lt;=65,6,IF($G36&lt;=80,3,1))))))</x:f>
      </x:c>
      <x:c r="Z36" s="94" t="str">
        <x:f>IF($A36="","",(($N36+$O36)/10)*15)</x:f>
      </x:c>
      <x:c r="AA36" s="94" t="str">
        <x:f>IF($A36="","",(($P36+$Q36)/10)*10)</x:f>
      </x:c>
      <x:c r="AB36" s="94" t="str">
        <x:f>IF($A36="","",$R36)</x:f>
      </x:c>
      <x:c r="AC36" s="94" t="str">
        <x:f>IF($A36="","",SUM($V36:$AB36))</x:f>
      </x:c>
      <x:c r="AD36" s="100" t="str">
        <x:f>IF($A36="","",IF($AC36&gt;=75,"P0",IF($AC36&gt;=60,"P1",IF($AC36&gt;=45,"P2","P3"))))</x:f>
      </x:c>
      <x:c r="AE36" s="100" t="str">
        <x:f>IF($A36="","",IF($AC36&gt;=75,"立即写独立文章",IF($AC36&gt;=60,"排入本批内容日历",IF($AC36&gt;=45,"先做FAQ/段落或低优先文章","不单独写，合并到商业页/FAQ"))))</x:f>
      </x:c>
      <x:c r="AF36" s="37" t="str">
        <x:f>IF($A36="","",$K36&amp;" | 父级页: "&amp;$C36&amp;" | 目标URL: "&amp;$T36&amp;" | 必补: 竞品结构+原创证据+对比表+FAQ+内链CTA")</x:f>
      </x:c>
      <x:c r="AG36" s="37" t="str">
        <x:f>IF($A36="","",IF($I36&lt;4,"SERP不支持文章，优先做商业页/FAQ",IF($L36&lt;3,"产品相关弱，谨慎写",IF($N36&lt;3,"证据不足，容易变AI水文",IF($G36&gt;70,"难度偏高，需要更强外链/权威",IF($Q36&lt;3,"内链弱，先补主题簇","可进入规划"))))))</x:f>
      </x:c>
      <x:c r="AH36" s="106" t="str">
        <x:f>IF($A36="","",IF($T36="","缺少目标URL",IF(COUNTIF('页面规划'!$D$5:$D$104,$T36)&gt;0,"已匹配","未匹配")))</x:f>
      </x:c>
      <x:c r="AI36" s="37" t="str">
        <x:f>IF($A36="","",IFERROR(INDEX('页面规划'!$B$5:$B$104,MATCH($T36,'页面规划'!$D$5:$D$104,0)),""))</x:f>
      </x:c>
      <x:c r="AJ36" s="37" t="str">
        <x:f>IF($A36="","",IFERROR(INDEX('页面规划'!$F$5:$F$104,MATCH($T36,'页面规划'!$D$5:$D$104,0)),""))</x:f>
      </x:c>
      <x:c r="AK36" s="37" t="str">
        <x:f>IF($A36="","",IFERROR(INDEX('页面规划'!$H$5:$H$104,MATCH($T36,'页面规划'!$D$5:$D$104,0)),""))</x:f>
      </x:c>
      <x:c r="AL36" s="83" t="str">
        <x:f>IF($A36="","",IF($AH36="已匹配","OK：文章可内链到页面规划中的父级页","先到【页面规划】新增/修正目标URL，再排文章"))</x:f>
      </x:c>
    </x:row>
    <x:row r="37">
      <x:c r="A37" s="108"/>
      <x:c r="B37" s="37"/>
      <x:c r="C37" s="37"/>
      <x:c r="D37" s="37"/>
      <x:c r="E37" s="88"/>
      <x:c r="F37" s="91"/>
      <x:c r="G37" s="74"/>
      <x:c r="H37" s="74"/>
      <x:c r="I37" s="74"/>
      <x:c r="J37" s="37"/>
      <x:c r="K37" s="37"/>
      <x:c r="L37" s="74"/>
      <x:c r="M37" s="74"/>
      <x:c r="N37" s="74"/>
      <x:c r="O37" s="74"/>
      <x:c r="P37" s="74"/>
      <x:c r="Q37" s="74"/>
      <x:c r="R37" s="74"/>
      <x:c r="S37" s="37"/>
      <x:c r="T37" s="37"/>
      <x:c r="U37" s="37"/>
      <x:c r="V37" s="94" t="str">
        <x:f>IF($A37="","",MIN(20,MAX(0,$I37*2)))</x:f>
      </x:c>
      <x:c r="W37" s="94" t="str">
        <x:f>IF($A37="","",(($L37+$M37)/10)*20)</x:f>
      </x:c>
      <x:c r="X37" s="94" t="str">
        <x:f>IF($A37="","",IF($E37&gt;=1000,10,IF($E37&gt;=300,8,IF($E37&gt;=100,6,IF($E37&gt;=30,4,IF($E37&gt;0,2,0)))))+IF($F37&gt;=2,5,IF($F37&gt;=1,4,IF($F37&gt;=0.3,3,IF($F37&gt;0,2,0)))))</x:f>
      </x:c>
      <x:c r="Y37" s="94" t="str">
        <x:f>IF($A37="","",IF($G37&lt;=20,15,IF($G37&lt;=35,12,IF($G37&lt;=50,9,IF($G37&lt;=65,6,IF($G37&lt;=80,3,1))))))</x:f>
      </x:c>
      <x:c r="Z37" s="94" t="str">
        <x:f>IF($A37="","",(($N37+$O37)/10)*15)</x:f>
      </x:c>
      <x:c r="AA37" s="94" t="str">
        <x:f>IF($A37="","",(($P37+$Q37)/10)*10)</x:f>
      </x:c>
      <x:c r="AB37" s="94" t="str">
        <x:f>IF($A37="","",$R37)</x:f>
      </x:c>
      <x:c r="AC37" s="94" t="str">
        <x:f>IF($A37="","",SUM($V37:$AB37))</x:f>
      </x:c>
      <x:c r="AD37" s="100" t="str">
        <x:f>IF($A37="","",IF($AC37&gt;=75,"P0",IF($AC37&gt;=60,"P1",IF($AC37&gt;=45,"P2","P3"))))</x:f>
      </x:c>
      <x:c r="AE37" s="100" t="str">
        <x:f>IF($A37="","",IF($AC37&gt;=75,"立即写独立文章",IF($AC37&gt;=60,"排入本批内容日历",IF($AC37&gt;=45,"先做FAQ/段落或低优先文章","不单独写，合并到商业页/FAQ"))))</x:f>
      </x:c>
      <x:c r="AF37" s="37" t="str">
        <x:f>IF($A37="","",$K37&amp;" | 父级页: "&amp;$C37&amp;" | 目标URL: "&amp;$T37&amp;" | 必补: 竞品结构+原创证据+对比表+FAQ+内链CTA")</x:f>
      </x:c>
      <x:c r="AG37" s="37" t="str">
        <x:f>IF($A37="","",IF($I37&lt;4,"SERP不支持文章，优先做商业页/FAQ",IF($L37&lt;3,"产品相关弱，谨慎写",IF($N37&lt;3,"证据不足，容易变AI水文",IF($G37&gt;70,"难度偏高，需要更强外链/权威",IF($Q37&lt;3,"内链弱，先补主题簇","可进入规划"))))))</x:f>
      </x:c>
      <x:c r="AH37" s="106" t="str">
        <x:f>IF($A37="","",IF($T37="","缺少目标URL",IF(COUNTIF('页面规划'!$D$5:$D$104,$T37)&gt;0,"已匹配","未匹配")))</x:f>
      </x:c>
      <x:c r="AI37" s="37" t="str">
        <x:f>IF($A37="","",IFERROR(INDEX('页面规划'!$B$5:$B$104,MATCH($T37,'页面规划'!$D$5:$D$104,0)),""))</x:f>
      </x:c>
      <x:c r="AJ37" s="37" t="str">
        <x:f>IF($A37="","",IFERROR(INDEX('页面规划'!$F$5:$F$104,MATCH($T37,'页面规划'!$D$5:$D$104,0)),""))</x:f>
      </x:c>
      <x:c r="AK37" s="37" t="str">
        <x:f>IF($A37="","",IFERROR(INDEX('页面规划'!$H$5:$H$104,MATCH($T37,'页面规划'!$D$5:$D$104,0)),""))</x:f>
      </x:c>
      <x:c r="AL37" s="83" t="str">
        <x:f>IF($A37="","",IF($AH37="已匹配","OK：文章可内链到页面规划中的父级页","先到【页面规划】新增/修正目标URL，再排文章"))</x:f>
      </x:c>
    </x:row>
    <x:row r="38">
      <x:c r="A38" s="108"/>
      <x:c r="B38" s="37"/>
      <x:c r="C38" s="37"/>
      <x:c r="D38" s="37"/>
      <x:c r="E38" s="88"/>
      <x:c r="F38" s="91"/>
      <x:c r="G38" s="74"/>
      <x:c r="H38" s="74"/>
      <x:c r="I38" s="74"/>
      <x:c r="J38" s="37"/>
      <x:c r="K38" s="37"/>
      <x:c r="L38" s="74"/>
      <x:c r="M38" s="74"/>
      <x:c r="N38" s="74"/>
      <x:c r="O38" s="74"/>
      <x:c r="P38" s="74"/>
      <x:c r="Q38" s="74"/>
      <x:c r="R38" s="74"/>
      <x:c r="S38" s="37"/>
      <x:c r="T38" s="37"/>
      <x:c r="U38" s="37"/>
      <x:c r="V38" s="94" t="str">
        <x:f>IF($A38="","",MIN(20,MAX(0,$I38*2)))</x:f>
      </x:c>
      <x:c r="W38" s="94" t="str">
        <x:f>IF($A38="","",(($L38+$M38)/10)*20)</x:f>
      </x:c>
      <x:c r="X38" s="94" t="str">
        <x:f>IF($A38="","",IF($E38&gt;=1000,10,IF($E38&gt;=300,8,IF($E38&gt;=100,6,IF($E38&gt;=30,4,IF($E38&gt;0,2,0)))))+IF($F38&gt;=2,5,IF($F38&gt;=1,4,IF($F38&gt;=0.3,3,IF($F38&gt;0,2,0)))))</x:f>
      </x:c>
      <x:c r="Y38" s="94" t="str">
        <x:f>IF($A38="","",IF($G38&lt;=20,15,IF($G38&lt;=35,12,IF($G38&lt;=50,9,IF($G38&lt;=65,6,IF($G38&lt;=80,3,1))))))</x:f>
      </x:c>
      <x:c r="Z38" s="94" t="str">
        <x:f>IF($A38="","",(($N38+$O38)/10)*15)</x:f>
      </x:c>
      <x:c r="AA38" s="94" t="str">
        <x:f>IF($A38="","",(($P38+$Q38)/10)*10)</x:f>
      </x:c>
      <x:c r="AB38" s="94" t="str">
        <x:f>IF($A38="","",$R38)</x:f>
      </x:c>
      <x:c r="AC38" s="94" t="str">
        <x:f>IF($A38="","",SUM($V38:$AB38))</x:f>
      </x:c>
      <x:c r="AD38" s="100" t="str">
        <x:f>IF($A38="","",IF($AC38&gt;=75,"P0",IF($AC38&gt;=60,"P1",IF($AC38&gt;=45,"P2","P3"))))</x:f>
      </x:c>
      <x:c r="AE38" s="100" t="str">
        <x:f>IF($A38="","",IF($AC38&gt;=75,"立即写独立文章",IF($AC38&gt;=60,"排入本批内容日历",IF($AC38&gt;=45,"先做FAQ/段落或低优先文章","不单独写，合并到商业页/FAQ"))))</x:f>
      </x:c>
      <x:c r="AF38" s="37" t="str">
        <x:f>IF($A38="","",$K38&amp;" | 父级页: "&amp;$C38&amp;" | 目标URL: "&amp;$T38&amp;" | 必补: 竞品结构+原创证据+对比表+FAQ+内链CTA")</x:f>
      </x:c>
      <x:c r="AG38" s="37" t="str">
        <x:f>IF($A38="","",IF($I38&lt;4,"SERP不支持文章，优先做商业页/FAQ",IF($L38&lt;3,"产品相关弱，谨慎写",IF($N38&lt;3,"证据不足，容易变AI水文",IF($G38&gt;70,"难度偏高，需要更强外链/权威",IF($Q38&lt;3,"内链弱，先补主题簇","可进入规划"))))))</x:f>
      </x:c>
      <x:c r="AH38" s="106" t="str">
        <x:f>IF($A38="","",IF($T38="","缺少目标URL",IF(COUNTIF('页面规划'!$D$5:$D$104,$T38)&gt;0,"已匹配","未匹配")))</x:f>
      </x:c>
      <x:c r="AI38" s="37" t="str">
        <x:f>IF($A38="","",IFERROR(INDEX('页面规划'!$B$5:$B$104,MATCH($T38,'页面规划'!$D$5:$D$104,0)),""))</x:f>
      </x:c>
      <x:c r="AJ38" s="37" t="str">
        <x:f>IF($A38="","",IFERROR(INDEX('页面规划'!$F$5:$F$104,MATCH($T38,'页面规划'!$D$5:$D$104,0)),""))</x:f>
      </x:c>
      <x:c r="AK38" s="37" t="str">
        <x:f>IF($A38="","",IFERROR(INDEX('页面规划'!$H$5:$H$104,MATCH($T38,'页面规划'!$D$5:$D$104,0)),""))</x:f>
      </x:c>
      <x:c r="AL38" s="83" t="str">
        <x:f>IF($A38="","",IF($AH38="已匹配","OK：文章可内链到页面规划中的父级页","先到【页面规划】新增/修正目标URL，再排文章"))</x:f>
      </x:c>
    </x:row>
    <x:row r="39">
      <x:c r="A39" s="108"/>
      <x:c r="B39" s="37"/>
      <x:c r="C39" s="37"/>
      <x:c r="D39" s="37"/>
      <x:c r="E39" s="88"/>
      <x:c r="F39" s="91"/>
      <x:c r="G39" s="74"/>
      <x:c r="H39" s="74"/>
      <x:c r="I39" s="74"/>
      <x:c r="J39" s="37"/>
      <x:c r="K39" s="37"/>
      <x:c r="L39" s="74"/>
      <x:c r="M39" s="74"/>
      <x:c r="N39" s="74"/>
      <x:c r="O39" s="74"/>
      <x:c r="P39" s="74"/>
      <x:c r="Q39" s="74"/>
      <x:c r="R39" s="74"/>
      <x:c r="S39" s="37"/>
      <x:c r="T39" s="37"/>
      <x:c r="U39" s="37"/>
      <x:c r="V39" s="94" t="str">
        <x:f>IF($A39="","",MIN(20,MAX(0,$I39*2)))</x:f>
      </x:c>
      <x:c r="W39" s="94" t="str">
        <x:f>IF($A39="","",(($L39+$M39)/10)*20)</x:f>
      </x:c>
      <x:c r="X39" s="94" t="str">
        <x:f>IF($A39="","",IF($E39&gt;=1000,10,IF($E39&gt;=300,8,IF($E39&gt;=100,6,IF($E39&gt;=30,4,IF($E39&gt;0,2,0)))))+IF($F39&gt;=2,5,IF($F39&gt;=1,4,IF($F39&gt;=0.3,3,IF($F39&gt;0,2,0)))))</x:f>
      </x:c>
      <x:c r="Y39" s="94" t="str">
        <x:f>IF($A39="","",IF($G39&lt;=20,15,IF($G39&lt;=35,12,IF($G39&lt;=50,9,IF($G39&lt;=65,6,IF($G39&lt;=80,3,1))))))</x:f>
      </x:c>
      <x:c r="Z39" s="94" t="str">
        <x:f>IF($A39="","",(($N39+$O39)/10)*15)</x:f>
      </x:c>
      <x:c r="AA39" s="94" t="str">
        <x:f>IF($A39="","",(($P39+$Q39)/10)*10)</x:f>
      </x:c>
      <x:c r="AB39" s="94" t="str">
        <x:f>IF($A39="","",$R39)</x:f>
      </x:c>
      <x:c r="AC39" s="94" t="str">
        <x:f>IF($A39="","",SUM($V39:$AB39))</x:f>
      </x:c>
      <x:c r="AD39" s="100" t="str">
        <x:f>IF($A39="","",IF($AC39&gt;=75,"P0",IF($AC39&gt;=60,"P1",IF($AC39&gt;=45,"P2","P3"))))</x:f>
      </x:c>
      <x:c r="AE39" s="100" t="str">
        <x:f>IF($A39="","",IF($AC39&gt;=75,"立即写独立文章",IF($AC39&gt;=60,"排入本批内容日历",IF($AC39&gt;=45,"先做FAQ/段落或低优先文章","不单独写，合并到商业页/FAQ"))))</x:f>
      </x:c>
      <x:c r="AF39" s="37" t="str">
        <x:f>IF($A39="","",$K39&amp;" | 父级页: "&amp;$C39&amp;" | 目标URL: "&amp;$T39&amp;" | 必补: 竞品结构+原创证据+对比表+FAQ+内链CTA")</x:f>
      </x:c>
      <x:c r="AG39" s="37" t="str">
        <x:f>IF($A39="","",IF($I39&lt;4,"SERP不支持文章，优先做商业页/FAQ",IF($L39&lt;3,"产品相关弱，谨慎写",IF($N39&lt;3,"证据不足，容易变AI水文",IF($G39&gt;70,"难度偏高，需要更强外链/权威",IF($Q39&lt;3,"内链弱，先补主题簇","可进入规划"))))))</x:f>
      </x:c>
      <x:c r="AH39" s="106" t="str">
        <x:f>IF($A39="","",IF($T39="","缺少目标URL",IF(COUNTIF('页面规划'!$D$5:$D$104,$T39)&gt;0,"已匹配","未匹配")))</x:f>
      </x:c>
      <x:c r="AI39" s="37" t="str">
        <x:f>IF($A39="","",IFERROR(INDEX('页面规划'!$B$5:$B$104,MATCH($T39,'页面规划'!$D$5:$D$104,0)),""))</x:f>
      </x:c>
      <x:c r="AJ39" s="37" t="str">
        <x:f>IF($A39="","",IFERROR(INDEX('页面规划'!$F$5:$F$104,MATCH($T39,'页面规划'!$D$5:$D$104,0)),""))</x:f>
      </x:c>
      <x:c r="AK39" s="37" t="str">
        <x:f>IF($A39="","",IFERROR(INDEX('页面规划'!$H$5:$H$104,MATCH($T39,'页面规划'!$D$5:$D$104,0)),""))</x:f>
      </x:c>
      <x:c r="AL39" s="83" t="str">
        <x:f>IF($A39="","",IF($AH39="已匹配","OK：文章可内链到页面规划中的父级页","先到【页面规划】新增/修正目标URL，再排文章"))</x:f>
      </x:c>
    </x:row>
    <x:row r="40">
      <x:c r="A40" s="108"/>
      <x:c r="B40" s="37"/>
      <x:c r="C40" s="37"/>
      <x:c r="D40" s="37"/>
      <x:c r="E40" s="88"/>
      <x:c r="F40" s="91"/>
      <x:c r="G40" s="74"/>
      <x:c r="H40" s="74"/>
      <x:c r="I40" s="74"/>
      <x:c r="J40" s="37"/>
      <x:c r="K40" s="37"/>
      <x:c r="L40" s="74"/>
      <x:c r="M40" s="74"/>
      <x:c r="N40" s="74"/>
      <x:c r="O40" s="74"/>
      <x:c r="P40" s="74"/>
      <x:c r="Q40" s="74"/>
      <x:c r="R40" s="74"/>
      <x:c r="S40" s="37"/>
      <x:c r="T40" s="37"/>
      <x:c r="U40" s="37"/>
      <x:c r="V40" s="94" t="str">
        <x:f>IF($A40="","",MIN(20,MAX(0,$I40*2)))</x:f>
      </x:c>
      <x:c r="W40" s="94" t="str">
        <x:f>IF($A40="","",(($L40+$M40)/10)*20)</x:f>
      </x:c>
      <x:c r="X40" s="94" t="str">
        <x:f>IF($A40="","",IF($E40&gt;=1000,10,IF($E40&gt;=300,8,IF($E40&gt;=100,6,IF($E40&gt;=30,4,IF($E40&gt;0,2,0)))))+IF($F40&gt;=2,5,IF($F40&gt;=1,4,IF($F40&gt;=0.3,3,IF($F40&gt;0,2,0)))))</x:f>
      </x:c>
      <x:c r="Y40" s="94" t="str">
        <x:f>IF($A40="","",IF($G40&lt;=20,15,IF($G40&lt;=35,12,IF($G40&lt;=50,9,IF($G40&lt;=65,6,IF($G40&lt;=80,3,1))))))</x:f>
      </x:c>
      <x:c r="Z40" s="94" t="str">
        <x:f>IF($A40="","",(($N40+$O40)/10)*15)</x:f>
      </x:c>
      <x:c r="AA40" s="94" t="str">
        <x:f>IF($A40="","",(($P40+$Q40)/10)*10)</x:f>
      </x:c>
      <x:c r="AB40" s="94" t="str">
        <x:f>IF($A40="","",$R40)</x:f>
      </x:c>
      <x:c r="AC40" s="94" t="str">
        <x:f>IF($A40="","",SUM($V40:$AB40))</x:f>
      </x:c>
      <x:c r="AD40" s="100" t="str">
        <x:f>IF($A40="","",IF($AC40&gt;=75,"P0",IF($AC40&gt;=60,"P1",IF($AC40&gt;=45,"P2","P3"))))</x:f>
      </x:c>
      <x:c r="AE40" s="100" t="str">
        <x:f>IF($A40="","",IF($AC40&gt;=75,"立即写独立文章",IF($AC40&gt;=60,"排入本批内容日历",IF($AC40&gt;=45,"先做FAQ/段落或低优先文章","不单独写，合并到商业页/FAQ"))))</x:f>
      </x:c>
      <x:c r="AF40" s="37" t="str">
        <x:f>IF($A40="","",$K40&amp;" | 父级页: "&amp;$C40&amp;" | 目标URL: "&amp;$T40&amp;" | 必补: 竞品结构+原创证据+对比表+FAQ+内链CTA")</x:f>
      </x:c>
      <x:c r="AG40" s="37" t="str">
        <x:f>IF($A40="","",IF($I40&lt;4,"SERP不支持文章，优先做商业页/FAQ",IF($L40&lt;3,"产品相关弱，谨慎写",IF($N40&lt;3,"证据不足，容易变AI水文",IF($G40&gt;70,"难度偏高，需要更强外链/权威",IF($Q40&lt;3,"内链弱，先补主题簇","可进入规划"))))))</x:f>
      </x:c>
      <x:c r="AH40" s="106" t="str">
        <x:f>IF($A40="","",IF($T40="","缺少目标URL",IF(COUNTIF('页面规划'!$D$5:$D$104,$T40)&gt;0,"已匹配","未匹配")))</x:f>
      </x:c>
      <x:c r="AI40" s="37" t="str">
        <x:f>IF($A40="","",IFERROR(INDEX('页面规划'!$B$5:$B$104,MATCH($T40,'页面规划'!$D$5:$D$104,0)),""))</x:f>
      </x:c>
      <x:c r="AJ40" s="37" t="str">
        <x:f>IF($A40="","",IFERROR(INDEX('页面规划'!$F$5:$F$104,MATCH($T40,'页面规划'!$D$5:$D$104,0)),""))</x:f>
      </x:c>
      <x:c r="AK40" s="37" t="str">
        <x:f>IF($A40="","",IFERROR(INDEX('页面规划'!$H$5:$H$104,MATCH($T40,'页面规划'!$D$5:$D$104,0)),""))</x:f>
      </x:c>
      <x:c r="AL40" s="83" t="str">
        <x:f>IF($A40="","",IF($AH40="已匹配","OK：文章可内链到页面规划中的父级页","先到【页面规划】新增/修正目标URL，再排文章"))</x:f>
      </x:c>
    </x:row>
    <x:row r="41">
      <x:c r="A41" s="108"/>
      <x:c r="B41" s="37"/>
      <x:c r="C41" s="37"/>
      <x:c r="D41" s="37"/>
      <x:c r="E41" s="88"/>
      <x:c r="F41" s="91"/>
      <x:c r="G41" s="74"/>
      <x:c r="H41" s="74"/>
      <x:c r="I41" s="74"/>
      <x:c r="J41" s="37"/>
      <x:c r="K41" s="37"/>
      <x:c r="L41" s="74"/>
      <x:c r="M41" s="74"/>
      <x:c r="N41" s="74"/>
      <x:c r="O41" s="74"/>
      <x:c r="P41" s="74"/>
      <x:c r="Q41" s="74"/>
      <x:c r="R41" s="74"/>
      <x:c r="S41" s="37"/>
      <x:c r="T41" s="37"/>
      <x:c r="U41" s="37"/>
      <x:c r="V41" s="94" t="str">
        <x:f>IF($A41="","",MIN(20,MAX(0,$I41*2)))</x:f>
      </x:c>
      <x:c r="W41" s="94" t="str">
        <x:f>IF($A41="","",(($L41+$M41)/10)*20)</x:f>
      </x:c>
      <x:c r="X41" s="94" t="str">
        <x:f>IF($A41="","",IF($E41&gt;=1000,10,IF($E41&gt;=300,8,IF($E41&gt;=100,6,IF($E41&gt;=30,4,IF($E41&gt;0,2,0)))))+IF($F41&gt;=2,5,IF($F41&gt;=1,4,IF($F41&gt;=0.3,3,IF($F41&gt;0,2,0)))))</x:f>
      </x:c>
      <x:c r="Y41" s="94" t="str">
        <x:f>IF($A41="","",IF($G41&lt;=20,15,IF($G41&lt;=35,12,IF($G41&lt;=50,9,IF($G41&lt;=65,6,IF($G41&lt;=80,3,1))))))</x:f>
      </x:c>
      <x:c r="Z41" s="94" t="str">
        <x:f>IF($A41="","",(($N41+$O41)/10)*15)</x:f>
      </x:c>
      <x:c r="AA41" s="94" t="str">
        <x:f>IF($A41="","",(($P41+$Q41)/10)*10)</x:f>
      </x:c>
      <x:c r="AB41" s="94" t="str">
        <x:f>IF($A41="","",$R41)</x:f>
      </x:c>
      <x:c r="AC41" s="94" t="str">
        <x:f>IF($A41="","",SUM($V41:$AB41))</x:f>
      </x:c>
      <x:c r="AD41" s="100" t="str">
        <x:f>IF($A41="","",IF($AC41&gt;=75,"P0",IF($AC41&gt;=60,"P1",IF($AC41&gt;=45,"P2","P3"))))</x:f>
      </x:c>
      <x:c r="AE41" s="100" t="str">
        <x:f>IF($A41="","",IF($AC41&gt;=75,"立即写独立文章",IF($AC41&gt;=60,"排入本批内容日历",IF($AC41&gt;=45,"先做FAQ/段落或低优先文章","不单独写，合并到商业页/FAQ"))))</x:f>
      </x:c>
      <x:c r="AF41" s="37" t="str">
        <x:f>IF($A41="","",$K41&amp;" | 父级页: "&amp;$C41&amp;" | 目标URL: "&amp;$T41&amp;" | 必补: 竞品结构+原创证据+对比表+FAQ+内链CTA")</x:f>
      </x:c>
      <x:c r="AG41" s="37" t="str">
        <x:f>IF($A41="","",IF($I41&lt;4,"SERP不支持文章，优先做商业页/FAQ",IF($L41&lt;3,"产品相关弱，谨慎写",IF($N41&lt;3,"证据不足，容易变AI水文",IF($G41&gt;70,"难度偏高，需要更强外链/权威",IF($Q41&lt;3,"内链弱，先补主题簇","可进入规划"))))))</x:f>
      </x:c>
      <x:c r="AH41" s="106" t="str">
        <x:f>IF($A41="","",IF($T41="","缺少目标URL",IF(COUNTIF('页面规划'!$D$5:$D$104,$T41)&gt;0,"已匹配","未匹配")))</x:f>
      </x:c>
      <x:c r="AI41" s="37" t="str">
        <x:f>IF($A41="","",IFERROR(INDEX('页面规划'!$B$5:$B$104,MATCH($T41,'页面规划'!$D$5:$D$104,0)),""))</x:f>
      </x:c>
      <x:c r="AJ41" s="37" t="str">
        <x:f>IF($A41="","",IFERROR(INDEX('页面规划'!$F$5:$F$104,MATCH($T41,'页面规划'!$D$5:$D$104,0)),""))</x:f>
      </x:c>
      <x:c r="AK41" s="37" t="str">
        <x:f>IF($A41="","",IFERROR(INDEX('页面规划'!$H$5:$H$104,MATCH($T41,'页面规划'!$D$5:$D$104,0)),""))</x:f>
      </x:c>
      <x:c r="AL41" s="83" t="str">
        <x:f>IF($A41="","",IF($AH41="已匹配","OK：文章可内链到页面规划中的父级页","先到【页面规划】新增/修正目标URL，再排文章"))</x:f>
      </x:c>
    </x:row>
    <x:row r="42">
      <x:c r="A42" s="108"/>
      <x:c r="B42" s="37"/>
      <x:c r="C42" s="37"/>
      <x:c r="D42" s="37"/>
      <x:c r="E42" s="88"/>
      <x:c r="F42" s="91"/>
      <x:c r="G42" s="74"/>
      <x:c r="H42" s="74"/>
      <x:c r="I42" s="74"/>
      <x:c r="J42" s="37"/>
      <x:c r="K42" s="37"/>
      <x:c r="L42" s="74"/>
      <x:c r="M42" s="74"/>
      <x:c r="N42" s="74"/>
      <x:c r="O42" s="74"/>
      <x:c r="P42" s="74"/>
      <x:c r="Q42" s="74"/>
      <x:c r="R42" s="74"/>
      <x:c r="S42" s="37"/>
      <x:c r="T42" s="37"/>
      <x:c r="U42" s="37"/>
      <x:c r="V42" s="94" t="str">
        <x:f>IF($A42="","",MIN(20,MAX(0,$I42*2)))</x:f>
      </x:c>
      <x:c r="W42" s="94" t="str">
        <x:f>IF($A42="","",(($L42+$M42)/10)*20)</x:f>
      </x:c>
      <x:c r="X42" s="94" t="str">
        <x:f>IF($A42="","",IF($E42&gt;=1000,10,IF($E42&gt;=300,8,IF($E42&gt;=100,6,IF($E42&gt;=30,4,IF($E42&gt;0,2,0)))))+IF($F42&gt;=2,5,IF($F42&gt;=1,4,IF($F42&gt;=0.3,3,IF($F42&gt;0,2,0)))))</x:f>
      </x:c>
      <x:c r="Y42" s="94" t="str">
        <x:f>IF($A42="","",IF($G42&lt;=20,15,IF($G42&lt;=35,12,IF($G42&lt;=50,9,IF($G42&lt;=65,6,IF($G42&lt;=80,3,1))))))</x:f>
      </x:c>
      <x:c r="Z42" s="94" t="str">
        <x:f>IF($A42="","",(($N42+$O42)/10)*15)</x:f>
      </x:c>
      <x:c r="AA42" s="94" t="str">
        <x:f>IF($A42="","",(($P42+$Q42)/10)*10)</x:f>
      </x:c>
      <x:c r="AB42" s="94" t="str">
        <x:f>IF($A42="","",$R42)</x:f>
      </x:c>
      <x:c r="AC42" s="94" t="str">
        <x:f>IF($A42="","",SUM($V42:$AB42))</x:f>
      </x:c>
      <x:c r="AD42" s="100" t="str">
        <x:f>IF($A42="","",IF($AC42&gt;=75,"P0",IF($AC42&gt;=60,"P1",IF($AC42&gt;=45,"P2","P3"))))</x:f>
      </x:c>
      <x:c r="AE42" s="100" t="str">
        <x:f>IF($A42="","",IF($AC42&gt;=75,"立即写独立文章",IF($AC42&gt;=60,"排入本批内容日历",IF($AC42&gt;=45,"先做FAQ/段落或低优先文章","不单独写，合并到商业页/FAQ"))))</x:f>
      </x:c>
      <x:c r="AF42" s="37" t="str">
        <x:f>IF($A42="","",$K42&amp;" | 父级页: "&amp;$C42&amp;" | 目标URL: "&amp;$T42&amp;" | 必补: 竞品结构+原创证据+对比表+FAQ+内链CTA")</x:f>
      </x:c>
      <x:c r="AG42" s="37" t="str">
        <x:f>IF($A42="","",IF($I42&lt;4,"SERP不支持文章，优先做商业页/FAQ",IF($L42&lt;3,"产品相关弱，谨慎写",IF($N42&lt;3,"证据不足，容易变AI水文",IF($G42&gt;70,"难度偏高，需要更强外链/权威",IF($Q42&lt;3,"内链弱，先补主题簇","可进入规划"))))))</x:f>
      </x:c>
      <x:c r="AH42" s="106" t="str">
        <x:f>IF($A42="","",IF($T42="","缺少目标URL",IF(COUNTIF('页面规划'!$D$5:$D$104,$T42)&gt;0,"已匹配","未匹配")))</x:f>
      </x:c>
      <x:c r="AI42" s="37" t="str">
        <x:f>IF($A42="","",IFERROR(INDEX('页面规划'!$B$5:$B$104,MATCH($T42,'页面规划'!$D$5:$D$104,0)),""))</x:f>
      </x:c>
      <x:c r="AJ42" s="37" t="str">
        <x:f>IF($A42="","",IFERROR(INDEX('页面规划'!$F$5:$F$104,MATCH($T42,'页面规划'!$D$5:$D$104,0)),""))</x:f>
      </x:c>
      <x:c r="AK42" s="37" t="str">
        <x:f>IF($A42="","",IFERROR(INDEX('页面规划'!$H$5:$H$104,MATCH($T42,'页面规划'!$D$5:$D$104,0)),""))</x:f>
      </x:c>
      <x:c r="AL42" s="83" t="str">
        <x:f>IF($A42="","",IF($AH42="已匹配","OK：文章可内链到页面规划中的父级页","先到【页面规划】新增/修正目标URL，再排文章"))</x:f>
      </x:c>
    </x:row>
    <x:row r="43">
      <x:c r="A43" s="108"/>
      <x:c r="B43" s="37"/>
      <x:c r="C43" s="37"/>
      <x:c r="D43" s="37"/>
      <x:c r="E43" s="88"/>
      <x:c r="F43" s="91"/>
      <x:c r="G43" s="74"/>
      <x:c r="H43" s="74"/>
      <x:c r="I43" s="74"/>
      <x:c r="J43" s="37"/>
      <x:c r="K43" s="37"/>
      <x:c r="L43" s="74"/>
      <x:c r="M43" s="74"/>
      <x:c r="N43" s="74"/>
      <x:c r="O43" s="74"/>
      <x:c r="P43" s="74"/>
      <x:c r="Q43" s="74"/>
      <x:c r="R43" s="74"/>
      <x:c r="S43" s="37"/>
      <x:c r="T43" s="37"/>
      <x:c r="U43" s="37"/>
      <x:c r="V43" s="94" t="str">
        <x:f>IF($A43="","",MIN(20,MAX(0,$I43*2)))</x:f>
      </x:c>
      <x:c r="W43" s="94" t="str">
        <x:f>IF($A43="","",(($L43+$M43)/10)*20)</x:f>
      </x:c>
      <x:c r="X43" s="94" t="str">
        <x:f>IF($A43="","",IF($E43&gt;=1000,10,IF($E43&gt;=300,8,IF($E43&gt;=100,6,IF($E43&gt;=30,4,IF($E43&gt;0,2,0)))))+IF($F43&gt;=2,5,IF($F43&gt;=1,4,IF($F43&gt;=0.3,3,IF($F43&gt;0,2,0)))))</x:f>
      </x:c>
      <x:c r="Y43" s="94" t="str">
        <x:f>IF($A43="","",IF($G43&lt;=20,15,IF($G43&lt;=35,12,IF($G43&lt;=50,9,IF($G43&lt;=65,6,IF($G43&lt;=80,3,1))))))</x:f>
      </x:c>
      <x:c r="Z43" s="94" t="str">
        <x:f>IF($A43="","",(($N43+$O43)/10)*15)</x:f>
      </x:c>
      <x:c r="AA43" s="94" t="str">
        <x:f>IF($A43="","",(($P43+$Q43)/10)*10)</x:f>
      </x:c>
      <x:c r="AB43" s="94" t="str">
        <x:f>IF($A43="","",$R43)</x:f>
      </x:c>
      <x:c r="AC43" s="94" t="str">
        <x:f>IF($A43="","",SUM($V43:$AB43))</x:f>
      </x:c>
      <x:c r="AD43" s="100" t="str">
        <x:f>IF($A43="","",IF($AC43&gt;=75,"P0",IF($AC43&gt;=60,"P1",IF($AC43&gt;=45,"P2","P3"))))</x:f>
      </x:c>
      <x:c r="AE43" s="100" t="str">
        <x:f>IF($A43="","",IF($AC43&gt;=75,"立即写独立文章",IF($AC43&gt;=60,"排入本批内容日历",IF($AC43&gt;=45,"先做FAQ/段落或低优先文章","不单独写，合并到商业页/FAQ"))))</x:f>
      </x:c>
      <x:c r="AF43" s="37" t="str">
        <x:f>IF($A43="","",$K43&amp;" | 父级页: "&amp;$C43&amp;" | 目标URL: "&amp;$T43&amp;" | 必补: 竞品结构+原创证据+对比表+FAQ+内链CTA")</x:f>
      </x:c>
      <x:c r="AG43" s="37" t="str">
        <x:f>IF($A43="","",IF($I43&lt;4,"SERP不支持文章，优先做商业页/FAQ",IF($L43&lt;3,"产品相关弱，谨慎写",IF($N43&lt;3,"证据不足，容易变AI水文",IF($G43&gt;70,"难度偏高，需要更强外链/权威",IF($Q43&lt;3,"内链弱，先补主题簇","可进入规划"))))))</x:f>
      </x:c>
      <x:c r="AH43" s="106" t="str">
        <x:f>IF($A43="","",IF($T43="","缺少目标URL",IF(COUNTIF('页面规划'!$D$5:$D$104,$T43)&gt;0,"已匹配","未匹配")))</x:f>
      </x:c>
      <x:c r="AI43" s="37" t="str">
        <x:f>IF($A43="","",IFERROR(INDEX('页面规划'!$B$5:$B$104,MATCH($T43,'页面规划'!$D$5:$D$104,0)),""))</x:f>
      </x:c>
      <x:c r="AJ43" s="37" t="str">
        <x:f>IF($A43="","",IFERROR(INDEX('页面规划'!$F$5:$F$104,MATCH($T43,'页面规划'!$D$5:$D$104,0)),""))</x:f>
      </x:c>
      <x:c r="AK43" s="37" t="str">
        <x:f>IF($A43="","",IFERROR(INDEX('页面规划'!$H$5:$H$104,MATCH($T43,'页面规划'!$D$5:$D$104,0)),""))</x:f>
      </x:c>
      <x:c r="AL43" s="83" t="str">
        <x:f>IF($A43="","",IF($AH43="已匹配","OK：文章可内链到页面规划中的父级页","先到【页面规划】新增/修正目标URL，再排文章"))</x:f>
      </x:c>
    </x:row>
    <x:row r="44">
      <x:c r="A44" s="108"/>
      <x:c r="B44" s="37"/>
      <x:c r="C44" s="37"/>
      <x:c r="D44" s="37"/>
      <x:c r="E44" s="88"/>
      <x:c r="F44" s="91"/>
      <x:c r="G44" s="74"/>
      <x:c r="H44" s="74"/>
      <x:c r="I44" s="74"/>
      <x:c r="J44" s="37"/>
      <x:c r="K44" s="37"/>
      <x:c r="L44" s="74"/>
      <x:c r="M44" s="74"/>
      <x:c r="N44" s="74"/>
      <x:c r="O44" s="74"/>
      <x:c r="P44" s="74"/>
      <x:c r="Q44" s="74"/>
      <x:c r="R44" s="74"/>
      <x:c r="S44" s="37"/>
      <x:c r="T44" s="37"/>
      <x:c r="U44" s="37"/>
      <x:c r="V44" s="94" t="str">
        <x:f>IF($A44="","",MIN(20,MAX(0,$I44*2)))</x:f>
      </x:c>
      <x:c r="W44" s="94" t="str">
        <x:f>IF($A44="","",(($L44+$M44)/10)*20)</x:f>
      </x:c>
      <x:c r="X44" s="94" t="str">
        <x:f>IF($A44="","",IF($E44&gt;=1000,10,IF($E44&gt;=300,8,IF($E44&gt;=100,6,IF($E44&gt;=30,4,IF($E44&gt;0,2,0)))))+IF($F44&gt;=2,5,IF($F44&gt;=1,4,IF($F44&gt;=0.3,3,IF($F44&gt;0,2,0)))))</x:f>
      </x:c>
      <x:c r="Y44" s="94" t="str">
        <x:f>IF($A44="","",IF($G44&lt;=20,15,IF($G44&lt;=35,12,IF($G44&lt;=50,9,IF($G44&lt;=65,6,IF($G44&lt;=80,3,1))))))</x:f>
      </x:c>
      <x:c r="Z44" s="94" t="str">
        <x:f>IF($A44="","",(($N44+$O44)/10)*15)</x:f>
      </x:c>
      <x:c r="AA44" s="94" t="str">
        <x:f>IF($A44="","",(($P44+$Q44)/10)*10)</x:f>
      </x:c>
      <x:c r="AB44" s="94" t="str">
        <x:f>IF($A44="","",$R44)</x:f>
      </x:c>
      <x:c r="AC44" s="94" t="str">
        <x:f>IF($A44="","",SUM($V44:$AB44))</x:f>
      </x:c>
      <x:c r="AD44" s="100" t="str">
        <x:f>IF($A44="","",IF($AC44&gt;=75,"P0",IF($AC44&gt;=60,"P1",IF($AC44&gt;=45,"P2","P3"))))</x:f>
      </x:c>
      <x:c r="AE44" s="100" t="str">
        <x:f>IF($A44="","",IF($AC44&gt;=75,"立即写独立文章",IF($AC44&gt;=60,"排入本批内容日历",IF($AC44&gt;=45,"先做FAQ/段落或低优先文章","不单独写，合并到商业页/FAQ"))))</x:f>
      </x:c>
      <x:c r="AF44" s="37" t="str">
        <x:f>IF($A44="","",$K44&amp;" | 父级页: "&amp;$C44&amp;" | 目标URL: "&amp;$T44&amp;" | 必补: 竞品结构+原创证据+对比表+FAQ+内链CTA")</x:f>
      </x:c>
      <x:c r="AG44" s="37" t="str">
        <x:f>IF($A44="","",IF($I44&lt;4,"SERP不支持文章，优先做商业页/FAQ",IF($L44&lt;3,"产品相关弱，谨慎写",IF($N44&lt;3,"证据不足，容易变AI水文",IF($G44&gt;70,"难度偏高，需要更强外链/权威",IF($Q44&lt;3,"内链弱，先补主题簇","可进入规划"))))))</x:f>
      </x:c>
      <x:c r="AH44" s="106" t="str">
        <x:f>IF($A44="","",IF($T44="","缺少目标URL",IF(COUNTIF('页面规划'!$D$5:$D$104,$T44)&gt;0,"已匹配","未匹配")))</x:f>
      </x:c>
      <x:c r="AI44" s="37" t="str">
        <x:f>IF($A44="","",IFERROR(INDEX('页面规划'!$B$5:$B$104,MATCH($T44,'页面规划'!$D$5:$D$104,0)),""))</x:f>
      </x:c>
      <x:c r="AJ44" s="37" t="str">
        <x:f>IF($A44="","",IFERROR(INDEX('页面规划'!$F$5:$F$104,MATCH($T44,'页面规划'!$D$5:$D$104,0)),""))</x:f>
      </x:c>
      <x:c r="AK44" s="37" t="str">
        <x:f>IF($A44="","",IFERROR(INDEX('页面规划'!$H$5:$H$104,MATCH($T44,'页面规划'!$D$5:$D$104,0)),""))</x:f>
      </x:c>
      <x:c r="AL44" s="83" t="str">
        <x:f>IF($A44="","",IF($AH44="已匹配","OK：文章可内链到页面规划中的父级页","先到【页面规划】新增/修正目标URL，再排文章"))</x:f>
      </x:c>
    </x:row>
    <x:row r="45">
      <x:c r="A45" s="108"/>
      <x:c r="B45" s="37"/>
      <x:c r="C45" s="37"/>
      <x:c r="D45" s="37"/>
      <x:c r="E45" s="88"/>
      <x:c r="F45" s="91"/>
      <x:c r="G45" s="74"/>
      <x:c r="H45" s="74"/>
      <x:c r="I45" s="74"/>
      <x:c r="J45" s="37"/>
      <x:c r="K45" s="37"/>
      <x:c r="L45" s="74"/>
      <x:c r="M45" s="74"/>
      <x:c r="N45" s="74"/>
      <x:c r="O45" s="74"/>
      <x:c r="P45" s="74"/>
      <x:c r="Q45" s="74"/>
      <x:c r="R45" s="74"/>
      <x:c r="S45" s="37"/>
      <x:c r="T45" s="37"/>
      <x:c r="U45" s="37"/>
      <x:c r="V45" s="94" t="str">
        <x:f>IF($A45="","",MIN(20,MAX(0,$I45*2)))</x:f>
      </x:c>
      <x:c r="W45" s="94" t="str">
        <x:f>IF($A45="","",(($L45+$M45)/10)*20)</x:f>
      </x:c>
      <x:c r="X45" s="94" t="str">
        <x:f>IF($A45="","",IF($E45&gt;=1000,10,IF($E45&gt;=300,8,IF($E45&gt;=100,6,IF($E45&gt;=30,4,IF($E45&gt;0,2,0)))))+IF($F45&gt;=2,5,IF($F45&gt;=1,4,IF($F45&gt;=0.3,3,IF($F45&gt;0,2,0)))))</x:f>
      </x:c>
      <x:c r="Y45" s="94" t="str">
        <x:f>IF($A45="","",IF($G45&lt;=20,15,IF($G45&lt;=35,12,IF($G45&lt;=50,9,IF($G45&lt;=65,6,IF($G45&lt;=80,3,1))))))</x:f>
      </x:c>
      <x:c r="Z45" s="94" t="str">
        <x:f>IF($A45="","",(($N45+$O45)/10)*15)</x:f>
      </x:c>
      <x:c r="AA45" s="94" t="str">
        <x:f>IF($A45="","",(($P45+$Q45)/10)*10)</x:f>
      </x:c>
      <x:c r="AB45" s="94" t="str">
        <x:f>IF($A45="","",$R45)</x:f>
      </x:c>
      <x:c r="AC45" s="94" t="str">
        <x:f>IF($A45="","",SUM($V45:$AB45))</x:f>
      </x:c>
      <x:c r="AD45" s="100" t="str">
        <x:f>IF($A45="","",IF($AC45&gt;=75,"P0",IF($AC45&gt;=60,"P1",IF($AC45&gt;=45,"P2","P3"))))</x:f>
      </x:c>
      <x:c r="AE45" s="100" t="str">
        <x:f>IF($A45="","",IF($AC45&gt;=75,"立即写独立文章",IF($AC45&gt;=60,"排入本批内容日历",IF($AC45&gt;=45,"先做FAQ/段落或低优先文章","不单独写，合并到商业页/FAQ"))))</x:f>
      </x:c>
      <x:c r="AF45" s="37" t="str">
        <x:f>IF($A45="","",$K45&amp;" | 父级页: "&amp;$C45&amp;" | 目标URL: "&amp;$T45&amp;" | 必补: 竞品结构+原创证据+对比表+FAQ+内链CTA")</x:f>
      </x:c>
      <x:c r="AG45" s="37" t="str">
        <x:f>IF($A45="","",IF($I45&lt;4,"SERP不支持文章，优先做商业页/FAQ",IF($L45&lt;3,"产品相关弱，谨慎写",IF($N45&lt;3,"证据不足，容易变AI水文",IF($G45&gt;70,"难度偏高，需要更强外链/权威",IF($Q45&lt;3,"内链弱，先补主题簇","可进入规划"))))))</x:f>
      </x:c>
      <x:c r="AH45" s="106" t="str">
        <x:f>IF($A45="","",IF($T45="","缺少目标URL",IF(COUNTIF('页面规划'!$D$5:$D$104,$T45)&gt;0,"已匹配","未匹配")))</x:f>
      </x:c>
      <x:c r="AI45" s="37" t="str">
        <x:f>IF($A45="","",IFERROR(INDEX('页面规划'!$B$5:$B$104,MATCH($T45,'页面规划'!$D$5:$D$104,0)),""))</x:f>
      </x:c>
      <x:c r="AJ45" s="37" t="str">
        <x:f>IF($A45="","",IFERROR(INDEX('页面规划'!$F$5:$F$104,MATCH($T45,'页面规划'!$D$5:$D$104,0)),""))</x:f>
      </x:c>
      <x:c r="AK45" s="37" t="str">
        <x:f>IF($A45="","",IFERROR(INDEX('页面规划'!$H$5:$H$104,MATCH($T45,'页面规划'!$D$5:$D$104,0)),""))</x:f>
      </x:c>
      <x:c r="AL45" s="83" t="str">
        <x:f>IF($A45="","",IF($AH45="已匹配","OK：文章可内链到页面规划中的父级页","先到【页面规划】新增/修正目标URL，再排文章"))</x:f>
      </x:c>
    </x:row>
    <x:row r="46">
      <x:c r="A46" s="108"/>
      <x:c r="B46" s="37"/>
      <x:c r="C46" s="37"/>
      <x:c r="D46" s="37"/>
      <x:c r="E46" s="88"/>
      <x:c r="F46" s="91"/>
      <x:c r="G46" s="74"/>
      <x:c r="H46" s="74"/>
      <x:c r="I46" s="74"/>
      <x:c r="J46" s="37"/>
      <x:c r="K46" s="37"/>
      <x:c r="L46" s="74"/>
      <x:c r="M46" s="74"/>
      <x:c r="N46" s="74"/>
      <x:c r="O46" s="74"/>
      <x:c r="P46" s="74"/>
      <x:c r="Q46" s="74"/>
      <x:c r="R46" s="74"/>
      <x:c r="S46" s="37"/>
      <x:c r="T46" s="37"/>
      <x:c r="U46" s="37"/>
      <x:c r="V46" s="94" t="str">
        <x:f>IF($A46="","",MIN(20,MAX(0,$I46*2)))</x:f>
      </x:c>
      <x:c r="W46" s="94" t="str">
        <x:f>IF($A46="","",(($L46+$M46)/10)*20)</x:f>
      </x:c>
      <x:c r="X46" s="94" t="str">
        <x:f>IF($A46="","",IF($E46&gt;=1000,10,IF($E46&gt;=300,8,IF($E46&gt;=100,6,IF($E46&gt;=30,4,IF($E46&gt;0,2,0)))))+IF($F46&gt;=2,5,IF($F46&gt;=1,4,IF($F46&gt;=0.3,3,IF($F46&gt;0,2,0)))))</x:f>
      </x:c>
      <x:c r="Y46" s="94" t="str">
        <x:f>IF($A46="","",IF($G46&lt;=20,15,IF($G46&lt;=35,12,IF($G46&lt;=50,9,IF($G46&lt;=65,6,IF($G46&lt;=80,3,1))))))</x:f>
      </x:c>
      <x:c r="Z46" s="94" t="str">
        <x:f>IF($A46="","",(($N46+$O46)/10)*15)</x:f>
      </x:c>
      <x:c r="AA46" s="94" t="str">
        <x:f>IF($A46="","",(($P46+$Q46)/10)*10)</x:f>
      </x:c>
      <x:c r="AB46" s="94" t="str">
        <x:f>IF($A46="","",$R46)</x:f>
      </x:c>
      <x:c r="AC46" s="94" t="str">
        <x:f>IF($A46="","",SUM($V46:$AB46))</x:f>
      </x:c>
      <x:c r="AD46" s="100" t="str">
        <x:f>IF($A46="","",IF($AC46&gt;=75,"P0",IF($AC46&gt;=60,"P1",IF($AC46&gt;=45,"P2","P3"))))</x:f>
      </x:c>
      <x:c r="AE46" s="100" t="str">
        <x:f>IF($A46="","",IF($AC46&gt;=75,"立即写独立文章",IF($AC46&gt;=60,"排入本批内容日历",IF($AC46&gt;=45,"先做FAQ/段落或低优先文章","不单独写，合并到商业页/FAQ"))))</x:f>
      </x:c>
      <x:c r="AF46" s="37" t="str">
        <x:f>IF($A46="","",$K46&amp;" | 父级页: "&amp;$C46&amp;" | 目标URL: "&amp;$T46&amp;" | 必补: 竞品结构+原创证据+对比表+FAQ+内链CTA")</x:f>
      </x:c>
      <x:c r="AG46" s="37" t="str">
        <x:f>IF($A46="","",IF($I46&lt;4,"SERP不支持文章，优先做商业页/FAQ",IF($L46&lt;3,"产品相关弱，谨慎写",IF($N46&lt;3,"证据不足，容易变AI水文",IF($G46&gt;70,"难度偏高，需要更强外链/权威",IF($Q46&lt;3,"内链弱，先补主题簇","可进入规划"))))))</x:f>
      </x:c>
      <x:c r="AH46" s="106" t="str">
        <x:f>IF($A46="","",IF($T46="","缺少目标URL",IF(COUNTIF('页面规划'!$D$5:$D$104,$T46)&gt;0,"已匹配","未匹配")))</x:f>
      </x:c>
      <x:c r="AI46" s="37" t="str">
        <x:f>IF($A46="","",IFERROR(INDEX('页面规划'!$B$5:$B$104,MATCH($T46,'页面规划'!$D$5:$D$104,0)),""))</x:f>
      </x:c>
      <x:c r="AJ46" s="37" t="str">
        <x:f>IF($A46="","",IFERROR(INDEX('页面规划'!$F$5:$F$104,MATCH($T46,'页面规划'!$D$5:$D$104,0)),""))</x:f>
      </x:c>
      <x:c r="AK46" s="37" t="str">
        <x:f>IF($A46="","",IFERROR(INDEX('页面规划'!$H$5:$H$104,MATCH($T46,'页面规划'!$D$5:$D$104,0)),""))</x:f>
      </x:c>
      <x:c r="AL46" s="83" t="str">
        <x:f>IF($A46="","",IF($AH46="已匹配","OK：文章可内链到页面规划中的父级页","先到【页面规划】新增/修正目标URL，再排文章"))</x:f>
      </x:c>
    </x:row>
    <x:row r="47">
      <x:c r="A47" s="108"/>
      <x:c r="B47" s="37"/>
      <x:c r="C47" s="37"/>
      <x:c r="D47" s="37"/>
      <x:c r="E47" s="88"/>
      <x:c r="F47" s="91"/>
      <x:c r="G47" s="74"/>
      <x:c r="H47" s="74"/>
      <x:c r="I47" s="74"/>
      <x:c r="J47" s="37"/>
      <x:c r="K47" s="37"/>
      <x:c r="L47" s="74"/>
      <x:c r="M47" s="74"/>
      <x:c r="N47" s="74"/>
      <x:c r="O47" s="74"/>
      <x:c r="P47" s="74"/>
      <x:c r="Q47" s="74"/>
      <x:c r="R47" s="74"/>
      <x:c r="S47" s="37"/>
      <x:c r="T47" s="37"/>
      <x:c r="U47" s="37"/>
      <x:c r="V47" s="94" t="str">
        <x:f>IF($A47="","",MIN(20,MAX(0,$I47*2)))</x:f>
      </x:c>
      <x:c r="W47" s="94" t="str">
        <x:f>IF($A47="","",(($L47+$M47)/10)*20)</x:f>
      </x:c>
      <x:c r="X47" s="94" t="str">
        <x:f>IF($A47="","",IF($E47&gt;=1000,10,IF($E47&gt;=300,8,IF($E47&gt;=100,6,IF($E47&gt;=30,4,IF($E47&gt;0,2,0)))))+IF($F47&gt;=2,5,IF($F47&gt;=1,4,IF($F47&gt;=0.3,3,IF($F47&gt;0,2,0)))))</x:f>
      </x:c>
      <x:c r="Y47" s="94" t="str">
        <x:f>IF($A47="","",IF($G47&lt;=20,15,IF($G47&lt;=35,12,IF($G47&lt;=50,9,IF($G47&lt;=65,6,IF($G47&lt;=80,3,1))))))</x:f>
      </x:c>
      <x:c r="Z47" s="94" t="str">
        <x:f>IF($A47="","",(($N47+$O47)/10)*15)</x:f>
      </x:c>
      <x:c r="AA47" s="94" t="str">
        <x:f>IF($A47="","",(($P47+$Q47)/10)*10)</x:f>
      </x:c>
      <x:c r="AB47" s="94" t="str">
        <x:f>IF($A47="","",$R47)</x:f>
      </x:c>
      <x:c r="AC47" s="94" t="str">
        <x:f>IF($A47="","",SUM($V47:$AB47))</x:f>
      </x:c>
      <x:c r="AD47" s="100" t="str">
        <x:f>IF($A47="","",IF($AC47&gt;=75,"P0",IF($AC47&gt;=60,"P1",IF($AC47&gt;=45,"P2","P3"))))</x:f>
      </x:c>
      <x:c r="AE47" s="100" t="str">
        <x:f>IF($A47="","",IF($AC47&gt;=75,"立即写独立文章",IF($AC47&gt;=60,"排入本批内容日历",IF($AC47&gt;=45,"先做FAQ/段落或低优先文章","不单独写，合并到商业页/FAQ"))))</x:f>
      </x:c>
      <x:c r="AF47" s="37" t="str">
        <x:f>IF($A47="","",$K47&amp;" | 父级页: "&amp;$C47&amp;" | 目标URL: "&amp;$T47&amp;" | 必补: 竞品结构+原创证据+对比表+FAQ+内链CTA")</x:f>
      </x:c>
      <x:c r="AG47" s="37" t="str">
        <x:f>IF($A47="","",IF($I47&lt;4,"SERP不支持文章，优先做商业页/FAQ",IF($L47&lt;3,"产品相关弱，谨慎写",IF($N47&lt;3,"证据不足，容易变AI水文",IF($G47&gt;70,"难度偏高，需要更强外链/权威",IF($Q47&lt;3,"内链弱，先补主题簇","可进入规划"))))))</x:f>
      </x:c>
      <x:c r="AH47" s="106" t="str">
        <x:f>IF($A47="","",IF($T47="","缺少目标URL",IF(COUNTIF('页面规划'!$D$5:$D$104,$T47)&gt;0,"已匹配","未匹配")))</x:f>
      </x:c>
      <x:c r="AI47" s="37" t="str">
        <x:f>IF($A47="","",IFERROR(INDEX('页面规划'!$B$5:$B$104,MATCH($T47,'页面规划'!$D$5:$D$104,0)),""))</x:f>
      </x:c>
      <x:c r="AJ47" s="37" t="str">
        <x:f>IF($A47="","",IFERROR(INDEX('页面规划'!$F$5:$F$104,MATCH($T47,'页面规划'!$D$5:$D$104,0)),""))</x:f>
      </x:c>
      <x:c r="AK47" s="37" t="str">
        <x:f>IF($A47="","",IFERROR(INDEX('页面规划'!$H$5:$H$104,MATCH($T47,'页面规划'!$D$5:$D$104,0)),""))</x:f>
      </x:c>
      <x:c r="AL47" s="83" t="str">
        <x:f>IF($A47="","",IF($AH47="已匹配","OK：文章可内链到页面规划中的父级页","先到【页面规划】新增/修正目标URL，再排文章"))</x:f>
      </x:c>
    </x:row>
    <x:row r="48">
      <x:c r="A48" s="108"/>
      <x:c r="B48" s="37"/>
      <x:c r="C48" s="37"/>
      <x:c r="D48" s="37"/>
      <x:c r="E48" s="88"/>
      <x:c r="F48" s="91"/>
      <x:c r="G48" s="74"/>
      <x:c r="H48" s="74"/>
      <x:c r="I48" s="74"/>
      <x:c r="J48" s="37"/>
      <x:c r="K48" s="37"/>
      <x:c r="L48" s="74"/>
      <x:c r="M48" s="74"/>
      <x:c r="N48" s="74"/>
      <x:c r="O48" s="74"/>
      <x:c r="P48" s="74"/>
      <x:c r="Q48" s="74"/>
      <x:c r="R48" s="74"/>
      <x:c r="S48" s="37"/>
      <x:c r="T48" s="37"/>
      <x:c r="U48" s="37"/>
      <x:c r="V48" s="94" t="str">
        <x:f>IF($A48="","",MIN(20,MAX(0,$I48*2)))</x:f>
      </x:c>
      <x:c r="W48" s="94" t="str">
        <x:f>IF($A48="","",(($L48+$M48)/10)*20)</x:f>
      </x:c>
      <x:c r="X48" s="94" t="str">
        <x:f>IF($A48="","",IF($E48&gt;=1000,10,IF($E48&gt;=300,8,IF($E48&gt;=100,6,IF($E48&gt;=30,4,IF($E48&gt;0,2,0)))))+IF($F48&gt;=2,5,IF($F48&gt;=1,4,IF($F48&gt;=0.3,3,IF($F48&gt;0,2,0)))))</x:f>
      </x:c>
      <x:c r="Y48" s="94" t="str">
        <x:f>IF($A48="","",IF($G48&lt;=20,15,IF($G48&lt;=35,12,IF($G48&lt;=50,9,IF($G48&lt;=65,6,IF($G48&lt;=80,3,1))))))</x:f>
      </x:c>
      <x:c r="Z48" s="94" t="str">
        <x:f>IF($A48="","",(($N48+$O48)/10)*15)</x:f>
      </x:c>
      <x:c r="AA48" s="94" t="str">
        <x:f>IF($A48="","",(($P48+$Q48)/10)*10)</x:f>
      </x:c>
      <x:c r="AB48" s="94" t="str">
        <x:f>IF($A48="","",$R48)</x:f>
      </x:c>
      <x:c r="AC48" s="94" t="str">
        <x:f>IF($A48="","",SUM($V48:$AB48))</x:f>
      </x:c>
      <x:c r="AD48" s="100" t="str">
        <x:f>IF($A48="","",IF($AC48&gt;=75,"P0",IF($AC48&gt;=60,"P1",IF($AC48&gt;=45,"P2","P3"))))</x:f>
      </x:c>
      <x:c r="AE48" s="100" t="str">
        <x:f>IF($A48="","",IF($AC48&gt;=75,"立即写独立文章",IF($AC48&gt;=60,"排入本批内容日历",IF($AC48&gt;=45,"先做FAQ/段落或低优先文章","不单独写，合并到商业页/FAQ"))))</x:f>
      </x:c>
      <x:c r="AF48" s="37" t="str">
        <x:f>IF($A48="","",$K48&amp;" | 父级页: "&amp;$C48&amp;" | 目标URL: "&amp;$T48&amp;" | 必补: 竞品结构+原创证据+对比表+FAQ+内链CTA")</x:f>
      </x:c>
      <x:c r="AG48" s="37" t="str">
        <x:f>IF($A48="","",IF($I48&lt;4,"SERP不支持文章，优先做商业页/FAQ",IF($L48&lt;3,"产品相关弱，谨慎写",IF($N48&lt;3,"证据不足，容易变AI水文",IF($G48&gt;70,"难度偏高，需要更强外链/权威",IF($Q48&lt;3,"内链弱，先补主题簇","可进入规划"))))))</x:f>
      </x:c>
      <x:c r="AH48" s="106" t="str">
        <x:f>IF($A48="","",IF($T48="","缺少目标URL",IF(COUNTIF('页面规划'!$D$5:$D$104,$T48)&gt;0,"已匹配","未匹配")))</x:f>
      </x:c>
      <x:c r="AI48" s="37" t="str">
        <x:f>IF($A48="","",IFERROR(INDEX('页面规划'!$B$5:$B$104,MATCH($T48,'页面规划'!$D$5:$D$104,0)),""))</x:f>
      </x:c>
      <x:c r="AJ48" s="37" t="str">
        <x:f>IF($A48="","",IFERROR(INDEX('页面规划'!$F$5:$F$104,MATCH($T48,'页面规划'!$D$5:$D$104,0)),""))</x:f>
      </x:c>
      <x:c r="AK48" s="37" t="str">
        <x:f>IF($A48="","",IFERROR(INDEX('页面规划'!$H$5:$H$104,MATCH($T48,'页面规划'!$D$5:$D$104,0)),""))</x:f>
      </x:c>
      <x:c r="AL48" s="83" t="str">
        <x:f>IF($A48="","",IF($AH48="已匹配","OK：文章可内链到页面规划中的父级页","先到【页面规划】新增/修正目标URL，再排文章"))</x:f>
      </x:c>
    </x:row>
    <x:row r="49">
      <x:c r="A49" s="108"/>
      <x:c r="B49" s="37"/>
      <x:c r="C49" s="37"/>
      <x:c r="D49" s="37"/>
      <x:c r="E49" s="88"/>
      <x:c r="F49" s="91"/>
      <x:c r="G49" s="74"/>
      <x:c r="H49" s="74"/>
      <x:c r="I49" s="74"/>
      <x:c r="J49" s="37"/>
      <x:c r="K49" s="37"/>
      <x:c r="L49" s="74"/>
      <x:c r="M49" s="74"/>
      <x:c r="N49" s="74"/>
      <x:c r="O49" s="74"/>
      <x:c r="P49" s="74"/>
      <x:c r="Q49" s="74"/>
      <x:c r="R49" s="74"/>
      <x:c r="S49" s="37"/>
      <x:c r="T49" s="37"/>
      <x:c r="U49" s="37"/>
      <x:c r="V49" s="94" t="str">
        <x:f>IF($A49="","",MIN(20,MAX(0,$I49*2)))</x:f>
      </x:c>
      <x:c r="W49" s="94" t="str">
        <x:f>IF($A49="","",(($L49+$M49)/10)*20)</x:f>
      </x:c>
      <x:c r="X49" s="94" t="str">
        <x:f>IF($A49="","",IF($E49&gt;=1000,10,IF($E49&gt;=300,8,IF($E49&gt;=100,6,IF($E49&gt;=30,4,IF($E49&gt;0,2,0)))))+IF($F49&gt;=2,5,IF($F49&gt;=1,4,IF($F49&gt;=0.3,3,IF($F49&gt;0,2,0)))))</x:f>
      </x:c>
      <x:c r="Y49" s="94" t="str">
        <x:f>IF($A49="","",IF($G49&lt;=20,15,IF($G49&lt;=35,12,IF($G49&lt;=50,9,IF($G49&lt;=65,6,IF($G49&lt;=80,3,1))))))</x:f>
      </x:c>
      <x:c r="Z49" s="94" t="str">
        <x:f>IF($A49="","",(($N49+$O49)/10)*15)</x:f>
      </x:c>
      <x:c r="AA49" s="94" t="str">
        <x:f>IF($A49="","",(($P49+$Q49)/10)*10)</x:f>
      </x:c>
      <x:c r="AB49" s="94" t="str">
        <x:f>IF($A49="","",$R49)</x:f>
      </x:c>
      <x:c r="AC49" s="94" t="str">
        <x:f>IF($A49="","",SUM($V49:$AB49))</x:f>
      </x:c>
      <x:c r="AD49" s="100" t="str">
        <x:f>IF($A49="","",IF($AC49&gt;=75,"P0",IF($AC49&gt;=60,"P1",IF($AC49&gt;=45,"P2","P3"))))</x:f>
      </x:c>
      <x:c r="AE49" s="100" t="str">
        <x:f>IF($A49="","",IF($AC49&gt;=75,"立即写独立文章",IF($AC49&gt;=60,"排入本批内容日历",IF($AC49&gt;=45,"先做FAQ/段落或低优先文章","不单独写，合并到商业页/FAQ"))))</x:f>
      </x:c>
      <x:c r="AF49" s="37" t="str">
        <x:f>IF($A49="","",$K49&amp;" | 父级页: "&amp;$C49&amp;" | 目标URL: "&amp;$T49&amp;" | 必补: 竞品结构+原创证据+对比表+FAQ+内链CTA")</x:f>
      </x:c>
      <x:c r="AG49" s="37" t="str">
        <x:f>IF($A49="","",IF($I49&lt;4,"SERP不支持文章，优先做商业页/FAQ",IF($L49&lt;3,"产品相关弱，谨慎写",IF($N49&lt;3,"证据不足，容易变AI水文",IF($G49&gt;70,"难度偏高，需要更强外链/权威",IF($Q49&lt;3,"内链弱，先补主题簇","可进入规划"))))))</x:f>
      </x:c>
      <x:c r="AH49" s="106" t="str">
        <x:f>IF($A49="","",IF($T49="","缺少目标URL",IF(COUNTIF('页面规划'!$D$5:$D$104,$T49)&gt;0,"已匹配","未匹配")))</x:f>
      </x:c>
      <x:c r="AI49" s="37" t="str">
        <x:f>IF($A49="","",IFERROR(INDEX('页面规划'!$B$5:$B$104,MATCH($T49,'页面规划'!$D$5:$D$104,0)),""))</x:f>
      </x:c>
      <x:c r="AJ49" s="37" t="str">
        <x:f>IF($A49="","",IFERROR(INDEX('页面规划'!$F$5:$F$104,MATCH($T49,'页面规划'!$D$5:$D$104,0)),""))</x:f>
      </x:c>
      <x:c r="AK49" s="37" t="str">
        <x:f>IF($A49="","",IFERROR(INDEX('页面规划'!$H$5:$H$104,MATCH($T49,'页面规划'!$D$5:$D$104,0)),""))</x:f>
      </x:c>
      <x:c r="AL49" s="83" t="str">
        <x:f>IF($A49="","",IF($AH49="已匹配","OK：文章可内链到页面规划中的父级页","先到【页面规划】新增/修正目标URL，再排文章"))</x:f>
      </x:c>
    </x:row>
    <x:row r="50">
      <x:c r="A50" s="108"/>
      <x:c r="B50" s="37"/>
      <x:c r="C50" s="37"/>
      <x:c r="D50" s="37"/>
      <x:c r="E50" s="88"/>
      <x:c r="F50" s="91"/>
      <x:c r="G50" s="74"/>
      <x:c r="H50" s="74"/>
      <x:c r="I50" s="74"/>
      <x:c r="J50" s="37"/>
      <x:c r="K50" s="37"/>
      <x:c r="L50" s="74"/>
      <x:c r="M50" s="74"/>
      <x:c r="N50" s="74"/>
      <x:c r="O50" s="74"/>
      <x:c r="P50" s="74"/>
      <x:c r="Q50" s="74"/>
      <x:c r="R50" s="74"/>
      <x:c r="S50" s="37"/>
      <x:c r="T50" s="37"/>
      <x:c r="U50" s="37"/>
      <x:c r="V50" s="94" t="str">
        <x:f>IF($A50="","",MIN(20,MAX(0,$I50*2)))</x:f>
      </x:c>
      <x:c r="W50" s="94" t="str">
        <x:f>IF($A50="","",(($L50+$M50)/10)*20)</x:f>
      </x:c>
      <x:c r="X50" s="94" t="str">
        <x:f>IF($A50="","",IF($E50&gt;=1000,10,IF($E50&gt;=300,8,IF($E50&gt;=100,6,IF($E50&gt;=30,4,IF($E50&gt;0,2,0)))))+IF($F50&gt;=2,5,IF($F50&gt;=1,4,IF($F50&gt;=0.3,3,IF($F50&gt;0,2,0)))))</x:f>
      </x:c>
      <x:c r="Y50" s="94" t="str">
        <x:f>IF($A50="","",IF($G50&lt;=20,15,IF($G50&lt;=35,12,IF($G50&lt;=50,9,IF($G50&lt;=65,6,IF($G50&lt;=80,3,1))))))</x:f>
      </x:c>
      <x:c r="Z50" s="94" t="str">
        <x:f>IF($A50="","",(($N50+$O50)/10)*15)</x:f>
      </x:c>
      <x:c r="AA50" s="94" t="str">
        <x:f>IF($A50="","",(($P50+$Q50)/10)*10)</x:f>
      </x:c>
      <x:c r="AB50" s="94" t="str">
        <x:f>IF($A50="","",$R50)</x:f>
      </x:c>
      <x:c r="AC50" s="94" t="str">
        <x:f>IF($A50="","",SUM($V50:$AB50))</x:f>
      </x:c>
      <x:c r="AD50" s="100" t="str">
        <x:f>IF($A50="","",IF($AC50&gt;=75,"P0",IF($AC50&gt;=60,"P1",IF($AC50&gt;=45,"P2","P3"))))</x:f>
      </x:c>
      <x:c r="AE50" s="100" t="str">
        <x:f>IF($A50="","",IF($AC50&gt;=75,"立即写独立文章",IF($AC50&gt;=60,"排入本批内容日历",IF($AC50&gt;=45,"先做FAQ/段落或低优先文章","不单独写，合并到商业页/FAQ"))))</x:f>
      </x:c>
      <x:c r="AF50" s="37" t="str">
        <x:f>IF($A50="","",$K50&amp;" | 父级页: "&amp;$C50&amp;" | 目标URL: "&amp;$T50&amp;" | 必补: 竞品结构+原创证据+对比表+FAQ+内链CTA")</x:f>
      </x:c>
      <x:c r="AG50" s="37" t="str">
        <x:f>IF($A50="","",IF($I50&lt;4,"SERP不支持文章，优先做商业页/FAQ",IF($L50&lt;3,"产品相关弱，谨慎写",IF($N50&lt;3,"证据不足，容易变AI水文",IF($G50&gt;70,"难度偏高，需要更强外链/权威",IF($Q50&lt;3,"内链弱，先补主题簇","可进入规划"))))))</x:f>
      </x:c>
      <x:c r="AH50" s="106" t="str">
        <x:f>IF($A50="","",IF($T50="","缺少目标URL",IF(COUNTIF('页面规划'!$D$5:$D$104,$T50)&gt;0,"已匹配","未匹配")))</x:f>
      </x:c>
      <x:c r="AI50" s="37" t="str">
        <x:f>IF($A50="","",IFERROR(INDEX('页面规划'!$B$5:$B$104,MATCH($T50,'页面规划'!$D$5:$D$104,0)),""))</x:f>
      </x:c>
      <x:c r="AJ50" s="37" t="str">
        <x:f>IF($A50="","",IFERROR(INDEX('页面规划'!$F$5:$F$104,MATCH($T50,'页面规划'!$D$5:$D$104,0)),""))</x:f>
      </x:c>
      <x:c r="AK50" s="37" t="str">
        <x:f>IF($A50="","",IFERROR(INDEX('页面规划'!$H$5:$H$104,MATCH($T50,'页面规划'!$D$5:$D$104,0)),""))</x:f>
      </x:c>
      <x:c r="AL50" s="83" t="str">
        <x:f>IF($A50="","",IF($AH50="已匹配","OK：文章可内链到页面规划中的父级页","先到【页面规划】新增/修正目标URL，再排文章"))</x:f>
      </x:c>
    </x:row>
    <x:row r="51">
      <x:c r="A51" s="108"/>
      <x:c r="B51" s="37"/>
      <x:c r="C51" s="37"/>
      <x:c r="D51" s="37"/>
      <x:c r="E51" s="88"/>
      <x:c r="F51" s="91"/>
      <x:c r="G51" s="74"/>
      <x:c r="H51" s="74"/>
      <x:c r="I51" s="74"/>
      <x:c r="J51" s="37"/>
      <x:c r="K51" s="37"/>
      <x:c r="L51" s="74"/>
      <x:c r="M51" s="74"/>
      <x:c r="N51" s="74"/>
      <x:c r="O51" s="74"/>
      <x:c r="P51" s="74"/>
      <x:c r="Q51" s="74"/>
      <x:c r="R51" s="74"/>
      <x:c r="S51" s="37"/>
      <x:c r="T51" s="37"/>
      <x:c r="U51" s="37"/>
      <x:c r="V51" s="94" t="str">
        <x:f>IF($A51="","",MIN(20,MAX(0,$I51*2)))</x:f>
      </x:c>
      <x:c r="W51" s="94" t="str">
        <x:f>IF($A51="","",(($L51+$M51)/10)*20)</x:f>
      </x:c>
      <x:c r="X51" s="94" t="str">
        <x:f>IF($A51="","",IF($E51&gt;=1000,10,IF($E51&gt;=300,8,IF($E51&gt;=100,6,IF($E51&gt;=30,4,IF($E51&gt;0,2,0)))))+IF($F51&gt;=2,5,IF($F51&gt;=1,4,IF($F51&gt;=0.3,3,IF($F51&gt;0,2,0)))))</x:f>
      </x:c>
      <x:c r="Y51" s="94" t="str">
        <x:f>IF($A51="","",IF($G51&lt;=20,15,IF($G51&lt;=35,12,IF($G51&lt;=50,9,IF($G51&lt;=65,6,IF($G51&lt;=80,3,1))))))</x:f>
      </x:c>
      <x:c r="Z51" s="94" t="str">
        <x:f>IF($A51="","",(($N51+$O51)/10)*15)</x:f>
      </x:c>
      <x:c r="AA51" s="94" t="str">
        <x:f>IF($A51="","",(($P51+$Q51)/10)*10)</x:f>
      </x:c>
      <x:c r="AB51" s="94" t="str">
        <x:f>IF($A51="","",$R51)</x:f>
      </x:c>
      <x:c r="AC51" s="94" t="str">
        <x:f>IF($A51="","",SUM($V51:$AB51))</x:f>
      </x:c>
      <x:c r="AD51" s="100" t="str">
        <x:f>IF($A51="","",IF($AC51&gt;=75,"P0",IF($AC51&gt;=60,"P1",IF($AC51&gt;=45,"P2","P3"))))</x:f>
      </x:c>
      <x:c r="AE51" s="100" t="str">
        <x:f>IF($A51="","",IF($AC51&gt;=75,"立即写独立文章",IF($AC51&gt;=60,"排入本批内容日历",IF($AC51&gt;=45,"先做FAQ/段落或低优先文章","不单独写，合并到商业页/FAQ"))))</x:f>
      </x:c>
      <x:c r="AF51" s="37" t="str">
        <x:f>IF($A51="","",$K51&amp;" | 父级页: "&amp;$C51&amp;" | 目标URL: "&amp;$T51&amp;" | 必补: 竞品结构+原创证据+对比表+FAQ+内链CTA")</x:f>
      </x:c>
      <x:c r="AG51" s="37" t="str">
        <x:f>IF($A51="","",IF($I51&lt;4,"SERP不支持文章，优先做商业页/FAQ",IF($L51&lt;3,"产品相关弱，谨慎写",IF($N51&lt;3,"证据不足，容易变AI水文",IF($G51&gt;70,"难度偏高，需要更强外链/权威",IF($Q51&lt;3,"内链弱，先补主题簇","可进入规划"))))))</x:f>
      </x:c>
      <x:c r="AH51" s="106" t="str">
        <x:f>IF($A51="","",IF($T51="","缺少目标URL",IF(COUNTIF('页面规划'!$D$5:$D$104,$T51)&gt;0,"已匹配","未匹配")))</x:f>
      </x:c>
      <x:c r="AI51" s="37" t="str">
        <x:f>IF($A51="","",IFERROR(INDEX('页面规划'!$B$5:$B$104,MATCH($T51,'页面规划'!$D$5:$D$104,0)),""))</x:f>
      </x:c>
      <x:c r="AJ51" s="37" t="str">
        <x:f>IF($A51="","",IFERROR(INDEX('页面规划'!$F$5:$F$104,MATCH($T51,'页面规划'!$D$5:$D$104,0)),""))</x:f>
      </x:c>
      <x:c r="AK51" s="37" t="str">
        <x:f>IF($A51="","",IFERROR(INDEX('页面规划'!$H$5:$H$104,MATCH($T51,'页面规划'!$D$5:$D$104,0)),""))</x:f>
      </x:c>
      <x:c r="AL51" s="83" t="str">
        <x:f>IF($A51="","",IF($AH51="已匹配","OK：文章可内链到页面规划中的父级页","先到【页面规划】新增/修正目标URL，再排文章"))</x:f>
      </x:c>
    </x:row>
    <x:row r="52">
      <x:c r="A52" s="108"/>
      <x:c r="B52" s="37"/>
      <x:c r="C52" s="37"/>
      <x:c r="D52" s="37"/>
      <x:c r="E52" s="88"/>
      <x:c r="F52" s="91"/>
      <x:c r="G52" s="74"/>
      <x:c r="H52" s="74"/>
      <x:c r="I52" s="74"/>
      <x:c r="J52" s="37"/>
      <x:c r="K52" s="37"/>
      <x:c r="L52" s="74"/>
      <x:c r="M52" s="74"/>
      <x:c r="N52" s="74"/>
      <x:c r="O52" s="74"/>
      <x:c r="P52" s="74"/>
      <x:c r="Q52" s="74"/>
      <x:c r="R52" s="74"/>
      <x:c r="S52" s="37"/>
      <x:c r="T52" s="37"/>
      <x:c r="U52" s="37"/>
      <x:c r="V52" s="94" t="str">
        <x:f>IF($A52="","",MIN(20,MAX(0,$I52*2)))</x:f>
      </x:c>
      <x:c r="W52" s="94" t="str">
        <x:f>IF($A52="","",(($L52+$M52)/10)*20)</x:f>
      </x:c>
      <x:c r="X52" s="94" t="str">
        <x:f>IF($A52="","",IF($E52&gt;=1000,10,IF($E52&gt;=300,8,IF($E52&gt;=100,6,IF($E52&gt;=30,4,IF($E52&gt;0,2,0)))))+IF($F52&gt;=2,5,IF($F52&gt;=1,4,IF($F52&gt;=0.3,3,IF($F52&gt;0,2,0)))))</x:f>
      </x:c>
      <x:c r="Y52" s="94" t="str">
        <x:f>IF($A52="","",IF($G52&lt;=20,15,IF($G52&lt;=35,12,IF($G52&lt;=50,9,IF($G52&lt;=65,6,IF($G52&lt;=80,3,1))))))</x:f>
      </x:c>
      <x:c r="Z52" s="94" t="str">
        <x:f>IF($A52="","",(($N52+$O52)/10)*15)</x:f>
      </x:c>
      <x:c r="AA52" s="94" t="str">
        <x:f>IF($A52="","",(($P52+$Q52)/10)*10)</x:f>
      </x:c>
      <x:c r="AB52" s="94" t="str">
        <x:f>IF($A52="","",$R52)</x:f>
      </x:c>
      <x:c r="AC52" s="94" t="str">
        <x:f>IF($A52="","",SUM($V52:$AB52))</x:f>
      </x:c>
      <x:c r="AD52" s="100" t="str">
        <x:f>IF($A52="","",IF($AC52&gt;=75,"P0",IF($AC52&gt;=60,"P1",IF($AC52&gt;=45,"P2","P3"))))</x:f>
      </x:c>
      <x:c r="AE52" s="100" t="str">
        <x:f>IF($A52="","",IF($AC52&gt;=75,"立即写独立文章",IF($AC52&gt;=60,"排入本批内容日历",IF($AC52&gt;=45,"先做FAQ/段落或低优先文章","不单独写，合并到商业页/FAQ"))))</x:f>
      </x:c>
      <x:c r="AF52" s="37" t="str">
        <x:f>IF($A52="","",$K52&amp;" | 父级页: "&amp;$C52&amp;" | 目标URL: "&amp;$T52&amp;" | 必补: 竞品结构+原创证据+对比表+FAQ+内链CTA")</x:f>
      </x:c>
      <x:c r="AG52" s="37" t="str">
        <x:f>IF($A52="","",IF($I52&lt;4,"SERP不支持文章，优先做商业页/FAQ",IF($L52&lt;3,"产品相关弱，谨慎写",IF($N52&lt;3,"证据不足，容易变AI水文",IF($G52&gt;70,"难度偏高，需要更强外链/权威",IF($Q52&lt;3,"内链弱，先补主题簇","可进入规划"))))))</x:f>
      </x:c>
      <x:c r="AH52" s="106" t="str">
        <x:f>IF($A52="","",IF($T52="","缺少目标URL",IF(COUNTIF('页面规划'!$D$5:$D$104,$T52)&gt;0,"已匹配","未匹配")))</x:f>
      </x:c>
      <x:c r="AI52" s="37" t="str">
        <x:f>IF($A52="","",IFERROR(INDEX('页面规划'!$B$5:$B$104,MATCH($T52,'页面规划'!$D$5:$D$104,0)),""))</x:f>
      </x:c>
      <x:c r="AJ52" s="37" t="str">
        <x:f>IF($A52="","",IFERROR(INDEX('页面规划'!$F$5:$F$104,MATCH($T52,'页面规划'!$D$5:$D$104,0)),""))</x:f>
      </x:c>
      <x:c r="AK52" s="37" t="str">
        <x:f>IF($A52="","",IFERROR(INDEX('页面规划'!$H$5:$H$104,MATCH($T52,'页面规划'!$D$5:$D$104,0)),""))</x:f>
      </x:c>
      <x:c r="AL52" s="83" t="str">
        <x:f>IF($A52="","",IF($AH52="已匹配","OK：文章可内链到页面规划中的父级页","先到【页面规划】新增/修正目标URL，再排文章"))</x:f>
      </x:c>
    </x:row>
    <x:row r="53">
      <x:c r="A53" s="108"/>
      <x:c r="B53" s="37"/>
      <x:c r="C53" s="37"/>
      <x:c r="D53" s="37"/>
      <x:c r="E53" s="88"/>
      <x:c r="F53" s="91"/>
      <x:c r="G53" s="74"/>
      <x:c r="H53" s="74"/>
      <x:c r="I53" s="74"/>
      <x:c r="J53" s="37"/>
      <x:c r="K53" s="37"/>
      <x:c r="L53" s="74"/>
      <x:c r="M53" s="74"/>
      <x:c r="N53" s="74"/>
      <x:c r="O53" s="74"/>
      <x:c r="P53" s="74"/>
      <x:c r="Q53" s="74"/>
      <x:c r="R53" s="74"/>
      <x:c r="S53" s="37"/>
      <x:c r="T53" s="37"/>
      <x:c r="U53" s="37"/>
      <x:c r="V53" s="94" t="str">
        <x:f>IF($A53="","",MIN(20,MAX(0,$I53*2)))</x:f>
      </x:c>
      <x:c r="W53" s="94" t="str">
        <x:f>IF($A53="","",(($L53+$M53)/10)*20)</x:f>
      </x:c>
      <x:c r="X53" s="94" t="str">
        <x:f>IF($A53="","",IF($E53&gt;=1000,10,IF($E53&gt;=300,8,IF($E53&gt;=100,6,IF($E53&gt;=30,4,IF($E53&gt;0,2,0)))))+IF($F53&gt;=2,5,IF($F53&gt;=1,4,IF($F53&gt;=0.3,3,IF($F53&gt;0,2,0)))))</x:f>
      </x:c>
      <x:c r="Y53" s="94" t="str">
        <x:f>IF($A53="","",IF($G53&lt;=20,15,IF($G53&lt;=35,12,IF($G53&lt;=50,9,IF($G53&lt;=65,6,IF($G53&lt;=80,3,1))))))</x:f>
      </x:c>
      <x:c r="Z53" s="94" t="str">
        <x:f>IF($A53="","",(($N53+$O53)/10)*15)</x:f>
      </x:c>
      <x:c r="AA53" s="94" t="str">
        <x:f>IF($A53="","",(($P53+$Q53)/10)*10)</x:f>
      </x:c>
      <x:c r="AB53" s="94" t="str">
        <x:f>IF($A53="","",$R53)</x:f>
      </x:c>
      <x:c r="AC53" s="94" t="str">
        <x:f>IF($A53="","",SUM($V53:$AB53))</x:f>
      </x:c>
      <x:c r="AD53" s="100" t="str">
        <x:f>IF($A53="","",IF($AC53&gt;=75,"P0",IF($AC53&gt;=60,"P1",IF($AC53&gt;=45,"P2","P3"))))</x:f>
      </x:c>
      <x:c r="AE53" s="100" t="str">
        <x:f>IF($A53="","",IF($AC53&gt;=75,"立即写独立文章",IF($AC53&gt;=60,"排入本批内容日历",IF($AC53&gt;=45,"先做FAQ/段落或低优先文章","不单独写，合并到商业页/FAQ"))))</x:f>
      </x:c>
      <x:c r="AF53" s="37" t="str">
        <x:f>IF($A53="","",$K53&amp;" | 父级页: "&amp;$C53&amp;" | 目标URL: "&amp;$T53&amp;" | 必补: 竞品结构+原创证据+对比表+FAQ+内链CTA")</x:f>
      </x:c>
      <x:c r="AG53" s="37" t="str">
        <x:f>IF($A53="","",IF($I53&lt;4,"SERP不支持文章，优先做商业页/FAQ",IF($L53&lt;3,"产品相关弱，谨慎写",IF($N53&lt;3,"证据不足，容易变AI水文",IF($G53&gt;70,"难度偏高，需要更强外链/权威",IF($Q53&lt;3,"内链弱，先补主题簇","可进入规划"))))))</x:f>
      </x:c>
      <x:c r="AH53" s="106" t="str">
        <x:f>IF($A53="","",IF($T53="","缺少目标URL",IF(COUNTIF('页面规划'!$D$5:$D$104,$T53)&gt;0,"已匹配","未匹配")))</x:f>
      </x:c>
      <x:c r="AI53" s="37" t="str">
        <x:f>IF($A53="","",IFERROR(INDEX('页面规划'!$B$5:$B$104,MATCH($T53,'页面规划'!$D$5:$D$104,0)),""))</x:f>
      </x:c>
      <x:c r="AJ53" s="37" t="str">
        <x:f>IF($A53="","",IFERROR(INDEX('页面规划'!$F$5:$F$104,MATCH($T53,'页面规划'!$D$5:$D$104,0)),""))</x:f>
      </x:c>
      <x:c r="AK53" s="37" t="str">
        <x:f>IF($A53="","",IFERROR(INDEX('页面规划'!$H$5:$H$104,MATCH($T53,'页面规划'!$D$5:$D$104,0)),""))</x:f>
      </x:c>
      <x:c r="AL53" s="83" t="str">
        <x:f>IF($A53="","",IF($AH53="已匹配","OK：文章可内链到页面规划中的父级页","先到【页面规划】新增/修正目标URL，再排文章"))</x:f>
      </x:c>
    </x:row>
    <x:row r="54">
      <x:c r="A54" s="108"/>
      <x:c r="B54" s="37"/>
      <x:c r="C54" s="37"/>
      <x:c r="D54" s="37"/>
      <x:c r="E54" s="88"/>
      <x:c r="F54" s="91"/>
      <x:c r="G54" s="74"/>
      <x:c r="H54" s="74"/>
      <x:c r="I54" s="74"/>
      <x:c r="J54" s="37"/>
      <x:c r="K54" s="37"/>
      <x:c r="L54" s="74"/>
      <x:c r="M54" s="74"/>
      <x:c r="N54" s="74"/>
      <x:c r="O54" s="74"/>
      <x:c r="P54" s="74"/>
      <x:c r="Q54" s="74"/>
      <x:c r="R54" s="74"/>
      <x:c r="S54" s="37"/>
      <x:c r="T54" s="37"/>
      <x:c r="U54" s="37"/>
      <x:c r="V54" s="94" t="str">
        <x:f>IF($A54="","",MIN(20,MAX(0,$I54*2)))</x:f>
      </x:c>
      <x:c r="W54" s="94" t="str">
        <x:f>IF($A54="","",(($L54+$M54)/10)*20)</x:f>
      </x:c>
      <x:c r="X54" s="94" t="str">
        <x:f>IF($A54="","",IF($E54&gt;=1000,10,IF($E54&gt;=300,8,IF($E54&gt;=100,6,IF($E54&gt;=30,4,IF($E54&gt;0,2,0)))))+IF($F54&gt;=2,5,IF($F54&gt;=1,4,IF($F54&gt;=0.3,3,IF($F54&gt;0,2,0)))))</x:f>
      </x:c>
      <x:c r="Y54" s="94" t="str">
        <x:f>IF($A54="","",IF($G54&lt;=20,15,IF($G54&lt;=35,12,IF($G54&lt;=50,9,IF($G54&lt;=65,6,IF($G54&lt;=80,3,1))))))</x:f>
      </x:c>
      <x:c r="Z54" s="94" t="str">
        <x:f>IF($A54="","",(($N54+$O54)/10)*15)</x:f>
      </x:c>
      <x:c r="AA54" s="94" t="str">
        <x:f>IF($A54="","",(($P54+$Q54)/10)*10)</x:f>
      </x:c>
      <x:c r="AB54" s="94" t="str">
        <x:f>IF($A54="","",$R54)</x:f>
      </x:c>
      <x:c r="AC54" s="94" t="str">
        <x:f>IF($A54="","",SUM($V54:$AB54))</x:f>
      </x:c>
      <x:c r="AD54" s="100" t="str">
        <x:f>IF($A54="","",IF($AC54&gt;=75,"P0",IF($AC54&gt;=60,"P1",IF($AC54&gt;=45,"P2","P3"))))</x:f>
      </x:c>
      <x:c r="AE54" s="100" t="str">
        <x:f>IF($A54="","",IF($AC54&gt;=75,"立即写独立文章",IF($AC54&gt;=60,"排入本批内容日历",IF($AC54&gt;=45,"先做FAQ/段落或低优先文章","不单独写，合并到商业页/FAQ"))))</x:f>
      </x:c>
      <x:c r="AF54" s="37" t="str">
        <x:f>IF($A54="","",$K54&amp;" | 父级页: "&amp;$C54&amp;" | 目标URL: "&amp;$T54&amp;" | 必补: 竞品结构+原创证据+对比表+FAQ+内链CTA")</x:f>
      </x:c>
      <x:c r="AG54" s="37" t="str">
        <x:f>IF($A54="","",IF($I54&lt;4,"SERP不支持文章，优先做商业页/FAQ",IF($L54&lt;3,"产品相关弱，谨慎写",IF($N54&lt;3,"证据不足，容易变AI水文",IF($G54&gt;70,"难度偏高，需要更强外链/权威",IF($Q54&lt;3,"内链弱，先补主题簇","可进入规划"))))))</x:f>
      </x:c>
      <x:c r="AH54" s="106" t="str">
        <x:f>IF($A54="","",IF($T54="","缺少目标URL",IF(COUNTIF('页面规划'!$D$5:$D$104,$T54)&gt;0,"已匹配","未匹配")))</x:f>
      </x:c>
      <x:c r="AI54" s="37" t="str">
        <x:f>IF($A54="","",IFERROR(INDEX('页面规划'!$B$5:$B$104,MATCH($T54,'页面规划'!$D$5:$D$104,0)),""))</x:f>
      </x:c>
      <x:c r="AJ54" s="37" t="str">
        <x:f>IF($A54="","",IFERROR(INDEX('页面规划'!$F$5:$F$104,MATCH($T54,'页面规划'!$D$5:$D$104,0)),""))</x:f>
      </x:c>
      <x:c r="AK54" s="37" t="str">
        <x:f>IF($A54="","",IFERROR(INDEX('页面规划'!$H$5:$H$104,MATCH($T54,'页面规划'!$D$5:$D$104,0)),""))</x:f>
      </x:c>
      <x:c r="AL54" s="83" t="str">
        <x:f>IF($A54="","",IF($AH54="已匹配","OK：文章可内链到页面规划中的父级页","先到【页面规划】新增/修正目标URL，再排文章"))</x:f>
      </x:c>
    </x:row>
    <x:row r="55">
      <x:c r="A55" s="108"/>
      <x:c r="B55" s="37"/>
      <x:c r="C55" s="37"/>
      <x:c r="D55" s="37"/>
      <x:c r="E55" s="88"/>
      <x:c r="F55" s="91"/>
      <x:c r="G55" s="74"/>
      <x:c r="H55" s="74"/>
      <x:c r="I55" s="74"/>
      <x:c r="J55" s="37"/>
      <x:c r="K55" s="37"/>
      <x:c r="L55" s="74"/>
      <x:c r="M55" s="74"/>
      <x:c r="N55" s="74"/>
      <x:c r="O55" s="74"/>
      <x:c r="P55" s="74"/>
      <x:c r="Q55" s="74"/>
      <x:c r="R55" s="74"/>
      <x:c r="S55" s="37"/>
      <x:c r="T55" s="37"/>
      <x:c r="U55" s="37"/>
      <x:c r="V55" s="94" t="str">
        <x:f>IF($A55="","",MIN(20,MAX(0,$I55*2)))</x:f>
      </x:c>
      <x:c r="W55" s="94" t="str">
        <x:f>IF($A55="","",(($L55+$M55)/10)*20)</x:f>
      </x:c>
      <x:c r="X55" s="94" t="str">
        <x:f>IF($A55="","",IF($E55&gt;=1000,10,IF($E55&gt;=300,8,IF($E55&gt;=100,6,IF($E55&gt;=30,4,IF($E55&gt;0,2,0)))))+IF($F55&gt;=2,5,IF($F55&gt;=1,4,IF($F55&gt;=0.3,3,IF($F55&gt;0,2,0)))))</x:f>
      </x:c>
      <x:c r="Y55" s="94" t="str">
        <x:f>IF($A55="","",IF($G55&lt;=20,15,IF($G55&lt;=35,12,IF($G55&lt;=50,9,IF($G55&lt;=65,6,IF($G55&lt;=80,3,1))))))</x:f>
      </x:c>
      <x:c r="Z55" s="94" t="str">
        <x:f>IF($A55="","",(($N55+$O55)/10)*15)</x:f>
      </x:c>
      <x:c r="AA55" s="94" t="str">
        <x:f>IF($A55="","",(($P55+$Q55)/10)*10)</x:f>
      </x:c>
      <x:c r="AB55" s="94" t="str">
        <x:f>IF($A55="","",$R55)</x:f>
      </x:c>
      <x:c r="AC55" s="94" t="str">
        <x:f>IF($A55="","",SUM($V55:$AB55))</x:f>
      </x:c>
      <x:c r="AD55" s="100" t="str">
        <x:f>IF($A55="","",IF($AC55&gt;=75,"P0",IF($AC55&gt;=60,"P1",IF($AC55&gt;=45,"P2","P3"))))</x:f>
      </x:c>
      <x:c r="AE55" s="100" t="str">
        <x:f>IF($A55="","",IF($AC55&gt;=75,"立即写独立文章",IF($AC55&gt;=60,"排入本批内容日历",IF($AC55&gt;=45,"先做FAQ/段落或低优先文章","不单独写，合并到商业页/FAQ"))))</x:f>
      </x:c>
      <x:c r="AF55" s="37" t="str">
        <x:f>IF($A55="","",$K55&amp;" | 父级页: "&amp;$C55&amp;" | 目标URL: "&amp;$T55&amp;" | 必补: 竞品结构+原创证据+对比表+FAQ+内链CTA")</x:f>
      </x:c>
      <x:c r="AG55" s="37" t="str">
        <x:f>IF($A55="","",IF($I55&lt;4,"SERP不支持文章，优先做商业页/FAQ",IF($L55&lt;3,"产品相关弱，谨慎写",IF($N55&lt;3,"证据不足，容易变AI水文",IF($G55&gt;70,"难度偏高，需要更强外链/权威",IF($Q55&lt;3,"内链弱，先补主题簇","可进入规划"))))))</x:f>
      </x:c>
      <x:c r="AH55" s="106" t="str">
        <x:f>IF($A55="","",IF($T55="","缺少目标URL",IF(COUNTIF('页面规划'!$D$5:$D$104,$T55)&gt;0,"已匹配","未匹配")))</x:f>
      </x:c>
      <x:c r="AI55" s="37" t="str">
        <x:f>IF($A55="","",IFERROR(INDEX('页面规划'!$B$5:$B$104,MATCH($T55,'页面规划'!$D$5:$D$104,0)),""))</x:f>
      </x:c>
      <x:c r="AJ55" s="37" t="str">
        <x:f>IF($A55="","",IFERROR(INDEX('页面规划'!$F$5:$F$104,MATCH($T55,'页面规划'!$D$5:$D$104,0)),""))</x:f>
      </x:c>
      <x:c r="AK55" s="37" t="str">
        <x:f>IF($A55="","",IFERROR(INDEX('页面规划'!$H$5:$H$104,MATCH($T55,'页面规划'!$D$5:$D$104,0)),""))</x:f>
      </x:c>
      <x:c r="AL55" s="83" t="str">
        <x:f>IF($A55="","",IF($AH55="已匹配","OK：文章可内链到页面规划中的父级页","先到【页面规划】新增/修正目标URL，再排文章"))</x:f>
      </x:c>
    </x:row>
    <x:row r="56">
      <x:c r="A56" s="108"/>
      <x:c r="B56" s="37"/>
      <x:c r="C56" s="37"/>
      <x:c r="D56" s="37"/>
      <x:c r="E56" s="88"/>
      <x:c r="F56" s="91"/>
      <x:c r="G56" s="74"/>
      <x:c r="H56" s="74"/>
      <x:c r="I56" s="74"/>
      <x:c r="J56" s="37"/>
      <x:c r="K56" s="37"/>
      <x:c r="L56" s="74"/>
      <x:c r="M56" s="74"/>
      <x:c r="N56" s="74"/>
      <x:c r="O56" s="74"/>
      <x:c r="P56" s="74"/>
      <x:c r="Q56" s="74"/>
      <x:c r="R56" s="74"/>
      <x:c r="S56" s="37"/>
      <x:c r="T56" s="37"/>
      <x:c r="U56" s="37"/>
      <x:c r="V56" s="94" t="str">
        <x:f>IF($A56="","",MIN(20,MAX(0,$I56*2)))</x:f>
      </x:c>
      <x:c r="W56" s="94" t="str">
        <x:f>IF($A56="","",(($L56+$M56)/10)*20)</x:f>
      </x:c>
      <x:c r="X56" s="94" t="str">
        <x:f>IF($A56="","",IF($E56&gt;=1000,10,IF($E56&gt;=300,8,IF($E56&gt;=100,6,IF($E56&gt;=30,4,IF($E56&gt;0,2,0)))))+IF($F56&gt;=2,5,IF($F56&gt;=1,4,IF($F56&gt;=0.3,3,IF($F56&gt;0,2,0)))))</x:f>
      </x:c>
      <x:c r="Y56" s="94" t="str">
        <x:f>IF($A56="","",IF($G56&lt;=20,15,IF($G56&lt;=35,12,IF($G56&lt;=50,9,IF($G56&lt;=65,6,IF($G56&lt;=80,3,1))))))</x:f>
      </x:c>
      <x:c r="Z56" s="94" t="str">
        <x:f>IF($A56="","",(($N56+$O56)/10)*15)</x:f>
      </x:c>
      <x:c r="AA56" s="94" t="str">
        <x:f>IF($A56="","",(($P56+$Q56)/10)*10)</x:f>
      </x:c>
      <x:c r="AB56" s="94" t="str">
        <x:f>IF($A56="","",$R56)</x:f>
      </x:c>
      <x:c r="AC56" s="94" t="str">
        <x:f>IF($A56="","",SUM($V56:$AB56))</x:f>
      </x:c>
      <x:c r="AD56" s="100" t="str">
        <x:f>IF($A56="","",IF($AC56&gt;=75,"P0",IF($AC56&gt;=60,"P1",IF($AC56&gt;=45,"P2","P3"))))</x:f>
      </x:c>
      <x:c r="AE56" s="100" t="str">
        <x:f>IF($A56="","",IF($AC56&gt;=75,"立即写独立文章",IF($AC56&gt;=60,"排入本批内容日历",IF($AC56&gt;=45,"先做FAQ/段落或低优先文章","不单独写，合并到商业页/FAQ"))))</x:f>
      </x:c>
      <x:c r="AF56" s="37" t="str">
        <x:f>IF($A56="","",$K56&amp;" | 父级页: "&amp;$C56&amp;" | 目标URL: "&amp;$T56&amp;" | 必补: 竞品结构+原创证据+对比表+FAQ+内链CTA")</x:f>
      </x:c>
      <x:c r="AG56" s="37" t="str">
        <x:f>IF($A56="","",IF($I56&lt;4,"SERP不支持文章，优先做商业页/FAQ",IF($L56&lt;3,"产品相关弱，谨慎写",IF($N56&lt;3,"证据不足，容易变AI水文",IF($G56&gt;70,"难度偏高，需要更强外链/权威",IF($Q56&lt;3,"内链弱，先补主题簇","可进入规划"))))))</x:f>
      </x:c>
      <x:c r="AH56" s="106" t="str">
        <x:f>IF($A56="","",IF($T56="","缺少目标URL",IF(COUNTIF('页面规划'!$D$5:$D$104,$T56)&gt;0,"已匹配","未匹配")))</x:f>
      </x:c>
      <x:c r="AI56" s="37" t="str">
        <x:f>IF($A56="","",IFERROR(INDEX('页面规划'!$B$5:$B$104,MATCH($T56,'页面规划'!$D$5:$D$104,0)),""))</x:f>
      </x:c>
      <x:c r="AJ56" s="37" t="str">
        <x:f>IF($A56="","",IFERROR(INDEX('页面规划'!$F$5:$F$104,MATCH($T56,'页面规划'!$D$5:$D$104,0)),""))</x:f>
      </x:c>
      <x:c r="AK56" s="37" t="str">
        <x:f>IF($A56="","",IFERROR(INDEX('页面规划'!$H$5:$H$104,MATCH($T56,'页面规划'!$D$5:$D$104,0)),""))</x:f>
      </x:c>
      <x:c r="AL56" s="83" t="str">
        <x:f>IF($A56="","",IF($AH56="已匹配","OK：文章可内链到页面规划中的父级页","先到【页面规划】新增/修正目标URL，再排文章"))</x:f>
      </x:c>
    </x:row>
    <x:row r="57">
      <x:c r="A57" s="108"/>
      <x:c r="B57" s="37"/>
      <x:c r="C57" s="37"/>
      <x:c r="D57" s="37"/>
      <x:c r="E57" s="88"/>
      <x:c r="F57" s="91"/>
      <x:c r="G57" s="74"/>
      <x:c r="H57" s="74"/>
      <x:c r="I57" s="74"/>
      <x:c r="J57" s="37"/>
      <x:c r="K57" s="37"/>
      <x:c r="L57" s="74"/>
      <x:c r="M57" s="74"/>
      <x:c r="N57" s="74"/>
      <x:c r="O57" s="74"/>
      <x:c r="P57" s="74"/>
      <x:c r="Q57" s="74"/>
      <x:c r="R57" s="74"/>
      <x:c r="S57" s="37"/>
      <x:c r="T57" s="37"/>
      <x:c r="U57" s="37"/>
      <x:c r="V57" s="94" t="str">
        <x:f>IF($A57="","",MIN(20,MAX(0,$I57*2)))</x:f>
      </x:c>
      <x:c r="W57" s="94" t="str">
        <x:f>IF($A57="","",(($L57+$M57)/10)*20)</x:f>
      </x:c>
      <x:c r="X57" s="94" t="str">
        <x:f>IF($A57="","",IF($E57&gt;=1000,10,IF($E57&gt;=300,8,IF($E57&gt;=100,6,IF($E57&gt;=30,4,IF($E57&gt;0,2,0)))))+IF($F57&gt;=2,5,IF($F57&gt;=1,4,IF($F57&gt;=0.3,3,IF($F57&gt;0,2,0)))))</x:f>
      </x:c>
      <x:c r="Y57" s="94" t="str">
        <x:f>IF($A57="","",IF($G57&lt;=20,15,IF($G57&lt;=35,12,IF($G57&lt;=50,9,IF($G57&lt;=65,6,IF($G57&lt;=80,3,1))))))</x:f>
      </x:c>
      <x:c r="Z57" s="94" t="str">
        <x:f>IF($A57="","",(($N57+$O57)/10)*15)</x:f>
      </x:c>
      <x:c r="AA57" s="94" t="str">
        <x:f>IF($A57="","",(($P57+$Q57)/10)*10)</x:f>
      </x:c>
      <x:c r="AB57" s="94" t="str">
        <x:f>IF($A57="","",$R57)</x:f>
      </x:c>
      <x:c r="AC57" s="94" t="str">
        <x:f>IF($A57="","",SUM($V57:$AB57))</x:f>
      </x:c>
      <x:c r="AD57" s="100" t="str">
        <x:f>IF($A57="","",IF($AC57&gt;=75,"P0",IF($AC57&gt;=60,"P1",IF($AC57&gt;=45,"P2","P3"))))</x:f>
      </x:c>
      <x:c r="AE57" s="100" t="str">
        <x:f>IF($A57="","",IF($AC57&gt;=75,"立即写独立文章",IF($AC57&gt;=60,"排入本批内容日历",IF($AC57&gt;=45,"先做FAQ/段落或低优先文章","不单独写，合并到商业页/FAQ"))))</x:f>
      </x:c>
      <x:c r="AF57" s="37" t="str">
        <x:f>IF($A57="","",$K57&amp;" | 父级页: "&amp;$C57&amp;" | 目标URL: "&amp;$T57&amp;" | 必补: 竞品结构+原创证据+对比表+FAQ+内链CTA")</x:f>
      </x:c>
      <x:c r="AG57" s="37" t="str">
        <x:f>IF($A57="","",IF($I57&lt;4,"SERP不支持文章，优先做商业页/FAQ",IF($L57&lt;3,"产品相关弱，谨慎写",IF($N57&lt;3,"证据不足，容易变AI水文",IF($G57&gt;70,"难度偏高，需要更强外链/权威",IF($Q57&lt;3,"内链弱，先补主题簇","可进入规划"))))))</x:f>
      </x:c>
      <x:c r="AH57" s="106" t="str">
        <x:f>IF($A57="","",IF($T57="","缺少目标URL",IF(COUNTIF('页面规划'!$D$5:$D$104,$T57)&gt;0,"已匹配","未匹配")))</x:f>
      </x:c>
      <x:c r="AI57" s="37" t="str">
        <x:f>IF($A57="","",IFERROR(INDEX('页面规划'!$B$5:$B$104,MATCH($T57,'页面规划'!$D$5:$D$104,0)),""))</x:f>
      </x:c>
      <x:c r="AJ57" s="37" t="str">
        <x:f>IF($A57="","",IFERROR(INDEX('页面规划'!$F$5:$F$104,MATCH($T57,'页面规划'!$D$5:$D$104,0)),""))</x:f>
      </x:c>
      <x:c r="AK57" s="37" t="str">
        <x:f>IF($A57="","",IFERROR(INDEX('页面规划'!$H$5:$H$104,MATCH($T57,'页面规划'!$D$5:$D$104,0)),""))</x:f>
      </x:c>
      <x:c r="AL57" s="83" t="str">
        <x:f>IF($A57="","",IF($AH57="已匹配","OK：文章可内链到页面规划中的父级页","先到【页面规划】新增/修正目标URL，再排文章"))</x:f>
      </x:c>
    </x:row>
    <x:row r="58">
      <x:c r="A58" s="108"/>
      <x:c r="B58" s="37"/>
      <x:c r="C58" s="37"/>
      <x:c r="D58" s="37"/>
      <x:c r="E58" s="88"/>
      <x:c r="F58" s="91"/>
      <x:c r="G58" s="74"/>
      <x:c r="H58" s="74"/>
      <x:c r="I58" s="74"/>
      <x:c r="J58" s="37"/>
      <x:c r="K58" s="37"/>
      <x:c r="L58" s="74"/>
      <x:c r="M58" s="74"/>
      <x:c r="N58" s="74"/>
      <x:c r="O58" s="74"/>
      <x:c r="P58" s="74"/>
      <x:c r="Q58" s="74"/>
      <x:c r="R58" s="74"/>
      <x:c r="S58" s="37"/>
      <x:c r="T58" s="37"/>
      <x:c r="U58" s="37"/>
      <x:c r="V58" s="94" t="str">
        <x:f>IF($A58="","",MIN(20,MAX(0,$I58*2)))</x:f>
      </x:c>
      <x:c r="W58" s="94" t="str">
        <x:f>IF($A58="","",(($L58+$M58)/10)*20)</x:f>
      </x:c>
      <x:c r="X58" s="94" t="str">
        <x:f>IF($A58="","",IF($E58&gt;=1000,10,IF($E58&gt;=300,8,IF($E58&gt;=100,6,IF($E58&gt;=30,4,IF($E58&gt;0,2,0)))))+IF($F58&gt;=2,5,IF($F58&gt;=1,4,IF($F58&gt;=0.3,3,IF($F58&gt;0,2,0)))))</x:f>
      </x:c>
      <x:c r="Y58" s="94" t="str">
        <x:f>IF($A58="","",IF($G58&lt;=20,15,IF($G58&lt;=35,12,IF($G58&lt;=50,9,IF($G58&lt;=65,6,IF($G58&lt;=80,3,1))))))</x:f>
      </x:c>
      <x:c r="Z58" s="94" t="str">
        <x:f>IF($A58="","",(($N58+$O58)/10)*15)</x:f>
      </x:c>
      <x:c r="AA58" s="94" t="str">
        <x:f>IF($A58="","",(($P58+$Q58)/10)*10)</x:f>
      </x:c>
      <x:c r="AB58" s="94" t="str">
        <x:f>IF($A58="","",$R58)</x:f>
      </x:c>
      <x:c r="AC58" s="94" t="str">
        <x:f>IF($A58="","",SUM($V58:$AB58))</x:f>
      </x:c>
      <x:c r="AD58" s="100" t="str">
        <x:f>IF($A58="","",IF($AC58&gt;=75,"P0",IF($AC58&gt;=60,"P1",IF($AC58&gt;=45,"P2","P3"))))</x:f>
      </x:c>
      <x:c r="AE58" s="100" t="str">
        <x:f>IF($A58="","",IF($AC58&gt;=75,"立即写独立文章",IF($AC58&gt;=60,"排入本批内容日历",IF($AC58&gt;=45,"先做FAQ/段落或低优先文章","不单独写，合并到商业页/FAQ"))))</x:f>
      </x:c>
      <x:c r="AF58" s="37" t="str">
        <x:f>IF($A58="","",$K58&amp;" | 父级页: "&amp;$C58&amp;" | 目标URL: "&amp;$T58&amp;" | 必补: 竞品结构+原创证据+对比表+FAQ+内链CTA")</x:f>
      </x:c>
      <x:c r="AG58" s="37" t="str">
        <x:f>IF($A58="","",IF($I58&lt;4,"SERP不支持文章，优先做商业页/FAQ",IF($L58&lt;3,"产品相关弱，谨慎写",IF($N58&lt;3,"证据不足，容易变AI水文",IF($G58&gt;70,"难度偏高，需要更强外链/权威",IF($Q58&lt;3,"内链弱，先补主题簇","可进入规划"))))))</x:f>
      </x:c>
      <x:c r="AH58" s="106" t="str">
        <x:f>IF($A58="","",IF($T58="","缺少目标URL",IF(COUNTIF('页面规划'!$D$5:$D$104,$T58)&gt;0,"已匹配","未匹配")))</x:f>
      </x:c>
      <x:c r="AI58" s="37" t="str">
        <x:f>IF($A58="","",IFERROR(INDEX('页面规划'!$B$5:$B$104,MATCH($T58,'页面规划'!$D$5:$D$104,0)),""))</x:f>
      </x:c>
      <x:c r="AJ58" s="37" t="str">
        <x:f>IF($A58="","",IFERROR(INDEX('页面规划'!$F$5:$F$104,MATCH($T58,'页面规划'!$D$5:$D$104,0)),""))</x:f>
      </x:c>
      <x:c r="AK58" s="37" t="str">
        <x:f>IF($A58="","",IFERROR(INDEX('页面规划'!$H$5:$H$104,MATCH($T58,'页面规划'!$D$5:$D$104,0)),""))</x:f>
      </x:c>
      <x:c r="AL58" s="83" t="str">
        <x:f>IF($A58="","",IF($AH58="已匹配","OK：文章可内链到页面规划中的父级页","先到【页面规划】新增/修正目标URL，再排文章"))</x:f>
      </x:c>
    </x:row>
    <x:row r="59">
      <x:c r="A59" s="108"/>
      <x:c r="B59" s="37"/>
      <x:c r="C59" s="37"/>
      <x:c r="D59" s="37"/>
      <x:c r="E59" s="88"/>
      <x:c r="F59" s="91"/>
      <x:c r="G59" s="74"/>
      <x:c r="H59" s="74"/>
      <x:c r="I59" s="74"/>
      <x:c r="J59" s="37"/>
      <x:c r="K59" s="37"/>
      <x:c r="L59" s="74"/>
      <x:c r="M59" s="74"/>
      <x:c r="N59" s="74"/>
      <x:c r="O59" s="74"/>
      <x:c r="P59" s="74"/>
      <x:c r="Q59" s="74"/>
      <x:c r="R59" s="74"/>
      <x:c r="S59" s="37"/>
      <x:c r="T59" s="37"/>
      <x:c r="U59" s="37"/>
      <x:c r="V59" s="94" t="str">
        <x:f>IF($A59="","",MIN(20,MAX(0,$I59*2)))</x:f>
      </x:c>
      <x:c r="W59" s="94" t="str">
        <x:f>IF($A59="","",(($L59+$M59)/10)*20)</x:f>
      </x:c>
      <x:c r="X59" s="94" t="str">
        <x:f>IF($A59="","",IF($E59&gt;=1000,10,IF($E59&gt;=300,8,IF($E59&gt;=100,6,IF($E59&gt;=30,4,IF($E59&gt;0,2,0)))))+IF($F59&gt;=2,5,IF($F59&gt;=1,4,IF($F59&gt;=0.3,3,IF($F59&gt;0,2,0)))))</x:f>
      </x:c>
      <x:c r="Y59" s="94" t="str">
        <x:f>IF($A59="","",IF($G59&lt;=20,15,IF($G59&lt;=35,12,IF($G59&lt;=50,9,IF($G59&lt;=65,6,IF($G59&lt;=80,3,1))))))</x:f>
      </x:c>
      <x:c r="Z59" s="94" t="str">
        <x:f>IF($A59="","",(($N59+$O59)/10)*15)</x:f>
      </x:c>
      <x:c r="AA59" s="94" t="str">
        <x:f>IF($A59="","",(($P59+$Q59)/10)*10)</x:f>
      </x:c>
      <x:c r="AB59" s="94" t="str">
        <x:f>IF($A59="","",$R59)</x:f>
      </x:c>
      <x:c r="AC59" s="94" t="str">
        <x:f>IF($A59="","",SUM($V59:$AB59))</x:f>
      </x:c>
      <x:c r="AD59" s="100" t="str">
        <x:f>IF($A59="","",IF($AC59&gt;=75,"P0",IF($AC59&gt;=60,"P1",IF($AC59&gt;=45,"P2","P3"))))</x:f>
      </x:c>
      <x:c r="AE59" s="100" t="str">
        <x:f>IF($A59="","",IF($AC59&gt;=75,"立即写独立文章",IF($AC59&gt;=60,"排入本批内容日历",IF($AC59&gt;=45,"先做FAQ/段落或低优先文章","不单独写，合并到商业页/FAQ"))))</x:f>
      </x:c>
      <x:c r="AF59" s="37" t="str">
        <x:f>IF($A59="","",$K59&amp;" | 父级页: "&amp;$C59&amp;" | 目标URL: "&amp;$T59&amp;" | 必补: 竞品结构+原创证据+对比表+FAQ+内链CTA")</x:f>
      </x:c>
      <x:c r="AG59" s="37" t="str">
        <x:f>IF($A59="","",IF($I59&lt;4,"SERP不支持文章，优先做商业页/FAQ",IF($L59&lt;3,"产品相关弱，谨慎写",IF($N59&lt;3,"证据不足，容易变AI水文",IF($G59&gt;70,"难度偏高，需要更强外链/权威",IF($Q59&lt;3,"内链弱，先补主题簇","可进入规划"))))))</x:f>
      </x:c>
      <x:c r="AH59" s="106" t="str">
        <x:f>IF($A59="","",IF($T59="","缺少目标URL",IF(COUNTIF('页面规划'!$D$5:$D$104,$T59)&gt;0,"已匹配","未匹配")))</x:f>
      </x:c>
      <x:c r="AI59" s="37" t="str">
        <x:f>IF($A59="","",IFERROR(INDEX('页面规划'!$B$5:$B$104,MATCH($T59,'页面规划'!$D$5:$D$104,0)),""))</x:f>
      </x:c>
      <x:c r="AJ59" s="37" t="str">
        <x:f>IF($A59="","",IFERROR(INDEX('页面规划'!$F$5:$F$104,MATCH($T59,'页面规划'!$D$5:$D$104,0)),""))</x:f>
      </x:c>
      <x:c r="AK59" s="37" t="str">
        <x:f>IF($A59="","",IFERROR(INDEX('页面规划'!$H$5:$H$104,MATCH($T59,'页面规划'!$D$5:$D$104,0)),""))</x:f>
      </x:c>
      <x:c r="AL59" s="83" t="str">
        <x:f>IF($A59="","",IF($AH59="已匹配","OK：文章可内链到页面规划中的父级页","先到【页面规划】新增/修正目标URL，再排文章"))</x:f>
      </x:c>
    </x:row>
    <x:row r="60">
      <x:c r="A60" s="108"/>
      <x:c r="B60" s="37"/>
      <x:c r="C60" s="37"/>
      <x:c r="D60" s="37"/>
      <x:c r="E60" s="88"/>
      <x:c r="F60" s="91"/>
      <x:c r="G60" s="74"/>
      <x:c r="H60" s="74"/>
      <x:c r="I60" s="74"/>
      <x:c r="J60" s="37"/>
      <x:c r="K60" s="37"/>
      <x:c r="L60" s="74"/>
      <x:c r="M60" s="74"/>
      <x:c r="N60" s="74"/>
      <x:c r="O60" s="74"/>
      <x:c r="P60" s="74"/>
      <x:c r="Q60" s="74"/>
      <x:c r="R60" s="74"/>
      <x:c r="S60" s="37"/>
      <x:c r="T60" s="37"/>
      <x:c r="U60" s="37"/>
      <x:c r="V60" s="94" t="str">
        <x:f>IF($A60="","",MIN(20,MAX(0,$I60*2)))</x:f>
      </x:c>
      <x:c r="W60" s="94" t="str">
        <x:f>IF($A60="","",(($L60+$M60)/10)*20)</x:f>
      </x:c>
      <x:c r="X60" s="94" t="str">
        <x:f>IF($A60="","",IF($E60&gt;=1000,10,IF($E60&gt;=300,8,IF($E60&gt;=100,6,IF($E60&gt;=30,4,IF($E60&gt;0,2,0)))))+IF($F60&gt;=2,5,IF($F60&gt;=1,4,IF($F60&gt;=0.3,3,IF($F60&gt;0,2,0)))))</x:f>
      </x:c>
      <x:c r="Y60" s="94" t="str">
        <x:f>IF($A60="","",IF($G60&lt;=20,15,IF($G60&lt;=35,12,IF($G60&lt;=50,9,IF($G60&lt;=65,6,IF($G60&lt;=80,3,1))))))</x:f>
      </x:c>
      <x:c r="Z60" s="94" t="str">
        <x:f>IF($A60="","",(($N60+$O60)/10)*15)</x:f>
      </x:c>
      <x:c r="AA60" s="94" t="str">
        <x:f>IF($A60="","",(($P60+$Q60)/10)*10)</x:f>
      </x:c>
      <x:c r="AB60" s="94" t="str">
        <x:f>IF($A60="","",$R60)</x:f>
      </x:c>
      <x:c r="AC60" s="94" t="str">
        <x:f>IF($A60="","",SUM($V60:$AB60))</x:f>
      </x:c>
      <x:c r="AD60" s="100" t="str">
        <x:f>IF($A60="","",IF($AC60&gt;=75,"P0",IF($AC60&gt;=60,"P1",IF($AC60&gt;=45,"P2","P3"))))</x:f>
      </x:c>
      <x:c r="AE60" s="100" t="str">
        <x:f>IF($A60="","",IF($AC60&gt;=75,"立即写独立文章",IF($AC60&gt;=60,"排入本批内容日历",IF($AC60&gt;=45,"先做FAQ/段落或低优先文章","不单独写，合并到商业页/FAQ"))))</x:f>
      </x:c>
      <x:c r="AF60" s="37" t="str">
        <x:f>IF($A60="","",$K60&amp;" | 父级页: "&amp;$C60&amp;" | 目标URL: "&amp;$T60&amp;" | 必补: 竞品结构+原创证据+对比表+FAQ+内链CTA")</x:f>
      </x:c>
      <x:c r="AG60" s="37" t="str">
        <x:f>IF($A60="","",IF($I60&lt;4,"SERP不支持文章，优先做商业页/FAQ",IF($L60&lt;3,"产品相关弱，谨慎写",IF($N60&lt;3,"证据不足，容易变AI水文",IF($G60&gt;70,"难度偏高，需要更强外链/权威",IF($Q60&lt;3,"内链弱，先补主题簇","可进入规划"))))))</x:f>
      </x:c>
      <x:c r="AH60" s="106" t="str">
        <x:f>IF($A60="","",IF($T60="","缺少目标URL",IF(COUNTIF('页面规划'!$D$5:$D$104,$T60)&gt;0,"已匹配","未匹配")))</x:f>
      </x:c>
      <x:c r="AI60" s="37" t="str">
        <x:f>IF($A60="","",IFERROR(INDEX('页面规划'!$B$5:$B$104,MATCH($T60,'页面规划'!$D$5:$D$104,0)),""))</x:f>
      </x:c>
      <x:c r="AJ60" s="37" t="str">
        <x:f>IF($A60="","",IFERROR(INDEX('页面规划'!$F$5:$F$104,MATCH($T60,'页面规划'!$D$5:$D$104,0)),""))</x:f>
      </x:c>
      <x:c r="AK60" s="37" t="str">
        <x:f>IF($A60="","",IFERROR(INDEX('页面规划'!$H$5:$H$104,MATCH($T60,'页面规划'!$D$5:$D$104,0)),""))</x:f>
      </x:c>
      <x:c r="AL60" s="83" t="str">
        <x:f>IF($A60="","",IF($AH60="已匹配","OK：文章可内链到页面规划中的父级页","先到【页面规划】新增/修正目标URL，再排文章"))</x:f>
      </x:c>
    </x:row>
    <x:row r="61">
      <x:c r="A61" s="108"/>
      <x:c r="B61" s="37"/>
      <x:c r="C61" s="37"/>
      <x:c r="D61" s="37"/>
      <x:c r="E61" s="88"/>
      <x:c r="F61" s="91"/>
      <x:c r="G61" s="74"/>
      <x:c r="H61" s="74"/>
      <x:c r="I61" s="74"/>
      <x:c r="J61" s="37"/>
      <x:c r="K61" s="37"/>
      <x:c r="L61" s="74"/>
      <x:c r="M61" s="74"/>
      <x:c r="N61" s="74"/>
      <x:c r="O61" s="74"/>
      <x:c r="P61" s="74"/>
      <x:c r="Q61" s="74"/>
      <x:c r="R61" s="74"/>
      <x:c r="S61" s="37"/>
      <x:c r="T61" s="37"/>
      <x:c r="U61" s="37"/>
      <x:c r="V61" s="94" t="str">
        <x:f>IF($A61="","",MIN(20,MAX(0,$I61*2)))</x:f>
      </x:c>
      <x:c r="W61" s="94" t="str">
        <x:f>IF($A61="","",(($L61+$M61)/10)*20)</x:f>
      </x:c>
      <x:c r="X61" s="94" t="str">
        <x:f>IF($A61="","",IF($E61&gt;=1000,10,IF($E61&gt;=300,8,IF($E61&gt;=100,6,IF($E61&gt;=30,4,IF($E61&gt;0,2,0)))))+IF($F61&gt;=2,5,IF($F61&gt;=1,4,IF($F61&gt;=0.3,3,IF($F61&gt;0,2,0)))))</x:f>
      </x:c>
      <x:c r="Y61" s="94" t="str">
        <x:f>IF($A61="","",IF($G61&lt;=20,15,IF($G61&lt;=35,12,IF($G61&lt;=50,9,IF($G61&lt;=65,6,IF($G61&lt;=80,3,1))))))</x:f>
      </x:c>
      <x:c r="Z61" s="94" t="str">
        <x:f>IF($A61="","",(($N61+$O61)/10)*15)</x:f>
      </x:c>
      <x:c r="AA61" s="94" t="str">
        <x:f>IF($A61="","",(($P61+$Q61)/10)*10)</x:f>
      </x:c>
      <x:c r="AB61" s="94" t="str">
        <x:f>IF($A61="","",$R61)</x:f>
      </x:c>
      <x:c r="AC61" s="94" t="str">
        <x:f>IF($A61="","",SUM($V61:$AB61))</x:f>
      </x:c>
      <x:c r="AD61" s="100" t="str">
        <x:f>IF($A61="","",IF($AC61&gt;=75,"P0",IF($AC61&gt;=60,"P1",IF($AC61&gt;=45,"P2","P3"))))</x:f>
      </x:c>
      <x:c r="AE61" s="100" t="str">
        <x:f>IF($A61="","",IF($AC61&gt;=75,"立即写独立文章",IF($AC61&gt;=60,"排入本批内容日历",IF($AC61&gt;=45,"先做FAQ/段落或低优先文章","不单独写，合并到商业页/FAQ"))))</x:f>
      </x:c>
      <x:c r="AF61" s="37" t="str">
        <x:f>IF($A61="","",$K61&amp;" | 父级页: "&amp;$C61&amp;" | 目标URL: "&amp;$T61&amp;" | 必补: 竞品结构+原创证据+对比表+FAQ+内链CTA")</x:f>
      </x:c>
      <x:c r="AG61" s="37" t="str">
        <x:f>IF($A61="","",IF($I61&lt;4,"SERP不支持文章，优先做商业页/FAQ",IF($L61&lt;3,"产品相关弱，谨慎写",IF($N61&lt;3,"证据不足，容易变AI水文",IF($G61&gt;70,"难度偏高，需要更强外链/权威",IF($Q61&lt;3,"内链弱，先补主题簇","可进入规划"))))))</x:f>
      </x:c>
      <x:c r="AH61" s="106" t="str">
        <x:f>IF($A61="","",IF($T61="","缺少目标URL",IF(COUNTIF('页面规划'!$D$5:$D$104,$T61)&gt;0,"已匹配","未匹配")))</x:f>
      </x:c>
      <x:c r="AI61" s="37" t="str">
        <x:f>IF($A61="","",IFERROR(INDEX('页面规划'!$B$5:$B$104,MATCH($T61,'页面规划'!$D$5:$D$104,0)),""))</x:f>
      </x:c>
      <x:c r="AJ61" s="37" t="str">
        <x:f>IF($A61="","",IFERROR(INDEX('页面规划'!$F$5:$F$104,MATCH($T61,'页面规划'!$D$5:$D$104,0)),""))</x:f>
      </x:c>
      <x:c r="AK61" s="37" t="str">
        <x:f>IF($A61="","",IFERROR(INDEX('页面规划'!$H$5:$H$104,MATCH($T61,'页面规划'!$D$5:$D$104,0)),""))</x:f>
      </x:c>
      <x:c r="AL61" s="83" t="str">
        <x:f>IF($A61="","",IF($AH61="已匹配","OK：文章可内链到页面规划中的父级页","先到【页面规划】新增/修正目标URL，再排文章"))</x:f>
      </x:c>
    </x:row>
    <x:row r="62">
      <x:c r="A62" s="108"/>
      <x:c r="B62" s="37"/>
      <x:c r="C62" s="37"/>
      <x:c r="D62" s="37"/>
      <x:c r="E62" s="88"/>
      <x:c r="F62" s="91"/>
      <x:c r="G62" s="74"/>
      <x:c r="H62" s="74"/>
      <x:c r="I62" s="74"/>
      <x:c r="J62" s="37"/>
      <x:c r="K62" s="37"/>
      <x:c r="L62" s="74"/>
      <x:c r="M62" s="74"/>
      <x:c r="N62" s="74"/>
      <x:c r="O62" s="74"/>
      <x:c r="P62" s="74"/>
      <x:c r="Q62" s="74"/>
      <x:c r="R62" s="74"/>
      <x:c r="S62" s="37"/>
      <x:c r="T62" s="37"/>
      <x:c r="U62" s="37"/>
      <x:c r="V62" s="94" t="str">
        <x:f>IF($A62="","",MIN(20,MAX(0,$I62*2)))</x:f>
      </x:c>
      <x:c r="W62" s="94" t="str">
        <x:f>IF($A62="","",(($L62+$M62)/10)*20)</x:f>
      </x:c>
      <x:c r="X62" s="94" t="str">
        <x:f>IF($A62="","",IF($E62&gt;=1000,10,IF($E62&gt;=300,8,IF($E62&gt;=100,6,IF($E62&gt;=30,4,IF($E62&gt;0,2,0)))))+IF($F62&gt;=2,5,IF($F62&gt;=1,4,IF($F62&gt;=0.3,3,IF($F62&gt;0,2,0)))))</x:f>
      </x:c>
      <x:c r="Y62" s="94" t="str">
        <x:f>IF($A62="","",IF($G62&lt;=20,15,IF($G62&lt;=35,12,IF($G62&lt;=50,9,IF($G62&lt;=65,6,IF($G62&lt;=80,3,1))))))</x:f>
      </x:c>
      <x:c r="Z62" s="94" t="str">
        <x:f>IF($A62="","",(($N62+$O62)/10)*15)</x:f>
      </x:c>
      <x:c r="AA62" s="94" t="str">
        <x:f>IF($A62="","",(($P62+$Q62)/10)*10)</x:f>
      </x:c>
      <x:c r="AB62" s="94" t="str">
        <x:f>IF($A62="","",$R62)</x:f>
      </x:c>
      <x:c r="AC62" s="94" t="str">
        <x:f>IF($A62="","",SUM($V62:$AB62))</x:f>
      </x:c>
      <x:c r="AD62" s="100" t="str">
        <x:f>IF($A62="","",IF($AC62&gt;=75,"P0",IF($AC62&gt;=60,"P1",IF($AC62&gt;=45,"P2","P3"))))</x:f>
      </x:c>
      <x:c r="AE62" s="100" t="str">
        <x:f>IF($A62="","",IF($AC62&gt;=75,"立即写独立文章",IF($AC62&gt;=60,"排入本批内容日历",IF($AC62&gt;=45,"先做FAQ/段落或低优先文章","不单独写，合并到商业页/FAQ"))))</x:f>
      </x:c>
      <x:c r="AF62" s="37" t="str">
        <x:f>IF($A62="","",$K62&amp;" | 父级页: "&amp;$C62&amp;" | 目标URL: "&amp;$T62&amp;" | 必补: 竞品结构+原创证据+对比表+FAQ+内链CTA")</x:f>
      </x:c>
      <x:c r="AG62" s="37" t="str">
        <x:f>IF($A62="","",IF($I62&lt;4,"SERP不支持文章，优先做商业页/FAQ",IF($L62&lt;3,"产品相关弱，谨慎写",IF($N62&lt;3,"证据不足，容易变AI水文",IF($G62&gt;70,"难度偏高，需要更强外链/权威",IF($Q62&lt;3,"内链弱，先补主题簇","可进入规划"))))))</x:f>
      </x:c>
      <x:c r="AH62" s="106" t="str">
        <x:f>IF($A62="","",IF($T62="","缺少目标URL",IF(COUNTIF('页面规划'!$D$5:$D$104,$T62)&gt;0,"已匹配","未匹配")))</x:f>
      </x:c>
      <x:c r="AI62" s="37" t="str">
        <x:f>IF($A62="","",IFERROR(INDEX('页面规划'!$B$5:$B$104,MATCH($T62,'页面规划'!$D$5:$D$104,0)),""))</x:f>
      </x:c>
      <x:c r="AJ62" s="37" t="str">
        <x:f>IF($A62="","",IFERROR(INDEX('页面规划'!$F$5:$F$104,MATCH($T62,'页面规划'!$D$5:$D$104,0)),""))</x:f>
      </x:c>
      <x:c r="AK62" s="37" t="str">
        <x:f>IF($A62="","",IFERROR(INDEX('页面规划'!$H$5:$H$104,MATCH($T62,'页面规划'!$D$5:$D$104,0)),""))</x:f>
      </x:c>
      <x:c r="AL62" s="83" t="str">
        <x:f>IF($A62="","",IF($AH62="已匹配","OK：文章可内链到页面规划中的父级页","先到【页面规划】新增/修正目标URL，再排文章"))</x:f>
      </x:c>
    </x:row>
    <x:row r="63">
      <x:c r="A63" s="108"/>
      <x:c r="B63" s="37"/>
      <x:c r="C63" s="37"/>
      <x:c r="D63" s="37"/>
      <x:c r="E63" s="88"/>
      <x:c r="F63" s="91"/>
      <x:c r="G63" s="74"/>
      <x:c r="H63" s="74"/>
      <x:c r="I63" s="74"/>
      <x:c r="J63" s="37"/>
      <x:c r="K63" s="37"/>
      <x:c r="L63" s="74"/>
      <x:c r="M63" s="74"/>
      <x:c r="N63" s="74"/>
      <x:c r="O63" s="74"/>
      <x:c r="P63" s="74"/>
      <x:c r="Q63" s="74"/>
      <x:c r="R63" s="74"/>
      <x:c r="S63" s="37"/>
      <x:c r="T63" s="37"/>
      <x:c r="U63" s="37"/>
      <x:c r="V63" s="94" t="str">
        <x:f>IF($A63="","",MIN(20,MAX(0,$I63*2)))</x:f>
      </x:c>
      <x:c r="W63" s="94" t="str">
        <x:f>IF($A63="","",(($L63+$M63)/10)*20)</x:f>
      </x:c>
      <x:c r="X63" s="94" t="str">
        <x:f>IF($A63="","",IF($E63&gt;=1000,10,IF($E63&gt;=300,8,IF($E63&gt;=100,6,IF($E63&gt;=30,4,IF($E63&gt;0,2,0)))))+IF($F63&gt;=2,5,IF($F63&gt;=1,4,IF($F63&gt;=0.3,3,IF($F63&gt;0,2,0)))))</x:f>
      </x:c>
      <x:c r="Y63" s="94" t="str">
        <x:f>IF($A63="","",IF($G63&lt;=20,15,IF($G63&lt;=35,12,IF($G63&lt;=50,9,IF($G63&lt;=65,6,IF($G63&lt;=80,3,1))))))</x:f>
      </x:c>
      <x:c r="Z63" s="94" t="str">
        <x:f>IF($A63="","",(($N63+$O63)/10)*15)</x:f>
      </x:c>
      <x:c r="AA63" s="94" t="str">
        <x:f>IF($A63="","",(($P63+$Q63)/10)*10)</x:f>
      </x:c>
      <x:c r="AB63" s="94" t="str">
        <x:f>IF($A63="","",$R63)</x:f>
      </x:c>
      <x:c r="AC63" s="94" t="str">
        <x:f>IF($A63="","",SUM($V63:$AB63))</x:f>
      </x:c>
      <x:c r="AD63" s="100" t="str">
        <x:f>IF($A63="","",IF($AC63&gt;=75,"P0",IF($AC63&gt;=60,"P1",IF($AC63&gt;=45,"P2","P3"))))</x:f>
      </x:c>
      <x:c r="AE63" s="100" t="str">
        <x:f>IF($A63="","",IF($AC63&gt;=75,"立即写独立文章",IF($AC63&gt;=60,"排入本批内容日历",IF($AC63&gt;=45,"先做FAQ/段落或低优先文章","不单独写，合并到商业页/FAQ"))))</x:f>
      </x:c>
      <x:c r="AF63" s="37" t="str">
        <x:f>IF($A63="","",$K63&amp;" | 父级页: "&amp;$C63&amp;" | 目标URL: "&amp;$T63&amp;" | 必补: 竞品结构+原创证据+对比表+FAQ+内链CTA")</x:f>
      </x:c>
      <x:c r="AG63" s="37" t="str">
        <x:f>IF($A63="","",IF($I63&lt;4,"SERP不支持文章，优先做商业页/FAQ",IF($L63&lt;3,"产品相关弱，谨慎写",IF($N63&lt;3,"证据不足，容易变AI水文",IF($G63&gt;70,"难度偏高，需要更强外链/权威",IF($Q63&lt;3,"内链弱，先补主题簇","可进入规划"))))))</x:f>
      </x:c>
      <x:c r="AH63" s="106" t="str">
        <x:f>IF($A63="","",IF($T63="","缺少目标URL",IF(COUNTIF('页面规划'!$D$5:$D$104,$T63)&gt;0,"已匹配","未匹配")))</x:f>
      </x:c>
      <x:c r="AI63" s="37" t="str">
        <x:f>IF($A63="","",IFERROR(INDEX('页面规划'!$B$5:$B$104,MATCH($T63,'页面规划'!$D$5:$D$104,0)),""))</x:f>
      </x:c>
      <x:c r="AJ63" s="37" t="str">
        <x:f>IF($A63="","",IFERROR(INDEX('页面规划'!$F$5:$F$104,MATCH($T63,'页面规划'!$D$5:$D$104,0)),""))</x:f>
      </x:c>
      <x:c r="AK63" s="37" t="str">
        <x:f>IF($A63="","",IFERROR(INDEX('页面规划'!$H$5:$H$104,MATCH($T63,'页面规划'!$D$5:$D$104,0)),""))</x:f>
      </x:c>
      <x:c r="AL63" s="83" t="str">
        <x:f>IF($A63="","",IF($AH63="已匹配","OK：文章可内链到页面规划中的父级页","先到【页面规划】新增/修正目标URL，再排文章"))</x:f>
      </x:c>
    </x:row>
    <x:row r="64">
      <x:c r="A64" s="108"/>
      <x:c r="B64" s="37"/>
      <x:c r="C64" s="37"/>
      <x:c r="D64" s="37"/>
      <x:c r="E64" s="88"/>
      <x:c r="F64" s="91"/>
      <x:c r="G64" s="74"/>
      <x:c r="H64" s="74"/>
      <x:c r="I64" s="74"/>
      <x:c r="J64" s="37"/>
      <x:c r="K64" s="37"/>
      <x:c r="L64" s="74"/>
      <x:c r="M64" s="74"/>
      <x:c r="N64" s="74"/>
      <x:c r="O64" s="74"/>
      <x:c r="P64" s="74"/>
      <x:c r="Q64" s="74"/>
      <x:c r="R64" s="74"/>
      <x:c r="S64" s="37"/>
      <x:c r="T64" s="37"/>
      <x:c r="U64" s="37"/>
      <x:c r="V64" s="94" t="str">
        <x:f>IF($A64="","",MIN(20,MAX(0,$I64*2)))</x:f>
      </x:c>
      <x:c r="W64" s="94" t="str">
        <x:f>IF($A64="","",(($L64+$M64)/10)*20)</x:f>
      </x:c>
      <x:c r="X64" s="94" t="str">
        <x:f>IF($A64="","",IF($E64&gt;=1000,10,IF($E64&gt;=300,8,IF($E64&gt;=100,6,IF($E64&gt;=30,4,IF($E64&gt;0,2,0)))))+IF($F64&gt;=2,5,IF($F64&gt;=1,4,IF($F64&gt;=0.3,3,IF($F64&gt;0,2,0)))))</x:f>
      </x:c>
      <x:c r="Y64" s="94" t="str">
        <x:f>IF($A64="","",IF($G64&lt;=20,15,IF($G64&lt;=35,12,IF($G64&lt;=50,9,IF($G64&lt;=65,6,IF($G64&lt;=80,3,1))))))</x:f>
      </x:c>
      <x:c r="Z64" s="94" t="str">
        <x:f>IF($A64="","",(($N64+$O64)/10)*15)</x:f>
      </x:c>
      <x:c r="AA64" s="94" t="str">
        <x:f>IF($A64="","",(($P64+$Q64)/10)*10)</x:f>
      </x:c>
      <x:c r="AB64" s="94" t="str">
        <x:f>IF($A64="","",$R64)</x:f>
      </x:c>
      <x:c r="AC64" s="94" t="str">
        <x:f>IF($A64="","",SUM($V64:$AB64))</x:f>
      </x:c>
      <x:c r="AD64" s="100" t="str">
        <x:f>IF($A64="","",IF($AC64&gt;=75,"P0",IF($AC64&gt;=60,"P1",IF($AC64&gt;=45,"P2","P3"))))</x:f>
      </x:c>
      <x:c r="AE64" s="100" t="str">
        <x:f>IF($A64="","",IF($AC64&gt;=75,"立即写独立文章",IF($AC64&gt;=60,"排入本批内容日历",IF($AC64&gt;=45,"先做FAQ/段落或低优先文章","不单独写，合并到商业页/FAQ"))))</x:f>
      </x:c>
      <x:c r="AF64" s="37" t="str">
        <x:f>IF($A64="","",$K64&amp;" | 父级页: "&amp;$C64&amp;" | 目标URL: "&amp;$T64&amp;" | 必补: 竞品结构+原创证据+对比表+FAQ+内链CTA")</x:f>
      </x:c>
      <x:c r="AG64" s="37" t="str">
        <x:f>IF($A64="","",IF($I64&lt;4,"SERP不支持文章，优先做商业页/FAQ",IF($L64&lt;3,"产品相关弱，谨慎写",IF($N64&lt;3,"证据不足，容易变AI水文",IF($G64&gt;70,"难度偏高，需要更强外链/权威",IF($Q64&lt;3,"内链弱，先补主题簇","可进入规划"))))))</x:f>
      </x:c>
      <x:c r="AH64" s="106" t="str">
        <x:f>IF($A64="","",IF($T64="","缺少目标URL",IF(COUNTIF('页面规划'!$D$5:$D$104,$T64)&gt;0,"已匹配","未匹配")))</x:f>
      </x:c>
      <x:c r="AI64" s="37" t="str">
        <x:f>IF($A64="","",IFERROR(INDEX('页面规划'!$B$5:$B$104,MATCH($T64,'页面规划'!$D$5:$D$104,0)),""))</x:f>
      </x:c>
      <x:c r="AJ64" s="37" t="str">
        <x:f>IF($A64="","",IFERROR(INDEX('页面规划'!$F$5:$F$104,MATCH($T64,'页面规划'!$D$5:$D$104,0)),""))</x:f>
      </x:c>
      <x:c r="AK64" s="37" t="str">
        <x:f>IF($A64="","",IFERROR(INDEX('页面规划'!$H$5:$H$104,MATCH($T64,'页面规划'!$D$5:$D$104,0)),""))</x:f>
      </x:c>
      <x:c r="AL64" s="83" t="str">
        <x:f>IF($A64="","",IF($AH64="已匹配","OK：文章可内链到页面规划中的父级页","先到【页面规划】新增/修正目标URL，再排文章"))</x:f>
      </x:c>
    </x:row>
    <x:row r="65">
      <x:c r="A65" s="108"/>
      <x:c r="B65" s="37"/>
      <x:c r="C65" s="37"/>
      <x:c r="D65" s="37"/>
      <x:c r="E65" s="88"/>
      <x:c r="F65" s="91"/>
      <x:c r="G65" s="74"/>
      <x:c r="H65" s="74"/>
      <x:c r="I65" s="74"/>
      <x:c r="J65" s="37"/>
      <x:c r="K65" s="37"/>
      <x:c r="L65" s="74"/>
      <x:c r="M65" s="74"/>
      <x:c r="N65" s="74"/>
      <x:c r="O65" s="74"/>
      <x:c r="P65" s="74"/>
      <x:c r="Q65" s="74"/>
      <x:c r="R65" s="74"/>
      <x:c r="S65" s="37"/>
      <x:c r="T65" s="37"/>
      <x:c r="U65" s="37"/>
      <x:c r="V65" s="94" t="str">
        <x:f>IF($A65="","",MIN(20,MAX(0,$I65*2)))</x:f>
      </x:c>
      <x:c r="W65" s="94" t="str">
        <x:f>IF($A65="","",(($L65+$M65)/10)*20)</x:f>
      </x:c>
      <x:c r="X65" s="94" t="str">
        <x:f>IF($A65="","",IF($E65&gt;=1000,10,IF($E65&gt;=300,8,IF($E65&gt;=100,6,IF($E65&gt;=30,4,IF($E65&gt;0,2,0)))))+IF($F65&gt;=2,5,IF($F65&gt;=1,4,IF($F65&gt;=0.3,3,IF($F65&gt;0,2,0)))))</x:f>
      </x:c>
      <x:c r="Y65" s="94" t="str">
        <x:f>IF($A65="","",IF($G65&lt;=20,15,IF($G65&lt;=35,12,IF($G65&lt;=50,9,IF($G65&lt;=65,6,IF($G65&lt;=80,3,1))))))</x:f>
      </x:c>
      <x:c r="Z65" s="94" t="str">
        <x:f>IF($A65="","",(($N65+$O65)/10)*15)</x:f>
      </x:c>
      <x:c r="AA65" s="94" t="str">
        <x:f>IF($A65="","",(($P65+$Q65)/10)*10)</x:f>
      </x:c>
      <x:c r="AB65" s="94" t="str">
        <x:f>IF($A65="","",$R65)</x:f>
      </x:c>
      <x:c r="AC65" s="94" t="str">
        <x:f>IF($A65="","",SUM($V65:$AB65))</x:f>
      </x:c>
      <x:c r="AD65" s="100" t="str">
        <x:f>IF($A65="","",IF($AC65&gt;=75,"P0",IF($AC65&gt;=60,"P1",IF($AC65&gt;=45,"P2","P3"))))</x:f>
      </x:c>
      <x:c r="AE65" s="100" t="str">
        <x:f>IF($A65="","",IF($AC65&gt;=75,"立即写独立文章",IF($AC65&gt;=60,"排入本批内容日历",IF($AC65&gt;=45,"先做FAQ/段落或低优先文章","不单独写，合并到商业页/FAQ"))))</x:f>
      </x:c>
      <x:c r="AF65" s="37" t="str">
        <x:f>IF($A65="","",$K65&amp;" | 父级页: "&amp;$C65&amp;" | 目标URL: "&amp;$T65&amp;" | 必补: 竞品结构+原创证据+对比表+FAQ+内链CTA")</x:f>
      </x:c>
      <x:c r="AG65" s="37" t="str">
        <x:f>IF($A65="","",IF($I65&lt;4,"SERP不支持文章，优先做商业页/FAQ",IF($L65&lt;3,"产品相关弱，谨慎写",IF($N65&lt;3,"证据不足，容易变AI水文",IF($G65&gt;70,"难度偏高，需要更强外链/权威",IF($Q65&lt;3,"内链弱，先补主题簇","可进入规划"))))))</x:f>
      </x:c>
      <x:c r="AH65" s="106" t="str">
        <x:f>IF($A65="","",IF($T65="","缺少目标URL",IF(COUNTIF('页面规划'!$D$5:$D$104,$T65)&gt;0,"已匹配","未匹配")))</x:f>
      </x:c>
      <x:c r="AI65" s="37" t="str">
        <x:f>IF($A65="","",IFERROR(INDEX('页面规划'!$B$5:$B$104,MATCH($T65,'页面规划'!$D$5:$D$104,0)),""))</x:f>
      </x:c>
      <x:c r="AJ65" s="37" t="str">
        <x:f>IF($A65="","",IFERROR(INDEX('页面规划'!$F$5:$F$104,MATCH($T65,'页面规划'!$D$5:$D$104,0)),""))</x:f>
      </x:c>
      <x:c r="AK65" s="37" t="str">
        <x:f>IF($A65="","",IFERROR(INDEX('页面规划'!$H$5:$H$104,MATCH($T65,'页面规划'!$D$5:$D$104,0)),""))</x:f>
      </x:c>
      <x:c r="AL65" s="83" t="str">
        <x:f>IF($A65="","",IF($AH65="已匹配","OK：文章可内链到页面规划中的父级页","先到【页面规划】新增/修正目标URL，再排文章"))</x:f>
      </x:c>
    </x:row>
    <x:row r="66">
      <x:c r="A66" s="108"/>
      <x:c r="B66" s="37"/>
      <x:c r="C66" s="37"/>
      <x:c r="D66" s="37"/>
      <x:c r="E66" s="88"/>
      <x:c r="F66" s="91"/>
      <x:c r="G66" s="74"/>
      <x:c r="H66" s="74"/>
      <x:c r="I66" s="74"/>
      <x:c r="J66" s="37"/>
      <x:c r="K66" s="37"/>
      <x:c r="L66" s="74"/>
      <x:c r="M66" s="74"/>
      <x:c r="N66" s="74"/>
      <x:c r="O66" s="74"/>
      <x:c r="P66" s="74"/>
      <x:c r="Q66" s="74"/>
      <x:c r="R66" s="74"/>
      <x:c r="S66" s="37"/>
      <x:c r="T66" s="37"/>
      <x:c r="U66" s="37"/>
      <x:c r="V66" s="94" t="str">
        <x:f>IF($A66="","",MIN(20,MAX(0,$I66*2)))</x:f>
      </x:c>
      <x:c r="W66" s="94" t="str">
        <x:f>IF($A66="","",(($L66+$M66)/10)*20)</x:f>
      </x:c>
      <x:c r="X66" s="94" t="str">
        <x:f>IF($A66="","",IF($E66&gt;=1000,10,IF($E66&gt;=300,8,IF($E66&gt;=100,6,IF($E66&gt;=30,4,IF($E66&gt;0,2,0)))))+IF($F66&gt;=2,5,IF($F66&gt;=1,4,IF($F66&gt;=0.3,3,IF($F66&gt;0,2,0)))))</x:f>
      </x:c>
      <x:c r="Y66" s="94" t="str">
        <x:f>IF($A66="","",IF($G66&lt;=20,15,IF($G66&lt;=35,12,IF($G66&lt;=50,9,IF($G66&lt;=65,6,IF($G66&lt;=80,3,1))))))</x:f>
      </x:c>
      <x:c r="Z66" s="94" t="str">
        <x:f>IF($A66="","",(($N66+$O66)/10)*15)</x:f>
      </x:c>
      <x:c r="AA66" s="94" t="str">
        <x:f>IF($A66="","",(($P66+$Q66)/10)*10)</x:f>
      </x:c>
      <x:c r="AB66" s="94" t="str">
        <x:f>IF($A66="","",$R66)</x:f>
      </x:c>
      <x:c r="AC66" s="94" t="str">
        <x:f>IF($A66="","",SUM($V66:$AB66))</x:f>
      </x:c>
      <x:c r="AD66" s="100" t="str">
        <x:f>IF($A66="","",IF($AC66&gt;=75,"P0",IF($AC66&gt;=60,"P1",IF($AC66&gt;=45,"P2","P3"))))</x:f>
      </x:c>
      <x:c r="AE66" s="100" t="str">
        <x:f>IF($A66="","",IF($AC66&gt;=75,"立即写独立文章",IF($AC66&gt;=60,"排入本批内容日历",IF($AC66&gt;=45,"先做FAQ/段落或低优先文章","不单独写，合并到商业页/FAQ"))))</x:f>
      </x:c>
      <x:c r="AF66" s="37" t="str">
        <x:f>IF($A66="","",$K66&amp;" | 父级页: "&amp;$C66&amp;" | 目标URL: "&amp;$T66&amp;" | 必补: 竞品结构+原创证据+对比表+FAQ+内链CTA")</x:f>
      </x:c>
      <x:c r="AG66" s="37" t="str">
        <x:f>IF($A66="","",IF($I66&lt;4,"SERP不支持文章，优先做商业页/FAQ",IF($L66&lt;3,"产品相关弱，谨慎写",IF($N66&lt;3,"证据不足，容易变AI水文",IF($G66&gt;70,"难度偏高，需要更强外链/权威",IF($Q66&lt;3,"内链弱，先补主题簇","可进入规划"))))))</x:f>
      </x:c>
      <x:c r="AH66" s="106" t="str">
        <x:f>IF($A66="","",IF($T66="","缺少目标URL",IF(COUNTIF('页面规划'!$D$5:$D$104,$T66)&gt;0,"已匹配","未匹配")))</x:f>
      </x:c>
      <x:c r="AI66" s="37" t="str">
        <x:f>IF($A66="","",IFERROR(INDEX('页面规划'!$B$5:$B$104,MATCH($T66,'页面规划'!$D$5:$D$104,0)),""))</x:f>
      </x:c>
      <x:c r="AJ66" s="37" t="str">
        <x:f>IF($A66="","",IFERROR(INDEX('页面规划'!$F$5:$F$104,MATCH($T66,'页面规划'!$D$5:$D$104,0)),""))</x:f>
      </x:c>
      <x:c r="AK66" s="37" t="str">
        <x:f>IF($A66="","",IFERROR(INDEX('页面规划'!$H$5:$H$104,MATCH($T66,'页面规划'!$D$5:$D$104,0)),""))</x:f>
      </x:c>
      <x:c r="AL66" s="83" t="str">
        <x:f>IF($A66="","",IF($AH66="已匹配","OK：文章可内链到页面规划中的父级页","先到【页面规划】新增/修正目标URL，再排文章"))</x:f>
      </x:c>
    </x:row>
    <x:row r="67">
      <x:c r="A67" s="108"/>
      <x:c r="B67" s="37"/>
      <x:c r="C67" s="37"/>
      <x:c r="D67" s="37"/>
      <x:c r="E67" s="88"/>
      <x:c r="F67" s="91"/>
      <x:c r="G67" s="74"/>
      <x:c r="H67" s="74"/>
      <x:c r="I67" s="74"/>
      <x:c r="J67" s="37"/>
      <x:c r="K67" s="37"/>
      <x:c r="L67" s="74"/>
      <x:c r="M67" s="74"/>
      <x:c r="N67" s="74"/>
      <x:c r="O67" s="74"/>
      <x:c r="P67" s="74"/>
      <x:c r="Q67" s="74"/>
      <x:c r="R67" s="74"/>
      <x:c r="S67" s="37"/>
      <x:c r="T67" s="37"/>
      <x:c r="U67" s="37"/>
      <x:c r="V67" s="94" t="str">
        <x:f>IF($A67="","",MIN(20,MAX(0,$I67*2)))</x:f>
      </x:c>
      <x:c r="W67" s="94" t="str">
        <x:f>IF($A67="","",(($L67+$M67)/10)*20)</x:f>
      </x:c>
      <x:c r="X67" s="94" t="str">
        <x:f>IF($A67="","",IF($E67&gt;=1000,10,IF($E67&gt;=300,8,IF($E67&gt;=100,6,IF($E67&gt;=30,4,IF($E67&gt;0,2,0)))))+IF($F67&gt;=2,5,IF($F67&gt;=1,4,IF($F67&gt;=0.3,3,IF($F67&gt;0,2,0)))))</x:f>
      </x:c>
      <x:c r="Y67" s="94" t="str">
        <x:f>IF($A67="","",IF($G67&lt;=20,15,IF($G67&lt;=35,12,IF($G67&lt;=50,9,IF($G67&lt;=65,6,IF($G67&lt;=80,3,1))))))</x:f>
      </x:c>
      <x:c r="Z67" s="94" t="str">
        <x:f>IF($A67="","",(($N67+$O67)/10)*15)</x:f>
      </x:c>
      <x:c r="AA67" s="94" t="str">
        <x:f>IF($A67="","",(($P67+$Q67)/10)*10)</x:f>
      </x:c>
      <x:c r="AB67" s="94" t="str">
        <x:f>IF($A67="","",$R67)</x:f>
      </x:c>
      <x:c r="AC67" s="94" t="str">
        <x:f>IF($A67="","",SUM($V67:$AB67))</x:f>
      </x:c>
      <x:c r="AD67" s="100" t="str">
        <x:f>IF($A67="","",IF($AC67&gt;=75,"P0",IF($AC67&gt;=60,"P1",IF($AC67&gt;=45,"P2","P3"))))</x:f>
      </x:c>
      <x:c r="AE67" s="100" t="str">
        <x:f>IF($A67="","",IF($AC67&gt;=75,"立即写独立文章",IF($AC67&gt;=60,"排入本批内容日历",IF($AC67&gt;=45,"先做FAQ/段落或低优先文章","不单独写，合并到商业页/FAQ"))))</x:f>
      </x:c>
      <x:c r="AF67" s="37" t="str">
        <x:f>IF($A67="","",$K67&amp;" | 父级页: "&amp;$C67&amp;" | 目标URL: "&amp;$T67&amp;" | 必补: 竞品结构+原创证据+对比表+FAQ+内链CTA")</x:f>
      </x:c>
      <x:c r="AG67" s="37" t="str">
        <x:f>IF($A67="","",IF($I67&lt;4,"SERP不支持文章，优先做商业页/FAQ",IF($L67&lt;3,"产品相关弱，谨慎写",IF($N67&lt;3,"证据不足，容易变AI水文",IF($G67&gt;70,"难度偏高，需要更强外链/权威",IF($Q67&lt;3,"内链弱，先补主题簇","可进入规划"))))))</x:f>
      </x:c>
      <x:c r="AH67" s="106" t="str">
        <x:f>IF($A67="","",IF($T67="","缺少目标URL",IF(COUNTIF('页面规划'!$D$5:$D$104,$T67)&gt;0,"已匹配","未匹配")))</x:f>
      </x:c>
      <x:c r="AI67" s="37" t="str">
        <x:f>IF($A67="","",IFERROR(INDEX('页面规划'!$B$5:$B$104,MATCH($T67,'页面规划'!$D$5:$D$104,0)),""))</x:f>
      </x:c>
      <x:c r="AJ67" s="37" t="str">
        <x:f>IF($A67="","",IFERROR(INDEX('页面规划'!$F$5:$F$104,MATCH($T67,'页面规划'!$D$5:$D$104,0)),""))</x:f>
      </x:c>
      <x:c r="AK67" s="37" t="str">
        <x:f>IF($A67="","",IFERROR(INDEX('页面规划'!$H$5:$H$104,MATCH($T67,'页面规划'!$D$5:$D$104,0)),""))</x:f>
      </x:c>
      <x:c r="AL67" s="83" t="str">
        <x:f>IF($A67="","",IF($AH67="已匹配","OK：文章可内链到页面规划中的父级页","先到【页面规划】新增/修正目标URL，再排文章"))</x:f>
      </x:c>
    </x:row>
    <x:row r="68">
      <x:c r="A68" s="108"/>
      <x:c r="B68" s="37"/>
      <x:c r="C68" s="37"/>
      <x:c r="D68" s="37"/>
      <x:c r="E68" s="88"/>
      <x:c r="F68" s="91"/>
      <x:c r="G68" s="74"/>
      <x:c r="H68" s="74"/>
      <x:c r="I68" s="74"/>
      <x:c r="J68" s="37"/>
      <x:c r="K68" s="37"/>
      <x:c r="L68" s="74"/>
      <x:c r="M68" s="74"/>
      <x:c r="N68" s="74"/>
      <x:c r="O68" s="74"/>
      <x:c r="P68" s="74"/>
      <x:c r="Q68" s="74"/>
      <x:c r="R68" s="74"/>
      <x:c r="S68" s="37"/>
      <x:c r="T68" s="37"/>
      <x:c r="U68" s="37"/>
      <x:c r="V68" s="94" t="str">
        <x:f>IF($A68="","",MIN(20,MAX(0,$I68*2)))</x:f>
      </x:c>
      <x:c r="W68" s="94" t="str">
        <x:f>IF($A68="","",(($L68+$M68)/10)*20)</x:f>
      </x:c>
      <x:c r="X68" s="94" t="str">
        <x:f>IF($A68="","",IF($E68&gt;=1000,10,IF($E68&gt;=300,8,IF($E68&gt;=100,6,IF($E68&gt;=30,4,IF($E68&gt;0,2,0)))))+IF($F68&gt;=2,5,IF($F68&gt;=1,4,IF($F68&gt;=0.3,3,IF($F68&gt;0,2,0)))))</x:f>
      </x:c>
      <x:c r="Y68" s="94" t="str">
        <x:f>IF($A68="","",IF($G68&lt;=20,15,IF($G68&lt;=35,12,IF($G68&lt;=50,9,IF($G68&lt;=65,6,IF($G68&lt;=80,3,1))))))</x:f>
      </x:c>
      <x:c r="Z68" s="94" t="str">
        <x:f>IF($A68="","",(($N68+$O68)/10)*15)</x:f>
      </x:c>
      <x:c r="AA68" s="94" t="str">
        <x:f>IF($A68="","",(($P68+$Q68)/10)*10)</x:f>
      </x:c>
      <x:c r="AB68" s="94" t="str">
        <x:f>IF($A68="","",$R68)</x:f>
      </x:c>
      <x:c r="AC68" s="94" t="str">
        <x:f>IF($A68="","",SUM($V68:$AB68))</x:f>
      </x:c>
      <x:c r="AD68" s="100" t="str">
        <x:f>IF($A68="","",IF($AC68&gt;=75,"P0",IF($AC68&gt;=60,"P1",IF($AC68&gt;=45,"P2","P3"))))</x:f>
      </x:c>
      <x:c r="AE68" s="100" t="str">
        <x:f>IF($A68="","",IF($AC68&gt;=75,"立即写独立文章",IF($AC68&gt;=60,"排入本批内容日历",IF($AC68&gt;=45,"先做FAQ/段落或低优先文章","不单独写，合并到商业页/FAQ"))))</x:f>
      </x:c>
      <x:c r="AF68" s="37" t="str">
        <x:f>IF($A68="","",$K68&amp;" | 父级页: "&amp;$C68&amp;" | 目标URL: "&amp;$T68&amp;" | 必补: 竞品结构+原创证据+对比表+FAQ+内链CTA")</x:f>
      </x:c>
      <x:c r="AG68" s="37" t="str">
        <x:f>IF($A68="","",IF($I68&lt;4,"SERP不支持文章，优先做商业页/FAQ",IF($L68&lt;3,"产品相关弱，谨慎写",IF($N68&lt;3,"证据不足，容易变AI水文",IF($G68&gt;70,"难度偏高，需要更强外链/权威",IF($Q68&lt;3,"内链弱，先补主题簇","可进入规划"))))))</x:f>
      </x:c>
      <x:c r="AH68" s="106" t="str">
        <x:f>IF($A68="","",IF($T68="","缺少目标URL",IF(COUNTIF('页面规划'!$D$5:$D$104,$T68)&gt;0,"已匹配","未匹配")))</x:f>
      </x:c>
      <x:c r="AI68" s="37" t="str">
        <x:f>IF($A68="","",IFERROR(INDEX('页面规划'!$B$5:$B$104,MATCH($T68,'页面规划'!$D$5:$D$104,0)),""))</x:f>
      </x:c>
      <x:c r="AJ68" s="37" t="str">
        <x:f>IF($A68="","",IFERROR(INDEX('页面规划'!$F$5:$F$104,MATCH($T68,'页面规划'!$D$5:$D$104,0)),""))</x:f>
      </x:c>
      <x:c r="AK68" s="37" t="str">
        <x:f>IF($A68="","",IFERROR(INDEX('页面规划'!$H$5:$H$104,MATCH($T68,'页面规划'!$D$5:$D$104,0)),""))</x:f>
      </x:c>
      <x:c r="AL68" s="83" t="str">
        <x:f>IF($A68="","",IF($AH68="已匹配","OK：文章可内链到页面规划中的父级页","先到【页面规划】新增/修正目标URL，再排文章"))</x:f>
      </x:c>
    </x:row>
    <x:row r="69">
      <x:c r="A69" s="108"/>
      <x:c r="B69" s="37"/>
      <x:c r="C69" s="37"/>
      <x:c r="D69" s="37"/>
      <x:c r="E69" s="88"/>
      <x:c r="F69" s="91"/>
      <x:c r="G69" s="74"/>
      <x:c r="H69" s="74"/>
      <x:c r="I69" s="74"/>
      <x:c r="J69" s="37"/>
      <x:c r="K69" s="37"/>
      <x:c r="L69" s="74"/>
      <x:c r="M69" s="74"/>
      <x:c r="N69" s="74"/>
      <x:c r="O69" s="74"/>
      <x:c r="P69" s="74"/>
      <x:c r="Q69" s="74"/>
      <x:c r="R69" s="74"/>
      <x:c r="S69" s="37"/>
      <x:c r="T69" s="37"/>
      <x:c r="U69" s="37"/>
      <x:c r="V69" s="94" t="str">
        <x:f>IF($A69="","",MIN(20,MAX(0,$I69*2)))</x:f>
      </x:c>
      <x:c r="W69" s="94" t="str">
        <x:f>IF($A69="","",(($L69+$M69)/10)*20)</x:f>
      </x:c>
      <x:c r="X69" s="94" t="str">
        <x:f>IF($A69="","",IF($E69&gt;=1000,10,IF($E69&gt;=300,8,IF($E69&gt;=100,6,IF($E69&gt;=30,4,IF($E69&gt;0,2,0)))))+IF($F69&gt;=2,5,IF($F69&gt;=1,4,IF($F69&gt;=0.3,3,IF($F69&gt;0,2,0)))))</x:f>
      </x:c>
      <x:c r="Y69" s="94" t="str">
        <x:f>IF($A69="","",IF($G69&lt;=20,15,IF($G69&lt;=35,12,IF($G69&lt;=50,9,IF($G69&lt;=65,6,IF($G69&lt;=80,3,1))))))</x:f>
      </x:c>
      <x:c r="Z69" s="94" t="str">
        <x:f>IF($A69="","",(($N69+$O69)/10)*15)</x:f>
      </x:c>
      <x:c r="AA69" s="94" t="str">
        <x:f>IF($A69="","",(($P69+$Q69)/10)*10)</x:f>
      </x:c>
      <x:c r="AB69" s="94" t="str">
        <x:f>IF($A69="","",$R69)</x:f>
      </x:c>
      <x:c r="AC69" s="94" t="str">
        <x:f>IF($A69="","",SUM($V69:$AB69))</x:f>
      </x:c>
      <x:c r="AD69" s="100" t="str">
        <x:f>IF($A69="","",IF($AC69&gt;=75,"P0",IF($AC69&gt;=60,"P1",IF($AC69&gt;=45,"P2","P3"))))</x:f>
      </x:c>
      <x:c r="AE69" s="100" t="str">
        <x:f>IF($A69="","",IF($AC69&gt;=75,"立即写独立文章",IF($AC69&gt;=60,"排入本批内容日历",IF($AC69&gt;=45,"先做FAQ/段落或低优先文章","不单独写，合并到商业页/FAQ"))))</x:f>
      </x:c>
      <x:c r="AF69" s="37" t="str">
        <x:f>IF($A69="","",$K69&amp;" | 父级页: "&amp;$C69&amp;" | 目标URL: "&amp;$T69&amp;" | 必补: 竞品结构+原创证据+对比表+FAQ+内链CTA")</x:f>
      </x:c>
      <x:c r="AG69" s="37" t="str">
        <x:f>IF($A69="","",IF($I69&lt;4,"SERP不支持文章，优先做商业页/FAQ",IF($L69&lt;3,"产品相关弱，谨慎写",IF($N69&lt;3,"证据不足，容易变AI水文",IF($G69&gt;70,"难度偏高，需要更强外链/权威",IF($Q69&lt;3,"内链弱，先补主题簇","可进入规划"))))))</x:f>
      </x:c>
      <x:c r="AH69" s="106" t="str">
        <x:f>IF($A69="","",IF($T69="","缺少目标URL",IF(COUNTIF('页面规划'!$D$5:$D$104,$T69)&gt;0,"已匹配","未匹配")))</x:f>
      </x:c>
      <x:c r="AI69" s="37" t="str">
        <x:f>IF($A69="","",IFERROR(INDEX('页面规划'!$B$5:$B$104,MATCH($T69,'页面规划'!$D$5:$D$104,0)),""))</x:f>
      </x:c>
      <x:c r="AJ69" s="37" t="str">
        <x:f>IF($A69="","",IFERROR(INDEX('页面规划'!$F$5:$F$104,MATCH($T69,'页面规划'!$D$5:$D$104,0)),""))</x:f>
      </x:c>
      <x:c r="AK69" s="37" t="str">
        <x:f>IF($A69="","",IFERROR(INDEX('页面规划'!$H$5:$H$104,MATCH($T69,'页面规划'!$D$5:$D$104,0)),""))</x:f>
      </x:c>
      <x:c r="AL69" s="83" t="str">
        <x:f>IF($A69="","",IF($AH69="已匹配","OK：文章可内链到页面规划中的父级页","先到【页面规划】新增/修正目标URL，再排文章"))</x:f>
      </x:c>
    </x:row>
    <x:row r="70">
      <x:c r="A70" s="108"/>
      <x:c r="B70" s="37"/>
      <x:c r="C70" s="37"/>
      <x:c r="D70" s="37"/>
      <x:c r="E70" s="88"/>
      <x:c r="F70" s="91"/>
      <x:c r="G70" s="74"/>
      <x:c r="H70" s="74"/>
      <x:c r="I70" s="74"/>
      <x:c r="J70" s="37"/>
      <x:c r="K70" s="37"/>
      <x:c r="L70" s="74"/>
      <x:c r="M70" s="74"/>
      <x:c r="N70" s="74"/>
      <x:c r="O70" s="74"/>
      <x:c r="P70" s="74"/>
      <x:c r="Q70" s="74"/>
      <x:c r="R70" s="74"/>
      <x:c r="S70" s="37"/>
      <x:c r="T70" s="37"/>
      <x:c r="U70" s="37"/>
      <x:c r="V70" s="94" t="str">
        <x:f>IF($A70="","",MIN(20,MAX(0,$I70*2)))</x:f>
      </x:c>
      <x:c r="W70" s="94" t="str">
        <x:f>IF($A70="","",(($L70+$M70)/10)*20)</x:f>
      </x:c>
      <x:c r="X70" s="94" t="str">
        <x:f>IF($A70="","",IF($E70&gt;=1000,10,IF($E70&gt;=300,8,IF($E70&gt;=100,6,IF($E70&gt;=30,4,IF($E70&gt;0,2,0)))))+IF($F70&gt;=2,5,IF($F70&gt;=1,4,IF($F70&gt;=0.3,3,IF($F70&gt;0,2,0)))))</x:f>
      </x:c>
      <x:c r="Y70" s="94" t="str">
        <x:f>IF($A70="","",IF($G70&lt;=20,15,IF($G70&lt;=35,12,IF($G70&lt;=50,9,IF($G70&lt;=65,6,IF($G70&lt;=80,3,1))))))</x:f>
      </x:c>
      <x:c r="Z70" s="94" t="str">
        <x:f>IF($A70="","",(($N70+$O70)/10)*15)</x:f>
      </x:c>
      <x:c r="AA70" s="94" t="str">
        <x:f>IF($A70="","",(($P70+$Q70)/10)*10)</x:f>
      </x:c>
      <x:c r="AB70" s="94" t="str">
        <x:f>IF($A70="","",$R70)</x:f>
      </x:c>
      <x:c r="AC70" s="94" t="str">
        <x:f>IF($A70="","",SUM($V70:$AB70))</x:f>
      </x:c>
      <x:c r="AD70" s="100" t="str">
        <x:f>IF($A70="","",IF($AC70&gt;=75,"P0",IF($AC70&gt;=60,"P1",IF($AC70&gt;=45,"P2","P3"))))</x:f>
      </x:c>
      <x:c r="AE70" s="100" t="str">
        <x:f>IF($A70="","",IF($AC70&gt;=75,"立即写独立文章",IF($AC70&gt;=60,"排入本批内容日历",IF($AC70&gt;=45,"先做FAQ/段落或低优先文章","不单独写，合并到商业页/FAQ"))))</x:f>
      </x:c>
      <x:c r="AF70" s="37" t="str">
        <x:f>IF($A70="","",$K70&amp;" | 父级页: "&amp;$C70&amp;" | 目标URL: "&amp;$T70&amp;" | 必补: 竞品结构+原创证据+对比表+FAQ+内链CTA")</x:f>
      </x:c>
      <x:c r="AG70" s="37" t="str">
        <x:f>IF($A70="","",IF($I70&lt;4,"SERP不支持文章，优先做商业页/FAQ",IF($L70&lt;3,"产品相关弱，谨慎写",IF($N70&lt;3,"证据不足，容易变AI水文",IF($G70&gt;70,"难度偏高，需要更强外链/权威",IF($Q70&lt;3,"内链弱，先补主题簇","可进入规划"))))))</x:f>
      </x:c>
      <x:c r="AH70" s="106" t="str">
        <x:f>IF($A70="","",IF($T70="","缺少目标URL",IF(COUNTIF('页面规划'!$D$5:$D$104,$T70)&gt;0,"已匹配","未匹配")))</x:f>
      </x:c>
      <x:c r="AI70" s="37" t="str">
        <x:f>IF($A70="","",IFERROR(INDEX('页面规划'!$B$5:$B$104,MATCH($T70,'页面规划'!$D$5:$D$104,0)),""))</x:f>
      </x:c>
      <x:c r="AJ70" s="37" t="str">
        <x:f>IF($A70="","",IFERROR(INDEX('页面规划'!$F$5:$F$104,MATCH($T70,'页面规划'!$D$5:$D$104,0)),""))</x:f>
      </x:c>
      <x:c r="AK70" s="37" t="str">
        <x:f>IF($A70="","",IFERROR(INDEX('页面规划'!$H$5:$H$104,MATCH($T70,'页面规划'!$D$5:$D$104,0)),""))</x:f>
      </x:c>
      <x:c r="AL70" s="83" t="str">
        <x:f>IF($A70="","",IF($AH70="已匹配","OK：文章可内链到页面规划中的父级页","先到【页面规划】新增/修正目标URL，再排文章"))</x:f>
      </x:c>
    </x:row>
    <x:row r="71">
      <x:c r="A71" s="108"/>
      <x:c r="B71" s="37"/>
      <x:c r="C71" s="37"/>
      <x:c r="D71" s="37"/>
      <x:c r="E71" s="88"/>
      <x:c r="F71" s="91"/>
      <x:c r="G71" s="74"/>
      <x:c r="H71" s="74"/>
      <x:c r="I71" s="74"/>
      <x:c r="J71" s="37"/>
      <x:c r="K71" s="37"/>
      <x:c r="L71" s="74"/>
      <x:c r="M71" s="74"/>
      <x:c r="N71" s="74"/>
      <x:c r="O71" s="74"/>
      <x:c r="P71" s="74"/>
      <x:c r="Q71" s="74"/>
      <x:c r="R71" s="74"/>
      <x:c r="S71" s="37"/>
      <x:c r="T71" s="37"/>
      <x:c r="U71" s="37"/>
      <x:c r="V71" s="94" t="str">
        <x:f>IF($A71="","",MIN(20,MAX(0,$I71*2)))</x:f>
      </x:c>
      <x:c r="W71" s="94" t="str">
        <x:f>IF($A71="","",(($L71+$M71)/10)*20)</x:f>
      </x:c>
      <x:c r="X71" s="94" t="str">
        <x:f>IF($A71="","",IF($E71&gt;=1000,10,IF($E71&gt;=300,8,IF($E71&gt;=100,6,IF($E71&gt;=30,4,IF($E71&gt;0,2,0)))))+IF($F71&gt;=2,5,IF($F71&gt;=1,4,IF($F71&gt;=0.3,3,IF($F71&gt;0,2,0)))))</x:f>
      </x:c>
      <x:c r="Y71" s="94" t="str">
        <x:f>IF($A71="","",IF($G71&lt;=20,15,IF($G71&lt;=35,12,IF($G71&lt;=50,9,IF($G71&lt;=65,6,IF($G71&lt;=80,3,1))))))</x:f>
      </x:c>
      <x:c r="Z71" s="94" t="str">
        <x:f>IF($A71="","",(($N71+$O71)/10)*15)</x:f>
      </x:c>
      <x:c r="AA71" s="94" t="str">
        <x:f>IF($A71="","",(($P71+$Q71)/10)*10)</x:f>
      </x:c>
      <x:c r="AB71" s="94" t="str">
        <x:f>IF($A71="","",$R71)</x:f>
      </x:c>
      <x:c r="AC71" s="94" t="str">
        <x:f>IF($A71="","",SUM($V71:$AB71))</x:f>
      </x:c>
      <x:c r="AD71" s="100" t="str">
        <x:f>IF($A71="","",IF($AC71&gt;=75,"P0",IF($AC71&gt;=60,"P1",IF($AC71&gt;=45,"P2","P3"))))</x:f>
      </x:c>
      <x:c r="AE71" s="100" t="str">
        <x:f>IF($A71="","",IF($AC71&gt;=75,"立即写独立文章",IF($AC71&gt;=60,"排入本批内容日历",IF($AC71&gt;=45,"先做FAQ/段落或低优先文章","不单独写，合并到商业页/FAQ"))))</x:f>
      </x:c>
      <x:c r="AF71" s="37" t="str">
        <x:f>IF($A71="","",$K71&amp;" | 父级页: "&amp;$C71&amp;" | 目标URL: "&amp;$T71&amp;" | 必补: 竞品结构+原创证据+对比表+FAQ+内链CTA")</x:f>
      </x:c>
      <x:c r="AG71" s="37" t="str">
        <x:f>IF($A71="","",IF($I71&lt;4,"SERP不支持文章，优先做商业页/FAQ",IF($L71&lt;3,"产品相关弱，谨慎写",IF($N71&lt;3,"证据不足，容易变AI水文",IF($G71&gt;70,"难度偏高，需要更强外链/权威",IF($Q71&lt;3,"内链弱，先补主题簇","可进入规划"))))))</x:f>
      </x:c>
      <x:c r="AH71" s="106" t="str">
        <x:f>IF($A71="","",IF($T71="","缺少目标URL",IF(COUNTIF('页面规划'!$D$5:$D$104,$T71)&gt;0,"已匹配","未匹配")))</x:f>
      </x:c>
      <x:c r="AI71" s="37" t="str">
        <x:f>IF($A71="","",IFERROR(INDEX('页面规划'!$B$5:$B$104,MATCH($T71,'页面规划'!$D$5:$D$104,0)),""))</x:f>
      </x:c>
      <x:c r="AJ71" s="37" t="str">
        <x:f>IF($A71="","",IFERROR(INDEX('页面规划'!$F$5:$F$104,MATCH($T71,'页面规划'!$D$5:$D$104,0)),""))</x:f>
      </x:c>
      <x:c r="AK71" s="37" t="str">
        <x:f>IF($A71="","",IFERROR(INDEX('页面规划'!$H$5:$H$104,MATCH($T71,'页面规划'!$D$5:$D$104,0)),""))</x:f>
      </x:c>
      <x:c r="AL71" s="83" t="str">
        <x:f>IF($A71="","",IF($AH71="已匹配","OK：文章可内链到页面规划中的父级页","先到【页面规划】新增/修正目标URL，再排文章"))</x:f>
      </x:c>
    </x:row>
    <x:row r="72">
      <x:c r="A72" s="108"/>
      <x:c r="B72" s="37"/>
      <x:c r="C72" s="37"/>
      <x:c r="D72" s="37"/>
      <x:c r="E72" s="88"/>
      <x:c r="F72" s="91"/>
      <x:c r="G72" s="74"/>
      <x:c r="H72" s="74"/>
      <x:c r="I72" s="74"/>
      <x:c r="J72" s="37"/>
      <x:c r="K72" s="37"/>
      <x:c r="L72" s="74"/>
      <x:c r="M72" s="74"/>
      <x:c r="N72" s="74"/>
      <x:c r="O72" s="74"/>
      <x:c r="P72" s="74"/>
      <x:c r="Q72" s="74"/>
      <x:c r="R72" s="74"/>
      <x:c r="S72" s="37"/>
      <x:c r="T72" s="37"/>
      <x:c r="U72" s="37"/>
      <x:c r="V72" s="94" t="str">
        <x:f>IF($A72="","",MIN(20,MAX(0,$I72*2)))</x:f>
      </x:c>
      <x:c r="W72" s="94" t="str">
        <x:f>IF($A72="","",(($L72+$M72)/10)*20)</x:f>
      </x:c>
      <x:c r="X72" s="94" t="str">
        <x:f>IF($A72="","",IF($E72&gt;=1000,10,IF($E72&gt;=300,8,IF($E72&gt;=100,6,IF($E72&gt;=30,4,IF($E72&gt;0,2,0)))))+IF($F72&gt;=2,5,IF($F72&gt;=1,4,IF($F72&gt;=0.3,3,IF($F72&gt;0,2,0)))))</x:f>
      </x:c>
      <x:c r="Y72" s="94" t="str">
        <x:f>IF($A72="","",IF($G72&lt;=20,15,IF($G72&lt;=35,12,IF($G72&lt;=50,9,IF($G72&lt;=65,6,IF($G72&lt;=80,3,1))))))</x:f>
      </x:c>
      <x:c r="Z72" s="94" t="str">
        <x:f>IF($A72="","",(($N72+$O72)/10)*15)</x:f>
      </x:c>
      <x:c r="AA72" s="94" t="str">
        <x:f>IF($A72="","",(($P72+$Q72)/10)*10)</x:f>
      </x:c>
      <x:c r="AB72" s="94" t="str">
        <x:f>IF($A72="","",$R72)</x:f>
      </x:c>
      <x:c r="AC72" s="94" t="str">
        <x:f>IF($A72="","",SUM($V72:$AB72))</x:f>
      </x:c>
      <x:c r="AD72" s="100" t="str">
        <x:f>IF($A72="","",IF($AC72&gt;=75,"P0",IF($AC72&gt;=60,"P1",IF($AC72&gt;=45,"P2","P3"))))</x:f>
      </x:c>
      <x:c r="AE72" s="100" t="str">
        <x:f>IF($A72="","",IF($AC72&gt;=75,"立即写独立文章",IF($AC72&gt;=60,"排入本批内容日历",IF($AC72&gt;=45,"先做FAQ/段落或低优先文章","不单独写，合并到商业页/FAQ"))))</x:f>
      </x:c>
      <x:c r="AF72" s="37" t="str">
        <x:f>IF($A72="","",$K72&amp;" | 父级页: "&amp;$C72&amp;" | 目标URL: "&amp;$T72&amp;" | 必补: 竞品结构+原创证据+对比表+FAQ+内链CTA")</x:f>
      </x:c>
      <x:c r="AG72" s="37" t="str">
        <x:f>IF($A72="","",IF($I72&lt;4,"SERP不支持文章，优先做商业页/FAQ",IF($L72&lt;3,"产品相关弱，谨慎写",IF($N72&lt;3,"证据不足，容易变AI水文",IF($G72&gt;70,"难度偏高，需要更强外链/权威",IF($Q72&lt;3,"内链弱，先补主题簇","可进入规划"))))))</x:f>
      </x:c>
      <x:c r="AH72" s="106" t="str">
        <x:f>IF($A72="","",IF($T72="","缺少目标URL",IF(COUNTIF('页面规划'!$D$5:$D$104,$T72)&gt;0,"已匹配","未匹配")))</x:f>
      </x:c>
      <x:c r="AI72" s="37" t="str">
        <x:f>IF($A72="","",IFERROR(INDEX('页面规划'!$B$5:$B$104,MATCH($T72,'页面规划'!$D$5:$D$104,0)),""))</x:f>
      </x:c>
      <x:c r="AJ72" s="37" t="str">
        <x:f>IF($A72="","",IFERROR(INDEX('页面规划'!$F$5:$F$104,MATCH($T72,'页面规划'!$D$5:$D$104,0)),""))</x:f>
      </x:c>
      <x:c r="AK72" s="37" t="str">
        <x:f>IF($A72="","",IFERROR(INDEX('页面规划'!$H$5:$H$104,MATCH($T72,'页面规划'!$D$5:$D$104,0)),""))</x:f>
      </x:c>
      <x:c r="AL72" s="83" t="str">
        <x:f>IF($A72="","",IF($AH72="已匹配","OK：文章可内链到页面规划中的父级页","先到【页面规划】新增/修正目标URL，再排文章"))</x:f>
      </x:c>
    </x:row>
    <x:row r="73">
      <x:c r="A73" s="108"/>
      <x:c r="B73" s="37"/>
      <x:c r="C73" s="37"/>
      <x:c r="D73" s="37"/>
      <x:c r="E73" s="88"/>
      <x:c r="F73" s="91"/>
      <x:c r="G73" s="74"/>
      <x:c r="H73" s="74"/>
      <x:c r="I73" s="74"/>
      <x:c r="J73" s="37"/>
      <x:c r="K73" s="37"/>
      <x:c r="L73" s="74"/>
      <x:c r="M73" s="74"/>
      <x:c r="N73" s="74"/>
      <x:c r="O73" s="74"/>
      <x:c r="P73" s="74"/>
      <x:c r="Q73" s="74"/>
      <x:c r="R73" s="74"/>
      <x:c r="S73" s="37"/>
      <x:c r="T73" s="37"/>
      <x:c r="U73" s="37"/>
      <x:c r="V73" s="94" t="str">
        <x:f>IF($A73="","",MIN(20,MAX(0,$I73*2)))</x:f>
      </x:c>
      <x:c r="W73" s="94" t="str">
        <x:f>IF($A73="","",(($L73+$M73)/10)*20)</x:f>
      </x:c>
      <x:c r="X73" s="94" t="str">
        <x:f>IF($A73="","",IF($E73&gt;=1000,10,IF($E73&gt;=300,8,IF($E73&gt;=100,6,IF($E73&gt;=30,4,IF($E73&gt;0,2,0)))))+IF($F73&gt;=2,5,IF($F73&gt;=1,4,IF($F73&gt;=0.3,3,IF($F73&gt;0,2,0)))))</x:f>
      </x:c>
      <x:c r="Y73" s="94" t="str">
        <x:f>IF($A73="","",IF($G73&lt;=20,15,IF($G73&lt;=35,12,IF($G73&lt;=50,9,IF($G73&lt;=65,6,IF($G73&lt;=80,3,1))))))</x:f>
      </x:c>
      <x:c r="Z73" s="94" t="str">
        <x:f>IF($A73="","",(($N73+$O73)/10)*15)</x:f>
      </x:c>
      <x:c r="AA73" s="94" t="str">
        <x:f>IF($A73="","",(($P73+$Q73)/10)*10)</x:f>
      </x:c>
      <x:c r="AB73" s="94" t="str">
        <x:f>IF($A73="","",$R73)</x:f>
      </x:c>
      <x:c r="AC73" s="94" t="str">
        <x:f>IF($A73="","",SUM($V73:$AB73))</x:f>
      </x:c>
      <x:c r="AD73" s="100" t="str">
        <x:f>IF($A73="","",IF($AC73&gt;=75,"P0",IF($AC73&gt;=60,"P1",IF($AC73&gt;=45,"P2","P3"))))</x:f>
      </x:c>
      <x:c r="AE73" s="100" t="str">
        <x:f>IF($A73="","",IF($AC73&gt;=75,"立即写独立文章",IF($AC73&gt;=60,"排入本批内容日历",IF($AC73&gt;=45,"先做FAQ/段落或低优先文章","不单独写，合并到商业页/FAQ"))))</x:f>
      </x:c>
      <x:c r="AF73" s="37" t="str">
        <x:f>IF($A73="","",$K73&amp;" | 父级页: "&amp;$C73&amp;" | 目标URL: "&amp;$T73&amp;" | 必补: 竞品结构+原创证据+对比表+FAQ+内链CTA")</x:f>
      </x:c>
      <x:c r="AG73" s="37" t="str">
        <x:f>IF($A73="","",IF($I73&lt;4,"SERP不支持文章，优先做商业页/FAQ",IF($L73&lt;3,"产品相关弱，谨慎写",IF($N73&lt;3,"证据不足，容易变AI水文",IF($G73&gt;70,"难度偏高，需要更强外链/权威",IF($Q73&lt;3,"内链弱，先补主题簇","可进入规划"))))))</x:f>
      </x:c>
      <x:c r="AH73" s="106" t="str">
        <x:f>IF($A73="","",IF($T73="","缺少目标URL",IF(COUNTIF('页面规划'!$D$5:$D$104,$T73)&gt;0,"已匹配","未匹配")))</x:f>
      </x:c>
      <x:c r="AI73" s="37" t="str">
        <x:f>IF($A73="","",IFERROR(INDEX('页面规划'!$B$5:$B$104,MATCH($T73,'页面规划'!$D$5:$D$104,0)),""))</x:f>
      </x:c>
      <x:c r="AJ73" s="37" t="str">
        <x:f>IF($A73="","",IFERROR(INDEX('页面规划'!$F$5:$F$104,MATCH($T73,'页面规划'!$D$5:$D$104,0)),""))</x:f>
      </x:c>
      <x:c r="AK73" s="37" t="str">
        <x:f>IF($A73="","",IFERROR(INDEX('页面规划'!$H$5:$H$104,MATCH($T73,'页面规划'!$D$5:$D$104,0)),""))</x:f>
      </x:c>
      <x:c r="AL73" s="83" t="str">
        <x:f>IF($A73="","",IF($AH73="已匹配","OK：文章可内链到页面规划中的父级页","先到【页面规划】新增/修正目标URL，再排文章"))</x:f>
      </x:c>
    </x:row>
    <x:row r="74">
      <x:c r="A74" s="108"/>
      <x:c r="B74" s="37"/>
      <x:c r="C74" s="37"/>
      <x:c r="D74" s="37"/>
      <x:c r="E74" s="88"/>
      <x:c r="F74" s="91"/>
      <x:c r="G74" s="74"/>
      <x:c r="H74" s="74"/>
      <x:c r="I74" s="74"/>
      <x:c r="J74" s="37"/>
      <x:c r="K74" s="37"/>
      <x:c r="L74" s="74"/>
      <x:c r="M74" s="74"/>
      <x:c r="N74" s="74"/>
      <x:c r="O74" s="74"/>
      <x:c r="P74" s="74"/>
      <x:c r="Q74" s="74"/>
      <x:c r="R74" s="74"/>
      <x:c r="S74" s="37"/>
      <x:c r="T74" s="37"/>
      <x:c r="U74" s="37"/>
      <x:c r="V74" s="94" t="str">
        <x:f>IF($A74="","",MIN(20,MAX(0,$I74*2)))</x:f>
      </x:c>
      <x:c r="W74" s="94" t="str">
        <x:f>IF($A74="","",(($L74+$M74)/10)*20)</x:f>
      </x:c>
      <x:c r="X74" s="94" t="str">
        <x:f>IF($A74="","",IF($E74&gt;=1000,10,IF($E74&gt;=300,8,IF($E74&gt;=100,6,IF($E74&gt;=30,4,IF($E74&gt;0,2,0)))))+IF($F74&gt;=2,5,IF($F74&gt;=1,4,IF($F74&gt;=0.3,3,IF($F74&gt;0,2,0)))))</x:f>
      </x:c>
      <x:c r="Y74" s="94" t="str">
        <x:f>IF($A74="","",IF($G74&lt;=20,15,IF($G74&lt;=35,12,IF($G74&lt;=50,9,IF($G74&lt;=65,6,IF($G74&lt;=80,3,1))))))</x:f>
      </x:c>
      <x:c r="Z74" s="94" t="str">
        <x:f>IF($A74="","",(($N74+$O74)/10)*15)</x:f>
      </x:c>
      <x:c r="AA74" s="94" t="str">
        <x:f>IF($A74="","",(($P74+$Q74)/10)*10)</x:f>
      </x:c>
      <x:c r="AB74" s="94" t="str">
        <x:f>IF($A74="","",$R74)</x:f>
      </x:c>
      <x:c r="AC74" s="94" t="str">
        <x:f>IF($A74="","",SUM($V74:$AB74))</x:f>
      </x:c>
      <x:c r="AD74" s="100" t="str">
        <x:f>IF($A74="","",IF($AC74&gt;=75,"P0",IF($AC74&gt;=60,"P1",IF($AC74&gt;=45,"P2","P3"))))</x:f>
      </x:c>
      <x:c r="AE74" s="100" t="str">
        <x:f>IF($A74="","",IF($AC74&gt;=75,"立即写独立文章",IF($AC74&gt;=60,"排入本批内容日历",IF($AC74&gt;=45,"先做FAQ/段落或低优先文章","不单独写，合并到商业页/FAQ"))))</x:f>
      </x:c>
      <x:c r="AF74" s="37" t="str">
        <x:f>IF($A74="","",$K74&amp;" | 父级页: "&amp;$C74&amp;" | 目标URL: "&amp;$T74&amp;" | 必补: 竞品结构+原创证据+对比表+FAQ+内链CTA")</x:f>
      </x:c>
      <x:c r="AG74" s="37" t="str">
        <x:f>IF($A74="","",IF($I74&lt;4,"SERP不支持文章，优先做商业页/FAQ",IF($L74&lt;3,"产品相关弱，谨慎写",IF($N74&lt;3,"证据不足，容易变AI水文",IF($G74&gt;70,"难度偏高，需要更强外链/权威",IF($Q74&lt;3,"内链弱，先补主题簇","可进入规划"))))))</x:f>
      </x:c>
      <x:c r="AH74" s="106" t="str">
        <x:f>IF($A74="","",IF($T74="","缺少目标URL",IF(COUNTIF('页面规划'!$D$5:$D$104,$T74)&gt;0,"已匹配","未匹配")))</x:f>
      </x:c>
      <x:c r="AI74" s="37" t="str">
        <x:f>IF($A74="","",IFERROR(INDEX('页面规划'!$B$5:$B$104,MATCH($T74,'页面规划'!$D$5:$D$104,0)),""))</x:f>
      </x:c>
      <x:c r="AJ74" s="37" t="str">
        <x:f>IF($A74="","",IFERROR(INDEX('页面规划'!$F$5:$F$104,MATCH($T74,'页面规划'!$D$5:$D$104,0)),""))</x:f>
      </x:c>
      <x:c r="AK74" s="37" t="str">
        <x:f>IF($A74="","",IFERROR(INDEX('页面规划'!$H$5:$H$104,MATCH($T74,'页面规划'!$D$5:$D$104,0)),""))</x:f>
      </x:c>
      <x:c r="AL74" s="83" t="str">
        <x:f>IF($A74="","",IF($AH74="已匹配","OK：文章可内链到页面规划中的父级页","先到【页面规划】新增/修正目标URL，再排文章"))</x:f>
      </x:c>
    </x:row>
    <x:row r="75">
      <x:c r="A75" s="108"/>
      <x:c r="B75" s="37"/>
      <x:c r="C75" s="37"/>
      <x:c r="D75" s="37"/>
      <x:c r="E75" s="88"/>
      <x:c r="F75" s="91"/>
      <x:c r="G75" s="74"/>
      <x:c r="H75" s="74"/>
      <x:c r="I75" s="74"/>
      <x:c r="J75" s="37"/>
      <x:c r="K75" s="37"/>
      <x:c r="L75" s="74"/>
      <x:c r="M75" s="74"/>
      <x:c r="N75" s="74"/>
      <x:c r="O75" s="74"/>
      <x:c r="P75" s="74"/>
      <x:c r="Q75" s="74"/>
      <x:c r="R75" s="74"/>
      <x:c r="S75" s="37"/>
      <x:c r="T75" s="37"/>
      <x:c r="U75" s="37"/>
      <x:c r="V75" s="94" t="str">
        <x:f>IF($A75="","",MIN(20,MAX(0,$I75*2)))</x:f>
      </x:c>
      <x:c r="W75" s="94" t="str">
        <x:f>IF($A75="","",(($L75+$M75)/10)*20)</x:f>
      </x:c>
      <x:c r="X75" s="94" t="str">
        <x:f>IF($A75="","",IF($E75&gt;=1000,10,IF($E75&gt;=300,8,IF($E75&gt;=100,6,IF($E75&gt;=30,4,IF($E75&gt;0,2,0)))))+IF($F75&gt;=2,5,IF($F75&gt;=1,4,IF($F75&gt;=0.3,3,IF($F75&gt;0,2,0)))))</x:f>
      </x:c>
      <x:c r="Y75" s="94" t="str">
        <x:f>IF($A75="","",IF($G75&lt;=20,15,IF($G75&lt;=35,12,IF($G75&lt;=50,9,IF($G75&lt;=65,6,IF($G75&lt;=80,3,1))))))</x:f>
      </x:c>
      <x:c r="Z75" s="94" t="str">
        <x:f>IF($A75="","",(($N75+$O75)/10)*15)</x:f>
      </x:c>
      <x:c r="AA75" s="94" t="str">
        <x:f>IF($A75="","",(($P75+$Q75)/10)*10)</x:f>
      </x:c>
      <x:c r="AB75" s="94" t="str">
        <x:f>IF($A75="","",$R75)</x:f>
      </x:c>
      <x:c r="AC75" s="94" t="str">
        <x:f>IF($A75="","",SUM($V75:$AB75))</x:f>
      </x:c>
      <x:c r="AD75" s="100" t="str">
        <x:f>IF($A75="","",IF($AC75&gt;=75,"P0",IF($AC75&gt;=60,"P1",IF($AC75&gt;=45,"P2","P3"))))</x:f>
      </x:c>
      <x:c r="AE75" s="100" t="str">
        <x:f>IF($A75="","",IF($AC75&gt;=75,"立即写独立文章",IF($AC75&gt;=60,"排入本批内容日历",IF($AC75&gt;=45,"先做FAQ/段落或低优先文章","不单独写，合并到商业页/FAQ"))))</x:f>
      </x:c>
      <x:c r="AF75" s="37" t="str">
        <x:f>IF($A75="","",$K75&amp;" | 父级页: "&amp;$C75&amp;" | 目标URL: "&amp;$T75&amp;" | 必补: 竞品结构+原创证据+对比表+FAQ+内链CTA")</x:f>
      </x:c>
      <x:c r="AG75" s="37" t="str">
        <x:f>IF($A75="","",IF($I75&lt;4,"SERP不支持文章，优先做商业页/FAQ",IF($L75&lt;3,"产品相关弱，谨慎写",IF($N75&lt;3,"证据不足，容易变AI水文",IF($G75&gt;70,"难度偏高，需要更强外链/权威",IF($Q75&lt;3,"内链弱，先补主题簇","可进入规划"))))))</x:f>
      </x:c>
      <x:c r="AH75" s="106" t="str">
        <x:f>IF($A75="","",IF($T75="","缺少目标URL",IF(COUNTIF('页面规划'!$D$5:$D$104,$T75)&gt;0,"已匹配","未匹配")))</x:f>
      </x:c>
      <x:c r="AI75" s="37" t="str">
        <x:f>IF($A75="","",IFERROR(INDEX('页面规划'!$B$5:$B$104,MATCH($T75,'页面规划'!$D$5:$D$104,0)),""))</x:f>
      </x:c>
      <x:c r="AJ75" s="37" t="str">
        <x:f>IF($A75="","",IFERROR(INDEX('页面规划'!$F$5:$F$104,MATCH($T75,'页面规划'!$D$5:$D$104,0)),""))</x:f>
      </x:c>
      <x:c r="AK75" s="37" t="str">
        <x:f>IF($A75="","",IFERROR(INDEX('页面规划'!$H$5:$H$104,MATCH($T75,'页面规划'!$D$5:$D$104,0)),""))</x:f>
      </x:c>
      <x:c r="AL75" s="83" t="str">
        <x:f>IF($A75="","",IF($AH75="已匹配","OK：文章可内链到页面规划中的父级页","先到【页面规划】新增/修正目标URL，再排文章"))</x:f>
      </x:c>
    </x:row>
    <x:row r="76">
      <x:c r="A76" s="108"/>
      <x:c r="B76" s="37"/>
      <x:c r="C76" s="37"/>
      <x:c r="D76" s="37"/>
      <x:c r="E76" s="88"/>
      <x:c r="F76" s="91"/>
      <x:c r="G76" s="74"/>
      <x:c r="H76" s="74"/>
      <x:c r="I76" s="74"/>
      <x:c r="J76" s="37"/>
      <x:c r="K76" s="37"/>
      <x:c r="L76" s="74"/>
      <x:c r="M76" s="74"/>
      <x:c r="N76" s="74"/>
      <x:c r="O76" s="74"/>
      <x:c r="P76" s="74"/>
      <x:c r="Q76" s="74"/>
      <x:c r="R76" s="74"/>
      <x:c r="S76" s="37"/>
      <x:c r="T76" s="37"/>
      <x:c r="U76" s="37"/>
      <x:c r="V76" s="94" t="str">
        <x:f>IF($A76="","",MIN(20,MAX(0,$I76*2)))</x:f>
      </x:c>
      <x:c r="W76" s="94" t="str">
        <x:f>IF($A76="","",(($L76+$M76)/10)*20)</x:f>
      </x:c>
      <x:c r="X76" s="94" t="str">
        <x:f>IF($A76="","",IF($E76&gt;=1000,10,IF($E76&gt;=300,8,IF($E76&gt;=100,6,IF($E76&gt;=30,4,IF($E76&gt;0,2,0)))))+IF($F76&gt;=2,5,IF($F76&gt;=1,4,IF($F76&gt;=0.3,3,IF($F76&gt;0,2,0)))))</x:f>
      </x:c>
      <x:c r="Y76" s="94" t="str">
        <x:f>IF($A76="","",IF($G76&lt;=20,15,IF($G76&lt;=35,12,IF($G76&lt;=50,9,IF($G76&lt;=65,6,IF($G76&lt;=80,3,1))))))</x:f>
      </x:c>
      <x:c r="Z76" s="94" t="str">
        <x:f>IF($A76="","",(($N76+$O76)/10)*15)</x:f>
      </x:c>
      <x:c r="AA76" s="94" t="str">
        <x:f>IF($A76="","",(($P76+$Q76)/10)*10)</x:f>
      </x:c>
      <x:c r="AB76" s="94" t="str">
        <x:f>IF($A76="","",$R76)</x:f>
      </x:c>
      <x:c r="AC76" s="94" t="str">
        <x:f>IF($A76="","",SUM($V76:$AB76))</x:f>
      </x:c>
      <x:c r="AD76" s="100" t="str">
        <x:f>IF($A76="","",IF($AC76&gt;=75,"P0",IF($AC76&gt;=60,"P1",IF($AC76&gt;=45,"P2","P3"))))</x:f>
      </x:c>
      <x:c r="AE76" s="100" t="str">
        <x:f>IF($A76="","",IF($AC76&gt;=75,"立即写独立文章",IF($AC76&gt;=60,"排入本批内容日历",IF($AC76&gt;=45,"先做FAQ/段落或低优先文章","不单独写，合并到商业页/FAQ"))))</x:f>
      </x:c>
      <x:c r="AF76" s="37" t="str">
        <x:f>IF($A76="","",$K76&amp;" | 父级页: "&amp;$C76&amp;" | 目标URL: "&amp;$T76&amp;" | 必补: 竞品结构+原创证据+对比表+FAQ+内链CTA")</x:f>
      </x:c>
      <x:c r="AG76" s="37" t="str">
        <x:f>IF($A76="","",IF($I76&lt;4,"SERP不支持文章，优先做商业页/FAQ",IF($L76&lt;3,"产品相关弱，谨慎写",IF($N76&lt;3,"证据不足，容易变AI水文",IF($G76&gt;70,"难度偏高，需要更强外链/权威",IF($Q76&lt;3,"内链弱，先补主题簇","可进入规划"))))))</x:f>
      </x:c>
      <x:c r="AH76" s="106" t="str">
        <x:f>IF($A76="","",IF($T76="","缺少目标URL",IF(COUNTIF('页面规划'!$D$5:$D$104,$T76)&gt;0,"已匹配","未匹配")))</x:f>
      </x:c>
      <x:c r="AI76" s="37" t="str">
        <x:f>IF($A76="","",IFERROR(INDEX('页面规划'!$B$5:$B$104,MATCH($T76,'页面规划'!$D$5:$D$104,0)),""))</x:f>
      </x:c>
      <x:c r="AJ76" s="37" t="str">
        <x:f>IF($A76="","",IFERROR(INDEX('页面规划'!$F$5:$F$104,MATCH($T76,'页面规划'!$D$5:$D$104,0)),""))</x:f>
      </x:c>
      <x:c r="AK76" s="37" t="str">
        <x:f>IF($A76="","",IFERROR(INDEX('页面规划'!$H$5:$H$104,MATCH($T76,'页面规划'!$D$5:$D$104,0)),""))</x:f>
      </x:c>
      <x:c r="AL76" s="83" t="str">
        <x:f>IF($A76="","",IF($AH76="已匹配","OK：文章可内链到页面规划中的父级页","先到【页面规划】新增/修正目标URL，再排文章"))</x:f>
      </x:c>
    </x:row>
    <x:row r="77">
      <x:c r="A77" s="108"/>
      <x:c r="B77" s="37"/>
      <x:c r="C77" s="37"/>
      <x:c r="D77" s="37"/>
      <x:c r="E77" s="88"/>
      <x:c r="F77" s="91"/>
      <x:c r="G77" s="74"/>
      <x:c r="H77" s="74"/>
      <x:c r="I77" s="74"/>
      <x:c r="J77" s="37"/>
      <x:c r="K77" s="37"/>
      <x:c r="L77" s="74"/>
      <x:c r="M77" s="74"/>
      <x:c r="N77" s="74"/>
      <x:c r="O77" s="74"/>
      <x:c r="P77" s="74"/>
      <x:c r="Q77" s="74"/>
      <x:c r="R77" s="74"/>
      <x:c r="S77" s="37"/>
      <x:c r="T77" s="37"/>
      <x:c r="U77" s="37"/>
      <x:c r="V77" s="94" t="str">
        <x:f>IF($A77="","",MIN(20,MAX(0,$I77*2)))</x:f>
      </x:c>
      <x:c r="W77" s="94" t="str">
        <x:f>IF($A77="","",(($L77+$M77)/10)*20)</x:f>
      </x:c>
      <x:c r="X77" s="94" t="str">
        <x:f>IF($A77="","",IF($E77&gt;=1000,10,IF($E77&gt;=300,8,IF($E77&gt;=100,6,IF($E77&gt;=30,4,IF($E77&gt;0,2,0)))))+IF($F77&gt;=2,5,IF($F77&gt;=1,4,IF($F77&gt;=0.3,3,IF($F77&gt;0,2,0)))))</x:f>
      </x:c>
      <x:c r="Y77" s="94" t="str">
        <x:f>IF($A77="","",IF($G77&lt;=20,15,IF($G77&lt;=35,12,IF($G77&lt;=50,9,IF($G77&lt;=65,6,IF($G77&lt;=80,3,1))))))</x:f>
      </x:c>
      <x:c r="Z77" s="94" t="str">
        <x:f>IF($A77="","",(($N77+$O77)/10)*15)</x:f>
      </x:c>
      <x:c r="AA77" s="94" t="str">
        <x:f>IF($A77="","",(($P77+$Q77)/10)*10)</x:f>
      </x:c>
      <x:c r="AB77" s="94" t="str">
        <x:f>IF($A77="","",$R77)</x:f>
      </x:c>
      <x:c r="AC77" s="94" t="str">
        <x:f>IF($A77="","",SUM($V77:$AB77))</x:f>
      </x:c>
      <x:c r="AD77" s="100" t="str">
        <x:f>IF($A77="","",IF($AC77&gt;=75,"P0",IF($AC77&gt;=60,"P1",IF($AC77&gt;=45,"P2","P3"))))</x:f>
      </x:c>
      <x:c r="AE77" s="100" t="str">
        <x:f>IF($A77="","",IF($AC77&gt;=75,"立即写独立文章",IF($AC77&gt;=60,"排入本批内容日历",IF($AC77&gt;=45,"先做FAQ/段落或低优先文章","不单独写，合并到商业页/FAQ"))))</x:f>
      </x:c>
      <x:c r="AF77" s="37" t="str">
        <x:f>IF($A77="","",$K77&amp;" | 父级页: "&amp;$C77&amp;" | 目标URL: "&amp;$T77&amp;" | 必补: 竞品结构+原创证据+对比表+FAQ+内链CTA")</x:f>
      </x:c>
      <x:c r="AG77" s="37" t="str">
        <x:f>IF($A77="","",IF($I77&lt;4,"SERP不支持文章，优先做商业页/FAQ",IF($L77&lt;3,"产品相关弱，谨慎写",IF($N77&lt;3,"证据不足，容易变AI水文",IF($G77&gt;70,"难度偏高，需要更强外链/权威",IF($Q77&lt;3,"内链弱，先补主题簇","可进入规划"))))))</x:f>
      </x:c>
      <x:c r="AH77" s="106" t="str">
        <x:f>IF($A77="","",IF($T77="","缺少目标URL",IF(COUNTIF('页面规划'!$D$5:$D$104,$T77)&gt;0,"已匹配","未匹配")))</x:f>
      </x:c>
      <x:c r="AI77" s="37" t="str">
        <x:f>IF($A77="","",IFERROR(INDEX('页面规划'!$B$5:$B$104,MATCH($T77,'页面规划'!$D$5:$D$104,0)),""))</x:f>
      </x:c>
      <x:c r="AJ77" s="37" t="str">
        <x:f>IF($A77="","",IFERROR(INDEX('页面规划'!$F$5:$F$104,MATCH($T77,'页面规划'!$D$5:$D$104,0)),""))</x:f>
      </x:c>
      <x:c r="AK77" s="37" t="str">
        <x:f>IF($A77="","",IFERROR(INDEX('页面规划'!$H$5:$H$104,MATCH($T77,'页面规划'!$D$5:$D$104,0)),""))</x:f>
      </x:c>
      <x:c r="AL77" s="83" t="str">
        <x:f>IF($A77="","",IF($AH77="已匹配","OK：文章可内链到页面规划中的父级页","先到【页面规划】新增/修正目标URL，再排文章"))</x:f>
      </x:c>
    </x:row>
    <x:row r="78">
      <x:c r="A78" s="108"/>
      <x:c r="B78" s="37"/>
      <x:c r="C78" s="37"/>
      <x:c r="D78" s="37"/>
      <x:c r="E78" s="88"/>
      <x:c r="F78" s="91"/>
      <x:c r="G78" s="74"/>
      <x:c r="H78" s="74"/>
      <x:c r="I78" s="74"/>
      <x:c r="J78" s="37"/>
      <x:c r="K78" s="37"/>
      <x:c r="L78" s="74"/>
      <x:c r="M78" s="74"/>
      <x:c r="N78" s="74"/>
      <x:c r="O78" s="74"/>
      <x:c r="P78" s="74"/>
      <x:c r="Q78" s="74"/>
      <x:c r="R78" s="74"/>
      <x:c r="S78" s="37"/>
      <x:c r="T78" s="37"/>
      <x:c r="U78" s="37"/>
      <x:c r="V78" s="94" t="str">
        <x:f>IF($A78="","",MIN(20,MAX(0,$I78*2)))</x:f>
      </x:c>
      <x:c r="W78" s="94" t="str">
        <x:f>IF($A78="","",(($L78+$M78)/10)*20)</x:f>
      </x:c>
      <x:c r="X78" s="94" t="str">
        <x:f>IF($A78="","",IF($E78&gt;=1000,10,IF($E78&gt;=300,8,IF($E78&gt;=100,6,IF($E78&gt;=30,4,IF($E78&gt;0,2,0)))))+IF($F78&gt;=2,5,IF($F78&gt;=1,4,IF($F78&gt;=0.3,3,IF($F78&gt;0,2,0)))))</x:f>
      </x:c>
      <x:c r="Y78" s="94" t="str">
        <x:f>IF($A78="","",IF($G78&lt;=20,15,IF($G78&lt;=35,12,IF($G78&lt;=50,9,IF($G78&lt;=65,6,IF($G78&lt;=80,3,1))))))</x:f>
      </x:c>
      <x:c r="Z78" s="94" t="str">
        <x:f>IF($A78="","",(($N78+$O78)/10)*15)</x:f>
      </x:c>
      <x:c r="AA78" s="94" t="str">
        <x:f>IF($A78="","",(($P78+$Q78)/10)*10)</x:f>
      </x:c>
      <x:c r="AB78" s="94" t="str">
        <x:f>IF($A78="","",$R78)</x:f>
      </x:c>
      <x:c r="AC78" s="94" t="str">
        <x:f>IF($A78="","",SUM($V78:$AB78))</x:f>
      </x:c>
      <x:c r="AD78" s="100" t="str">
        <x:f>IF($A78="","",IF($AC78&gt;=75,"P0",IF($AC78&gt;=60,"P1",IF($AC78&gt;=45,"P2","P3"))))</x:f>
      </x:c>
      <x:c r="AE78" s="100" t="str">
        <x:f>IF($A78="","",IF($AC78&gt;=75,"立即写独立文章",IF($AC78&gt;=60,"排入本批内容日历",IF($AC78&gt;=45,"先做FAQ/段落或低优先文章","不单独写，合并到商业页/FAQ"))))</x:f>
      </x:c>
      <x:c r="AF78" s="37" t="str">
        <x:f>IF($A78="","",$K78&amp;" | 父级页: "&amp;$C78&amp;" | 目标URL: "&amp;$T78&amp;" | 必补: 竞品结构+原创证据+对比表+FAQ+内链CTA")</x:f>
      </x:c>
      <x:c r="AG78" s="37" t="str">
        <x:f>IF($A78="","",IF($I78&lt;4,"SERP不支持文章，优先做商业页/FAQ",IF($L78&lt;3,"产品相关弱，谨慎写",IF($N78&lt;3,"证据不足，容易变AI水文",IF($G78&gt;70,"难度偏高，需要更强外链/权威",IF($Q78&lt;3,"内链弱，先补主题簇","可进入规划"))))))</x:f>
      </x:c>
      <x:c r="AH78" s="106" t="str">
        <x:f>IF($A78="","",IF($T78="","缺少目标URL",IF(COUNTIF('页面规划'!$D$5:$D$104,$T78)&gt;0,"已匹配","未匹配")))</x:f>
      </x:c>
      <x:c r="AI78" s="37" t="str">
        <x:f>IF($A78="","",IFERROR(INDEX('页面规划'!$B$5:$B$104,MATCH($T78,'页面规划'!$D$5:$D$104,0)),""))</x:f>
      </x:c>
      <x:c r="AJ78" s="37" t="str">
        <x:f>IF($A78="","",IFERROR(INDEX('页面规划'!$F$5:$F$104,MATCH($T78,'页面规划'!$D$5:$D$104,0)),""))</x:f>
      </x:c>
      <x:c r="AK78" s="37" t="str">
        <x:f>IF($A78="","",IFERROR(INDEX('页面规划'!$H$5:$H$104,MATCH($T78,'页面规划'!$D$5:$D$104,0)),""))</x:f>
      </x:c>
      <x:c r="AL78" s="83" t="str">
        <x:f>IF($A78="","",IF($AH78="已匹配","OK：文章可内链到页面规划中的父级页","先到【页面规划】新增/修正目标URL，再排文章"))</x:f>
      </x:c>
    </x:row>
    <x:row r="79">
      <x:c r="A79" s="108"/>
      <x:c r="B79" s="37"/>
      <x:c r="C79" s="37"/>
      <x:c r="D79" s="37"/>
      <x:c r="E79" s="88"/>
      <x:c r="F79" s="91"/>
      <x:c r="G79" s="74"/>
      <x:c r="H79" s="74"/>
      <x:c r="I79" s="74"/>
      <x:c r="J79" s="37"/>
      <x:c r="K79" s="37"/>
      <x:c r="L79" s="74"/>
      <x:c r="M79" s="74"/>
      <x:c r="N79" s="74"/>
      <x:c r="O79" s="74"/>
      <x:c r="P79" s="74"/>
      <x:c r="Q79" s="74"/>
      <x:c r="R79" s="74"/>
      <x:c r="S79" s="37"/>
      <x:c r="T79" s="37"/>
      <x:c r="U79" s="37"/>
      <x:c r="V79" s="94" t="str">
        <x:f>IF($A79="","",MIN(20,MAX(0,$I79*2)))</x:f>
      </x:c>
      <x:c r="W79" s="94" t="str">
        <x:f>IF($A79="","",(($L79+$M79)/10)*20)</x:f>
      </x:c>
      <x:c r="X79" s="94" t="str">
        <x:f>IF($A79="","",IF($E79&gt;=1000,10,IF($E79&gt;=300,8,IF($E79&gt;=100,6,IF($E79&gt;=30,4,IF($E79&gt;0,2,0)))))+IF($F79&gt;=2,5,IF($F79&gt;=1,4,IF($F79&gt;=0.3,3,IF($F79&gt;0,2,0)))))</x:f>
      </x:c>
      <x:c r="Y79" s="94" t="str">
        <x:f>IF($A79="","",IF($G79&lt;=20,15,IF($G79&lt;=35,12,IF($G79&lt;=50,9,IF($G79&lt;=65,6,IF($G79&lt;=80,3,1))))))</x:f>
      </x:c>
      <x:c r="Z79" s="94" t="str">
        <x:f>IF($A79="","",(($N79+$O79)/10)*15)</x:f>
      </x:c>
      <x:c r="AA79" s="94" t="str">
        <x:f>IF($A79="","",(($P79+$Q79)/10)*10)</x:f>
      </x:c>
      <x:c r="AB79" s="94" t="str">
        <x:f>IF($A79="","",$R79)</x:f>
      </x:c>
      <x:c r="AC79" s="94" t="str">
        <x:f>IF($A79="","",SUM($V79:$AB79))</x:f>
      </x:c>
      <x:c r="AD79" s="100" t="str">
        <x:f>IF($A79="","",IF($AC79&gt;=75,"P0",IF($AC79&gt;=60,"P1",IF($AC79&gt;=45,"P2","P3"))))</x:f>
      </x:c>
      <x:c r="AE79" s="100" t="str">
        <x:f>IF($A79="","",IF($AC79&gt;=75,"立即写独立文章",IF($AC79&gt;=60,"排入本批内容日历",IF($AC79&gt;=45,"先做FAQ/段落或低优先文章","不单独写，合并到商业页/FAQ"))))</x:f>
      </x:c>
      <x:c r="AF79" s="37" t="str">
        <x:f>IF($A79="","",$K79&amp;" | 父级页: "&amp;$C79&amp;" | 目标URL: "&amp;$T79&amp;" | 必补: 竞品结构+原创证据+对比表+FAQ+内链CTA")</x:f>
      </x:c>
      <x:c r="AG79" s="37" t="str">
        <x:f>IF($A79="","",IF($I79&lt;4,"SERP不支持文章，优先做商业页/FAQ",IF($L79&lt;3,"产品相关弱，谨慎写",IF($N79&lt;3,"证据不足，容易变AI水文",IF($G79&gt;70,"难度偏高，需要更强外链/权威",IF($Q79&lt;3,"内链弱，先补主题簇","可进入规划"))))))</x:f>
      </x:c>
      <x:c r="AH79" s="106" t="str">
        <x:f>IF($A79="","",IF($T79="","缺少目标URL",IF(COUNTIF('页面规划'!$D$5:$D$104,$T79)&gt;0,"已匹配","未匹配")))</x:f>
      </x:c>
      <x:c r="AI79" s="37" t="str">
        <x:f>IF($A79="","",IFERROR(INDEX('页面规划'!$B$5:$B$104,MATCH($T79,'页面规划'!$D$5:$D$104,0)),""))</x:f>
      </x:c>
      <x:c r="AJ79" s="37" t="str">
        <x:f>IF($A79="","",IFERROR(INDEX('页面规划'!$F$5:$F$104,MATCH($T79,'页面规划'!$D$5:$D$104,0)),""))</x:f>
      </x:c>
      <x:c r="AK79" s="37" t="str">
        <x:f>IF($A79="","",IFERROR(INDEX('页面规划'!$H$5:$H$104,MATCH($T79,'页面规划'!$D$5:$D$104,0)),""))</x:f>
      </x:c>
      <x:c r="AL79" s="83" t="str">
        <x:f>IF($A79="","",IF($AH79="已匹配","OK：文章可内链到页面规划中的父级页","先到【页面规划】新增/修正目标URL，再排文章"))</x:f>
      </x:c>
    </x:row>
    <x:row r="80">
      <x:c r="A80" s="108"/>
      <x:c r="B80" s="37"/>
      <x:c r="C80" s="37"/>
      <x:c r="D80" s="37"/>
      <x:c r="E80" s="88"/>
      <x:c r="F80" s="91"/>
      <x:c r="G80" s="74"/>
      <x:c r="H80" s="74"/>
      <x:c r="I80" s="74"/>
      <x:c r="J80" s="37"/>
      <x:c r="K80" s="37"/>
      <x:c r="L80" s="74"/>
      <x:c r="M80" s="74"/>
      <x:c r="N80" s="74"/>
      <x:c r="O80" s="74"/>
      <x:c r="P80" s="74"/>
      <x:c r="Q80" s="74"/>
      <x:c r="R80" s="74"/>
      <x:c r="S80" s="37"/>
      <x:c r="T80" s="37"/>
      <x:c r="U80" s="37"/>
      <x:c r="V80" s="94" t="str">
        <x:f>IF($A80="","",MIN(20,MAX(0,$I80*2)))</x:f>
      </x:c>
      <x:c r="W80" s="94" t="str">
        <x:f>IF($A80="","",(($L80+$M80)/10)*20)</x:f>
      </x:c>
      <x:c r="X80" s="94" t="str">
        <x:f>IF($A80="","",IF($E80&gt;=1000,10,IF($E80&gt;=300,8,IF($E80&gt;=100,6,IF($E80&gt;=30,4,IF($E80&gt;0,2,0)))))+IF($F80&gt;=2,5,IF($F80&gt;=1,4,IF($F80&gt;=0.3,3,IF($F80&gt;0,2,0)))))</x:f>
      </x:c>
      <x:c r="Y80" s="94" t="str">
        <x:f>IF($A80="","",IF($G80&lt;=20,15,IF($G80&lt;=35,12,IF($G80&lt;=50,9,IF($G80&lt;=65,6,IF($G80&lt;=80,3,1))))))</x:f>
      </x:c>
      <x:c r="Z80" s="94" t="str">
        <x:f>IF($A80="","",(($N80+$O80)/10)*15)</x:f>
      </x:c>
      <x:c r="AA80" s="94" t="str">
        <x:f>IF($A80="","",(($P80+$Q80)/10)*10)</x:f>
      </x:c>
      <x:c r="AB80" s="94" t="str">
        <x:f>IF($A80="","",$R80)</x:f>
      </x:c>
      <x:c r="AC80" s="94" t="str">
        <x:f>IF($A80="","",SUM($V80:$AB80))</x:f>
      </x:c>
      <x:c r="AD80" s="100" t="str">
        <x:f>IF($A80="","",IF($AC80&gt;=75,"P0",IF($AC80&gt;=60,"P1",IF($AC80&gt;=45,"P2","P3"))))</x:f>
      </x:c>
      <x:c r="AE80" s="100" t="str">
        <x:f>IF($A80="","",IF($AC80&gt;=75,"立即写独立文章",IF($AC80&gt;=60,"排入本批内容日历",IF($AC80&gt;=45,"先做FAQ/段落或低优先文章","不单独写，合并到商业页/FAQ"))))</x:f>
      </x:c>
      <x:c r="AF80" s="37" t="str">
        <x:f>IF($A80="","",$K80&amp;" | 父级页: "&amp;$C80&amp;" | 目标URL: "&amp;$T80&amp;" | 必补: 竞品结构+原创证据+对比表+FAQ+内链CTA")</x:f>
      </x:c>
      <x:c r="AG80" s="37" t="str">
        <x:f>IF($A80="","",IF($I80&lt;4,"SERP不支持文章，优先做商业页/FAQ",IF($L80&lt;3,"产品相关弱，谨慎写",IF($N80&lt;3,"证据不足，容易变AI水文",IF($G80&gt;70,"难度偏高，需要更强外链/权威",IF($Q80&lt;3,"内链弱，先补主题簇","可进入规划"))))))</x:f>
      </x:c>
      <x:c r="AH80" s="106" t="str">
        <x:f>IF($A80="","",IF($T80="","缺少目标URL",IF(COUNTIF('页面规划'!$D$5:$D$104,$T80)&gt;0,"已匹配","未匹配")))</x:f>
      </x:c>
      <x:c r="AI80" s="37" t="str">
        <x:f>IF($A80="","",IFERROR(INDEX('页面规划'!$B$5:$B$104,MATCH($T80,'页面规划'!$D$5:$D$104,0)),""))</x:f>
      </x:c>
      <x:c r="AJ80" s="37" t="str">
        <x:f>IF($A80="","",IFERROR(INDEX('页面规划'!$F$5:$F$104,MATCH($T80,'页面规划'!$D$5:$D$104,0)),""))</x:f>
      </x:c>
      <x:c r="AK80" s="37" t="str">
        <x:f>IF($A80="","",IFERROR(INDEX('页面规划'!$H$5:$H$104,MATCH($T80,'页面规划'!$D$5:$D$104,0)),""))</x:f>
      </x:c>
      <x:c r="AL80" s="83" t="str">
        <x:f>IF($A80="","",IF($AH80="已匹配","OK：文章可内链到页面规划中的父级页","先到【页面规划】新增/修正目标URL，再排文章"))</x:f>
      </x:c>
    </x:row>
    <x:row r="81">
      <x:c r="A81" s="108"/>
      <x:c r="B81" s="37"/>
      <x:c r="C81" s="37"/>
      <x:c r="D81" s="37"/>
      <x:c r="E81" s="88"/>
      <x:c r="F81" s="91"/>
      <x:c r="G81" s="74"/>
      <x:c r="H81" s="74"/>
      <x:c r="I81" s="74"/>
      <x:c r="J81" s="37"/>
      <x:c r="K81" s="37"/>
      <x:c r="L81" s="74"/>
      <x:c r="M81" s="74"/>
      <x:c r="N81" s="74"/>
      <x:c r="O81" s="74"/>
      <x:c r="P81" s="74"/>
      <x:c r="Q81" s="74"/>
      <x:c r="R81" s="74"/>
      <x:c r="S81" s="37"/>
      <x:c r="T81" s="37"/>
      <x:c r="U81" s="37"/>
      <x:c r="V81" s="94" t="str">
        <x:f>IF($A81="","",MIN(20,MAX(0,$I81*2)))</x:f>
      </x:c>
      <x:c r="W81" s="94" t="str">
        <x:f>IF($A81="","",(($L81+$M81)/10)*20)</x:f>
      </x:c>
      <x:c r="X81" s="94" t="str">
        <x:f>IF($A81="","",IF($E81&gt;=1000,10,IF($E81&gt;=300,8,IF($E81&gt;=100,6,IF($E81&gt;=30,4,IF($E81&gt;0,2,0)))))+IF($F81&gt;=2,5,IF($F81&gt;=1,4,IF($F81&gt;=0.3,3,IF($F81&gt;0,2,0)))))</x:f>
      </x:c>
      <x:c r="Y81" s="94" t="str">
        <x:f>IF($A81="","",IF($G81&lt;=20,15,IF($G81&lt;=35,12,IF($G81&lt;=50,9,IF($G81&lt;=65,6,IF($G81&lt;=80,3,1))))))</x:f>
      </x:c>
      <x:c r="Z81" s="94" t="str">
        <x:f>IF($A81="","",(($N81+$O81)/10)*15)</x:f>
      </x:c>
      <x:c r="AA81" s="94" t="str">
        <x:f>IF($A81="","",(($P81+$Q81)/10)*10)</x:f>
      </x:c>
      <x:c r="AB81" s="94" t="str">
        <x:f>IF($A81="","",$R81)</x:f>
      </x:c>
      <x:c r="AC81" s="94" t="str">
        <x:f>IF($A81="","",SUM($V81:$AB81))</x:f>
      </x:c>
      <x:c r="AD81" s="100" t="str">
        <x:f>IF($A81="","",IF($AC81&gt;=75,"P0",IF($AC81&gt;=60,"P1",IF($AC81&gt;=45,"P2","P3"))))</x:f>
      </x:c>
      <x:c r="AE81" s="100" t="str">
        <x:f>IF($A81="","",IF($AC81&gt;=75,"立即写独立文章",IF($AC81&gt;=60,"排入本批内容日历",IF($AC81&gt;=45,"先做FAQ/段落或低优先文章","不单独写，合并到商业页/FAQ"))))</x:f>
      </x:c>
      <x:c r="AF81" s="37" t="str">
        <x:f>IF($A81="","",$K81&amp;" | 父级页: "&amp;$C81&amp;" | 目标URL: "&amp;$T81&amp;" | 必补: 竞品结构+原创证据+对比表+FAQ+内链CTA")</x:f>
      </x:c>
      <x:c r="AG81" s="37" t="str">
        <x:f>IF($A81="","",IF($I81&lt;4,"SERP不支持文章，优先做商业页/FAQ",IF($L81&lt;3,"产品相关弱，谨慎写",IF($N81&lt;3,"证据不足，容易变AI水文",IF($G81&gt;70,"难度偏高，需要更强外链/权威",IF($Q81&lt;3,"内链弱，先补主题簇","可进入规划"))))))</x:f>
      </x:c>
      <x:c r="AH81" s="106" t="str">
        <x:f>IF($A81="","",IF($T81="","缺少目标URL",IF(COUNTIF('页面规划'!$D$5:$D$104,$T81)&gt;0,"已匹配","未匹配")))</x:f>
      </x:c>
      <x:c r="AI81" s="37" t="str">
        <x:f>IF($A81="","",IFERROR(INDEX('页面规划'!$B$5:$B$104,MATCH($T81,'页面规划'!$D$5:$D$104,0)),""))</x:f>
      </x:c>
      <x:c r="AJ81" s="37" t="str">
        <x:f>IF($A81="","",IFERROR(INDEX('页面规划'!$F$5:$F$104,MATCH($T81,'页面规划'!$D$5:$D$104,0)),""))</x:f>
      </x:c>
      <x:c r="AK81" s="37" t="str">
        <x:f>IF($A81="","",IFERROR(INDEX('页面规划'!$H$5:$H$104,MATCH($T81,'页面规划'!$D$5:$D$104,0)),""))</x:f>
      </x:c>
      <x:c r="AL81" s="83" t="str">
        <x:f>IF($A81="","",IF($AH81="已匹配","OK：文章可内链到页面规划中的父级页","先到【页面规划】新增/修正目标URL，再排文章"))</x:f>
      </x:c>
    </x:row>
    <x:row r="82">
      <x:c r="A82" s="108"/>
      <x:c r="B82" s="37"/>
      <x:c r="C82" s="37"/>
      <x:c r="D82" s="37"/>
      <x:c r="E82" s="88"/>
      <x:c r="F82" s="91"/>
      <x:c r="G82" s="74"/>
      <x:c r="H82" s="74"/>
      <x:c r="I82" s="74"/>
      <x:c r="J82" s="37"/>
      <x:c r="K82" s="37"/>
      <x:c r="L82" s="74"/>
      <x:c r="M82" s="74"/>
      <x:c r="N82" s="74"/>
      <x:c r="O82" s="74"/>
      <x:c r="P82" s="74"/>
      <x:c r="Q82" s="74"/>
      <x:c r="R82" s="74"/>
      <x:c r="S82" s="37"/>
      <x:c r="T82" s="37"/>
      <x:c r="U82" s="37"/>
      <x:c r="V82" s="94" t="str">
        <x:f>IF($A82="","",MIN(20,MAX(0,$I82*2)))</x:f>
      </x:c>
      <x:c r="W82" s="94" t="str">
        <x:f>IF($A82="","",(($L82+$M82)/10)*20)</x:f>
      </x:c>
      <x:c r="X82" s="94" t="str">
        <x:f>IF($A82="","",IF($E82&gt;=1000,10,IF($E82&gt;=300,8,IF($E82&gt;=100,6,IF($E82&gt;=30,4,IF($E82&gt;0,2,0)))))+IF($F82&gt;=2,5,IF($F82&gt;=1,4,IF($F82&gt;=0.3,3,IF($F82&gt;0,2,0)))))</x:f>
      </x:c>
      <x:c r="Y82" s="94" t="str">
        <x:f>IF($A82="","",IF($G82&lt;=20,15,IF($G82&lt;=35,12,IF($G82&lt;=50,9,IF($G82&lt;=65,6,IF($G82&lt;=80,3,1))))))</x:f>
      </x:c>
      <x:c r="Z82" s="94" t="str">
        <x:f>IF($A82="","",(($N82+$O82)/10)*15)</x:f>
      </x:c>
      <x:c r="AA82" s="94" t="str">
        <x:f>IF($A82="","",(($P82+$Q82)/10)*10)</x:f>
      </x:c>
      <x:c r="AB82" s="94" t="str">
        <x:f>IF($A82="","",$R82)</x:f>
      </x:c>
      <x:c r="AC82" s="94" t="str">
        <x:f>IF($A82="","",SUM($V82:$AB82))</x:f>
      </x:c>
      <x:c r="AD82" s="100" t="str">
        <x:f>IF($A82="","",IF($AC82&gt;=75,"P0",IF($AC82&gt;=60,"P1",IF($AC82&gt;=45,"P2","P3"))))</x:f>
      </x:c>
      <x:c r="AE82" s="100" t="str">
        <x:f>IF($A82="","",IF($AC82&gt;=75,"立即写独立文章",IF($AC82&gt;=60,"排入本批内容日历",IF($AC82&gt;=45,"先做FAQ/段落或低优先文章","不单独写，合并到商业页/FAQ"))))</x:f>
      </x:c>
      <x:c r="AF82" s="37" t="str">
        <x:f>IF($A82="","",$K82&amp;" | 父级页: "&amp;$C82&amp;" | 目标URL: "&amp;$T82&amp;" | 必补: 竞品结构+原创证据+对比表+FAQ+内链CTA")</x:f>
      </x:c>
      <x:c r="AG82" s="37" t="str">
        <x:f>IF($A82="","",IF($I82&lt;4,"SERP不支持文章，优先做商业页/FAQ",IF($L82&lt;3,"产品相关弱，谨慎写",IF($N82&lt;3,"证据不足，容易变AI水文",IF($G82&gt;70,"难度偏高，需要更强外链/权威",IF($Q82&lt;3,"内链弱，先补主题簇","可进入规划"))))))</x:f>
      </x:c>
      <x:c r="AH82" s="106" t="str">
        <x:f>IF($A82="","",IF($T82="","缺少目标URL",IF(COUNTIF('页面规划'!$D$5:$D$104,$T82)&gt;0,"已匹配","未匹配")))</x:f>
      </x:c>
      <x:c r="AI82" s="37" t="str">
        <x:f>IF($A82="","",IFERROR(INDEX('页面规划'!$B$5:$B$104,MATCH($T82,'页面规划'!$D$5:$D$104,0)),""))</x:f>
      </x:c>
      <x:c r="AJ82" s="37" t="str">
        <x:f>IF($A82="","",IFERROR(INDEX('页面规划'!$F$5:$F$104,MATCH($T82,'页面规划'!$D$5:$D$104,0)),""))</x:f>
      </x:c>
      <x:c r="AK82" s="37" t="str">
        <x:f>IF($A82="","",IFERROR(INDEX('页面规划'!$H$5:$H$104,MATCH($T82,'页面规划'!$D$5:$D$104,0)),""))</x:f>
      </x:c>
      <x:c r="AL82" s="83" t="str">
        <x:f>IF($A82="","",IF($AH82="已匹配","OK：文章可内链到页面规划中的父级页","先到【页面规划】新增/修正目标URL，再排文章"))</x:f>
      </x:c>
    </x:row>
    <x:row r="83">
      <x:c r="A83" s="108"/>
      <x:c r="B83" s="37"/>
      <x:c r="C83" s="37"/>
      <x:c r="D83" s="37"/>
      <x:c r="E83" s="88"/>
      <x:c r="F83" s="91"/>
      <x:c r="G83" s="74"/>
      <x:c r="H83" s="74"/>
      <x:c r="I83" s="74"/>
      <x:c r="J83" s="37"/>
      <x:c r="K83" s="37"/>
      <x:c r="L83" s="74"/>
      <x:c r="M83" s="74"/>
      <x:c r="N83" s="74"/>
      <x:c r="O83" s="74"/>
      <x:c r="P83" s="74"/>
      <x:c r="Q83" s="74"/>
      <x:c r="R83" s="74"/>
      <x:c r="S83" s="37"/>
      <x:c r="T83" s="37"/>
      <x:c r="U83" s="37"/>
      <x:c r="V83" s="94" t="str">
        <x:f>IF($A83="","",MIN(20,MAX(0,$I83*2)))</x:f>
      </x:c>
      <x:c r="W83" s="94" t="str">
        <x:f>IF($A83="","",(($L83+$M83)/10)*20)</x:f>
      </x:c>
      <x:c r="X83" s="94" t="str">
        <x:f>IF($A83="","",IF($E83&gt;=1000,10,IF($E83&gt;=300,8,IF($E83&gt;=100,6,IF($E83&gt;=30,4,IF($E83&gt;0,2,0)))))+IF($F83&gt;=2,5,IF($F83&gt;=1,4,IF($F83&gt;=0.3,3,IF($F83&gt;0,2,0)))))</x:f>
      </x:c>
      <x:c r="Y83" s="94" t="str">
        <x:f>IF($A83="","",IF($G83&lt;=20,15,IF($G83&lt;=35,12,IF($G83&lt;=50,9,IF($G83&lt;=65,6,IF($G83&lt;=80,3,1))))))</x:f>
      </x:c>
      <x:c r="Z83" s="94" t="str">
        <x:f>IF($A83="","",(($N83+$O83)/10)*15)</x:f>
      </x:c>
      <x:c r="AA83" s="94" t="str">
        <x:f>IF($A83="","",(($P83+$Q83)/10)*10)</x:f>
      </x:c>
      <x:c r="AB83" s="94" t="str">
        <x:f>IF($A83="","",$R83)</x:f>
      </x:c>
      <x:c r="AC83" s="94" t="str">
        <x:f>IF($A83="","",SUM($V83:$AB83))</x:f>
      </x:c>
      <x:c r="AD83" s="100" t="str">
        <x:f>IF($A83="","",IF($AC83&gt;=75,"P0",IF($AC83&gt;=60,"P1",IF($AC83&gt;=45,"P2","P3"))))</x:f>
      </x:c>
      <x:c r="AE83" s="100" t="str">
        <x:f>IF($A83="","",IF($AC83&gt;=75,"立即写独立文章",IF($AC83&gt;=60,"排入本批内容日历",IF($AC83&gt;=45,"先做FAQ/段落或低优先文章","不单独写，合并到商业页/FAQ"))))</x:f>
      </x:c>
      <x:c r="AF83" s="37" t="str">
        <x:f>IF($A83="","",$K83&amp;" | 父级页: "&amp;$C83&amp;" | 目标URL: "&amp;$T83&amp;" | 必补: 竞品结构+原创证据+对比表+FAQ+内链CTA")</x:f>
      </x:c>
      <x:c r="AG83" s="37" t="str">
        <x:f>IF($A83="","",IF($I83&lt;4,"SERP不支持文章，优先做商业页/FAQ",IF($L83&lt;3,"产品相关弱，谨慎写",IF($N83&lt;3,"证据不足，容易变AI水文",IF($G83&gt;70,"难度偏高，需要更强外链/权威",IF($Q83&lt;3,"内链弱，先补主题簇","可进入规划"))))))</x:f>
      </x:c>
      <x:c r="AH83" s="106" t="str">
        <x:f>IF($A83="","",IF($T83="","缺少目标URL",IF(COUNTIF('页面规划'!$D$5:$D$104,$T83)&gt;0,"已匹配","未匹配")))</x:f>
      </x:c>
      <x:c r="AI83" s="37" t="str">
        <x:f>IF($A83="","",IFERROR(INDEX('页面规划'!$B$5:$B$104,MATCH($T83,'页面规划'!$D$5:$D$104,0)),""))</x:f>
      </x:c>
      <x:c r="AJ83" s="37" t="str">
        <x:f>IF($A83="","",IFERROR(INDEX('页面规划'!$F$5:$F$104,MATCH($T83,'页面规划'!$D$5:$D$104,0)),""))</x:f>
      </x:c>
      <x:c r="AK83" s="37" t="str">
        <x:f>IF($A83="","",IFERROR(INDEX('页面规划'!$H$5:$H$104,MATCH($T83,'页面规划'!$D$5:$D$104,0)),""))</x:f>
      </x:c>
      <x:c r="AL83" s="83" t="str">
        <x:f>IF($A83="","",IF($AH83="已匹配","OK：文章可内链到页面规划中的父级页","先到【页面规划】新增/修正目标URL，再排文章"))</x:f>
      </x:c>
    </x:row>
    <x:row r="84">
      <x:c r="A84" s="108"/>
      <x:c r="B84" s="37"/>
      <x:c r="C84" s="37"/>
      <x:c r="D84" s="37"/>
      <x:c r="E84" s="88"/>
      <x:c r="F84" s="91"/>
      <x:c r="G84" s="74"/>
      <x:c r="H84" s="74"/>
      <x:c r="I84" s="74"/>
      <x:c r="J84" s="37"/>
      <x:c r="K84" s="37"/>
      <x:c r="L84" s="74"/>
      <x:c r="M84" s="74"/>
      <x:c r="N84" s="74"/>
      <x:c r="O84" s="74"/>
      <x:c r="P84" s="74"/>
      <x:c r="Q84" s="74"/>
      <x:c r="R84" s="74"/>
      <x:c r="S84" s="37"/>
      <x:c r="T84" s="37"/>
      <x:c r="U84" s="37"/>
      <x:c r="V84" s="94" t="str">
        <x:f>IF($A84="","",MIN(20,MAX(0,$I84*2)))</x:f>
      </x:c>
      <x:c r="W84" s="94" t="str">
        <x:f>IF($A84="","",(($L84+$M84)/10)*20)</x:f>
      </x:c>
      <x:c r="X84" s="94" t="str">
        <x:f>IF($A84="","",IF($E84&gt;=1000,10,IF($E84&gt;=300,8,IF($E84&gt;=100,6,IF($E84&gt;=30,4,IF($E84&gt;0,2,0)))))+IF($F84&gt;=2,5,IF($F84&gt;=1,4,IF($F84&gt;=0.3,3,IF($F84&gt;0,2,0)))))</x:f>
      </x:c>
      <x:c r="Y84" s="94" t="str">
        <x:f>IF($A84="","",IF($G84&lt;=20,15,IF($G84&lt;=35,12,IF($G84&lt;=50,9,IF($G84&lt;=65,6,IF($G84&lt;=80,3,1))))))</x:f>
      </x:c>
      <x:c r="Z84" s="94" t="str">
        <x:f>IF($A84="","",(($N84+$O84)/10)*15)</x:f>
      </x:c>
      <x:c r="AA84" s="94" t="str">
        <x:f>IF($A84="","",(($P84+$Q84)/10)*10)</x:f>
      </x:c>
      <x:c r="AB84" s="94" t="str">
        <x:f>IF($A84="","",$R84)</x:f>
      </x:c>
      <x:c r="AC84" s="94" t="str">
        <x:f>IF($A84="","",SUM($V84:$AB84))</x:f>
      </x:c>
      <x:c r="AD84" s="100" t="str">
        <x:f>IF($A84="","",IF($AC84&gt;=75,"P0",IF($AC84&gt;=60,"P1",IF($AC84&gt;=45,"P2","P3"))))</x:f>
      </x:c>
      <x:c r="AE84" s="100" t="str">
        <x:f>IF($A84="","",IF($AC84&gt;=75,"立即写独立文章",IF($AC84&gt;=60,"排入本批内容日历",IF($AC84&gt;=45,"先做FAQ/段落或低优先文章","不单独写，合并到商业页/FAQ"))))</x:f>
      </x:c>
      <x:c r="AF84" s="37" t="str">
        <x:f>IF($A84="","",$K84&amp;" | 父级页: "&amp;$C84&amp;" | 目标URL: "&amp;$T84&amp;" | 必补: 竞品结构+原创证据+对比表+FAQ+内链CTA")</x:f>
      </x:c>
      <x:c r="AG84" s="37" t="str">
        <x:f>IF($A84="","",IF($I84&lt;4,"SERP不支持文章，优先做商业页/FAQ",IF($L84&lt;3,"产品相关弱，谨慎写",IF($N84&lt;3,"证据不足，容易变AI水文",IF($G84&gt;70,"难度偏高，需要更强外链/权威",IF($Q84&lt;3,"内链弱，先补主题簇","可进入规划"))))))</x:f>
      </x:c>
      <x:c r="AH84" s="106" t="str">
        <x:f>IF($A84="","",IF($T84="","缺少目标URL",IF(COUNTIF('页面规划'!$D$5:$D$104,$T84)&gt;0,"已匹配","未匹配")))</x:f>
      </x:c>
      <x:c r="AI84" s="37" t="str">
        <x:f>IF($A84="","",IFERROR(INDEX('页面规划'!$B$5:$B$104,MATCH($T84,'页面规划'!$D$5:$D$104,0)),""))</x:f>
      </x:c>
      <x:c r="AJ84" s="37" t="str">
        <x:f>IF($A84="","",IFERROR(INDEX('页面规划'!$F$5:$F$104,MATCH($T84,'页面规划'!$D$5:$D$104,0)),""))</x:f>
      </x:c>
      <x:c r="AK84" s="37" t="str">
        <x:f>IF($A84="","",IFERROR(INDEX('页面规划'!$H$5:$H$104,MATCH($T84,'页面规划'!$D$5:$D$104,0)),""))</x:f>
      </x:c>
      <x:c r="AL84" s="83" t="str">
        <x:f>IF($A84="","",IF($AH84="已匹配","OK：文章可内链到页面规划中的父级页","先到【页面规划】新增/修正目标URL，再排文章"))</x:f>
      </x:c>
    </x:row>
    <x:row r="85">
      <x:c r="A85" s="108"/>
      <x:c r="B85" s="37"/>
      <x:c r="C85" s="37"/>
      <x:c r="D85" s="37"/>
      <x:c r="E85" s="88"/>
      <x:c r="F85" s="91"/>
      <x:c r="G85" s="74"/>
      <x:c r="H85" s="74"/>
      <x:c r="I85" s="74"/>
      <x:c r="J85" s="37"/>
      <x:c r="K85" s="37"/>
      <x:c r="L85" s="74"/>
      <x:c r="M85" s="74"/>
      <x:c r="N85" s="74"/>
      <x:c r="O85" s="74"/>
      <x:c r="P85" s="74"/>
      <x:c r="Q85" s="74"/>
      <x:c r="R85" s="74"/>
      <x:c r="S85" s="37"/>
      <x:c r="T85" s="37"/>
      <x:c r="U85" s="37"/>
      <x:c r="V85" s="94" t="str">
        <x:f>IF($A85="","",MIN(20,MAX(0,$I85*2)))</x:f>
      </x:c>
      <x:c r="W85" s="94" t="str">
        <x:f>IF($A85="","",(($L85+$M85)/10)*20)</x:f>
      </x:c>
      <x:c r="X85" s="94" t="str">
        <x:f>IF($A85="","",IF($E85&gt;=1000,10,IF($E85&gt;=300,8,IF($E85&gt;=100,6,IF($E85&gt;=30,4,IF($E85&gt;0,2,0)))))+IF($F85&gt;=2,5,IF($F85&gt;=1,4,IF($F85&gt;=0.3,3,IF($F85&gt;0,2,0)))))</x:f>
      </x:c>
      <x:c r="Y85" s="94" t="str">
        <x:f>IF($A85="","",IF($G85&lt;=20,15,IF($G85&lt;=35,12,IF($G85&lt;=50,9,IF($G85&lt;=65,6,IF($G85&lt;=80,3,1))))))</x:f>
      </x:c>
      <x:c r="Z85" s="94" t="str">
        <x:f>IF($A85="","",(($N85+$O85)/10)*15)</x:f>
      </x:c>
      <x:c r="AA85" s="94" t="str">
        <x:f>IF($A85="","",(($P85+$Q85)/10)*10)</x:f>
      </x:c>
      <x:c r="AB85" s="94" t="str">
        <x:f>IF($A85="","",$R85)</x:f>
      </x:c>
      <x:c r="AC85" s="94" t="str">
        <x:f>IF($A85="","",SUM($V85:$AB85))</x:f>
      </x:c>
      <x:c r="AD85" s="100" t="str">
        <x:f>IF($A85="","",IF($AC85&gt;=75,"P0",IF($AC85&gt;=60,"P1",IF($AC85&gt;=45,"P2","P3"))))</x:f>
      </x:c>
      <x:c r="AE85" s="100" t="str">
        <x:f>IF($A85="","",IF($AC85&gt;=75,"立即写独立文章",IF($AC85&gt;=60,"排入本批内容日历",IF($AC85&gt;=45,"先做FAQ/段落或低优先文章","不单独写，合并到商业页/FAQ"))))</x:f>
      </x:c>
      <x:c r="AF85" s="37" t="str">
        <x:f>IF($A85="","",$K85&amp;" | 父级页: "&amp;$C85&amp;" | 目标URL: "&amp;$T85&amp;" | 必补: 竞品结构+原创证据+对比表+FAQ+内链CTA")</x:f>
      </x:c>
      <x:c r="AG85" s="37" t="str">
        <x:f>IF($A85="","",IF($I85&lt;4,"SERP不支持文章，优先做商业页/FAQ",IF($L85&lt;3,"产品相关弱，谨慎写",IF($N85&lt;3,"证据不足，容易变AI水文",IF($G85&gt;70,"难度偏高，需要更强外链/权威",IF($Q85&lt;3,"内链弱，先补主题簇","可进入规划"))))))</x:f>
      </x:c>
      <x:c r="AH85" s="106" t="str">
        <x:f>IF($A85="","",IF($T85="","缺少目标URL",IF(COUNTIF('页面规划'!$D$5:$D$104,$T85)&gt;0,"已匹配","未匹配")))</x:f>
      </x:c>
      <x:c r="AI85" s="37" t="str">
        <x:f>IF($A85="","",IFERROR(INDEX('页面规划'!$B$5:$B$104,MATCH($T85,'页面规划'!$D$5:$D$104,0)),""))</x:f>
      </x:c>
      <x:c r="AJ85" s="37" t="str">
        <x:f>IF($A85="","",IFERROR(INDEX('页面规划'!$F$5:$F$104,MATCH($T85,'页面规划'!$D$5:$D$104,0)),""))</x:f>
      </x:c>
      <x:c r="AK85" s="37" t="str">
        <x:f>IF($A85="","",IFERROR(INDEX('页面规划'!$H$5:$H$104,MATCH($T85,'页面规划'!$D$5:$D$104,0)),""))</x:f>
      </x:c>
      <x:c r="AL85" s="83" t="str">
        <x:f>IF($A85="","",IF($AH85="已匹配","OK：文章可内链到页面规划中的父级页","先到【页面规划】新增/修正目标URL，再排文章"))</x:f>
      </x:c>
    </x:row>
    <x:row r="86">
      <x:c r="A86" s="108"/>
      <x:c r="B86" s="37"/>
      <x:c r="C86" s="37"/>
      <x:c r="D86" s="37"/>
      <x:c r="E86" s="88"/>
      <x:c r="F86" s="91"/>
      <x:c r="G86" s="74"/>
      <x:c r="H86" s="74"/>
      <x:c r="I86" s="74"/>
      <x:c r="J86" s="37"/>
      <x:c r="K86" s="37"/>
      <x:c r="L86" s="74"/>
      <x:c r="M86" s="74"/>
      <x:c r="N86" s="74"/>
      <x:c r="O86" s="74"/>
      <x:c r="P86" s="74"/>
      <x:c r="Q86" s="74"/>
      <x:c r="R86" s="74"/>
      <x:c r="S86" s="37"/>
      <x:c r="T86" s="37"/>
      <x:c r="U86" s="37"/>
      <x:c r="V86" s="94" t="str">
        <x:f>IF($A86="","",MIN(20,MAX(0,$I86*2)))</x:f>
      </x:c>
      <x:c r="W86" s="94" t="str">
        <x:f>IF($A86="","",(($L86+$M86)/10)*20)</x:f>
      </x:c>
      <x:c r="X86" s="94" t="str">
        <x:f>IF($A86="","",IF($E86&gt;=1000,10,IF($E86&gt;=300,8,IF($E86&gt;=100,6,IF($E86&gt;=30,4,IF($E86&gt;0,2,0)))))+IF($F86&gt;=2,5,IF($F86&gt;=1,4,IF($F86&gt;=0.3,3,IF($F86&gt;0,2,0)))))</x:f>
      </x:c>
      <x:c r="Y86" s="94" t="str">
        <x:f>IF($A86="","",IF($G86&lt;=20,15,IF($G86&lt;=35,12,IF($G86&lt;=50,9,IF($G86&lt;=65,6,IF($G86&lt;=80,3,1))))))</x:f>
      </x:c>
      <x:c r="Z86" s="94" t="str">
        <x:f>IF($A86="","",(($N86+$O86)/10)*15)</x:f>
      </x:c>
      <x:c r="AA86" s="94" t="str">
        <x:f>IF($A86="","",(($P86+$Q86)/10)*10)</x:f>
      </x:c>
      <x:c r="AB86" s="94" t="str">
        <x:f>IF($A86="","",$R86)</x:f>
      </x:c>
      <x:c r="AC86" s="94" t="str">
        <x:f>IF($A86="","",SUM($V86:$AB86))</x:f>
      </x:c>
      <x:c r="AD86" s="100" t="str">
        <x:f>IF($A86="","",IF($AC86&gt;=75,"P0",IF($AC86&gt;=60,"P1",IF($AC86&gt;=45,"P2","P3"))))</x:f>
      </x:c>
      <x:c r="AE86" s="100" t="str">
        <x:f>IF($A86="","",IF($AC86&gt;=75,"立即写独立文章",IF($AC86&gt;=60,"排入本批内容日历",IF($AC86&gt;=45,"先做FAQ/段落或低优先文章","不单独写，合并到商业页/FAQ"))))</x:f>
      </x:c>
      <x:c r="AF86" s="37" t="str">
        <x:f>IF($A86="","",$K86&amp;" | 父级页: "&amp;$C86&amp;" | 目标URL: "&amp;$T86&amp;" | 必补: 竞品结构+原创证据+对比表+FAQ+内链CTA")</x:f>
      </x:c>
      <x:c r="AG86" s="37" t="str">
        <x:f>IF($A86="","",IF($I86&lt;4,"SERP不支持文章，优先做商业页/FAQ",IF($L86&lt;3,"产品相关弱，谨慎写",IF($N86&lt;3,"证据不足，容易变AI水文",IF($G86&gt;70,"难度偏高，需要更强外链/权威",IF($Q86&lt;3,"内链弱，先补主题簇","可进入规划"))))))</x:f>
      </x:c>
      <x:c r="AH86" s="106" t="str">
        <x:f>IF($A86="","",IF($T86="","缺少目标URL",IF(COUNTIF('页面规划'!$D$5:$D$104,$T86)&gt;0,"已匹配","未匹配")))</x:f>
      </x:c>
      <x:c r="AI86" s="37" t="str">
        <x:f>IF($A86="","",IFERROR(INDEX('页面规划'!$B$5:$B$104,MATCH($T86,'页面规划'!$D$5:$D$104,0)),""))</x:f>
      </x:c>
      <x:c r="AJ86" s="37" t="str">
        <x:f>IF($A86="","",IFERROR(INDEX('页面规划'!$F$5:$F$104,MATCH($T86,'页面规划'!$D$5:$D$104,0)),""))</x:f>
      </x:c>
      <x:c r="AK86" s="37" t="str">
        <x:f>IF($A86="","",IFERROR(INDEX('页面规划'!$H$5:$H$104,MATCH($T86,'页面规划'!$D$5:$D$104,0)),""))</x:f>
      </x:c>
      <x:c r="AL86" s="83" t="str">
        <x:f>IF($A86="","",IF($AH86="已匹配","OK：文章可内链到页面规划中的父级页","先到【页面规划】新增/修正目标URL，再排文章"))</x:f>
      </x:c>
    </x:row>
    <x:row r="87">
      <x:c r="A87" s="108"/>
      <x:c r="B87" s="37"/>
      <x:c r="C87" s="37"/>
      <x:c r="D87" s="37"/>
      <x:c r="E87" s="88"/>
      <x:c r="F87" s="91"/>
      <x:c r="G87" s="74"/>
      <x:c r="H87" s="74"/>
      <x:c r="I87" s="74"/>
      <x:c r="J87" s="37"/>
      <x:c r="K87" s="37"/>
      <x:c r="L87" s="74"/>
      <x:c r="M87" s="74"/>
      <x:c r="N87" s="74"/>
      <x:c r="O87" s="74"/>
      <x:c r="P87" s="74"/>
      <x:c r="Q87" s="74"/>
      <x:c r="R87" s="74"/>
      <x:c r="S87" s="37"/>
      <x:c r="T87" s="37"/>
      <x:c r="U87" s="37"/>
      <x:c r="V87" s="94" t="str">
        <x:f>IF($A87="","",MIN(20,MAX(0,$I87*2)))</x:f>
      </x:c>
      <x:c r="W87" s="94" t="str">
        <x:f>IF($A87="","",(($L87+$M87)/10)*20)</x:f>
      </x:c>
      <x:c r="X87" s="94" t="str">
        <x:f>IF($A87="","",IF($E87&gt;=1000,10,IF($E87&gt;=300,8,IF($E87&gt;=100,6,IF($E87&gt;=30,4,IF($E87&gt;0,2,0)))))+IF($F87&gt;=2,5,IF($F87&gt;=1,4,IF($F87&gt;=0.3,3,IF($F87&gt;0,2,0)))))</x:f>
      </x:c>
      <x:c r="Y87" s="94" t="str">
        <x:f>IF($A87="","",IF($G87&lt;=20,15,IF($G87&lt;=35,12,IF($G87&lt;=50,9,IF($G87&lt;=65,6,IF($G87&lt;=80,3,1))))))</x:f>
      </x:c>
      <x:c r="Z87" s="94" t="str">
        <x:f>IF($A87="","",(($N87+$O87)/10)*15)</x:f>
      </x:c>
      <x:c r="AA87" s="94" t="str">
        <x:f>IF($A87="","",(($P87+$Q87)/10)*10)</x:f>
      </x:c>
      <x:c r="AB87" s="94" t="str">
        <x:f>IF($A87="","",$R87)</x:f>
      </x:c>
      <x:c r="AC87" s="94" t="str">
        <x:f>IF($A87="","",SUM($V87:$AB87))</x:f>
      </x:c>
      <x:c r="AD87" s="100" t="str">
        <x:f>IF($A87="","",IF($AC87&gt;=75,"P0",IF($AC87&gt;=60,"P1",IF($AC87&gt;=45,"P2","P3"))))</x:f>
      </x:c>
      <x:c r="AE87" s="100" t="str">
        <x:f>IF($A87="","",IF($AC87&gt;=75,"立即写独立文章",IF($AC87&gt;=60,"排入本批内容日历",IF($AC87&gt;=45,"先做FAQ/段落或低优先文章","不单独写，合并到商业页/FAQ"))))</x:f>
      </x:c>
      <x:c r="AF87" s="37" t="str">
        <x:f>IF($A87="","",$K87&amp;" | 父级页: "&amp;$C87&amp;" | 目标URL: "&amp;$T87&amp;" | 必补: 竞品结构+原创证据+对比表+FAQ+内链CTA")</x:f>
      </x:c>
      <x:c r="AG87" s="37" t="str">
        <x:f>IF($A87="","",IF($I87&lt;4,"SERP不支持文章，优先做商业页/FAQ",IF($L87&lt;3,"产品相关弱，谨慎写",IF($N87&lt;3,"证据不足，容易变AI水文",IF($G87&gt;70,"难度偏高，需要更强外链/权威",IF($Q87&lt;3,"内链弱，先补主题簇","可进入规划"))))))</x:f>
      </x:c>
      <x:c r="AH87" s="106" t="str">
        <x:f>IF($A87="","",IF($T87="","缺少目标URL",IF(COUNTIF('页面规划'!$D$5:$D$104,$T87)&gt;0,"已匹配","未匹配")))</x:f>
      </x:c>
      <x:c r="AI87" s="37" t="str">
        <x:f>IF($A87="","",IFERROR(INDEX('页面规划'!$B$5:$B$104,MATCH($T87,'页面规划'!$D$5:$D$104,0)),""))</x:f>
      </x:c>
      <x:c r="AJ87" s="37" t="str">
        <x:f>IF($A87="","",IFERROR(INDEX('页面规划'!$F$5:$F$104,MATCH($T87,'页面规划'!$D$5:$D$104,0)),""))</x:f>
      </x:c>
      <x:c r="AK87" s="37" t="str">
        <x:f>IF($A87="","",IFERROR(INDEX('页面规划'!$H$5:$H$104,MATCH($T87,'页面规划'!$D$5:$D$104,0)),""))</x:f>
      </x:c>
      <x:c r="AL87" s="83" t="str">
        <x:f>IF($A87="","",IF($AH87="已匹配","OK：文章可内链到页面规划中的父级页","先到【页面规划】新增/修正目标URL，再排文章"))</x:f>
      </x:c>
    </x:row>
    <x:row r="88">
      <x:c r="A88" s="108"/>
      <x:c r="B88" s="37"/>
      <x:c r="C88" s="37"/>
      <x:c r="D88" s="37"/>
      <x:c r="E88" s="88"/>
      <x:c r="F88" s="91"/>
      <x:c r="G88" s="74"/>
      <x:c r="H88" s="74"/>
      <x:c r="I88" s="74"/>
      <x:c r="J88" s="37"/>
      <x:c r="K88" s="37"/>
      <x:c r="L88" s="74"/>
      <x:c r="M88" s="74"/>
      <x:c r="N88" s="74"/>
      <x:c r="O88" s="74"/>
      <x:c r="P88" s="74"/>
      <x:c r="Q88" s="74"/>
      <x:c r="R88" s="74"/>
      <x:c r="S88" s="37"/>
      <x:c r="T88" s="37"/>
      <x:c r="U88" s="37"/>
      <x:c r="V88" s="94" t="str">
        <x:f>IF($A88="","",MIN(20,MAX(0,$I88*2)))</x:f>
      </x:c>
      <x:c r="W88" s="94" t="str">
        <x:f>IF($A88="","",(($L88+$M88)/10)*20)</x:f>
      </x:c>
      <x:c r="X88" s="94" t="str">
        <x:f>IF($A88="","",IF($E88&gt;=1000,10,IF($E88&gt;=300,8,IF($E88&gt;=100,6,IF($E88&gt;=30,4,IF($E88&gt;0,2,0)))))+IF($F88&gt;=2,5,IF($F88&gt;=1,4,IF($F88&gt;=0.3,3,IF($F88&gt;0,2,0)))))</x:f>
      </x:c>
      <x:c r="Y88" s="94" t="str">
        <x:f>IF($A88="","",IF($G88&lt;=20,15,IF($G88&lt;=35,12,IF($G88&lt;=50,9,IF($G88&lt;=65,6,IF($G88&lt;=80,3,1))))))</x:f>
      </x:c>
      <x:c r="Z88" s="94" t="str">
        <x:f>IF($A88="","",(($N88+$O88)/10)*15)</x:f>
      </x:c>
      <x:c r="AA88" s="94" t="str">
        <x:f>IF($A88="","",(($P88+$Q88)/10)*10)</x:f>
      </x:c>
      <x:c r="AB88" s="94" t="str">
        <x:f>IF($A88="","",$R88)</x:f>
      </x:c>
      <x:c r="AC88" s="94" t="str">
        <x:f>IF($A88="","",SUM($V88:$AB88))</x:f>
      </x:c>
      <x:c r="AD88" s="100" t="str">
        <x:f>IF($A88="","",IF($AC88&gt;=75,"P0",IF($AC88&gt;=60,"P1",IF($AC88&gt;=45,"P2","P3"))))</x:f>
      </x:c>
      <x:c r="AE88" s="100" t="str">
        <x:f>IF($A88="","",IF($AC88&gt;=75,"立即写独立文章",IF($AC88&gt;=60,"排入本批内容日历",IF($AC88&gt;=45,"先做FAQ/段落或低优先文章","不单独写，合并到商业页/FAQ"))))</x:f>
      </x:c>
      <x:c r="AF88" s="37" t="str">
        <x:f>IF($A88="","",$K88&amp;" | 父级页: "&amp;$C88&amp;" | 目标URL: "&amp;$T88&amp;" | 必补: 竞品结构+原创证据+对比表+FAQ+内链CTA")</x:f>
      </x:c>
      <x:c r="AG88" s="37" t="str">
        <x:f>IF($A88="","",IF($I88&lt;4,"SERP不支持文章，优先做商业页/FAQ",IF($L88&lt;3,"产品相关弱，谨慎写",IF($N88&lt;3,"证据不足，容易变AI水文",IF($G88&gt;70,"难度偏高，需要更强外链/权威",IF($Q88&lt;3,"内链弱，先补主题簇","可进入规划"))))))</x:f>
      </x:c>
      <x:c r="AH88" s="106" t="str">
        <x:f>IF($A88="","",IF($T88="","缺少目标URL",IF(COUNTIF('页面规划'!$D$5:$D$104,$T88)&gt;0,"已匹配","未匹配")))</x:f>
      </x:c>
      <x:c r="AI88" s="37" t="str">
        <x:f>IF($A88="","",IFERROR(INDEX('页面规划'!$B$5:$B$104,MATCH($T88,'页面规划'!$D$5:$D$104,0)),""))</x:f>
      </x:c>
      <x:c r="AJ88" s="37" t="str">
        <x:f>IF($A88="","",IFERROR(INDEX('页面规划'!$F$5:$F$104,MATCH($T88,'页面规划'!$D$5:$D$104,0)),""))</x:f>
      </x:c>
      <x:c r="AK88" s="37" t="str">
        <x:f>IF($A88="","",IFERROR(INDEX('页面规划'!$H$5:$H$104,MATCH($T88,'页面规划'!$D$5:$D$104,0)),""))</x:f>
      </x:c>
      <x:c r="AL88" s="83" t="str">
        <x:f>IF($A88="","",IF($AH88="已匹配","OK：文章可内链到页面规划中的父级页","先到【页面规划】新增/修正目标URL，再排文章"))</x:f>
      </x:c>
    </x:row>
    <x:row r="89">
      <x:c r="A89" s="108"/>
      <x:c r="B89" s="37"/>
      <x:c r="C89" s="37"/>
      <x:c r="D89" s="37"/>
      <x:c r="E89" s="88"/>
      <x:c r="F89" s="91"/>
      <x:c r="G89" s="74"/>
      <x:c r="H89" s="74"/>
      <x:c r="I89" s="74"/>
      <x:c r="J89" s="37"/>
      <x:c r="K89" s="37"/>
      <x:c r="L89" s="74"/>
      <x:c r="M89" s="74"/>
      <x:c r="N89" s="74"/>
      <x:c r="O89" s="74"/>
      <x:c r="P89" s="74"/>
      <x:c r="Q89" s="74"/>
      <x:c r="R89" s="74"/>
      <x:c r="S89" s="37"/>
      <x:c r="T89" s="37"/>
      <x:c r="U89" s="37"/>
      <x:c r="V89" s="94" t="str">
        <x:f>IF($A89="","",MIN(20,MAX(0,$I89*2)))</x:f>
      </x:c>
      <x:c r="W89" s="94" t="str">
        <x:f>IF($A89="","",(($L89+$M89)/10)*20)</x:f>
      </x:c>
      <x:c r="X89" s="94" t="str">
        <x:f>IF($A89="","",IF($E89&gt;=1000,10,IF($E89&gt;=300,8,IF($E89&gt;=100,6,IF($E89&gt;=30,4,IF($E89&gt;0,2,0)))))+IF($F89&gt;=2,5,IF($F89&gt;=1,4,IF($F89&gt;=0.3,3,IF($F89&gt;0,2,0)))))</x:f>
      </x:c>
      <x:c r="Y89" s="94" t="str">
        <x:f>IF($A89="","",IF($G89&lt;=20,15,IF($G89&lt;=35,12,IF($G89&lt;=50,9,IF($G89&lt;=65,6,IF($G89&lt;=80,3,1))))))</x:f>
      </x:c>
      <x:c r="Z89" s="94" t="str">
        <x:f>IF($A89="","",(($N89+$O89)/10)*15)</x:f>
      </x:c>
      <x:c r="AA89" s="94" t="str">
        <x:f>IF($A89="","",(($P89+$Q89)/10)*10)</x:f>
      </x:c>
      <x:c r="AB89" s="94" t="str">
        <x:f>IF($A89="","",$R89)</x:f>
      </x:c>
      <x:c r="AC89" s="94" t="str">
        <x:f>IF($A89="","",SUM($V89:$AB89))</x:f>
      </x:c>
      <x:c r="AD89" s="100" t="str">
        <x:f>IF($A89="","",IF($AC89&gt;=75,"P0",IF($AC89&gt;=60,"P1",IF($AC89&gt;=45,"P2","P3"))))</x:f>
      </x:c>
      <x:c r="AE89" s="100" t="str">
        <x:f>IF($A89="","",IF($AC89&gt;=75,"立即写独立文章",IF($AC89&gt;=60,"排入本批内容日历",IF($AC89&gt;=45,"先做FAQ/段落或低优先文章","不单独写，合并到商业页/FAQ"))))</x:f>
      </x:c>
      <x:c r="AF89" s="37" t="str">
        <x:f>IF($A89="","",$K89&amp;" | 父级页: "&amp;$C89&amp;" | 目标URL: "&amp;$T89&amp;" | 必补: 竞品结构+原创证据+对比表+FAQ+内链CTA")</x:f>
      </x:c>
      <x:c r="AG89" s="37" t="str">
        <x:f>IF($A89="","",IF($I89&lt;4,"SERP不支持文章，优先做商业页/FAQ",IF($L89&lt;3,"产品相关弱，谨慎写",IF($N89&lt;3,"证据不足，容易变AI水文",IF($G89&gt;70,"难度偏高，需要更强外链/权威",IF($Q89&lt;3,"内链弱，先补主题簇","可进入规划"))))))</x:f>
      </x:c>
      <x:c r="AH89" s="106" t="str">
        <x:f>IF($A89="","",IF($T89="","缺少目标URL",IF(COUNTIF('页面规划'!$D$5:$D$104,$T89)&gt;0,"已匹配","未匹配")))</x:f>
      </x:c>
      <x:c r="AI89" s="37" t="str">
        <x:f>IF($A89="","",IFERROR(INDEX('页面规划'!$B$5:$B$104,MATCH($T89,'页面规划'!$D$5:$D$104,0)),""))</x:f>
      </x:c>
      <x:c r="AJ89" s="37" t="str">
        <x:f>IF($A89="","",IFERROR(INDEX('页面规划'!$F$5:$F$104,MATCH($T89,'页面规划'!$D$5:$D$104,0)),""))</x:f>
      </x:c>
      <x:c r="AK89" s="37" t="str">
        <x:f>IF($A89="","",IFERROR(INDEX('页面规划'!$H$5:$H$104,MATCH($T89,'页面规划'!$D$5:$D$104,0)),""))</x:f>
      </x:c>
      <x:c r="AL89" s="83" t="str">
        <x:f>IF($A89="","",IF($AH89="已匹配","OK：文章可内链到页面规划中的父级页","先到【页面规划】新增/修正目标URL，再排文章"))</x:f>
      </x:c>
    </x:row>
    <x:row r="90">
      <x:c r="A90" s="108"/>
      <x:c r="B90" s="37"/>
      <x:c r="C90" s="37"/>
      <x:c r="D90" s="37"/>
      <x:c r="E90" s="88"/>
      <x:c r="F90" s="91"/>
      <x:c r="G90" s="74"/>
      <x:c r="H90" s="74"/>
      <x:c r="I90" s="74"/>
      <x:c r="J90" s="37"/>
      <x:c r="K90" s="37"/>
      <x:c r="L90" s="74"/>
      <x:c r="M90" s="74"/>
      <x:c r="N90" s="74"/>
      <x:c r="O90" s="74"/>
      <x:c r="P90" s="74"/>
      <x:c r="Q90" s="74"/>
      <x:c r="R90" s="74"/>
      <x:c r="S90" s="37"/>
      <x:c r="T90" s="37"/>
      <x:c r="U90" s="37"/>
      <x:c r="V90" s="94" t="str">
        <x:f>IF($A90="","",MIN(20,MAX(0,$I90*2)))</x:f>
      </x:c>
      <x:c r="W90" s="94" t="str">
        <x:f>IF($A90="","",(($L90+$M90)/10)*20)</x:f>
      </x:c>
      <x:c r="X90" s="94" t="str">
        <x:f>IF($A90="","",IF($E90&gt;=1000,10,IF($E90&gt;=300,8,IF($E90&gt;=100,6,IF($E90&gt;=30,4,IF($E90&gt;0,2,0)))))+IF($F90&gt;=2,5,IF($F90&gt;=1,4,IF($F90&gt;=0.3,3,IF($F90&gt;0,2,0)))))</x:f>
      </x:c>
      <x:c r="Y90" s="94" t="str">
        <x:f>IF($A90="","",IF($G90&lt;=20,15,IF($G90&lt;=35,12,IF($G90&lt;=50,9,IF($G90&lt;=65,6,IF($G90&lt;=80,3,1))))))</x:f>
      </x:c>
      <x:c r="Z90" s="94" t="str">
        <x:f>IF($A90="","",(($N90+$O90)/10)*15)</x:f>
      </x:c>
      <x:c r="AA90" s="94" t="str">
        <x:f>IF($A90="","",(($P90+$Q90)/10)*10)</x:f>
      </x:c>
      <x:c r="AB90" s="94" t="str">
        <x:f>IF($A90="","",$R90)</x:f>
      </x:c>
      <x:c r="AC90" s="94" t="str">
        <x:f>IF($A90="","",SUM($V90:$AB90))</x:f>
      </x:c>
      <x:c r="AD90" s="100" t="str">
        <x:f>IF($A90="","",IF($AC90&gt;=75,"P0",IF($AC90&gt;=60,"P1",IF($AC90&gt;=45,"P2","P3"))))</x:f>
      </x:c>
      <x:c r="AE90" s="100" t="str">
        <x:f>IF($A90="","",IF($AC90&gt;=75,"立即写独立文章",IF($AC90&gt;=60,"排入本批内容日历",IF($AC90&gt;=45,"先做FAQ/段落或低优先文章","不单独写，合并到商业页/FAQ"))))</x:f>
      </x:c>
      <x:c r="AF90" s="37" t="str">
        <x:f>IF($A90="","",$K90&amp;" | 父级页: "&amp;$C90&amp;" | 目标URL: "&amp;$T90&amp;" | 必补: 竞品结构+原创证据+对比表+FAQ+内链CTA")</x:f>
      </x:c>
      <x:c r="AG90" s="37" t="str">
        <x:f>IF($A90="","",IF($I90&lt;4,"SERP不支持文章，优先做商业页/FAQ",IF($L90&lt;3,"产品相关弱，谨慎写",IF($N90&lt;3,"证据不足，容易变AI水文",IF($G90&gt;70,"难度偏高，需要更强外链/权威",IF($Q90&lt;3,"内链弱，先补主题簇","可进入规划"))))))</x:f>
      </x:c>
      <x:c r="AH90" s="106" t="str">
        <x:f>IF($A90="","",IF($T90="","缺少目标URL",IF(COUNTIF('页面规划'!$D$5:$D$104,$T90)&gt;0,"已匹配","未匹配")))</x:f>
      </x:c>
      <x:c r="AI90" s="37" t="str">
        <x:f>IF($A90="","",IFERROR(INDEX('页面规划'!$B$5:$B$104,MATCH($T90,'页面规划'!$D$5:$D$104,0)),""))</x:f>
      </x:c>
      <x:c r="AJ90" s="37" t="str">
        <x:f>IF($A90="","",IFERROR(INDEX('页面规划'!$F$5:$F$104,MATCH($T90,'页面规划'!$D$5:$D$104,0)),""))</x:f>
      </x:c>
      <x:c r="AK90" s="37" t="str">
        <x:f>IF($A90="","",IFERROR(INDEX('页面规划'!$H$5:$H$104,MATCH($T90,'页面规划'!$D$5:$D$104,0)),""))</x:f>
      </x:c>
      <x:c r="AL90" s="83" t="str">
        <x:f>IF($A90="","",IF($AH90="已匹配","OK：文章可内链到页面规划中的父级页","先到【页面规划】新增/修正目标URL，再排文章"))</x:f>
      </x:c>
    </x:row>
    <x:row r="91">
      <x:c r="A91" s="108"/>
      <x:c r="B91" s="37"/>
      <x:c r="C91" s="37"/>
      <x:c r="D91" s="37"/>
      <x:c r="E91" s="88"/>
      <x:c r="F91" s="91"/>
      <x:c r="G91" s="74"/>
      <x:c r="H91" s="74"/>
      <x:c r="I91" s="74"/>
      <x:c r="J91" s="37"/>
      <x:c r="K91" s="37"/>
      <x:c r="L91" s="74"/>
      <x:c r="M91" s="74"/>
      <x:c r="N91" s="74"/>
      <x:c r="O91" s="74"/>
      <x:c r="P91" s="74"/>
      <x:c r="Q91" s="74"/>
      <x:c r="R91" s="74"/>
      <x:c r="S91" s="37"/>
      <x:c r="T91" s="37"/>
      <x:c r="U91" s="37"/>
      <x:c r="V91" s="94" t="str">
        <x:f>IF($A91="","",MIN(20,MAX(0,$I91*2)))</x:f>
      </x:c>
      <x:c r="W91" s="94" t="str">
        <x:f>IF($A91="","",(($L91+$M91)/10)*20)</x:f>
      </x:c>
      <x:c r="X91" s="94" t="str">
        <x:f>IF($A91="","",IF($E91&gt;=1000,10,IF($E91&gt;=300,8,IF($E91&gt;=100,6,IF($E91&gt;=30,4,IF($E91&gt;0,2,0)))))+IF($F91&gt;=2,5,IF($F91&gt;=1,4,IF($F91&gt;=0.3,3,IF($F91&gt;0,2,0)))))</x:f>
      </x:c>
      <x:c r="Y91" s="94" t="str">
        <x:f>IF($A91="","",IF($G91&lt;=20,15,IF($G91&lt;=35,12,IF($G91&lt;=50,9,IF($G91&lt;=65,6,IF($G91&lt;=80,3,1))))))</x:f>
      </x:c>
      <x:c r="Z91" s="94" t="str">
        <x:f>IF($A91="","",(($N91+$O91)/10)*15)</x:f>
      </x:c>
      <x:c r="AA91" s="94" t="str">
        <x:f>IF($A91="","",(($P91+$Q91)/10)*10)</x:f>
      </x:c>
      <x:c r="AB91" s="94" t="str">
        <x:f>IF($A91="","",$R91)</x:f>
      </x:c>
      <x:c r="AC91" s="94" t="str">
        <x:f>IF($A91="","",SUM($V91:$AB91))</x:f>
      </x:c>
      <x:c r="AD91" s="100" t="str">
        <x:f>IF($A91="","",IF($AC91&gt;=75,"P0",IF($AC91&gt;=60,"P1",IF($AC91&gt;=45,"P2","P3"))))</x:f>
      </x:c>
      <x:c r="AE91" s="100" t="str">
        <x:f>IF($A91="","",IF($AC91&gt;=75,"立即写独立文章",IF($AC91&gt;=60,"排入本批内容日历",IF($AC91&gt;=45,"先做FAQ/段落或低优先文章","不单独写，合并到商业页/FAQ"))))</x:f>
      </x:c>
      <x:c r="AF91" s="37" t="str">
        <x:f>IF($A91="","",$K91&amp;" | 父级页: "&amp;$C91&amp;" | 目标URL: "&amp;$T91&amp;" | 必补: 竞品结构+原创证据+对比表+FAQ+内链CTA")</x:f>
      </x:c>
      <x:c r="AG91" s="37" t="str">
        <x:f>IF($A91="","",IF($I91&lt;4,"SERP不支持文章，优先做商业页/FAQ",IF($L91&lt;3,"产品相关弱，谨慎写",IF($N91&lt;3,"证据不足，容易变AI水文",IF($G91&gt;70,"难度偏高，需要更强外链/权威",IF($Q91&lt;3,"内链弱，先补主题簇","可进入规划"))))))</x:f>
      </x:c>
      <x:c r="AH91" s="106" t="str">
        <x:f>IF($A91="","",IF($T91="","缺少目标URL",IF(COUNTIF('页面规划'!$D$5:$D$104,$T91)&gt;0,"已匹配","未匹配")))</x:f>
      </x:c>
      <x:c r="AI91" s="37" t="str">
        <x:f>IF($A91="","",IFERROR(INDEX('页面规划'!$B$5:$B$104,MATCH($T91,'页面规划'!$D$5:$D$104,0)),""))</x:f>
      </x:c>
      <x:c r="AJ91" s="37" t="str">
        <x:f>IF($A91="","",IFERROR(INDEX('页面规划'!$F$5:$F$104,MATCH($T91,'页面规划'!$D$5:$D$104,0)),""))</x:f>
      </x:c>
      <x:c r="AK91" s="37" t="str">
        <x:f>IF($A91="","",IFERROR(INDEX('页面规划'!$H$5:$H$104,MATCH($T91,'页面规划'!$D$5:$D$104,0)),""))</x:f>
      </x:c>
      <x:c r="AL91" s="83" t="str">
        <x:f>IF($A91="","",IF($AH91="已匹配","OK：文章可内链到页面规划中的父级页","先到【页面规划】新增/修正目标URL，再排文章"))</x:f>
      </x:c>
    </x:row>
    <x:row r="92">
      <x:c r="A92" s="108"/>
      <x:c r="B92" s="37"/>
      <x:c r="C92" s="37"/>
      <x:c r="D92" s="37"/>
      <x:c r="E92" s="88"/>
      <x:c r="F92" s="91"/>
      <x:c r="G92" s="74"/>
      <x:c r="H92" s="74"/>
      <x:c r="I92" s="74"/>
      <x:c r="J92" s="37"/>
      <x:c r="K92" s="37"/>
      <x:c r="L92" s="74"/>
      <x:c r="M92" s="74"/>
      <x:c r="N92" s="74"/>
      <x:c r="O92" s="74"/>
      <x:c r="P92" s="74"/>
      <x:c r="Q92" s="74"/>
      <x:c r="R92" s="74"/>
      <x:c r="S92" s="37"/>
      <x:c r="T92" s="37"/>
      <x:c r="U92" s="37"/>
      <x:c r="V92" s="94" t="str">
        <x:f>IF($A92="","",MIN(20,MAX(0,$I92*2)))</x:f>
      </x:c>
      <x:c r="W92" s="94" t="str">
        <x:f>IF($A92="","",(($L92+$M92)/10)*20)</x:f>
      </x:c>
      <x:c r="X92" s="94" t="str">
        <x:f>IF($A92="","",IF($E92&gt;=1000,10,IF($E92&gt;=300,8,IF($E92&gt;=100,6,IF($E92&gt;=30,4,IF($E92&gt;0,2,0)))))+IF($F92&gt;=2,5,IF($F92&gt;=1,4,IF($F92&gt;=0.3,3,IF($F92&gt;0,2,0)))))</x:f>
      </x:c>
      <x:c r="Y92" s="94" t="str">
        <x:f>IF($A92="","",IF($G92&lt;=20,15,IF($G92&lt;=35,12,IF($G92&lt;=50,9,IF($G92&lt;=65,6,IF($G92&lt;=80,3,1))))))</x:f>
      </x:c>
      <x:c r="Z92" s="94" t="str">
        <x:f>IF($A92="","",(($N92+$O92)/10)*15)</x:f>
      </x:c>
      <x:c r="AA92" s="94" t="str">
        <x:f>IF($A92="","",(($P92+$Q92)/10)*10)</x:f>
      </x:c>
      <x:c r="AB92" s="94" t="str">
        <x:f>IF($A92="","",$R92)</x:f>
      </x:c>
      <x:c r="AC92" s="94" t="str">
        <x:f>IF($A92="","",SUM($V92:$AB92))</x:f>
      </x:c>
      <x:c r="AD92" s="100" t="str">
        <x:f>IF($A92="","",IF($AC92&gt;=75,"P0",IF($AC92&gt;=60,"P1",IF($AC92&gt;=45,"P2","P3"))))</x:f>
      </x:c>
      <x:c r="AE92" s="100" t="str">
        <x:f>IF($A92="","",IF($AC92&gt;=75,"立即写独立文章",IF($AC92&gt;=60,"排入本批内容日历",IF($AC92&gt;=45,"先做FAQ/段落或低优先文章","不单独写，合并到商业页/FAQ"))))</x:f>
      </x:c>
      <x:c r="AF92" s="37" t="str">
        <x:f>IF($A92="","",$K92&amp;" | 父级页: "&amp;$C92&amp;" | 目标URL: "&amp;$T92&amp;" | 必补: 竞品结构+原创证据+对比表+FAQ+内链CTA")</x:f>
      </x:c>
      <x:c r="AG92" s="37" t="str">
        <x:f>IF($A92="","",IF($I92&lt;4,"SERP不支持文章，优先做商业页/FAQ",IF($L92&lt;3,"产品相关弱，谨慎写",IF($N92&lt;3,"证据不足，容易变AI水文",IF($G92&gt;70,"难度偏高，需要更强外链/权威",IF($Q92&lt;3,"内链弱，先补主题簇","可进入规划"))))))</x:f>
      </x:c>
      <x:c r="AH92" s="106" t="str">
        <x:f>IF($A92="","",IF($T92="","缺少目标URL",IF(COUNTIF('页面规划'!$D$5:$D$104,$T92)&gt;0,"已匹配","未匹配")))</x:f>
      </x:c>
      <x:c r="AI92" s="37" t="str">
        <x:f>IF($A92="","",IFERROR(INDEX('页面规划'!$B$5:$B$104,MATCH($T92,'页面规划'!$D$5:$D$104,0)),""))</x:f>
      </x:c>
      <x:c r="AJ92" s="37" t="str">
        <x:f>IF($A92="","",IFERROR(INDEX('页面规划'!$F$5:$F$104,MATCH($T92,'页面规划'!$D$5:$D$104,0)),""))</x:f>
      </x:c>
      <x:c r="AK92" s="37" t="str">
        <x:f>IF($A92="","",IFERROR(INDEX('页面规划'!$H$5:$H$104,MATCH($T92,'页面规划'!$D$5:$D$104,0)),""))</x:f>
      </x:c>
      <x:c r="AL92" s="83" t="str">
        <x:f>IF($A92="","",IF($AH92="已匹配","OK：文章可内链到页面规划中的父级页","先到【页面规划】新增/修正目标URL，再排文章"))</x:f>
      </x:c>
    </x:row>
    <x:row r="93">
      <x:c r="A93" s="108"/>
      <x:c r="B93" s="37"/>
      <x:c r="C93" s="37"/>
      <x:c r="D93" s="37"/>
      <x:c r="E93" s="88"/>
      <x:c r="F93" s="91"/>
      <x:c r="G93" s="74"/>
      <x:c r="H93" s="74"/>
      <x:c r="I93" s="74"/>
      <x:c r="J93" s="37"/>
      <x:c r="K93" s="37"/>
      <x:c r="L93" s="74"/>
      <x:c r="M93" s="74"/>
      <x:c r="N93" s="74"/>
      <x:c r="O93" s="74"/>
      <x:c r="P93" s="74"/>
      <x:c r="Q93" s="74"/>
      <x:c r="R93" s="74"/>
      <x:c r="S93" s="37"/>
      <x:c r="T93" s="37"/>
      <x:c r="U93" s="37"/>
      <x:c r="V93" s="94" t="str">
        <x:f>IF($A93="","",MIN(20,MAX(0,$I93*2)))</x:f>
      </x:c>
      <x:c r="W93" s="94" t="str">
        <x:f>IF($A93="","",(($L93+$M93)/10)*20)</x:f>
      </x:c>
      <x:c r="X93" s="94" t="str">
        <x:f>IF($A93="","",IF($E93&gt;=1000,10,IF($E93&gt;=300,8,IF($E93&gt;=100,6,IF($E93&gt;=30,4,IF($E93&gt;0,2,0)))))+IF($F93&gt;=2,5,IF($F93&gt;=1,4,IF($F93&gt;=0.3,3,IF($F93&gt;0,2,0)))))</x:f>
      </x:c>
      <x:c r="Y93" s="94" t="str">
        <x:f>IF($A93="","",IF($G93&lt;=20,15,IF($G93&lt;=35,12,IF($G93&lt;=50,9,IF($G93&lt;=65,6,IF($G93&lt;=80,3,1))))))</x:f>
      </x:c>
      <x:c r="Z93" s="94" t="str">
        <x:f>IF($A93="","",(($N93+$O93)/10)*15)</x:f>
      </x:c>
      <x:c r="AA93" s="94" t="str">
        <x:f>IF($A93="","",(($P93+$Q93)/10)*10)</x:f>
      </x:c>
      <x:c r="AB93" s="94" t="str">
        <x:f>IF($A93="","",$R93)</x:f>
      </x:c>
      <x:c r="AC93" s="94" t="str">
        <x:f>IF($A93="","",SUM($V93:$AB93))</x:f>
      </x:c>
      <x:c r="AD93" s="100" t="str">
        <x:f>IF($A93="","",IF($AC93&gt;=75,"P0",IF($AC93&gt;=60,"P1",IF($AC93&gt;=45,"P2","P3"))))</x:f>
      </x:c>
      <x:c r="AE93" s="100" t="str">
        <x:f>IF($A93="","",IF($AC93&gt;=75,"立即写独立文章",IF($AC93&gt;=60,"排入本批内容日历",IF($AC93&gt;=45,"先做FAQ/段落或低优先文章","不单独写，合并到商业页/FAQ"))))</x:f>
      </x:c>
      <x:c r="AF93" s="37" t="str">
        <x:f>IF($A93="","",$K93&amp;" | 父级页: "&amp;$C93&amp;" | 目标URL: "&amp;$T93&amp;" | 必补: 竞品结构+原创证据+对比表+FAQ+内链CTA")</x:f>
      </x:c>
      <x:c r="AG93" s="37" t="str">
        <x:f>IF($A93="","",IF($I93&lt;4,"SERP不支持文章，优先做商业页/FAQ",IF($L93&lt;3,"产品相关弱，谨慎写",IF($N93&lt;3,"证据不足，容易变AI水文",IF($G93&gt;70,"难度偏高，需要更强外链/权威",IF($Q93&lt;3,"内链弱，先补主题簇","可进入规划"))))))</x:f>
      </x:c>
      <x:c r="AH93" s="106" t="str">
        <x:f>IF($A93="","",IF($T93="","缺少目标URL",IF(COUNTIF('页面规划'!$D$5:$D$104,$T93)&gt;0,"已匹配","未匹配")))</x:f>
      </x:c>
      <x:c r="AI93" s="37" t="str">
        <x:f>IF($A93="","",IFERROR(INDEX('页面规划'!$B$5:$B$104,MATCH($T93,'页面规划'!$D$5:$D$104,0)),""))</x:f>
      </x:c>
      <x:c r="AJ93" s="37" t="str">
        <x:f>IF($A93="","",IFERROR(INDEX('页面规划'!$F$5:$F$104,MATCH($T93,'页面规划'!$D$5:$D$104,0)),""))</x:f>
      </x:c>
      <x:c r="AK93" s="37" t="str">
        <x:f>IF($A93="","",IFERROR(INDEX('页面规划'!$H$5:$H$104,MATCH($T93,'页面规划'!$D$5:$D$104,0)),""))</x:f>
      </x:c>
      <x:c r="AL93" s="83" t="str">
        <x:f>IF($A93="","",IF($AH93="已匹配","OK：文章可内链到页面规划中的父级页","先到【页面规划】新增/修正目标URL，再排文章"))</x:f>
      </x:c>
    </x:row>
    <x:row r="94">
      <x:c r="A94" s="108"/>
      <x:c r="B94" s="37"/>
      <x:c r="C94" s="37"/>
      <x:c r="D94" s="37"/>
      <x:c r="E94" s="88"/>
      <x:c r="F94" s="91"/>
      <x:c r="G94" s="74"/>
      <x:c r="H94" s="74"/>
      <x:c r="I94" s="74"/>
      <x:c r="J94" s="37"/>
      <x:c r="K94" s="37"/>
      <x:c r="L94" s="74"/>
      <x:c r="M94" s="74"/>
      <x:c r="N94" s="74"/>
      <x:c r="O94" s="74"/>
      <x:c r="P94" s="74"/>
      <x:c r="Q94" s="74"/>
      <x:c r="R94" s="74"/>
      <x:c r="S94" s="37"/>
      <x:c r="T94" s="37"/>
      <x:c r="U94" s="37"/>
      <x:c r="V94" s="94" t="str">
        <x:f>IF($A94="","",MIN(20,MAX(0,$I94*2)))</x:f>
      </x:c>
      <x:c r="W94" s="94" t="str">
        <x:f>IF($A94="","",(($L94+$M94)/10)*20)</x:f>
      </x:c>
      <x:c r="X94" s="94" t="str">
        <x:f>IF($A94="","",IF($E94&gt;=1000,10,IF($E94&gt;=300,8,IF($E94&gt;=100,6,IF($E94&gt;=30,4,IF($E94&gt;0,2,0)))))+IF($F94&gt;=2,5,IF($F94&gt;=1,4,IF($F94&gt;=0.3,3,IF($F94&gt;0,2,0)))))</x:f>
      </x:c>
      <x:c r="Y94" s="94" t="str">
        <x:f>IF($A94="","",IF($G94&lt;=20,15,IF($G94&lt;=35,12,IF($G94&lt;=50,9,IF($G94&lt;=65,6,IF($G94&lt;=80,3,1))))))</x:f>
      </x:c>
      <x:c r="Z94" s="94" t="str">
        <x:f>IF($A94="","",(($N94+$O94)/10)*15)</x:f>
      </x:c>
      <x:c r="AA94" s="94" t="str">
        <x:f>IF($A94="","",(($P94+$Q94)/10)*10)</x:f>
      </x:c>
      <x:c r="AB94" s="94" t="str">
        <x:f>IF($A94="","",$R94)</x:f>
      </x:c>
      <x:c r="AC94" s="94" t="str">
        <x:f>IF($A94="","",SUM($V94:$AB94))</x:f>
      </x:c>
      <x:c r="AD94" s="100" t="str">
        <x:f>IF($A94="","",IF($AC94&gt;=75,"P0",IF($AC94&gt;=60,"P1",IF($AC94&gt;=45,"P2","P3"))))</x:f>
      </x:c>
      <x:c r="AE94" s="100" t="str">
        <x:f>IF($A94="","",IF($AC94&gt;=75,"立即写独立文章",IF($AC94&gt;=60,"排入本批内容日历",IF($AC94&gt;=45,"先做FAQ/段落或低优先文章","不单独写，合并到商业页/FAQ"))))</x:f>
      </x:c>
      <x:c r="AF94" s="37" t="str">
        <x:f>IF($A94="","",$K94&amp;" | 父级页: "&amp;$C94&amp;" | 目标URL: "&amp;$T94&amp;" | 必补: 竞品结构+原创证据+对比表+FAQ+内链CTA")</x:f>
      </x:c>
      <x:c r="AG94" s="37" t="str">
        <x:f>IF($A94="","",IF($I94&lt;4,"SERP不支持文章，优先做商业页/FAQ",IF($L94&lt;3,"产品相关弱，谨慎写",IF($N94&lt;3,"证据不足，容易变AI水文",IF($G94&gt;70,"难度偏高，需要更强外链/权威",IF($Q94&lt;3,"内链弱，先补主题簇","可进入规划"))))))</x:f>
      </x:c>
      <x:c r="AH94" s="106" t="str">
        <x:f>IF($A94="","",IF($T94="","缺少目标URL",IF(COUNTIF('页面规划'!$D$5:$D$104,$T94)&gt;0,"已匹配","未匹配")))</x:f>
      </x:c>
      <x:c r="AI94" s="37" t="str">
        <x:f>IF($A94="","",IFERROR(INDEX('页面规划'!$B$5:$B$104,MATCH($T94,'页面规划'!$D$5:$D$104,0)),""))</x:f>
      </x:c>
      <x:c r="AJ94" s="37" t="str">
        <x:f>IF($A94="","",IFERROR(INDEX('页面规划'!$F$5:$F$104,MATCH($T94,'页面规划'!$D$5:$D$104,0)),""))</x:f>
      </x:c>
      <x:c r="AK94" s="37" t="str">
        <x:f>IF($A94="","",IFERROR(INDEX('页面规划'!$H$5:$H$104,MATCH($T94,'页面规划'!$D$5:$D$104,0)),""))</x:f>
      </x:c>
      <x:c r="AL94" s="83" t="str">
        <x:f>IF($A94="","",IF($AH94="已匹配","OK：文章可内链到页面规划中的父级页","先到【页面规划】新增/修正目标URL，再排文章"))</x:f>
      </x:c>
    </x:row>
    <x:row r="95">
      <x:c r="A95" s="108"/>
      <x:c r="B95" s="37"/>
      <x:c r="C95" s="37"/>
      <x:c r="D95" s="37"/>
      <x:c r="E95" s="88"/>
      <x:c r="F95" s="91"/>
      <x:c r="G95" s="74"/>
      <x:c r="H95" s="74"/>
      <x:c r="I95" s="74"/>
      <x:c r="J95" s="37"/>
      <x:c r="K95" s="37"/>
      <x:c r="L95" s="74"/>
      <x:c r="M95" s="74"/>
      <x:c r="N95" s="74"/>
      <x:c r="O95" s="74"/>
      <x:c r="P95" s="74"/>
      <x:c r="Q95" s="74"/>
      <x:c r="R95" s="74"/>
      <x:c r="S95" s="37"/>
      <x:c r="T95" s="37"/>
      <x:c r="U95" s="37"/>
      <x:c r="V95" s="94" t="str">
        <x:f>IF($A95="","",MIN(20,MAX(0,$I95*2)))</x:f>
      </x:c>
      <x:c r="W95" s="94" t="str">
        <x:f>IF($A95="","",(($L95+$M95)/10)*20)</x:f>
      </x:c>
      <x:c r="X95" s="94" t="str">
        <x:f>IF($A95="","",IF($E95&gt;=1000,10,IF($E95&gt;=300,8,IF($E95&gt;=100,6,IF($E95&gt;=30,4,IF($E95&gt;0,2,0)))))+IF($F95&gt;=2,5,IF($F95&gt;=1,4,IF($F95&gt;=0.3,3,IF($F95&gt;0,2,0)))))</x:f>
      </x:c>
      <x:c r="Y95" s="94" t="str">
        <x:f>IF($A95="","",IF($G95&lt;=20,15,IF($G95&lt;=35,12,IF($G95&lt;=50,9,IF($G95&lt;=65,6,IF($G95&lt;=80,3,1))))))</x:f>
      </x:c>
      <x:c r="Z95" s="94" t="str">
        <x:f>IF($A95="","",(($N95+$O95)/10)*15)</x:f>
      </x:c>
      <x:c r="AA95" s="94" t="str">
        <x:f>IF($A95="","",(($P95+$Q95)/10)*10)</x:f>
      </x:c>
      <x:c r="AB95" s="94" t="str">
        <x:f>IF($A95="","",$R95)</x:f>
      </x:c>
      <x:c r="AC95" s="94" t="str">
        <x:f>IF($A95="","",SUM($V95:$AB95))</x:f>
      </x:c>
      <x:c r="AD95" s="100" t="str">
        <x:f>IF($A95="","",IF($AC95&gt;=75,"P0",IF($AC95&gt;=60,"P1",IF($AC95&gt;=45,"P2","P3"))))</x:f>
      </x:c>
      <x:c r="AE95" s="100" t="str">
        <x:f>IF($A95="","",IF($AC95&gt;=75,"立即写独立文章",IF($AC95&gt;=60,"排入本批内容日历",IF($AC95&gt;=45,"先做FAQ/段落或低优先文章","不单独写，合并到商业页/FAQ"))))</x:f>
      </x:c>
      <x:c r="AF95" s="37" t="str">
        <x:f>IF($A95="","",$K95&amp;" | 父级页: "&amp;$C95&amp;" | 目标URL: "&amp;$T95&amp;" | 必补: 竞品结构+原创证据+对比表+FAQ+内链CTA")</x:f>
      </x:c>
      <x:c r="AG95" s="37" t="str">
        <x:f>IF($A95="","",IF($I95&lt;4,"SERP不支持文章，优先做商业页/FAQ",IF($L95&lt;3,"产品相关弱，谨慎写",IF($N95&lt;3,"证据不足，容易变AI水文",IF($G95&gt;70,"难度偏高，需要更强外链/权威",IF($Q95&lt;3,"内链弱，先补主题簇","可进入规划"))))))</x:f>
      </x:c>
      <x:c r="AH95" s="106" t="str">
        <x:f>IF($A95="","",IF($T95="","缺少目标URL",IF(COUNTIF('页面规划'!$D$5:$D$104,$T95)&gt;0,"已匹配","未匹配")))</x:f>
      </x:c>
      <x:c r="AI95" s="37" t="str">
        <x:f>IF($A95="","",IFERROR(INDEX('页面规划'!$B$5:$B$104,MATCH($T95,'页面规划'!$D$5:$D$104,0)),""))</x:f>
      </x:c>
      <x:c r="AJ95" s="37" t="str">
        <x:f>IF($A95="","",IFERROR(INDEX('页面规划'!$F$5:$F$104,MATCH($T95,'页面规划'!$D$5:$D$104,0)),""))</x:f>
      </x:c>
      <x:c r="AK95" s="37" t="str">
        <x:f>IF($A95="","",IFERROR(INDEX('页面规划'!$H$5:$H$104,MATCH($T95,'页面规划'!$D$5:$D$104,0)),""))</x:f>
      </x:c>
      <x:c r="AL95" s="83" t="str">
        <x:f>IF($A95="","",IF($AH95="已匹配","OK：文章可内链到页面规划中的父级页","先到【页面规划】新增/修正目标URL，再排文章"))</x:f>
      </x:c>
    </x:row>
    <x:row r="96">
      <x:c r="A96" s="108"/>
      <x:c r="B96" s="37"/>
      <x:c r="C96" s="37"/>
      <x:c r="D96" s="37"/>
      <x:c r="E96" s="88"/>
      <x:c r="F96" s="91"/>
      <x:c r="G96" s="74"/>
      <x:c r="H96" s="74"/>
      <x:c r="I96" s="74"/>
      <x:c r="J96" s="37"/>
      <x:c r="K96" s="37"/>
      <x:c r="L96" s="74"/>
      <x:c r="M96" s="74"/>
      <x:c r="N96" s="74"/>
      <x:c r="O96" s="74"/>
      <x:c r="P96" s="74"/>
      <x:c r="Q96" s="74"/>
      <x:c r="R96" s="74"/>
      <x:c r="S96" s="37"/>
      <x:c r="T96" s="37"/>
      <x:c r="U96" s="37"/>
      <x:c r="V96" s="94" t="str">
        <x:f>IF($A96="","",MIN(20,MAX(0,$I96*2)))</x:f>
      </x:c>
      <x:c r="W96" s="94" t="str">
        <x:f>IF($A96="","",(($L96+$M96)/10)*20)</x:f>
      </x:c>
      <x:c r="X96" s="94" t="str">
        <x:f>IF($A96="","",IF($E96&gt;=1000,10,IF($E96&gt;=300,8,IF($E96&gt;=100,6,IF($E96&gt;=30,4,IF($E96&gt;0,2,0)))))+IF($F96&gt;=2,5,IF($F96&gt;=1,4,IF($F96&gt;=0.3,3,IF($F96&gt;0,2,0)))))</x:f>
      </x:c>
      <x:c r="Y96" s="94" t="str">
        <x:f>IF($A96="","",IF($G96&lt;=20,15,IF($G96&lt;=35,12,IF($G96&lt;=50,9,IF($G96&lt;=65,6,IF($G96&lt;=80,3,1))))))</x:f>
      </x:c>
      <x:c r="Z96" s="94" t="str">
        <x:f>IF($A96="","",(($N96+$O96)/10)*15)</x:f>
      </x:c>
      <x:c r="AA96" s="94" t="str">
        <x:f>IF($A96="","",(($P96+$Q96)/10)*10)</x:f>
      </x:c>
      <x:c r="AB96" s="94" t="str">
        <x:f>IF($A96="","",$R96)</x:f>
      </x:c>
      <x:c r="AC96" s="94" t="str">
        <x:f>IF($A96="","",SUM($V96:$AB96))</x:f>
      </x:c>
      <x:c r="AD96" s="100" t="str">
        <x:f>IF($A96="","",IF($AC96&gt;=75,"P0",IF($AC96&gt;=60,"P1",IF($AC96&gt;=45,"P2","P3"))))</x:f>
      </x:c>
      <x:c r="AE96" s="100" t="str">
        <x:f>IF($A96="","",IF($AC96&gt;=75,"立即写独立文章",IF($AC96&gt;=60,"排入本批内容日历",IF($AC96&gt;=45,"先做FAQ/段落或低优先文章","不单独写，合并到商业页/FAQ"))))</x:f>
      </x:c>
      <x:c r="AF96" s="37" t="str">
        <x:f>IF($A96="","",$K96&amp;" | 父级页: "&amp;$C96&amp;" | 目标URL: "&amp;$T96&amp;" | 必补: 竞品结构+原创证据+对比表+FAQ+内链CTA")</x:f>
      </x:c>
      <x:c r="AG96" s="37" t="str">
        <x:f>IF($A96="","",IF($I96&lt;4,"SERP不支持文章，优先做商业页/FAQ",IF($L96&lt;3,"产品相关弱，谨慎写",IF($N96&lt;3,"证据不足，容易变AI水文",IF($G96&gt;70,"难度偏高，需要更强外链/权威",IF($Q96&lt;3,"内链弱，先补主题簇","可进入规划"))))))</x:f>
      </x:c>
      <x:c r="AH96" s="106" t="str">
        <x:f>IF($A96="","",IF($T96="","缺少目标URL",IF(COUNTIF('页面规划'!$D$5:$D$104,$T96)&gt;0,"已匹配","未匹配")))</x:f>
      </x:c>
      <x:c r="AI96" s="37" t="str">
        <x:f>IF($A96="","",IFERROR(INDEX('页面规划'!$B$5:$B$104,MATCH($T96,'页面规划'!$D$5:$D$104,0)),""))</x:f>
      </x:c>
      <x:c r="AJ96" s="37" t="str">
        <x:f>IF($A96="","",IFERROR(INDEX('页面规划'!$F$5:$F$104,MATCH($T96,'页面规划'!$D$5:$D$104,0)),""))</x:f>
      </x:c>
      <x:c r="AK96" s="37" t="str">
        <x:f>IF($A96="","",IFERROR(INDEX('页面规划'!$H$5:$H$104,MATCH($T96,'页面规划'!$D$5:$D$104,0)),""))</x:f>
      </x:c>
      <x:c r="AL96" s="83" t="str">
        <x:f>IF($A96="","",IF($AH96="已匹配","OK：文章可内链到页面规划中的父级页","先到【页面规划】新增/修正目标URL，再排文章"))</x:f>
      </x:c>
    </x:row>
    <x:row r="97">
      <x:c r="A97" s="108"/>
      <x:c r="B97" s="37"/>
      <x:c r="C97" s="37"/>
      <x:c r="D97" s="37"/>
      <x:c r="E97" s="88"/>
      <x:c r="F97" s="91"/>
      <x:c r="G97" s="74"/>
      <x:c r="H97" s="74"/>
      <x:c r="I97" s="74"/>
      <x:c r="J97" s="37"/>
      <x:c r="K97" s="37"/>
      <x:c r="L97" s="74"/>
      <x:c r="M97" s="74"/>
      <x:c r="N97" s="74"/>
      <x:c r="O97" s="74"/>
      <x:c r="P97" s="74"/>
      <x:c r="Q97" s="74"/>
      <x:c r="R97" s="74"/>
      <x:c r="S97" s="37"/>
      <x:c r="T97" s="37"/>
      <x:c r="U97" s="37"/>
      <x:c r="V97" s="94" t="str">
        <x:f>IF($A97="","",MIN(20,MAX(0,$I97*2)))</x:f>
      </x:c>
      <x:c r="W97" s="94" t="str">
        <x:f>IF($A97="","",(($L97+$M97)/10)*20)</x:f>
      </x:c>
      <x:c r="X97" s="94" t="str">
        <x:f>IF($A97="","",IF($E97&gt;=1000,10,IF($E97&gt;=300,8,IF($E97&gt;=100,6,IF($E97&gt;=30,4,IF($E97&gt;0,2,0)))))+IF($F97&gt;=2,5,IF($F97&gt;=1,4,IF($F97&gt;=0.3,3,IF($F97&gt;0,2,0)))))</x:f>
      </x:c>
      <x:c r="Y97" s="94" t="str">
        <x:f>IF($A97="","",IF($G97&lt;=20,15,IF($G97&lt;=35,12,IF($G97&lt;=50,9,IF($G97&lt;=65,6,IF($G97&lt;=80,3,1))))))</x:f>
      </x:c>
      <x:c r="Z97" s="94" t="str">
        <x:f>IF($A97="","",(($N97+$O97)/10)*15)</x:f>
      </x:c>
      <x:c r="AA97" s="94" t="str">
        <x:f>IF($A97="","",(($P97+$Q97)/10)*10)</x:f>
      </x:c>
      <x:c r="AB97" s="94" t="str">
        <x:f>IF($A97="","",$R97)</x:f>
      </x:c>
      <x:c r="AC97" s="94" t="str">
        <x:f>IF($A97="","",SUM($V97:$AB97))</x:f>
      </x:c>
      <x:c r="AD97" s="100" t="str">
        <x:f>IF($A97="","",IF($AC97&gt;=75,"P0",IF($AC97&gt;=60,"P1",IF($AC97&gt;=45,"P2","P3"))))</x:f>
      </x:c>
      <x:c r="AE97" s="100" t="str">
        <x:f>IF($A97="","",IF($AC97&gt;=75,"立即写独立文章",IF($AC97&gt;=60,"排入本批内容日历",IF($AC97&gt;=45,"先做FAQ/段落或低优先文章","不单独写，合并到商业页/FAQ"))))</x:f>
      </x:c>
      <x:c r="AF97" s="37" t="str">
        <x:f>IF($A97="","",$K97&amp;" | 父级页: "&amp;$C97&amp;" | 目标URL: "&amp;$T97&amp;" | 必补: 竞品结构+原创证据+对比表+FAQ+内链CTA")</x:f>
      </x:c>
      <x:c r="AG97" s="37" t="str">
        <x:f>IF($A97="","",IF($I97&lt;4,"SERP不支持文章，优先做商业页/FAQ",IF($L97&lt;3,"产品相关弱，谨慎写",IF($N97&lt;3,"证据不足，容易变AI水文",IF($G97&gt;70,"难度偏高，需要更强外链/权威",IF($Q97&lt;3,"内链弱，先补主题簇","可进入规划"))))))</x:f>
      </x:c>
      <x:c r="AH97" s="106" t="str">
        <x:f>IF($A97="","",IF($T97="","缺少目标URL",IF(COUNTIF('页面规划'!$D$5:$D$104,$T97)&gt;0,"已匹配","未匹配")))</x:f>
      </x:c>
      <x:c r="AI97" s="37" t="str">
        <x:f>IF($A97="","",IFERROR(INDEX('页面规划'!$B$5:$B$104,MATCH($T97,'页面规划'!$D$5:$D$104,0)),""))</x:f>
      </x:c>
      <x:c r="AJ97" s="37" t="str">
        <x:f>IF($A97="","",IFERROR(INDEX('页面规划'!$F$5:$F$104,MATCH($T97,'页面规划'!$D$5:$D$104,0)),""))</x:f>
      </x:c>
      <x:c r="AK97" s="37" t="str">
        <x:f>IF($A97="","",IFERROR(INDEX('页面规划'!$H$5:$H$104,MATCH($T97,'页面规划'!$D$5:$D$104,0)),""))</x:f>
      </x:c>
      <x:c r="AL97" s="83" t="str">
        <x:f>IF($A97="","",IF($AH97="已匹配","OK：文章可内链到页面规划中的父级页","先到【页面规划】新增/修正目标URL，再排文章"))</x:f>
      </x:c>
    </x:row>
    <x:row r="98">
      <x:c r="A98" s="108"/>
      <x:c r="B98" s="37"/>
      <x:c r="C98" s="37"/>
      <x:c r="D98" s="37"/>
      <x:c r="E98" s="88"/>
      <x:c r="F98" s="91"/>
      <x:c r="G98" s="74"/>
      <x:c r="H98" s="74"/>
      <x:c r="I98" s="74"/>
      <x:c r="J98" s="37"/>
      <x:c r="K98" s="37"/>
      <x:c r="L98" s="74"/>
      <x:c r="M98" s="74"/>
      <x:c r="N98" s="74"/>
      <x:c r="O98" s="74"/>
      <x:c r="P98" s="74"/>
      <x:c r="Q98" s="74"/>
      <x:c r="R98" s="74"/>
      <x:c r="S98" s="37"/>
      <x:c r="T98" s="37"/>
      <x:c r="U98" s="37"/>
      <x:c r="V98" s="94" t="str">
        <x:f>IF($A98="","",MIN(20,MAX(0,$I98*2)))</x:f>
      </x:c>
      <x:c r="W98" s="94" t="str">
        <x:f>IF($A98="","",(($L98+$M98)/10)*20)</x:f>
      </x:c>
      <x:c r="X98" s="94" t="str">
        <x:f>IF($A98="","",IF($E98&gt;=1000,10,IF($E98&gt;=300,8,IF($E98&gt;=100,6,IF($E98&gt;=30,4,IF($E98&gt;0,2,0)))))+IF($F98&gt;=2,5,IF($F98&gt;=1,4,IF($F98&gt;=0.3,3,IF($F98&gt;0,2,0)))))</x:f>
      </x:c>
      <x:c r="Y98" s="94" t="str">
        <x:f>IF($A98="","",IF($G98&lt;=20,15,IF($G98&lt;=35,12,IF($G98&lt;=50,9,IF($G98&lt;=65,6,IF($G98&lt;=80,3,1))))))</x:f>
      </x:c>
      <x:c r="Z98" s="94" t="str">
        <x:f>IF($A98="","",(($N98+$O98)/10)*15)</x:f>
      </x:c>
      <x:c r="AA98" s="94" t="str">
        <x:f>IF($A98="","",(($P98+$Q98)/10)*10)</x:f>
      </x:c>
      <x:c r="AB98" s="94" t="str">
        <x:f>IF($A98="","",$R98)</x:f>
      </x:c>
      <x:c r="AC98" s="94" t="str">
        <x:f>IF($A98="","",SUM($V98:$AB98))</x:f>
      </x:c>
      <x:c r="AD98" s="100" t="str">
        <x:f>IF($A98="","",IF($AC98&gt;=75,"P0",IF($AC98&gt;=60,"P1",IF($AC98&gt;=45,"P2","P3"))))</x:f>
      </x:c>
      <x:c r="AE98" s="100" t="str">
        <x:f>IF($A98="","",IF($AC98&gt;=75,"立即写独立文章",IF($AC98&gt;=60,"排入本批内容日历",IF($AC98&gt;=45,"先做FAQ/段落或低优先文章","不单独写，合并到商业页/FAQ"))))</x:f>
      </x:c>
      <x:c r="AF98" s="37" t="str">
        <x:f>IF($A98="","",$K98&amp;" | 父级页: "&amp;$C98&amp;" | 目标URL: "&amp;$T98&amp;" | 必补: 竞品结构+原创证据+对比表+FAQ+内链CTA")</x:f>
      </x:c>
      <x:c r="AG98" s="37" t="str">
        <x:f>IF($A98="","",IF($I98&lt;4,"SERP不支持文章，优先做商业页/FAQ",IF($L98&lt;3,"产品相关弱，谨慎写",IF($N98&lt;3,"证据不足，容易变AI水文",IF($G98&gt;70,"难度偏高，需要更强外链/权威",IF($Q98&lt;3,"内链弱，先补主题簇","可进入规划"))))))</x:f>
      </x:c>
      <x:c r="AH98" s="106" t="str">
        <x:f>IF($A98="","",IF($T98="","缺少目标URL",IF(COUNTIF('页面规划'!$D$5:$D$104,$T98)&gt;0,"已匹配","未匹配")))</x:f>
      </x:c>
      <x:c r="AI98" s="37" t="str">
        <x:f>IF($A98="","",IFERROR(INDEX('页面规划'!$B$5:$B$104,MATCH($T98,'页面规划'!$D$5:$D$104,0)),""))</x:f>
      </x:c>
      <x:c r="AJ98" s="37" t="str">
        <x:f>IF($A98="","",IFERROR(INDEX('页面规划'!$F$5:$F$104,MATCH($T98,'页面规划'!$D$5:$D$104,0)),""))</x:f>
      </x:c>
      <x:c r="AK98" s="37" t="str">
        <x:f>IF($A98="","",IFERROR(INDEX('页面规划'!$H$5:$H$104,MATCH($T98,'页面规划'!$D$5:$D$104,0)),""))</x:f>
      </x:c>
      <x:c r="AL98" s="83" t="str">
        <x:f>IF($A98="","",IF($AH98="已匹配","OK：文章可内链到页面规划中的父级页","先到【页面规划】新增/修正目标URL，再排文章"))</x:f>
      </x:c>
    </x:row>
    <x:row r="99">
      <x:c r="A99" s="108"/>
      <x:c r="B99" s="37"/>
      <x:c r="C99" s="37"/>
      <x:c r="D99" s="37"/>
      <x:c r="E99" s="88"/>
      <x:c r="F99" s="91"/>
      <x:c r="G99" s="74"/>
      <x:c r="H99" s="74"/>
      <x:c r="I99" s="74"/>
      <x:c r="J99" s="37"/>
      <x:c r="K99" s="37"/>
      <x:c r="L99" s="74"/>
      <x:c r="M99" s="74"/>
      <x:c r="N99" s="74"/>
      <x:c r="O99" s="74"/>
      <x:c r="P99" s="74"/>
      <x:c r="Q99" s="74"/>
      <x:c r="R99" s="74"/>
      <x:c r="S99" s="37"/>
      <x:c r="T99" s="37"/>
      <x:c r="U99" s="37"/>
      <x:c r="V99" s="94" t="str">
        <x:f>IF($A99="","",MIN(20,MAX(0,$I99*2)))</x:f>
      </x:c>
      <x:c r="W99" s="94" t="str">
        <x:f>IF($A99="","",(($L99+$M99)/10)*20)</x:f>
      </x:c>
      <x:c r="X99" s="94" t="str">
        <x:f>IF($A99="","",IF($E99&gt;=1000,10,IF($E99&gt;=300,8,IF($E99&gt;=100,6,IF($E99&gt;=30,4,IF($E99&gt;0,2,0)))))+IF($F99&gt;=2,5,IF($F99&gt;=1,4,IF($F99&gt;=0.3,3,IF($F99&gt;0,2,0)))))</x:f>
      </x:c>
      <x:c r="Y99" s="94" t="str">
        <x:f>IF($A99="","",IF($G99&lt;=20,15,IF($G99&lt;=35,12,IF($G99&lt;=50,9,IF($G99&lt;=65,6,IF($G99&lt;=80,3,1))))))</x:f>
      </x:c>
      <x:c r="Z99" s="94" t="str">
        <x:f>IF($A99="","",(($N99+$O99)/10)*15)</x:f>
      </x:c>
      <x:c r="AA99" s="94" t="str">
        <x:f>IF($A99="","",(($P99+$Q99)/10)*10)</x:f>
      </x:c>
      <x:c r="AB99" s="94" t="str">
        <x:f>IF($A99="","",$R99)</x:f>
      </x:c>
      <x:c r="AC99" s="94" t="str">
        <x:f>IF($A99="","",SUM($V99:$AB99))</x:f>
      </x:c>
      <x:c r="AD99" s="100" t="str">
        <x:f>IF($A99="","",IF($AC99&gt;=75,"P0",IF($AC99&gt;=60,"P1",IF($AC99&gt;=45,"P2","P3"))))</x:f>
      </x:c>
      <x:c r="AE99" s="100" t="str">
        <x:f>IF($A99="","",IF($AC99&gt;=75,"立即写独立文章",IF($AC99&gt;=60,"排入本批内容日历",IF($AC99&gt;=45,"先做FAQ/段落或低优先文章","不单独写，合并到商业页/FAQ"))))</x:f>
      </x:c>
      <x:c r="AF99" s="37" t="str">
        <x:f>IF($A99="","",$K99&amp;" | 父级页: "&amp;$C99&amp;" | 目标URL: "&amp;$T99&amp;" | 必补: 竞品结构+原创证据+对比表+FAQ+内链CTA")</x:f>
      </x:c>
      <x:c r="AG99" s="37" t="str">
        <x:f>IF($A99="","",IF($I99&lt;4,"SERP不支持文章，优先做商业页/FAQ",IF($L99&lt;3,"产品相关弱，谨慎写",IF($N99&lt;3,"证据不足，容易变AI水文",IF($G99&gt;70,"难度偏高，需要更强外链/权威",IF($Q99&lt;3,"内链弱，先补主题簇","可进入规划"))))))</x:f>
      </x:c>
      <x:c r="AH99" s="106" t="str">
        <x:f>IF($A99="","",IF($T99="","缺少目标URL",IF(COUNTIF('页面规划'!$D$5:$D$104,$T99)&gt;0,"已匹配","未匹配")))</x:f>
      </x:c>
      <x:c r="AI99" s="37" t="str">
        <x:f>IF($A99="","",IFERROR(INDEX('页面规划'!$B$5:$B$104,MATCH($T99,'页面规划'!$D$5:$D$104,0)),""))</x:f>
      </x:c>
      <x:c r="AJ99" s="37" t="str">
        <x:f>IF($A99="","",IFERROR(INDEX('页面规划'!$F$5:$F$104,MATCH($T99,'页面规划'!$D$5:$D$104,0)),""))</x:f>
      </x:c>
      <x:c r="AK99" s="37" t="str">
        <x:f>IF($A99="","",IFERROR(INDEX('页面规划'!$H$5:$H$104,MATCH($T99,'页面规划'!$D$5:$D$104,0)),""))</x:f>
      </x:c>
      <x:c r="AL99" s="83" t="str">
        <x:f>IF($A99="","",IF($AH99="已匹配","OK：文章可内链到页面规划中的父级页","先到【页面规划】新增/修正目标URL，再排文章"))</x:f>
      </x:c>
    </x:row>
    <x:row r="100">
      <x:c r="A100" s="108"/>
      <x:c r="B100" s="37"/>
      <x:c r="C100" s="37"/>
      <x:c r="D100" s="37"/>
      <x:c r="E100" s="88"/>
      <x:c r="F100" s="91"/>
      <x:c r="G100" s="74"/>
      <x:c r="H100" s="74"/>
      <x:c r="I100" s="74"/>
      <x:c r="J100" s="37"/>
      <x:c r="K100" s="37"/>
      <x:c r="L100" s="74"/>
      <x:c r="M100" s="74"/>
      <x:c r="N100" s="74"/>
      <x:c r="O100" s="74"/>
      <x:c r="P100" s="74"/>
      <x:c r="Q100" s="74"/>
      <x:c r="R100" s="74"/>
      <x:c r="S100" s="37"/>
      <x:c r="T100" s="37"/>
      <x:c r="U100" s="37"/>
      <x:c r="V100" s="94" t="str">
        <x:f>IF($A100="","",MIN(20,MAX(0,$I100*2)))</x:f>
      </x:c>
      <x:c r="W100" s="94" t="str">
        <x:f>IF($A100="","",(($L100+$M100)/10)*20)</x:f>
      </x:c>
      <x:c r="X100" s="94" t="str">
        <x:f>IF($A100="","",IF($E100&gt;=1000,10,IF($E100&gt;=300,8,IF($E100&gt;=100,6,IF($E100&gt;=30,4,IF($E100&gt;0,2,0)))))+IF($F100&gt;=2,5,IF($F100&gt;=1,4,IF($F100&gt;=0.3,3,IF($F100&gt;0,2,0)))))</x:f>
      </x:c>
      <x:c r="Y100" s="94" t="str">
        <x:f>IF($A100="","",IF($G100&lt;=20,15,IF($G100&lt;=35,12,IF($G100&lt;=50,9,IF($G100&lt;=65,6,IF($G100&lt;=80,3,1))))))</x:f>
      </x:c>
      <x:c r="Z100" s="94" t="str">
        <x:f>IF($A100="","",(($N100+$O100)/10)*15)</x:f>
      </x:c>
      <x:c r="AA100" s="94" t="str">
        <x:f>IF($A100="","",(($P100+$Q100)/10)*10)</x:f>
      </x:c>
      <x:c r="AB100" s="94" t="str">
        <x:f>IF($A100="","",$R100)</x:f>
      </x:c>
      <x:c r="AC100" s="94" t="str">
        <x:f>IF($A100="","",SUM($V100:$AB100))</x:f>
      </x:c>
      <x:c r="AD100" s="100" t="str">
        <x:f>IF($A100="","",IF($AC100&gt;=75,"P0",IF($AC100&gt;=60,"P1",IF($AC100&gt;=45,"P2","P3"))))</x:f>
      </x:c>
      <x:c r="AE100" s="100" t="str">
        <x:f>IF($A100="","",IF($AC100&gt;=75,"立即写独立文章",IF($AC100&gt;=60,"排入本批内容日历",IF($AC100&gt;=45,"先做FAQ/段落或低优先文章","不单独写，合并到商业页/FAQ"))))</x:f>
      </x:c>
      <x:c r="AF100" s="37" t="str">
        <x:f>IF($A100="","",$K100&amp;" | 父级页: "&amp;$C100&amp;" | 目标URL: "&amp;$T100&amp;" | 必补: 竞品结构+原创证据+对比表+FAQ+内链CTA")</x:f>
      </x:c>
      <x:c r="AG100" s="37" t="str">
        <x:f>IF($A100="","",IF($I100&lt;4,"SERP不支持文章，优先做商业页/FAQ",IF($L100&lt;3,"产品相关弱，谨慎写",IF($N100&lt;3,"证据不足，容易变AI水文",IF($G100&gt;70,"难度偏高，需要更强外链/权威",IF($Q100&lt;3,"内链弱，先补主题簇","可进入规划"))))))</x:f>
      </x:c>
      <x:c r="AH100" s="106" t="str">
        <x:f>IF($A100="","",IF($T100="","缺少目标URL",IF(COUNTIF('页面规划'!$D$5:$D$104,$T100)&gt;0,"已匹配","未匹配")))</x:f>
      </x:c>
      <x:c r="AI100" s="37" t="str">
        <x:f>IF($A100="","",IFERROR(INDEX('页面规划'!$B$5:$B$104,MATCH($T100,'页面规划'!$D$5:$D$104,0)),""))</x:f>
      </x:c>
      <x:c r="AJ100" s="37" t="str">
        <x:f>IF($A100="","",IFERROR(INDEX('页面规划'!$F$5:$F$104,MATCH($T100,'页面规划'!$D$5:$D$104,0)),""))</x:f>
      </x:c>
      <x:c r="AK100" s="37" t="str">
        <x:f>IF($A100="","",IFERROR(INDEX('页面规划'!$H$5:$H$104,MATCH($T100,'页面规划'!$D$5:$D$104,0)),""))</x:f>
      </x:c>
      <x:c r="AL100" s="83" t="str">
        <x:f>IF($A100="","",IF($AH100="已匹配","OK：文章可内链到页面规划中的父级页","先到【页面规划】新增/修正目标URL，再排文章"))</x:f>
      </x:c>
    </x:row>
    <x:row r="101">
      <x:c r="A101" s="109"/>
      <x:c r="B101" s="85"/>
      <x:c r="C101" s="85"/>
      <x:c r="D101" s="85"/>
      <x:c r="E101" s="110"/>
      <x:c r="F101" s="111"/>
      <x:c r="G101" s="112"/>
      <x:c r="H101" s="112"/>
      <x:c r="I101" s="112"/>
      <x:c r="J101" s="85"/>
      <x:c r="K101" s="85"/>
      <x:c r="L101" s="112"/>
      <x:c r="M101" s="112"/>
      <x:c r="N101" s="112"/>
      <x:c r="O101" s="112"/>
      <x:c r="P101" s="112"/>
      <x:c r="Q101" s="112"/>
      <x:c r="R101" s="112"/>
      <x:c r="S101" s="85"/>
      <x:c r="T101" s="85"/>
      <x:c r="U101" s="85"/>
      <x:c r="V101" s="113" t="str">
        <x:f>IF($A101="","",MIN(20,MAX(0,$I101*2)))</x:f>
      </x:c>
      <x:c r="W101" s="113" t="str">
        <x:f>IF($A101="","",(($L101+$M101)/10)*20)</x:f>
      </x:c>
      <x:c r="X101" s="113" t="str">
        <x:f>IF($A101="","",IF($E101&gt;=1000,10,IF($E101&gt;=300,8,IF($E101&gt;=100,6,IF($E101&gt;=30,4,IF($E101&gt;0,2,0)))))+IF($F101&gt;=2,5,IF($F101&gt;=1,4,IF($F101&gt;=0.3,3,IF($F101&gt;0,2,0)))))</x:f>
      </x:c>
      <x:c r="Y101" s="113" t="str">
        <x:f>IF($A101="","",IF($G101&lt;=20,15,IF($G101&lt;=35,12,IF($G101&lt;=50,9,IF($G101&lt;=65,6,IF($G101&lt;=80,3,1))))))</x:f>
      </x:c>
      <x:c r="Z101" s="113" t="str">
        <x:f>IF($A101="","",(($N101+$O101)/10)*15)</x:f>
      </x:c>
      <x:c r="AA101" s="113" t="str">
        <x:f>IF($A101="","",(($P101+$Q101)/10)*10)</x:f>
      </x:c>
      <x:c r="AB101" s="113" t="str">
        <x:f>IF($A101="","",$R101)</x:f>
      </x:c>
      <x:c r="AC101" s="113" t="str">
        <x:f>IF($A101="","",SUM($V101:$AB101))</x:f>
      </x:c>
      <x:c r="AD101" s="114" t="str">
        <x:f>IF($A101="","",IF($AC101&gt;=75,"P0",IF($AC101&gt;=60,"P1",IF($AC101&gt;=45,"P2","P3"))))</x:f>
      </x:c>
      <x:c r="AE101" s="114" t="str">
        <x:f>IF($A101="","",IF($AC101&gt;=75,"立即写独立文章",IF($AC101&gt;=60,"排入本批内容日历",IF($AC101&gt;=45,"先做FAQ/段落或低优先文章","不单独写，合并到商业页/FAQ"))))</x:f>
      </x:c>
      <x:c r="AF101" s="85" t="str">
        <x:f>IF($A101="","",$K101&amp;" | 父级页: "&amp;$C101&amp;" | 目标URL: "&amp;$T101&amp;" | 必补: 竞品结构+原创证据+对比表+FAQ+内链CTA")</x:f>
      </x:c>
      <x:c r="AG101" s="85" t="str">
        <x:f>IF($A101="","",IF($I101&lt;4,"SERP不支持文章，优先做商业页/FAQ",IF($L101&lt;3,"产品相关弱，谨慎写",IF($N101&lt;3,"证据不足，容易变AI水文",IF($G101&gt;70,"难度偏高，需要更强外链/权威",IF($Q101&lt;3,"内链弱，先补主题簇","可进入规划"))))))</x:f>
      </x:c>
      <x:c r="AH101" s="115" t="str">
        <x:f>IF($A101="","",IF($T101="","缺少目标URL",IF(COUNTIF('页面规划'!$D$5:$D$104,$T101)&gt;0,"已匹配","未匹配")))</x:f>
      </x:c>
      <x:c r="AI101" s="85" t="str">
        <x:f>IF($A101="","",IFERROR(INDEX('页面规划'!$B$5:$B$104,MATCH($T101,'页面规划'!$D$5:$D$104,0)),""))</x:f>
      </x:c>
      <x:c r="AJ101" s="85" t="str">
        <x:f>IF($A101="","",IFERROR(INDEX('页面规划'!$F$5:$F$104,MATCH($T101,'页面规划'!$D$5:$D$104,0)),""))</x:f>
      </x:c>
      <x:c r="AK101" s="85" t="str">
        <x:f>IF($A101="","",IFERROR(INDEX('页面规划'!$H$5:$H$104,MATCH($T101,'页面规划'!$D$5:$D$104,0)),""))</x:f>
      </x:c>
      <x:c r="AL101" s="86" t="str">
        <x:f>IF($A101="","",IF($AH101="已匹配","OK：文章可内链到页面规划中的父级页","先到【页面规划】新增/修正目标URL，再排文章"))</x:f>
      </x:c>
    </x:row>
  </x:sheetData>
  <x:conditionalFormatting sqref="AC2:AC101">
    <x:cfRule type="colorScale" priority="1">
      <x:colorScale>
        <x:cfvo type="min"/>
        <x:cfvo type="percentile" val="50"/>
        <x:cfvo type="max"/>
        <x:color rgb="FFFEE2D5"/>
        <x:color rgb="FFFFF3D3"/>
        <x:color rgb="FFDDEFE5"/>
      </x:colorScale>
    </x:cfRule>
  </x:conditionalFormatting>
  <x:conditionalFormatting sqref="AD2:AD101">
    <x:cfRule type="containsText" dxfId="0" priority="2" operator="containsText" text="P0"/>
    <x:cfRule type="containsText" dxfId="1" priority="3" operator="containsText" text="P3"/>
  </x:conditionalFormatting>
  <x:conditionalFormatting sqref="AH2:AH101">
    <x:cfRule type="containsText" dxfId="2" priority="4" operator="containsText" text="未匹配"/>
    <x:cfRule type="containsText" dxfId="3" priority="5" operator="containsText" text="已匹配"/>
  </x:conditionalFormatting>
  <x:dataValidations count="5">
    <x:dataValidation type="list" sqref="H2:H101">
      <x:formula1>"Informational,Commercial,Transactional,Navigational,Mixed,Unknown"</x:formula1>
    </x:dataValidation>
    <x:dataValidation type="list" sqref="J2:J101">
      <x:formula1>"博客/榜单,博客/对比,博客/指南,教程/FAQ,指南/规格,博客/场景,分类/商品,品牌/首页,百科/大站,混合"</x:formula1>
    </x:dataValidation>
    <x:dataValidation type="list" sqref="K2:K101">
      <x:formula1>"榜单/购买指南,对比文,教程文,价值解释文,标准/规格文,场景解决方案,FAQ/段落,商业页优先,通常不建议单独写"</x:formula1>
    </x:dataValidation>
    <x:dataValidation type="whole" operator="between" sqref="I2:I101">
      <x:formula1>0</x:formula1>
      <x:formula2>10</x:formula2>
    </x:dataValidation>
    <x:dataValidation type="whole" operator="between" sqref="L2:R101">
      <x:formula1>1</x:formula1>
      <x:formula2>5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28" hidden="0" customWidth="1"/>
    <x:col min="5" max="5" width="18" hidden="0" customWidth="1"/>
    <x:col min="6" max="6" width="18" hidden="0" customWidth="1"/>
    <x:col min="7" max="7" width="26" hidden="0" customWidth="1"/>
    <x:col min="8" max="8" width="34" hidden="0" customWidth="1"/>
    <x:col min="9" max="9" width="16" hidden="0" customWidth="1"/>
    <x:col min="10" max="10" width="16" hidden="0" customWidth="1"/>
    <x:col min="11" max="11" width="30" hidden="0" customWidth="1"/>
    <x:col min="12" max="12" width="30" hidden="0" customWidth="1"/>
  </x:cols>
  <x:sheetData>
    <x:row r="1">
      <x:c r="A1" s="124" t="str">
        <x:v>内容日历</x:v>
      </x:c>
      <x:c r="B1" s="124" t="str">
        <x:v>内容日历</x:v>
      </x:c>
      <x:c r="C1" s="124" t="str">
        <x:v>内容日历</x:v>
      </x:c>
      <x:c r="D1" s="124" t="str">
        <x:v>内容日历</x:v>
      </x:c>
      <x:c r="E1" s="124" t="str">
        <x:v>内容日历</x:v>
      </x:c>
      <x:c r="F1" s="124" t="str">
        <x:v>内容日历</x:v>
      </x:c>
      <x:c r="G1" s="124" t="str">
        <x:v>内容日历</x:v>
      </x:c>
      <x:c r="H1" s="124" t="str">
        <x:v>内容日历</x:v>
      </x:c>
      <x:c r="I1" s="124" t="str">
        <x:v>内容日历</x:v>
      </x:c>
      <x:c r="J1" s="124" t="str">
        <x:v>内容日历</x:v>
      </x:c>
      <x:c r="K1" s="124" t="str">
        <x:v>内容日历</x:v>
      </x:c>
      <x:c r="L1" s="124" t="str">
        <x:v>内容日历</x:v>
      </x:c>
    </x:row>
    <x:row r="2" ht="34" customHeight="1">
      <x:c r="A2" s="125" t="str">
        <x:v>把 P0/P1 的文章排期。小站建议先围绕一个主题簇连续写，避免东一篇西一篇。</x:v>
      </x:c>
      <x:c r="B2" s="125" t="str">
        <x:v>把 P0/P1 的文章排期。小站建议先围绕一个主题簇连续写，避免东一篇西一篇。</x:v>
      </x:c>
      <x:c r="C2" s="125" t="str">
        <x:v>把 P0/P1 的文章排期。小站建议先围绕一个主题簇连续写，避免东一篇西一篇。</x:v>
      </x:c>
      <x:c r="D2" s="125" t="str">
        <x:v>把 P0/P1 的文章排期。小站建议先围绕一个主题簇连续写，避免东一篇西一篇。</x:v>
      </x:c>
      <x:c r="E2" s="125" t="str">
        <x:v>把 P0/P1 的文章排期。小站建议先围绕一个主题簇连续写，避免东一篇西一篇。</x:v>
      </x:c>
      <x:c r="F2" s="125" t="str">
        <x:v>把 P0/P1 的文章排期。小站建议先围绕一个主题簇连续写，避免东一篇西一篇。</x:v>
      </x:c>
      <x:c r="G2" s="125" t="str">
        <x:v>把 P0/P1 的文章排期。小站建议先围绕一个主题簇连续写，避免东一篇西一篇。</x:v>
      </x:c>
      <x:c r="H2" s="125" t="str">
        <x:v>把 P0/P1 的文章排期。小站建议先围绕一个主题簇连续写，避免东一篇西一篇。</x:v>
      </x:c>
      <x:c r="I2" s="126"/>
      <x:c r="J2" s="126"/>
      <x:c r="K2" s="126"/>
      <x:c r="L2" s="126"/>
    </x:row>
    <x:row r="3">
      <x:c r="A3" s="126"/>
      <x:c r="B3" s="126"/>
      <x:c r="C3" s="126"/>
      <x:c r="D3" s="126"/>
      <x:c r="E3" s="126"/>
      <x:c r="F3" s="126"/>
      <x:c r="G3" s="126"/>
      <x:c r="H3" s="126"/>
      <x:c r="I3" s="126"/>
      <x:c r="J3" s="126"/>
      <x:c r="K3" s="126"/>
      <x:c r="L3" s="126"/>
    </x:row>
    <x:row r="4">
      <x:c r="A4" s="128" t="str">
        <x:v>周次</x:v>
      </x:c>
      <x:c r="B4" s="128" t="str">
        <x:v>发布日期</x:v>
      </x:c>
      <x:c r="C4" s="128" t="str">
        <x:v>优先级</x:v>
      </x:c>
      <x:c r="D4" s="128" t="str">
        <x:v>主关键词</x:v>
      </x:c>
      <x:c r="E4" s="128" t="str">
        <x:v>主题簇</x:v>
      </x:c>
      <x:c r="F4" s="128" t="str">
        <x:v>文章类型</x:v>
      </x:c>
      <x:c r="G4" s="128" t="str">
        <x:v>父级商业页</x:v>
      </x:c>
      <x:c r="H4" s="128" t="str">
        <x:v>标题草案</x:v>
      </x:c>
      <x:c r="I4" s="128" t="str">
        <x:v>Brief状态</x:v>
      </x:c>
      <x:c r="J4" s="128" t="str">
        <x:v>写作状态</x:v>
      </x:c>
      <x:c r="K4" s="128" t="str">
        <x:v>必须内链</x:v>
      </x:c>
      <x:c r="L4" s="128" t="str">
        <x:v>复盘指标</x:v>
      </x:c>
    </x:row>
    <x:row r="5">
      <x:c r="A5" s="33" t="str">
        <x:v>Week 1</x:v>
      </x:c>
      <x:c r="B5" s="116" t="str"/>
      <x:c r="C5" s="34" t="str">
        <x:v>P0</x:v>
      </x:c>
      <x:c r="D5" s="34" t="str">
        <x:v>silk pillowcase vs satin</x:v>
      </x:c>
      <x:c r="E5" s="34" t="str">
        <x:v>silk pillowcase</x:v>
      </x:c>
      <x:c r="F5" s="34" t="str">
        <x:v>对比文</x:v>
      </x:c>
      <x:c r="G5" s="34" t="str">
        <x:v>/collections/silk-pillowcases</x:v>
      </x:c>
      <x:c r="H5" s="34" t="str">
        <x:v>Silk vs Satin Pillowcase: Which One Is Better for Hair and Skin?</x:v>
      </x:c>
      <x:c r="I5" s="34" t="str">
        <x:v>待确认SERP</x:v>
      </x:c>
      <x:c r="J5" s="34" t="str">
        <x:v>待写</x:v>
      </x:c>
      <x:c r="K5" s="34" t="str">
        <x:v>/collections/silk-pillowcases</x:v>
      </x:c>
      <x:c r="L5" s="35" t="str">
        <x:v>GSC 查询、点击、平均排名</x:v>
      </x:c>
    </x:row>
    <x:row r="6">
      <x:c r="A6" s="36" t="str">
        <x:v>Week 1</x:v>
      </x:c>
      <x:c r="B6" s="117" t="str"/>
      <x:c r="C6" s="37" t="str">
        <x:v>P0</x:v>
      </x:c>
      <x:c r="D6" s="37" t="str">
        <x:v>best silk pillowcase for hair</x:v>
      </x:c>
      <x:c r="E6" s="37" t="str">
        <x:v>silk pillowcase</x:v>
      </x:c>
      <x:c r="F6" s="37" t="str">
        <x:v>榜单/购买指南</x:v>
      </x:c>
      <x:c r="G6" s="37" t="str">
        <x:v>/collections/silk-pillowcases</x:v>
      </x:c>
      <x:c r="H6" s="37" t="str">
        <x:v>Best Silk Pillowcases for Hair: How to Choose the Right One</x:v>
      </x:c>
      <x:c r="I6" s="37" t="str">
        <x:v>待补证据</x:v>
      </x:c>
      <x:c r="J6" s="37" t="str">
        <x:v>待写</x:v>
      </x:c>
      <x:c r="K6" s="37" t="str">
        <x:v>/collections/silk-pillowcases</x:v>
      </x:c>
      <x:c r="L6" s="38" t="str">
        <x:v>排名、内链点击、辅助转化</x:v>
      </x:c>
    </x:row>
    <x:row r="7">
      <x:c r="A7" s="36" t="str">
        <x:v>Week 2</x:v>
      </x:c>
      <x:c r="B7" s="117" t="str"/>
      <x:c r="C7" s="37" t="str">
        <x:v>P0</x:v>
      </x:c>
      <x:c r="D7" s="37" t="str">
        <x:v>how to wash silk pillowcase</x:v>
      </x:c>
      <x:c r="E7" s="37" t="str">
        <x:v>silk care</x:v>
      </x:c>
      <x:c r="F7" s="37" t="str">
        <x:v>教程文</x:v>
      </x:c>
      <x:c r="G7" s="37" t="str">
        <x:v>/products/mulberry-silk-pillowcase</x:v>
      </x:c>
      <x:c r="H7" s="37" t="str">
        <x:v>How to Wash a Silk Pillowcase Without Ruining It</x:v>
      </x:c>
      <x:c r="I7" s="37" t="str">
        <x:v>待补图片</x:v>
      </x:c>
      <x:c r="J7" s="37" t="str">
        <x:v>待写</x:v>
      </x:c>
      <x:c r="K7" s="37" t="str">
        <x:v>/products/mulberry-silk-pillowcase</x:v>
      </x:c>
      <x:c r="L7" s="38" t="str">
        <x:v>点击、FAQ 展现、售后问题下降</x:v>
      </x:c>
    </x:row>
    <x:row r="8">
      <x:c r="A8" s="36" t="str">
        <x:v>Week 2</x:v>
      </x:c>
      <x:c r="B8" s="117" t="str"/>
      <x:c r="C8" s="37" t="str">
        <x:v>P1</x:v>
      </x:c>
      <x:c r="D8" s="37" t="str">
        <x:v>silk pillowcase for curly hair</x:v>
      </x:c>
      <x:c r="E8" s="37" t="str">
        <x:v>curly hair</x:v>
      </x:c>
      <x:c r="F8" s="37" t="str">
        <x:v>场景解决方案</x:v>
      </x:c>
      <x:c r="G8" s="37" t="str">
        <x:v>/collections/silk-pillowcases</x:v>
      </x:c>
      <x:c r="H8" s="37" t="str">
        <x:v>Are Silk Pillowcases Good for Curly Hair?</x:v>
      </x:c>
      <x:c r="I8" s="37" t="str">
        <x:v>待确认竞品</x:v>
      </x:c>
      <x:c r="J8" s="37" t="str">
        <x:v>待写</x:v>
      </x:c>
      <x:c r="K8" s="37" t="str">
        <x:v>/collections/silk-pillowcases</x:v>
      </x:c>
      <x:c r="L8" s="38" t="str">
        <x:v>点击、商品页点击</x:v>
      </x:c>
    </x:row>
    <x:row r="9">
      <x:c r="A9" s="36" t="str">
        <x:v>Week 3</x:v>
      </x:c>
      <x:c r="B9" s="117" t="str"/>
      <x:c r="C9" s="37" t="str">
        <x:v>P1</x:v>
      </x:c>
      <x:c r="D9" s="37" t="str">
        <x:v>silk pillowcase size guide</x:v>
      </x:c>
      <x:c r="E9" s="37" t="str">
        <x:v>size guide</x:v>
      </x:c>
      <x:c r="F9" s="37" t="str">
        <x:v>标准/规格文</x:v>
      </x:c>
      <x:c r="G9" s="37" t="str">
        <x:v>/collections/silk-pillowcases</x:v>
      </x:c>
      <x:c r="H9" s="37" t="str">
        <x:v>Silk Pillowcase Size Guide: Standard, Queen, and King Explained</x:v>
      </x:c>
      <x:c r="I9" s="37" t="str">
        <x:v>待补表格</x:v>
      </x:c>
      <x:c r="J9" s="37" t="str">
        <x:v>待写</x:v>
      </x:c>
      <x:c r="K9" s="37" t="str">
        <x:v>/collections/silk-pillowcases</x:v>
      </x:c>
      <x:c r="L9" s="38" t="str">
        <x:v>收录、排名、咨询问题</x:v>
      </x:c>
    </x:row>
    <x:row r="10">
      <x:c r="A10" s="36" t="str">
        <x:v>Week 3</x:v>
      </x:c>
      <x:c r="B10" s="117" t="str"/>
      <x:c r="C10" s="37" t="str"/>
      <x:c r="D10" s="37" t="str"/>
      <x:c r="E10" s="37" t="str"/>
      <x:c r="F10" s="37" t="str"/>
      <x:c r="G10" s="37" t="str"/>
      <x:c r="H10" s="37" t="str"/>
      <x:c r="I10" s="37" t="str"/>
      <x:c r="J10" s="37" t="str"/>
      <x:c r="K10" s="37" t="str"/>
      <x:c r="L10" s="38" t="str"/>
    </x:row>
    <x:row r="11">
      <x:c r="A11" s="36" t="str">
        <x:v>Week 4</x:v>
      </x:c>
      <x:c r="B11" s="117" t="str"/>
      <x:c r="C11" s="37" t="str"/>
      <x:c r="D11" s="37" t="str"/>
      <x:c r="E11" s="37" t="str"/>
      <x:c r="F11" s="37" t="str"/>
      <x:c r="G11" s="37" t="str"/>
      <x:c r="H11" s="37" t="str"/>
      <x:c r="I11" s="37" t="str"/>
      <x:c r="J11" s="37" t="str"/>
      <x:c r="K11" s="37" t="str"/>
      <x:c r="L11" s="38" t="str"/>
    </x:row>
    <x:row r="12">
      <x:c r="A12" s="36" t="str">
        <x:v>Week 4</x:v>
      </x:c>
      <x:c r="B12" s="117" t="str"/>
      <x:c r="C12" s="37" t="str"/>
      <x:c r="D12" s="37" t="str"/>
      <x:c r="E12" s="37" t="str"/>
      <x:c r="F12" s="37" t="str"/>
      <x:c r="G12" s="37" t="str"/>
      <x:c r="H12" s="37" t="str"/>
      <x:c r="I12" s="37" t="str"/>
      <x:c r="J12" s="37" t="str"/>
      <x:c r="K12" s="37" t="str"/>
      <x:c r="L12" s="38" t="str"/>
    </x:row>
    <x:row r="13">
      <x:c r="A13" s="36" t="str">
        <x:v>Week 5</x:v>
      </x:c>
      <x:c r="B13" s="117" t="str"/>
      <x:c r="C13" s="37" t="str"/>
      <x:c r="D13" s="37" t="str"/>
      <x:c r="E13" s="37" t="str"/>
      <x:c r="F13" s="37" t="str"/>
      <x:c r="G13" s="37" t="str"/>
      <x:c r="H13" s="37" t="str"/>
      <x:c r="I13" s="37" t="str"/>
      <x:c r="J13" s="37" t="str"/>
      <x:c r="K13" s="37" t="str"/>
      <x:c r="L13" s="38" t="str"/>
    </x:row>
    <x:row r="14">
      <x:c r="A14" s="36" t="str">
        <x:v>Week 5</x:v>
      </x:c>
      <x:c r="B14" s="117" t="str"/>
      <x:c r="C14" s="37" t="str"/>
      <x:c r="D14" s="37" t="str"/>
      <x:c r="E14" s="37" t="str"/>
      <x:c r="F14" s="37" t="str"/>
      <x:c r="G14" s="37" t="str"/>
      <x:c r="H14" s="37" t="str"/>
      <x:c r="I14" s="37" t="str"/>
      <x:c r="J14" s="37" t="str"/>
      <x:c r="K14" s="37" t="str"/>
      <x:c r="L14" s="38" t="str"/>
    </x:row>
    <x:row r="15">
      <x:c r="A15" s="36" t="str">
        <x:v>Week 6</x:v>
      </x:c>
      <x:c r="B15" s="117" t="str"/>
      <x:c r="C15" s="37" t="str"/>
      <x:c r="D15" s="37" t="str"/>
      <x:c r="E15" s="37" t="str"/>
      <x:c r="F15" s="37" t="str"/>
      <x:c r="G15" s="37" t="str"/>
      <x:c r="H15" s="37" t="str"/>
      <x:c r="I15" s="37" t="str"/>
      <x:c r="J15" s="37" t="str"/>
      <x:c r="K15" s="37" t="str"/>
      <x:c r="L15" s="38" t="str"/>
    </x:row>
    <x:row r="16">
      <x:c r="A16" s="39" t="str">
        <x:v>Week 6</x:v>
      </x:c>
      <x:c r="B16" s="118" t="str"/>
      <x:c r="C16" s="40" t="str"/>
      <x:c r="D16" s="40" t="str"/>
      <x:c r="E16" s="40" t="str"/>
      <x:c r="F16" s="40" t="str"/>
      <x:c r="G16" s="40" t="str"/>
      <x:c r="H16" s="40" t="str"/>
      <x:c r="I16" s="40" t="str"/>
      <x:c r="J16" s="40" t="str"/>
      <x:c r="K16" s="40" t="str"/>
      <x:c r="L16" s="41" t="str"/>
    </x:row>
  </x:sheetData>
  <x:mergeCells>
    <x:mergeCell ref="A1:L1"/>
    <x:mergeCell ref="A2:H2"/>
  </x:mergeCells>
  <x:dataValidations count="3">
    <x:dataValidation type="list" sqref="C5:C50">
      <x:formula1>"P0,P1,P2,P3"</x:formula1>
    </x:dataValidation>
    <x:dataValidation type="list" sqref="I5:I50">
      <x:formula1>"待确认SERP,待补证据,待补图片,已完成Brief,已发布,需更新"</x:formula1>
    </x:dataValidation>
    <x:dataValidation type="list" sqref="J5:J50">
      <x:formula1>"待写,写作中,待编辑,待发布,已发布,需更新"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4" hidden="0" customWidth="1"/>
    <x:col min="3" max="3" width="28" hidden="0" customWidth="1"/>
    <x:col min="4" max="4" width="42" hidden="0" customWidth="1"/>
    <x:col min="5" max="5" width="30" hidden="0" customWidth="1"/>
    <x:col min="6" max="6" width="30" hidden="0" customWidth="1"/>
  </x:cols>
  <x:sheetData>
    <x:row r="1">
      <x:c r="A1" s="124" t="str">
        <x:v>文章 Brief 模板</x:v>
      </x:c>
      <x:c r="B1" s="124" t="str">
        <x:v>文章 Brief 模板</x:v>
      </x:c>
      <x:c r="C1" s="124" t="str">
        <x:v>文章 Brief 模板</x:v>
      </x:c>
      <x:c r="D1" s="124" t="str">
        <x:v>文章 Brief 模板</x:v>
      </x:c>
      <x:c r="E1" s="124" t="str">
        <x:v>文章 Brief 模板</x:v>
      </x:c>
      <x:c r="F1" s="124" t="str">
        <x:v>文章 Brief 模板</x:v>
      </x:c>
      <x:c r="G1" s="126"/>
      <x:c r="H1" s="126"/>
    </x:row>
    <x:row r="2" ht="34" customHeight="1">
      <x:c r="A2" s="125" t="str">
        <x:v>每篇文章开写前先填这个 Brief，避免写成泛泛而谈的 AI 水文。</x:v>
      </x:c>
      <x:c r="B2" s="125" t="str">
        <x:v>每篇文章开写前先填这个 Brief，避免写成泛泛而谈的 AI 水文。</x:v>
      </x:c>
      <x:c r="C2" s="125" t="str">
        <x:v>每篇文章开写前先填这个 Brief，避免写成泛泛而谈的 AI 水文。</x:v>
      </x:c>
      <x:c r="D2" s="125" t="str">
        <x:v>每篇文章开写前先填这个 Brief，避免写成泛泛而谈的 AI 水文。</x:v>
      </x:c>
      <x:c r="E2" s="125" t="str">
        <x:v>每篇文章开写前先填这个 Brief，避免写成泛泛而谈的 AI 水文。</x:v>
      </x:c>
      <x:c r="F2" s="125" t="str">
        <x:v>每篇文章开写前先填这个 Brief，避免写成泛泛而谈的 AI 水文。</x:v>
      </x:c>
      <x:c r="G2" s="125" t="str">
        <x:v>每篇文章开写前先填这个 Brief，避免写成泛泛而谈的 AI 水文。</x:v>
      </x:c>
      <x:c r="H2" s="125" t="str">
        <x:v>每篇文章开写前先填这个 Brief，避免写成泛泛而谈的 AI 水文。</x:v>
      </x:c>
    </x:row>
    <x:row r="3">
      <x:c r="A3" s="126"/>
      <x:c r="B3" s="126"/>
      <x:c r="C3" s="126"/>
      <x:c r="D3" s="126"/>
      <x:c r="E3" s="126"/>
      <x:c r="F3" s="126"/>
      <x:c r="G3" s="126"/>
      <x:c r="H3" s="126"/>
    </x:row>
    <x:row r="4">
      <x:c r="A4" s="128" t="str">
        <x:v>模块</x:v>
      </x:c>
      <x:c r="B4" s="128" t="str">
        <x:v>填写内容</x:v>
      </x:c>
      <x:c r="C4" s="128" t="str">
        <x:v>判断标准</x:v>
      </x:c>
      <x:c r="D4" s="128" t="str">
        <x:v>示例</x:v>
      </x:c>
      <x:c r="E4" s="128" t="str">
        <x:v>负责人/状态</x:v>
      </x:c>
      <x:c r="F4" s="128" t="str">
        <x:v>复盘</x:v>
      </x:c>
      <x:c r="G4" s="126"/>
      <x:c r="H4" s="126"/>
    </x:row>
    <x:row r="5">
      <x:c r="A5" s="45" t="str">
        <x:v>主关键词</x:v>
      </x:c>
      <x:c r="B5" s="34" t="str">
        <x:v>从「文章关键词池」选择 P0/P1 词</x:v>
      </x:c>
      <x:c r="C5" s="34" t="str">
        <x:v>一个主词，一个明确意图</x:v>
      </x:c>
      <x:c r="D5" s="34" t="str">
        <x:v>silk pillowcase vs satin</x:v>
      </x:c>
      <x:c r="E5" s="34" t="str"/>
      <x:c r="F5" s="35" t="str"/>
      <x:c r="G5" s="126"/>
      <x:c r="H5" s="126"/>
    </x:row>
    <x:row r="6">
      <x:c r="A6" s="46" t="str">
        <x:v>父级商业页</x:v>
      </x:c>
      <x:c r="B6" s="37" t="str">
        <x:v>这篇文章最终要支撑哪个分类/商品页</x:v>
      </x:c>
      <x:c r="C6" s="37" t="str">
        <x:v>必须能自然内链</x:v>
      </x:c>
      <x:c r="D6" s="37" t="str">
        <x:v>/collections/silk-pillowcases</x:v>
      </x:c>
      <x:c r="E6" s="37" t="str"/>
      <x:c r="F6" s="38" t="str"/>
      <x:c r="G6" s="126"/>
      <x:c r="H6" s="126"/>
    </x:row>
    <x:row r="7">
      <x:c r="A7" s="46" t="str">
        <x:v>用户问题</x:v>
      </x:c>
      <x:c r="B7" s="37" t="str">
        <x:v>用户搜索这个词真正想解决什么</x:v>
      </x:c>
      <x:c r="C7" s="37" t="str">
        <x:v>用一句话说清楚</x:v>
      </x:c>
      <x:c r="D7" s="37" t="str">
        <x:v>不知道真丝和缎面哪个更适合头发/皮肤</x:v>
      </x:c>
      <x:c r="E7" s="37" t="str"/>
      <x:c r="F7" s="38" t="str"/>
      <x:c r="G7" s="126"/>
      <x:c r="H7" s="126"/>
    </x:row>
    <x:row r="8">
      <x:c r="A8" s="46" t="str">
        <x:v>搜索意图</x:v>
      </x:c>
      <x:c r="B8" s="37" t="str">
        <x:v>Informational / Commercial / Mixed</x:v>
      </x:c>
      <x:c r="C8" s="37" t="str">
        <x:v>以 SERP 为准，不只看工具标签</x:v>
      </x:c>
      <x:c r="D8" s="37" t="str">
        <x:v>Commercial Investigation</x:v>
      </x:c>
      <x:c r="E8" s="37" t="str"/>
      <x:c r="F8" s="38" t="str"/>
      <x:c r="G8" s="126"/>
      <x:c r="H8" s="126"/>
    </x:row>
    <x:row r="9">
      <x:c r="A9" s="46" t="str">
        <x:v>文章类型</x:v>
      </x:c>
      <x:c r="B9" s="37" t="str">
        <x:v>对比文/榜单/教程/标准/场景方案</x:v>
      </x:c>
      <x:c r="C9" s="37" t="str">
        <x:v>匹配 Google 前排获胜类型</x:v>
      </x:c>
      <x:c r="D9" s="37" t="str">
        <x:v>对比文</x:v>
      </x:c>
      <x:c r="E9" s="37" t="str"/>
      <x:c r="F9" s="38" t="str"/>
      <x:c r="G9" s="126"/>
      <x:c r="H9" s="126"/>
    </x:row>
    <x:row r="10">
      <x:c r="A10" s="46" t="str">
        <x:v>一句话答案</x:v>
      </x:c>
      <x:c r="B10" s="37" t="str">
        <x:v>开头先给结论</x:v>
      </x:c>
      <x:c r="C10" s="37" t="str">
        <x:v>不要绕半天才回答</x:v>
      </x:c>
      <x:c r="D10" s="37" t="str">
        <x:v>Silk is a natural fiber; satin is a weave, so they are not the same category.</x:v>
      </x:c>
      <x:c r="E10" s="37" t="str"/>
      <x:c r="F10" s="38" t="str"/>
      <x:c r="G10" s="126"/>
      <x:c r="H10" s="126"/>
    </x:row>
    <x:row r="11">
      <x:c r="A11" s="46" t="str">
        <x:v>H2结构</x:v>
      </x:c>
      <x:c r="B11" s="37" t="str">
        <x:v>按用户决策顺序排，不按自己想说的排</x:v>
      </x:c>
      <x:c r="C11" s="37" t="str">
        <x:v>先结论，再差异，再适合谁，再选购</x:v>
      </x:c>
      <x:c r="D11" s="37" t="str">
        <x:v>What is silk? What is satin? Key differences table...</x:v>
      </x:c>
      <x:c r="E11" s="37" t="str"/>
      <x:c r="F11" s="38" t="str"/>
      <x:c r="G11" s="126"/>
      <x:c r="H11" s="126"/>
    </x:row>
    <x:row r="12">
      <x:c r="A12" s="46" t="str">
        <x:v>原创证据</x:v>
      </x:c>
      <x:c r="B12" s="37" t="str">
        <x:v>图片、表格、实测、商品经验、材质参数、FAQ</x:v>
      </x:c>
      <x:c r="C12" s="37" t="str">
        <x:v>至少 2-3 个非泛泛模块</x:v>
      </x:c>
      <x:c r="D12" s="37" t="str">
        <x:v>momme 对比表、洗护图片、用户场景</x:v>
      </x:c>
      <x:c r="E12" s="37" t="str"/>
      <x:c r="F12" s="38" t="str"/>
      <x:c r="G12" s="126"/>
      <x:c r="H12" s="126"/>
    </x:row>
    <x:row r="13">
      <x:c r="A13" s="46" t="str">
        <x:v>竞品缺口</x:v>
      </x:c>
      <x:c r="B13" s="37" t="str">
        <x:v>前排文章缺什么</x:v>
      </x:c>
      <x:c r="C13" s="37" t="str">
        <x:v>找到能超越的角度</x:v>
      </x:c>
      <x:c r="D13" s="37" t="str">
        <x:v>缺少尺码/护理/购买建议</x:v>
      </x:c>
      <x:c r="E13" s="37" t="str"/>
      <x:c r="F13" s="38" t="str"/>
      <x:c r="G13" s="126"/>
      <x:c r="H13" s="126"/>
    </x:row>
    <x:row r="14">
      <x:c r="A14" s="46" t="str">
        <x:v>内链</x:v>
      </x:c>
      <x:c r="B14" s="37" t="str">
        <x:v>文章正文中链接到哪些商业页/相关文章</x:v>
      </x:c>
      <x:c r="C14" s="37" t="str">
        <x:v>上链商业页，下链相关博客</x:v>
      </x:c>
      <x:c r="D14" s="37" t="str">
        <x:v>/collections/silk-pillowcases; /blogs/how-to-wash-silk</x:v>
      </x:c>
      <x:c r="E14" s="37" t="str"/>
      <x:c r="F14" s="38" t="str"/>
      <x:c r="G14" s="126"/>
      <x:c r="H14" s="126"/>
    </x:row>
    <x:row r="15">
      <x:c r="A15" s="46" t="str">
        <x:v>CTA</x:v>
      </x:c>
      <x:c r="B15" s="37" t="str">
        <x:v>低门槛 CTA，不要太硬</x:v>
      </x:c>
      <x:c r="C15" s="37" t="str">
        <x:v>教程文轻 CTA，购买指南强 CTA</x:v>
      </x:c>
      <x:c r="D15" s="37" t="str">
        <x:v>See our 22 momme mulberry silk pillowcases</x:v>
      </x:c>
      <x:c r="E15" s="37" t="str"/>
      <x:c r="F15" s="38" t="str"/>
      <x:c r="G15" s="126"/>
      <x:c r="H15" s="126"/>
    </x:row>
    <x:row r="16">
      <x:c r="A16" s="46" t="str">
        <x:v>图片/表格</x:v>
      </x:c>
      <x:c r="B16" s="37" t="str">
        <x:v>需要哪些视觉资产</x:v>
      </x:c>
      <x:c r="C16" s="37" t="str">
        <x:v>表格比纯文字更容易留下来</x:v>
      </x:c>
      <x:c r="D16" s="37" t="str">
        <x:v>Silk vs Satin comparison table</x:v>
      </x:c>
      <x:c r="E16" s="37" t="str"/>
      <x:c r="F16" s="38" t="str"/>
      <x:c r="G16" s="126"/>
      <x:c r="H16" s="126"/>
    </x:row>
    <x:row r="17">
      <x:c r="A17" s="46" t="str">
        <x:v>图片插入位置</x:v>
      </x:c>
      <x:c r="B17" s="37" t="str">
        <x:v>如果需要图片，必须输出 Image Placement Map：图片用途、文件名、精确插入位置、目的、alt</x:v>
      </x:c>
      <x:c r="C17" s="37" t="str">
        <x:v>不能只写“放正文中”；要写 H2/H3、段落后、表格前后或 CMS featured image</x:v>
      </x:c>
      <x:c r="D17" s="37" t="str">
        <x:v>Cover: CMS featured image; comparison image: before comparison table</x:v>
      </x:c>
      <x:c r="E17" s="37" t="str"/>
      <x:c r="F17" s="38" t="str"/>
      <x:c r="G17" s="126"/>
      <x:c r="H17" s="126"/>
    </x:row>
    <x:row r="18">
      <x:c r="A18" s="46" t="str">
        <x:v>FAQ</x:v>
      </x:c>
      <x:c r="B18" s="37" t="str">
        <x:v>从 People Also Ask / Semrush / GSC 提取</x:v>
      </x:c>
      <x:c r="C18" s="37" t="str">
        <x:v>每篇 3-6 个</x:v>
      </x:c>
      <x:c r="D18" s="37" t="str">
        <x:v>Is satin the same as silk?</x:v>
      </x:c>
      <x:c r="E18" s="37" t="str"/>
      <x:c r="F18" s="38" t="str"/>
      <x:c r="G18" s="126"/>
      <x:c r="H18" s="126"/>
    </x:row>
    <x:row r="19">
      <x:c r="A19" s="46" t="str">
        <x:v>References触发判断</x:v>
      </x:c>
      <x:c r="B19" s="37" t="str">
        <x:v>判断本文是否需要外部引用：只有外部事实、官方定义、法律/年龄、健康、安全、电池/回收、行业标准、平台规则或研究数据才触发</x:v>
      </x:c>
      <x:c r="C19" s="37" t="str">
        <x:v>不需要时写“0引用，不添加References”；需要时用描述性锚文本，不展示裸 URL</x:v>
      </x:c>
      <x:c r="D19" s="37" t="str">
        <x:v>触发：FDA ENDS definition; EPA battery disposal guidance / 不触发：口味经验文</x:v>
      </x:c>
      <x:c r="E19" s="37" t="str"/>
      <x:c r="F19" s="38" t="str"/>
      <x:c r="G19" s="126"/>
      <x:c r="H19" s="126"/>
    </x:row>
    <x:row r="20">
      <x:c r="A20" s="46" t="str">
        <x:v>E-E-A-T</x:v>
      </x:c>
      <x:c r="B20" s="37" t="str">
        <x:v>作者经验、来源、证据、可验证事实</x:v>
      </x:c>
      <x:c r="C20" s="37" t="str">
        <x:v>能降低 AI 味</x:v>
      </x:c>
      <x:c r="D20" s="37" t="str">
        <x:v>材质说明、护理测试、真实产品图</x:v>
      </x:c>
      <x:c r="E20" s="37" t="str"/>
      <x:c r="F20" s="38" t="str"/>
      <x:c r="G20" s="126"/>
      <x:c r="H20" s="126"/>
    </x:row>
    <x:row r="21">
      <x:c r="A21" s="46" t="str">
        <x:v>发布后复盘</x:v>
      </x:c>
      <x:c r="B21" s="37" t="str">
        <x:v>30-60 天看 GSC</x:v>
      </x:c>
      <x:c r="C21" s="37" t="str">
        <x:v>没展现看意图，没点击改标题，没排名补内容/内链</x:v>
      </x:c>
      <x:c r="D21" s="37" t="str">
        <x:v>Clicks, impressions, avg position</x:v>
      </x:c>
      <x:c r="E21" s="37" t="str"/>
      <x:c r="F21" s="38" t="str"/>
      <x:c r="G21" s="126"/>
      <x:c r="H21" s="126"/>
    </x:row>
    <x:row r="22">
      <x:c r="A22" s="47" t="str">
        <x:v>是否更新</x:v>
      </x:c>
      <x:c r="B22" s="40" t="str">
        <x:v>有排名苗头就更新</x:v>
      </x:c>
      <x:c r="C22" s="40" t="str">
        <x:v>不要只发不改</x:v>
      </x:c>
      <x:c r="D22" s="40" t="str">
        <x:v>补 FAQ、补对比表、补内部链接</x:v>
      </x:c>
      <x:c r="E22" s="40" t="str"/>
      <x:c r="F22" s="41" t="str"/>
      <x:c r="G22" s="126"/>
      <x:c r="H22" s="126"/>
    </x:row>
  </x:sheetData>
  <x:mergeCells>
    <x:mergeCell ref="A1:F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0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24" t="str">
        <x:v>文章关键词筛选仪表盘</x:v>
      </x:c>
      <x:c r="B1" s="124" t="str">
        <x:v>文章关键词筛选仪表盘</x:v>
      </x:c>
      <x:c r="C1" s="124" t="str">
        <x:v>文章关键词筛选仪表盘</x:v>
      </x:c>
      <x:c r="D1" s="124" t="str">
        <x:v>文章关键词筛选仪表盘</x:v>
      </x:c>
      <x:c r="E1" s="124" t="str">
        <x:v>文章关键词筛选仪表盘</x:v>
      </x:c>
      <x:c r="F1" s="124" t="str">
        <x:v>文章关键词筛选仪表盘</x:v>
      </x:c>
      <x:c r="G1" s="124" t="str">
        <x:v>文章关键词筛选仪表盘</x:v>
      </x:c>
      <x:c r="H1" s="124" t="str">
        <x:v>文章关键词筛选仪表盘</x:v>
      </x:c>
    </x:row>
    <x:row r="2" ht="34" customHeight="1">
      <x:c r="A2" s="125" t="str">
        <x:v>把关键词池的状态汇总成可复盘的内容生产看板。</x:v>
      </x:c>
      <x:c r="B2" s="125" t="str">
        <x:v>把关键词池的状态汇总成可复盘的内容生产看板。</x:v>
      </x:c>
      <x:c r="C2" s="125" t="str">
        <x:v>把关键词池的状态汇总成可复盘的内容生产看板。</x:v>
      </x:c>
      <x:c r="D2" s="125" t="str">
        <x:v>把关键词池的状态汇总成可复盘的内容生产看板。</x:v>
      </x:c>
      <x:c r="E2" s="125" t="str">
        <x:v>把关键词池的状态汇总成可复盘的内容生产看板。</x:v>
      </x:c>
      <x:c r="F2" s="125" t="str">
        <x:v>把关键词池的状态汇总成可复盘的内容生产看板。</x:v>
      </x:c>
      <x:c r="G2" s="125" t="str">
        <x:v>把关键词池的状态汇总成可复盘的内容生产看板。</x:v>
      </x:c>
      <x:c r="H2" s="125" t="str">
        <x:v>把关键词池的状态汇总成可复盘的内容生产看板。</x:v>
      </x:c>
    </x:row>
    <x:row r="3">
      <x:c r="A3" s="126"/>
      <x:c r="B3" s="126"/>
      <x:c r="C3" s="126"/>
      <x:c r="D3" s="126"/>
      <x:c r="E3" s="126"/>
      <x:c r="F3" s="126"/>
      <x:c r="G3" s="126"/>
      <x:c r="H3" s="126"/>
    </x:row>
    <x:row r="4">
      <x:c r="A4" s="128" t="str">
        <x:v>指标</x:v>
      </x:c>
      <x:c r="B4" s="128" t="str">
        <x:v>结果</x:v>
      </x:c>
      <x:c r="C4" s="126"/>
      <x:c r="D4" s="129" t="str">
        <x:v>判断口径</x:v>
      </x:c>
      <x:c r="E4" s="130" t="str">
        <x:v>判断口径</x:v>
      </x:c>
      <x:c r="F4" s="130" t="str">
        <x:v>判断口径</x:v>
      </x:c>
      <x:c r="G4" s="130" t="str">
        <x:v>判断口径</x:v>
      </x:c>
      <x:c r="H4" s="131" t="str">
        <x:v>判断口径</x:v>
      </x:c>
    </x:row>
    <x:row r="5">
      <x:c r="A5" s="33" t="str">
        <x:v>关键词总数</x:v>
      </x:c>
      <x:c r="B5" s="146" t="n">
        <x:f>COUNTA('文章关键词池'!$A$2:$A$101)</x:f>
        <x:v>10</x:v>
      </x:c>
      <x:c r="C5" s="126"/>
      <x:c r="D5" s="33" t="str">
        <x:v>先看 SERP</x:v>
      </x:c>
      <x:c r="E5" s="34" t="str">
        <x:v>文章占比低于 4 的词，不要急着写博客。</x:v>
      </x:c>
      <x:c r="F5" s="34" t="str"/>
      <x:c r="G5" s="34" t="str"/>
      <x:c r="H5" s="35" t="str"/>
    </x:row>
    <x:row r="6">
      <x:c r="A6" s="36" t="str">
        <x:v>P0 立即写</x:v>
      </x:c>
      <x:c r="B6" s="147" t="n">
        <x:f>COUNTIF('文章关键词池'!$AD$2:$AD$101,"P0")</x:f>
        <x:v>8</x:v>
      </x:c>
      <x:c r="C6" s="126"/>
      <x:c r="D6" s="36" t="str">
        <x:v>再看商业页</x:v>
      </x:c>
      <x:c r="E6" s="37" t="str">
        <x:v>每篇文章必须支撑一个分类/商品/集合页。</x:v>
      </x:c>
      <x:c r="F6" s="37" t="str"/>
      <x:c r="G6" s="37" t="str"/>
      <x:c r="H6" s="38" t="str"/>
    </x:row>
    <x:row r="7">
      <x:c r="A7" s="36" t="str">
        <x:v>P1 排期写</x:v>
      </x:c>
      <x:c r="B7" s="147" t="n">
        <x:f>COUNTIF('文章关键词池'!$AD$2:$AD$101,"P1")</x:f>
        <x:v>1</x:v>
      </x:c>
      <x:c r="C7" s="126"/>
      <x:c r="D7" s="36" t="str">
        <x:v>再看内容深度</x:v>
      </x:c>
      <x:c r="E7" s="37" t="str">
        <x:v>能否做出表格、图片、对比、经验、FAQ。</x:v>
      </x:c>
      <x:c r="F7" s="37" t="str"/>
      <x:c r="G7" s="37" t="str"/>
      <x:c r="H7" s="38" t="str"/>
    </x:row>
    <x:row r="8">
      <x:c r="A8" s="36" t="str">
        <x:v>P2 低优先/FAQ</x:v>
      </x:c>
      <x:c r="B8" s="147" t="n">
        <x:f>COUNTIF('文章关键词池'!$AD$2:$AD$101,"P2")</x:f>
        <x:v>0</x:v>
      </x:c>
      <x:c r="C8" s="126"/>
      <x:c r="D8" s="36" t="str">
        <x:v>最后排期</x:v>
      </x:c>
      <x:c r="E8" s="37" t="str">
        <x:v>P0/P1 进入内容日历，P2 可做 FAQ，P3 不单独写。</x:v>
      </x:c>
      <x:c r="F8" s="37" t="str"/>
      <x:c r="G8" s="37" t="str"/>
      <x:c r="H8" s="38" t="str"/>
    </x:row>
    <x:row r="9">
      <x:c r="A9" s="36" t="str">
        <x:v>P3 不单独写</x:v>
      </x:c>
      <x:c r="B9" s="147" t="n">
        <x:f>COUNTIF('文章关键词池'!$AD$2:$AD$101,"P3")</x:f>
        <x:v>1</x:v>
      </x:c>
      <x:c r="C9" s="126"/>
      <x:c r="D9" s="36" t="str">
        <x:v>2C迁移</x:v>
      </x:c>
      <x:c r="E9" s="37" t="str">
        <x:v>博客负责教育和决策，分类/商品页负责转化。</x:v>
      </x:c>
      <x:c r="F9" s="37" t="str"/>
      <x:c r="G9" s="37" t="str"/>
      <x:c r="H9" s="38" t="str"/>
    </x:row>
    <x:row r="10">
      <x:c r="A10" s="36" t="str">
        <x:v>平均分</x:v>
      </x:c>
      <x:c r="B10" s="148" t="n">
        <x:f>IFERROR(AVERAGE('文章关键词池'!$AC$2:$AC$101),0)</x:f>
        <x:v>78</x:v>
      </x:c>
      <x:c r="C10" s="126"/>
      <x:c r="D10" s="36" t="str">
        <x:v>发文节奏</x:v>
      </x:c>
      <x:c r="E10" s="37" t="str">
        <x:v>起步 10篇/月，成长 20篇/月，发展约30篇/月。</x:v>
      </x:c>
      <x:c r="F10" s="37" t="str"/>
      <x:c r="G10" s="37" t="str"/>
      <x:c r="H10" s="38" t="str"/>
    </x:row>
    <x:row r="11">
      <x:c r="A11" s="36" t="str">
        <x:v>SERP文章占比均值</x:v>
      </x:c>
      <x:c r="B11" s="148" t="n">
        <x:f>IFERROR(AVERAGE('文章关键词池'!$I$2:$I$101),0)</x:f>
        <x:v>7.2</x:v>
      </x:c>
      <x:c r="C11" s="126"/>
      <x:c r="D11" s="36" t="str">
        <x:v>复盘</x:v>
      </x:c>
      <x:c r="E11" s="37" t="str">
        <x:v>30-60 天看 GSC，有苗头就补内容和内链。</x:v>
      </x:c>
      <x:c r="F11" s="37" t="str"/>
      <x:c r="G11" s="37" t="str"/>
      <x:c r="H11" s="38" t="str"/>
    </x:row>
    <x:row r="12">
      <x:c r="A12" s="39" t="str">
        <x:v>商业支撑均值</x:v>
      </x:c>
      <x:c r="B12" s="149" t="n">
        <x:f>IFERROR(AVERAGE('文章关键词池'!$W$2:$W$101),0)</x:f>
        <x:v>17</x:v>
      </x:c>
      <x:c r="C12" s="126"/>
      <x:c r="D12" s="39" t="str">
        <x:v>风险</x:v>
      </x:c>
      <x:c r="E12" s="40" t="str">
        <x:v>不要为了凑数量写定义文，也不要让博客孤岛化。</x:v>
      </x:c>
      <x:c r="F12" s="40" t="str"/>
      <x:c r="G12" s="40" t="str"/>
      <x:c r="H12" s="41" t="str"/>
    </x:row>
    <x:row r="13">
      <x:c r="A13" s="126"/>
      <x:c r="B13" s="126"/>
      <x:c r="C13" s="126"/>
      <x:c r="D13" s="126"/>
      <x:c r="E13" s="126"/>
      <x:c r="F13" s="126"/>
      <x:c r="G13" s="126"/>
      <x:c r="H13" s="126"/>
    </x:row>
    <x:row r="14">
      <x:c r="A14" s="142" t="str">
        <x:v>建议使用节奏</x:v>
      </x:c>
      <x:c r="B14" s="142" t="str">
        <x:v>建议使用节奏</x:v>
      </x:c>
      <x:c r="C14" s="142" t="str">
        <x:v>建议使用节奏</x:v>
      </x:c>
      <x:c r="D14" s="142" t="str">
        <x:v>建议使用节奏</x:v>
      </x:c>
      <x:c r="E14" s="142" t="str">
        <x:v>建议使用节奏</x:v>
      </x:c>
      <x:c r="F14" s="142" t="str">
        <x:v>建议使用节奏</x:v>
      </x:c>
      <x:c r="G14" s="142" t="str">
        <x:v>建议使用节奏</x:v>
      </x:c>
      <x:c r="H14" s="142" t="str">
        <x:v>建议使用节奏</x:v>
      </x:c>
    </x:row>
    <x:row r="15">
      <x:c r="A15" s="128" t="str">
        <x:v>网站阶段</x:v>
      </x:c>
      <x:c r="B15" s="128" t="str">
        <x:v>参考指标</x:v>
      </x:c>
      <x:c r="C15" s="128" t="str">
        <x:v>建议发文</x:v>
      </x:c>
      <x:c r="D15" s="128" t="str">
        <x:v>关键词选择</x:v>
      </x:c>
      <x:c r="E15" s="128" t="str">
        <x:v>文章类型</x:v>
      </x:c>
      <x:c r="F15" s="128" t="str">
        <x:v>内容要求</x:v>
      </x:c>
      <x:c r="G15" s="128" t="str">
        <x:v>复盘重点</x:v>
      </x:c>
      <x:c r="H15" s="128" t="str">
        <x:v>备注</x:v>
      </x:c>
    </x:row>
    <x:row r="16">
      <x:c r="A16" s="33" t="str">
        <x:v>起步期</x:v>
      </x:c>
      <x:c r="B16" s="34" t="str">
        <x:v>DA 0-10 / Semrush流量&lt;300</x:v>
      </x:c>
      <x:c r="C16" s="34" t="str">
        <x:v>10篇/月</x:v>
      </x:c>
      <x:c r="D16" s="34" t="str">
        <x:v>长尾 + 商业支撑强</x:v>
      </x:c>
      <x:c r="E16" s="34" t="str">
        <x:v>教程/对比/场景</x:v>
      </x:c>
      <x:c r="F16" s="34" t="str">
        <x:v>少而深</x:v>
      </x:c>
      <x:c r="G16" s="34" t="str">
        <x:v>收录/展现</x:v>
      </x:c>
      <x:c r="H16" s="35" t="str">
        <x:v>不要为了日更牺牲质量</x:v>
      </x:c>
    </x:row>
    <x:row r="17">
      <x:c r="A17" s="36" t="str">
        <x:v>成长期</x:v>
      </x:c>
      <x:c r="B17" s="37" t="str">
        <x:v>DA≤15 / 流量500以内</x:v>
      </x:c>
      <x:c r="C17" s="37" t="str">
        <x:v>20篇/月</x:v>
      </x:c>
      <x:c r="D17" s="37" t="str">
        <x:v>补核心词 + 长尾矩阵</x:v>
      </x:c>
      <x:c r="E17" s="37" t="str">
        <x:v>榜单/标准/指南</x:v>
      </x:c>
      <x:c r="F17" s="37" t="str">
        <x:v>形成主题簇</x:v>
      </x:c>
      <x:c r="G17" s="37" t="str">
        <x:v>点击/排名</x:v>
      </x:c>
      <x:c r="H17" s="38" t="str">
        <x:v>围绕一个产品线扩展</x:v>
      </x:c>
    </x:row>
    <x:row r="18">
      <x:c r="A18" s="39" t="str">
        <x:v>发展期+</x:v>
      </x:c>
      <x:c r="B18" s="40" t="str">
        <x:v>DA&gt;15 / 流量&gt;1000</x:v>
      </x:c>
      <x:c r="C18" s="40" t="str">
        <x:v>约30篇/月</x:v>
      </x:c>
      <x:c r="D18" s="40" t="str">
        <x:v>核心词矩阵 + 高价值深度文</x:v>
      </x:c>
      <x:c r="E18" s="40" t="str">
        <x:v>深度指南/数据文</x:v>
      </x:c>
      <x:c r="F18" s="40" t="str">
        <x:v>权威和转化</x:v>
      </x:c>
      <x:c r="G18" s="40" t="str">
        <x:v>商业页排名</x:v>
      </x:c>
      <x:c r="H18" s="41" t="str">
        <x:v>优先更新已有内容</x:v>
      </x:c>
    </x:row>
  </x:sheetData>
  <x:mergeCells>
    <x:mergeCell ref="A1:H1"/>
    <x:mergeCell ref="A2:H2"/>
    <x:mergeCell ref="D4:H4"/>
    <x:mergeCell ref="A14:H1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25" hidden="0" customWidth="1"/>
    <x:col min="3" max="3" width="22.5" hidden="0" customWidth="1"/>
    <x:col min="4" max="4" width="21.25" hidden="0" customWidth="1"/>
    <x:col min="5" max="5" width="26.25" hidden="0" customWidth="1"/>
    <x:col min="6" max="6" width="25" hidden="0" customWidth="1"/>
    <x:col min="7" max="7" width="15" hidden="0" customWidth="1"/>
    <x:col min="8" max="8" width="27.5" hidden="0" customWidth="1"/>
  </x:cols>
  <x:sheetData>
    <x:row r="1">
      <x:c r="A1" s="153" t="str">
        <x:v>数据源中心：把关键词、站点文章、排名、行为和转化接到同一站点画像</x:v>
      </x:c>
      <x:c r="B1" s="153" t="str">
        <x:v>数据源中心：把关键词、站点文章、排名、行为和转化接到同一站点画像</x:v>
      </x:c>
      <x:c r="C1" s="153" t="str">
        <x:v>数据源中心：把关键词、站点文章、排名、行为和转化接到同一站点画像</x:v>
      </x:c>
      <x:c r="D1" s="153" t="str">
        <x:v>数据源中心：把关键词、站点文章、排名、行为和转化接到同一站点画像</x:v>
      </x:c>
      <x:c r="E1" s="153" t="str">
        <x:v>数据源中心：把关键词、站点文章、排名、行为和转化接到同一站点画像</x:v>
      </x:c>
      <x:c r="F1" s="153" t="str">
        <x:v>数据源中心：把关键词、站点文章、排名、行为和转化接到同一站点画像</x:v>
      </x:c>
      <x:c r="G1" s="153" t="str">
        <x:v>数据源中心：把关键词、站点文章、排名、行为和转化接到同一站点画像</x:v>
      </x:c>
      <x:c r="H1" s="153" t="str">
        <x:v>数据源中心：把关键词、站点文章、排名、行为和转化接到同一站点画像</x:v>
      </x:c>
    </x:row>
    <x:row r="2" ht="34.5" customHeight="1">
      <x:c r="A2" s="164" t="str">
        <x:v>这张表定义后续网页端/API 应该接哪些数据，以及每个数据源在 SEO 决策里扮演什么角色。先允许 CSV/Excel 手动导入，后续再接 GSC、GA4、DataForSEO、询盘或订单 API。</x:v>
      </x:c>
      <x:c r="B2" s="164" t="str">
        <x:v>这张表定义后续网页端/API 应该接哪些数据，以及每个数据源在 SEO 决策里扮演什么角色。先允许 CSV/Excel 手动导入，后续再接 GSC、GA4、DataForSEO、询盘或订单 API。</x:v>
      </x:c>
      <x:c r="C2" s="164" t="str">
        <x:v>这张表定义后续网页端/API 应该接哪些数据，以及每个数据源在 SEO 决策里扮演什么角色。先允许 CSV/Excel 手动导入，后续再接 GSC、GA4、DataForSEO、询盘或订单 API。</x:v>
      </x:c>
      <x:c r="D2" s="164" t="str">
        <x:v>这张表定义后续网页端/API 应该接哪些数据，以及每个数据源在 SEO 决策里扮演什么角色。先允许 CSV/Excel 手动导入，后续再接 GSC、GA4、DataForSEO、询盘或订单 API。</x:v>
      </x:c>
      <x:c r="E2" s="164" t="str">
        <x:v>这张表定义后续网页端/API 应该接哪些数据，以及每个数据源在 SEO 决策里扮演什么角色。先允许 CSV/Excel 手动导入，后续再接 GSC、GA4、DataForSEO、询盘或订单 API。</x:v>
      </x:c>
      <x:c r="F2" s="164" t="str">
        <x:v>这张表定义后续网页端/API 应该接哪些数据，以及每个数据源在 SEO 决策里扮演什么角色。先允许 CSV/Excel 手动导入，后续再接 GSC、GA4、DataForSEO、询盘或订单 API。</x:v>
      </x:c>
      <x:c r="G2" s="164" t="str">
        <x:v>这张表定义后续网页端/API 应该接哪些数据，以及每个数据源在 SEO 决策里扮演什么角色。先允许 CSV/Excel 手动导入，后续再接 GSC、GA4、DataForSEO、询盘或订单 API。</x:v>
      </x:c>
      <x:c r="H2" s="164" t="str">
        <x:v>这张表定义后续网页端/API 应该接哪些数据，以及每个数据源在 SEO 决策里扮演什么角色。先允许 CSV/Excel 手动导入，后续再接 GSC、GA4、DataForSEO、询盘或订单 API。</x:v>
      </x:c>
    </x:row>
    <x:row r="3" ht="34.5" customHeight="1">
      <x:c r="A3" s="164" t="str">
        <x:v>这张表定义后续网页端/API 应该接哪些数据，以及每个数据源在 SEO 决策里扮演什么角色。先允许 CSV/Excel 手动导入，后续再接 GSC、GA4、DataForSEO、询盘或订单 API。</x:v>
      </x:c>
      <x:c r="B3" s="164" t="str">
        <x:v>这张表定义后续网页端/API 应该接哪些数据，以及每个数据源在 SEO 决策里扮演什么角色。先允许 CSV/Excel 手动导入，后续再接 GSC、GA4、DataForSEO、询盘或订单 API。</x:v>
      </x:c>
      <x:c r="C3" s="164" t="str">
        <x:v>这张表定义后续网页端/API 应该接哪些数据，以及每个数据源在 SEO 决策里扮演什么角色。先允许 CSV/Excel 手动导入，后续再接 GSC、GA4、DataForSEO、询盘或订单 API。</x:v>
      </x:c>
      <x:c r="D3" s="164" t="str">
        <x:v>这张表定义后续网页端/API 应该接哪些数据，以及每个数据源在 SEO 决策里扮演什么角色。先允许 CSV/Excel 手动导入，后续再接 GSC、GA4、DataForSEO、询盘或订单 API。</x:v>
      </x:c>
      <x:c r="E3" s="164" t="str">
        <x:v>这张表定义后续网页端/API 应该接哪些数据，以及每个数据源在 SEO 决策里扮演什么角色。先允许 CSV/Excel 手动导入，后续再接 GSC、GA4、DataForSEO、询盘或订单 API。</x:v>
      </x:c>
      <x:c r="F3" s="164" t="str">
        <x:v>这张表定义后续网页端/API 应该接哪些数据，以及每个数据源在 SEO 决策里扮演什么角色。先允许 CSV/Excel 手动导入，后续再接 GSC、GA4、DataForSEO、询盘或订单 API。</x:v>
      </x:c>
      <x:c r="G3" s="164" t="str">
        <x:v>这张表定义后续网页端/API 应该接哪些数据，以及每个数据源在 SEO 决策里扮演什么角色。先允许 CSV/Excel 手动导入，后续再接 GSC、GA4、DataForSEO、询盘或订单 API。</x:v>
      </x:c>
      <x:c r="H3" s="164" t="str">
        <x:v>这张表定义后续网页端/API 应该接哪些数据，以及每个数据源在 SEO 决策里扮演什么角色。先允许 CSV/Excel 手动导入，后续再接 GSC、GA4、DataForSEO、询盘或订单 API。</x:v>
      </x:c>
    </x:row>
    <x:row r="5" ht="27" customHeight="1">
      <x:c r="A5" s="160" t="str">
        <x:v>数据源</x:v>
      </x:c>
      <x:c r="B5" s="160" t="str">
        <x:v>接入方式</x:v>
      </x:c>
      <x:c r="C5" s="160" t="str">
        <x:v>关键字段</x:v>
      </x:c>
      <x:c r="D5" s="160" t="str">
        <x:v>主要用途</x:v>
      </x:c>
      <x:c r="E5" s="160" t="str">
        <x:v>健康检查</x:v>
      </x:c>
      <x:c r="F5" s="160" t="str">
        <x:v>失败/缺失时影响</x:v>
      </x:c>
      <x:c r="G5" s="160" t="str">
        <x:v>优先级</x:v>
      </x:c>
      <x:c r="H5" s="160" t="str">
        <x:v>下一步</x:v>
      </x:c>
    </x:row>
    <x:row r="6">
      <x:c r="A6" s="157" t="str">
        <x:v>Semrush 关键词池</x:v>
      </x:c>
      <x:c r="B6" s="157" t="str">
        <x:v>Excel/CSV 导入</x:v>
      </x:c>
      <x:c r="C6" s="157" t="str">
        <x:v>Keyword, Volume, KD, Intent, SERP Features, URL, Country</x:v>
      </x:c>
      <x:c r="D6" s="157" t="str">
        <x:v>建立关键词池、主题簇、初始难度和搜索意图</x:v>
      </x:c>
      <x:c r="E6" s="157" t="str">
        <x:v>国家/语言是否匹配当前站点；是否保留搜索量和 KD</x:v>
      </x:c>
      <x:c r="F6" s="157" t="str">
        <x:v>只能做初筛，不能证明本站真实需求</x:v>
      </x:c>
      <x:c r="G6" s="157" t="str">
        <x:v>P0</x:v>
      </x:c>
      <x:c r="H6" s="157" t="str">
        <x:v>已接入，继续兼容不同导出格式</x:v>
      </x:c>
    </x:row>
    <x:row r="7">
      <x:c r="A7" s="157" t="str">
        <x:v>站点文章库存</x:v>
      </x:c>
      <x:c r="B7" s="157" t="str">
        <x:v>WordPress / 自建博客 / 主站 OpenAPI</x:v>
      </x:c>
      <x:c r="C7" s="157" t="str">
        <x:v>title, slug/url, content, category, status, published_at, meta</x:v>
      </x:c>
      <x:c r="D7" s="157" t="str">
        <x:v>判断已覆盖主题、重复竞争、内链机会、旧文优化对象</x:v>
      </x:c>
      <x:c r="E7" s="157" t="str">
        <x:v>所选站点是否与市场/语言匹配；是否只展示当前站点文章</x:v>
      </x:c>
      <x:c r="F7" s="157" t="str">
        <x:v>无法判断写新文还是改旧文，容易重复</x:v>
      </x:c>
      <x:c r="G7" s="157" t="str">
        <x:v>P0</x:v>
      </x:c>
      <x:c r="H7" s="157" t="str">
        <x:v>已接入，继续补分类、标签和关键词映射</x:v>
      </x:c>
    </x:row>
    <x:row r="8">
      <x:c r="A8" s="157" t="str">
        <x:v>GSC 查询词/页面</x:v>
      </x:c>
      <x:c r="B8" s="157" t="str">
        <x:v>CSV 导入，后续 API</x:v>
      </x:c>
      <x:c r="C8" s="157" t="str">
        <x:v>query, page, country, clicks, impressions, ctr, avg position, date</x:v>
      </x:c>
      <x:c r="D8" s="157" t="str">
        <x:v>证明真实搜索需求，发现高曝光低点击、页面错配、长尾机会</x:v>
      </x:c>
      <x:c r="E8" s="157" t="str">
        <x:v>日期范围、国家、站点属性是否正确；GSC 均位不得当实时排名</x:v>
      </x:c>
      <x:c r="F8" s="157" t="str">
        <x:v>无法知道本站真正被 Google 曝光了什么</x:v>
      </x:c>
      <x:c r="G8" s="157" t="str">
        <x:v>P0</x:v>
      </x:c>
      <x:c r="H8" s="157" t="str">
        <x:v>先做导入页，再接 OAuth/API</x:v>
      </x:c>
    </x:row>
    <x:row r="9">
      <x:c r="A9" s="157" t="str">
        <x:v>当前排名</x:v>
      </x:c>
      <x:c r="B9" s="157" t="str">
        <x:v>DataForSEO / Semrush Rank / SerpAPI</x:v>
      </x:c>
      <x:c r="C9" s="157" t="str">
        <x:v>keyword, location, language, rank, ranking_url, checked_at</x:v>
      </x:c>
      <x:c r="D9" s="157" t="str">
        <x:v>校验当前是否真实排名、排名 URL 是否正确、是否 Quick Win</x:v>
      </x:c>
      <x:c r="E9" s="157" t="str">
        <x:v>检查时间、国家/语言、设备是否与目标市场一致</x:v>
      </x:c>
      <x:c r="F9" s="157" t="str">
        <x:v>会把历史均位误判为当前排名</x:v>
      </x:c>
      <x:c r="G9" s="157" t="str">
        <x:v>P0</x:v>
      </x:c>
      <x:c r="H9" s="157" t="str">
        <x:v>预留 provider 字段和导入模板</x:v>
      </x:c>
    </x:row>
    <x:row r="10">
      <x:c r="A10" s="157" t="str">
        <x:v>GA4 行为质量</x:v>
      </x:c>
      <x:c r="B10" s="157" t="str">
        <x:v>CSV 导入，后续 API</x:v>
      </x:c>
      <x:c r="C10" s="157" t="str">
        <x:v>landing_page, country, source/medium, users, sessions, engagement, bounce, avg_time</x:v>
      </x:c>
      <x:c r="D10" s="157" t="str">
        <x:v>判断流量质量、入口页价值、目标国家和渠道质量</x:v>
      </x:c>
      <x:c r="E10" s="157" t="str">
        <x:v>目标 GEO 是否一致；停留、跳出、互动是否健康</x:v>
      </x:c>
      <x:c r="F10" s="157" t="str">
        <x:v>只知道有流量，不知道流量值不值钱</x:v>
      </x:c>
      <x:c r="G10" s="157" t="str">
        <x:v>P1</x:v>
      </x:c>
      <x:c r="H10" s="157" t="str">
        <x:v>先导入 GA4 report，后续接 Data API</x:v>
      </x:c>
    </x:row>
    <x:row r="11">
      <x:c r="A11" s="157" t="str">
        <x:v>询盘/订单/加购</x:v>
      </x:c>
      <x:c r="B11" s="157" t="str">
        <x:v>表单、Shopify、CRM、自建接口</x:v>
      </x:c>
      <x:c r="C11" s="157" t="str">
        <x:v>event/page/source/keyword(if any), lead/order/add_to_cart, value, date</x:v>
      </x:c>
      <x:c r="D11" s="157" t="str">
        <x:v>判断 SEO 是否带来商业价值，给下月任务排序</x:v>
      </x:c>
      <x:c r="E11" s="157" t="str">
        <x:v>能否回溯到页面/来源；是否剔除垃圾询盘</x:v>
      </x:c>
      <x:c r="F11" s="157" t="str">
        <x:v>只能做流量 SEO，无法判断商业贡献</x:v>
      </x:c>
      <x:c r="G11" s="157" t="str">
        <x:v>P1</x:v>
      </x:c>
      <x:c r="H11" s="157" t="str">
        <x:v>预留转化接口和归因字段</x:v>
      </x:c>
    </x:row>
    <x:row r="12">
      <x:c r="A12" s="157" t="str">
        <x:v>AI 引用/来源流量</x:v>
      </x:c>
      <x:c r="B12" s="157" t="str">
        <x:v>GA4 referral/source 或服务器日志</x:v>
      </x:c>
      <x:c r="C12" s="157" t="str">
        <x:v>chatgpt/perplexity/ai assistant referrals, landing_page</x:v>
      </x:c>
      <x:c r="D12" s="157" t="str">
        <x:v>观察 AI 搜索/推荐带来的额外流量和页面价值</x:v>
      </x:c>
      <x:c r="E12" s="157" t="str">
        <x:v>来源是否可识别；页面是否与主题相关</x:v>
      </x:c>
      <x:c r="F12" s="157" t="str">
        <x:v>忽略非 Google 机会</x:v>
      </x:c>
      <x:c r="G12" s="157" t="str">
        <x:v>P2</x:v>
      </x:c>
      <x:c r="H12" s="157" t="str">
        <x:v>先作为 GA4 来源分类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a34e34c0a47d4f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8.75" hidden="0" customWidth="1"/>
    <x:col min="3" max="3" width="20" hidden="0" customWidth="1"/>
    <x:col min="4" max="4" width="19.3799991607666" hidden="0" customWidth="1"/>
    <x:col min="5" max="5" width="21.25" hidden="0" customWidth="1"/>
    <x:col min="6" max="6" width="21.25" hidden="0" customWidth="1"/>
    <x:col min="7" max="7" width="21.25" hidden="0" customWidth="1"/>
    <x:col min="8" max="8" width="21.25" hidden="0" customWidth="1"/>
    <x:col min="9" max="9" width="22.5" hidden="0" customWidth="1"/>
    <x:col min="10" max="10" width="27.5" hidden="0" customWidth="1"/>
  </x:cols>
  <x:sheetData>
    <x:row r="1">
      <x:c r="A1" s="153" t="str">
        <x:v>月度 SEO 复盘总控：先证明需求，再补强排名承接</x:v>
      </x:c>
      <x:c r="B1" s="153" t="str">
        <x:v>月度 SEO 复盘总控：先证明需求，再补强排名承接</x:v>
      </x:c>
      <x:c r="C1" s="153" t="str">
        <x:v>月度 SEO 复盘总控：先证明需求，再补强排名承接</x:v>
      </x:c>
      <x:c r="D1" s="153" t="str">
        <x:v>月度 SEO 复盘总控：先证明需求，再补强排名承接</x:v>
      </x:c>
      <x:c r="E1" s="153" t="str">
        <x:v>月度 SEO 复盘总控：先证明需求，再补强排名承接</x:v>
      </x:c>
      <x:c r="F1" s="153" t="str">
        <x:v>月度 SEO 复盘总控：先证明需求，再补强排名承接</x:v>
      </x:c>
      <x:c r="G1" s="153" t="str">
        <x:v>月度 SEO 复盘总控：先证明需求，再补强排名承接</x:v>
      </x:c>
      <x:c r="H1" s="153" t="str">
        <x:v>月度 SEO 复盘总控：先证明需求，再补强排名承接</x:v>
      </x:c>
      <x:c r="I1" s="153" t="str">
        <x:v>月度 SEO 复盘总控：先证明需求，再补强排名承接</x:v>
      </x:c>
      <x:c r="J1" s="153" t="str">
        <x:v>月度 SEO 复盘总控：先证明需求，再补强排名承接</x:v>
      </x:c>
    </x:row>
    <x:row r="2" ht="34.5" customHeight="1">
      <x:c r="A2" s="164" t="str">
        <x:v>这里不是单纯月报，而是每月一次的决策层：GSC 证明有没有需求，当前排名判断有没有承接，GA4 判断流量质量，询盘/订单判断商业价值，最后产出下月打法。</x:v>
      </x:c>
      <x:c r="B2" s="164" t="str">
        <x:v>这里不是单纯月报，而是每月一次的决策层：GSC 证明有没有需求，当前排名判断有没有承接，GA4 判断流量质量，询盘/订单判断商业价值，最后产出下月打法。</x:v>
      </x:c>
      <x:c r="C2" s="164" t="str">
        <x:v>这里不是单纯月报，而是每月一次的决策层：GSC 证明有没有需求，当前排名判断有没有承接，GA4 判断流量质量，询盘/订单判断商业价值，最后产出下月打法。</x:v>
      </x:c>
      <x:c r="D2" s="164" t="str">
        <x:v>这里不是单纯月报，而是每月一次的决策层：GSC 证明有没有需求，当前排名判断有没有承接，GA4 判断流量质量，询盘/订单判断商业价值，最后产出下月打法。</x:v>
      </x:c>
      <x:c r="E2" s="164" t="str">
        <x:v>这里不是单纯月报，而是每月一次的决策层：GSC 证明有没有需求，当前排名判断有没有承接，GA4 判断流量质量，询盘/订单判断商业价值，最后产出下月打法。</x:v>
      </x:c>
      <x:c r="F2" s="164" t="str">
        <x:v>这里不是单纯月报，而是每月一次的决策层：GSC 证明有没有需求，当前排名判断有没有承接，GA4 判断流量质量，询盘/订单判断商业价值，最后产出下月打法。</x:v>
      </x:c>
      <x:c r="G2" s="164" t="str">
        <x:v>这里不是单纯月报，而是每月一次的决策层：GSC 证明有没有需求，当前排名判断有没有承接，GA4 判断流量质量，询盘/订单判断商业价值，最后产出下月打法。</x:v>
      </x:c>
      <x:c r="H2" s="164" t="str">
        <x:v>这里不是单纯月报，而是每月一次的决策层：GSC 证明有没有需求，当前排名判断有没有承接，GA4 判断流量质量，询盘/订单判断商业价值，最后产出下月打法。</x:v>
      </x:c>
      <x:c r="I2" s="164" t="str">
        <x:v>这里不是单纯月报，而是每月一次的决策层：GSC 证明有没有需求，当前排名判断有没有承接，GA4 判断流量质量，询盘/订单判断商业价值，最后产出下月打法。</x:v>
      </x:c>
      <x:c r="J2" s="164" t="str">
        <x:v>这里不是单纯月报，而是每月一次的决策层：GSC 证明有没有需求，当前排名判断有没有承接，GA4 判断流量质量，询盘/订单判断商业价值，最后产出下月打法。</x:v>
      </x:c>
    </x:row>
    <x:row r="3" ht="34.5" customHeight="1">
      <x:c r="A3" s="164" t="str">
        <x:v>这里不是单纯月报，而是每月一次的决策层：GSC 证明有没有需求，当前排名判断有没有承接，GA4 判断流量质量，询盘/订单判断商业价值，最后产出下月打法。</x:v>
      </x:c>
      <x:c r="B3" s="164" t="str">
        <x:v>这里不是单纯月报，而是每月一次的决策层：GSC 证明有没有需求，当前排名判断有没有承接，GA4 判断流量质量，询盘/订单判断商业价值，最后产出下月打法。</x:v>
      </x:c>
      <x:c r="C3" s="164" t="str">
        <x:v>这里不是单纯月报，而是每月一次的决策层：GSC 证明有没有需求，当前排名判断有没有承接，GA4 判断流量质量，询盘/订单判断商业价值，最后产出下月打法。</x:v>
      </x:c>
      <x:c r="D3" s="164" t="str">
        <x:v>这里不是单纯月报，而是每月一次的决策层：GSC 证明有没有需求，当前排名判断有没有承接，GA4 判断流量质量，询盘/订单判断商业价值，最后产出下月打法。</x:v>
      </x:c>
      <x:c r="E3" s="164" t="str">
        <x:v>这里不是单纯月报，而是每月一次的决策层：GSC 证明有没有需求，当前排名判断有没有承接，GA4 判断流量质量，询盘/订单判断商业价值，最后产出下月打法。</x:v>
      </x:c>
      <x:c r="F3" s="164" t="str">
        <x:v>这里不是单纯月报，而是每月一次的决策层：GSC 证明有没有需求，当前排名判断有没有承接，GA4 判断流量质量，询盘/订单判断商业价值，最后产出下月打法。</x:v>
      </x:c>
      <x:c r="G3" s="164" t="str">
        <x:v>这里不是单纯月报，而是每月一次的决策层：GSC 证明有没有需求，当前排名判断有没有承接，GA4 判断流量质量，询盘/订单判断商业价值，最后产出下月打法。</x:v>
      </x:c>
      <x:c r="H3" s="164" t="str">
        <x:v>这里不是单纯月报，而是每月一次的决策层：GSC 证明有没有需求，当前排名判断有没有承接，GA4 判断流量质量，询盘/订单判断商业价值，最后产出下月打法。</x:v>
      </x:c>
      <x:c r="I3" s="164" t="str">
        <x:v>这里不是单纯月报，而是每月一次的决策层：GSC 证明有没有需求，当前排名判断有没有承接，GA4 判断流量质量，询盘/订单判断商业价值，最后产出下月打法。</x:v>
      </x:c>
      <x:c r="J3" s="164" t="str">
        <x:v>这里不是单纯月报，而是每月一次的决策层：GSC 证明有没有需求，当前排名判断有没有承接，GA4 判断流量质量，询盘/订单判断商业价值，最后产出下月打法。</x:v>
      </x:c>
    </x:row>
    <x:row r="5" ht="27" customHeight="1">
      <x:c r="A5" s="160" t="str">
        <x:v>复盘对象</x:v>
      </x:c>
      <x:c r="B5" s="160" t="str">
        <x:v>填写值</x:v>
      </x:c>
      <x:c r="C5" s="160" t="str">
        <x:v>说明</x:v>
      </x:c>
      <x:c r="D5" s="160" t="str">
        <x:v>判断结果</x:v>
      </x:c>
      <x:c r="E5" s="160" t="str">
        <x:v>备注</x:v>
      </x:c>
    </x:row>
    <x:row r="6">
      <x:c r="A6" s="157" t="str">
        <x:v>站点</x:v>
      </x:c>
      <x:c r="B6" s="157" t="str"/>
      <x:c r="C6" s="157" t="str">
        <x:v>选择主站 / WP 博客 / 自建博客 / 具体站点名</x:v>
      </x:c>
      <x:c r="D6" s="157" t="str"/>
      <x:c r="E6" s="157" t="str"/>
    </x:row>
    <x:row r="7">
      <x:c r="A7" s="157" t="str">
        <x:v>复盘月份</x:v>
      </x:c>
      <x:c r="B7" s="157" t="str"/>
      <x:c r="C7" s="157" t="str">
        <x:v>例如 2026-07</x:v>
      </x:c>
      <x:c r="D7" s="157" t="str"/>
      <x:c r="E7" s="157" t="str"/>
    </x:row>
    <x:row r="8">
      <x:c r="A8" s="157" t="str">
        <x:v>目标市场/语言</x:v>
      </x:c>
      <x:c r="B8" s="157" t="str"/>
      <x:c r="C8" s="157" t="str">
        <x:v>必须和关键词池、GSC、GA4、排名数据一致</x:v>
      </x:c>
      <x:c r="D8" s="157" t="str"/>
      <x:c r="E8" s="157" t="str"/>
    </x:row>
    <x:row r="9">
      <x:c r="A9" s="157" t="str">
        <x:v>本月总判断</x:v>
      </x:c>
      <x:c r="B9" s="157" t="str"/>
      <x:c r="C9" s="157" t="str">
        <x:v>例如：需求成立，但产品页承接不足</x:v>
      </x:c>
      <x:c r="D9" s="157" t="str"/>
      <x:c r="E9" s="157" t="str"/>
    </x:row>
    <x:row r="10">
      <x:c r="A10" s="157" t="str">
        <x:v>下月主打法</x:v>
      </x:c>
      <x:c r="B10" s="157" t="str"/>
      <x:c r="C10" s="157" t="str">
        <x:v>例如：Quick Win + Product Page Needed + 内链补强</x:v>
      </x:c>
      <x:c r="D10" s="157" t="str"/>
      <x:c r="E10" s="157" t="str"/>
    </x:row>
    <x:row r="13" ht="27" customHeight="1">
      <x:c r="A13" s="160" t="str">
        <x:v>信号层</x:v>
      </x:c>
      <x:c r="B13" s="160" t="str">
        <x:v>核心问题</x:v>
      </x:c>
      <x:c r="C13" s="160" t="str">
        <x:v>关键指标</x:v>
      </x:c>
      <x:c r="D13" s="160" t="str">
        <x:v>健康信号</x:v>
      </x:c>
      <x:c r="E13" s="160" t="str">
        <x:v>风险信号</x:v>
      </x:c>
      <x:c r="F13" s="160" t="str">
        <x:v>结论填写</x:v>
      </x:c>
      <x:c r="G13" s="160" t="str">
        <x:v>输出动作</x:v>
      </x:c>
    </x:row>
    <x:row r="14">
      <x:c r="A14" s="157" t="str">
        <x:v>需求信号</x:v>
      </x:c>
      <x:c r="B14" s="157" t="str">
        <x:v>用户是否真的在搜？</x:v>
      </x:c>
      <x:c r="C14" s="157" t="str">
        <x:v>GSC impressions / clicks / query count</x:v>
      </x:c>
      <x:c r="D14" s="157" t="str">
        <x:v>曝光增长、核心词有展现、点击逐步出现</x:v>
      </x:c>
      <x:c r="E14" s="157" t="str">
        <x:v>高曝光 0 点击、目标国家错配、只有工具量没有 GSC 信号</x:v>
      </x:c>
      <x:c r="F14" s="157" t="str"/>
      <x:c r="G14" s="157" t="str">
        <x:v>继续做承接或标题优化</x:v>
      </x:c>
    </x:row>
    <x:row r="15">
      <x:c r="A15" s="157" t="str">
        <x:v>排名承接</x:v>
      </x:c>
      <x:c r="B15" s="157" t="str">
        <x:v>有没有页面真正排名？</x:v>
      </x:c>
      <x:c r="C15" s="157" t="str">
        <x:v>当前排名位置、排名 URL、URL 是否匹配</x:v>
      </x:c>
      <x:c r="D15" s="157" t="str">
        <x:v>目标页进入 1-30 名，URL 类型正确</x:v>
      </x:c>
      <x:c r="E15" s="157" t="str">
        <x:v>GSC 有曝光但当前未排名；博客抢了产品页词；URL 错配</x:v>
      </x:c>
      <x:c r="F15" s="157" t="str"/>
      <x:c r="G15" s="157" t="str">
        <x:v>Quick Win / 页面定位修正 / 产品页规划</x:v>
      </x:c>
    </x:row>
    <x:row r="16">
      <x:c r="A16" s="157" t="str">
        <x:v>内容承接</x:v>
      </x:c>
      <x:c r="B16" s="157" t="str">
        <x:v>是新写、改旧文还是做页面？</x:v>
      </x:c>
      <x:c r="C16" s="157" t="str">
        <x:v>已有文章、目标 URL、主题覆盖、内链</x:v>
      </x:c>
      <x:c r="D16" s="157" t="str">
        <x:v>已有承接页且内容可更新</x:v>
      </x:c>
      <x:c r="E16" s="157" t="str">
        <x:v>无承接页、重复文章、主题孤岛</x:v>
      </x:c>
      <x:c r="F16" s="157" t="str"/>
      <x:c r="G16" s="157" t="str">
        <x:v>新写文章 / 更新旧文 / 内链 / 合并</x:v>
      </x:c>
    </x:row>
    <x:row r="17">
      <x:c r="A17" s="157" t="str">
        <x:v>行为质量</x:v>
      </x:c>
      <x:c r="B17" s="157" t="str">
        <x:v>流量是否有质量？</x:v>
      </x:c>
      <x:c r="C17" s="157" t="str">
        <x:v>GA4 engagement / bounce / avg session time / GEO</x:v>
      </x:c>
      <x:c r="D17" s="157" t="str">
        <x:v>目标国家流量、停留较好、入口页匹配</x:v>
      </x:c>
      <x:c r="E17" s="157" t="str">
        <x:v>非目标国家、跳出高、停留短、入口页不相关</x:v>
      </x:c>
      <x:c r="F17" s="157" t="str"/>
      <x:c r="G17" s="157" t="str">
        <x:v>强化 CTA / 调整入口页 / 暂缓</x:v>
      </x:c>
    </x:row>
    <x:row r="18">
      <x:c r="A18" s="157" t="str">
        <x:v>商业价值</x:v>
      </x:c>
      <x:c r="B18" s="157" t="str">
        <x:v>是否能带来询盘/加购/订单？</x:v>
      </x:c>
      <x:c r="C18" s="157" t="str">
        <x:v>lead/order/add_to_cart, source, landing page</x:v>
      </x:c>
      <x:c r="D18" s="157" t="str">
        <x:v>能回溯到 SEO 页面或关键词主题</x:v>
      </x:c>
      <x:c r="E18" s="157" t="str">
        <x:v>有流量无转化路径；询盘无法归因</x:v>
      </x:c>
      <x:c r="F18" s="157" t="str"/>
      <x:c r="G18" s="157" t="str">
        <x:v>补 CTA / 产品页 / 表单路径</x:v>
      </x:c>
    </x:row>
    <x:row r="22" ht="27" customHeight="1">
      <x:c r="A22" s="160" t="str">
        <x:v>机会类型</x:v>
      </x:c>
      <x:c r="B22" s="160" t="str">
        <x:v>触发条件</x:v>
      </x:c>
      <x:c r="C22" s="160" t="str">
        <x:v>优先动作</x:v>
      </x:c>
      <x:c r="D22" s="160" t="str">
        <x:v>不要做什么</x:v>
      </x:c>
      <x:c r="E22" s="160" t="str">
        <x:v>回流位置</x:v>
      </x:c>
    </x:row>
    <x:row r="23">
      <x:c r="A23" s="157" t="str">
        <x:v>Quick Win</x:v>
      </x:c>
      <x:c r="B23" s="157" t="str">
        <x:v>当前排名 11-30 或 GSC 有曝光且已有承接页</x:v>
      </x:c>
      <x:c r="C23" s="157" t="str">
        <x:v>补内链、补 FAQ、补对比段落、优化标题摘要</x:v>
      </x:c>
      <x:c r="D23" s="157" t="str">
        <x:v>不要直接新写重复文章</x:v>
      </x:c>
      <x:c r="E23" s="157" t="str">
        <x:v>内容中枢/优化旧文</x:v>
      </x:c>
    </x:row>
    <x:row r="24">
      <x:c r="A24" s="157" t="str">
        <x:v>Blog Supporting</x:v>
      </x:c>
      <x:c r="B24" s="157" t="str">
        <x:v>产品/集合页需要解释型或导购型内容支撑</x:v>
      </x:c>
      <x:c r="C24" s="157" t="str">
        <x:v>写支持文章，并规划到父级商业页的自然内链</x:v>
      </x:c>
      <x:c r="D24" s="157" t="str">
        <x:v>不要让博客抢产品页主词</x:v>
      </x:c>
      <x:c r="E24" s="157" t="str">
        <x:v>生产/内容日历</x:v>
      </x:c>
    </x:row>
    <x:row r="25">
      <x:c r="A25" s="157" t="str">
        <x:v>Product Page Needed</x:v>
      </x:c>
      <x:c r="B25" s="157" t="str">
        <x:v>GSC 有商业需求但无产品/集合页承接</x:v>
      </x:c>
      <x:c r="C25" s="157" t="str">
        <x:v>规划产品页或集合页，再决定是否补博客</x:v>
      </x:c>
      <x:c r="D25" s="157" t="str">
        <x:v>不要用博客硬承接购买词</x:v>
      </x:c>
      <x:c r="E25" s="157" t="str">
        <x:v>页面规划</x:v>
      </x:c>
    </x:row>
    <x:row r="26">
      <x:c r="A26" s="157" t="str">
        <x:v>Internal Link</x:v>
      </x:c>
      <x:c r="B26" s="157" t="str">
        <x:v>已有页面有曝光/停留，但排名或点击弱</x:v>
      </x:c>
      <x:c r="C26" s="157" t="str">
        <x:v>从相关旧文、新文、集合页补内链</x:v>
      </x:c>
      <x:c r="D26" s="157" t="str">
        <x:v>不要堆同一锚文本</x:v>
      </x:c>
      <x:c r="E26" s="157" t="str">
        <x:v>内链任务</x:v>
      </x:c>
    </x:row>
    <x:row r="27">
      <x:c r="A27" s="157" t="str">
        <x:v>Update Old Page</x:v>
      </x:c>
      <x:c r="B27" s="157" t="str">
        <x:v>旧文已有排名/曝光但内容薄、过期或 CTR 弱</x:v>
      </x:c>
      <x:c r="C27" s="157" t="str">
        <x:v>重写标题、补内容、补图片/表格/FAQ</x:v>
      </x:c>
      <x:c r="D27" s="157" t="str">
        <x:v>不要另开一篇重复意图</x:v>
      </x:c>
      <x:c r="E27" s="157" t="str">
        <x:v>内容优化</x:v>
      </x:c>
    </x:row>
    <x:row r="28">
      <x:c r="A28" s="157" t="str">
        <x:v>Monitor</x:v>
      </x:c>
      <x:c r="B28" s="157" t="str">
        <x:v>有苗头但数据不足</x:v>
      </x:c>
      <x:c r="C28" s="157" t="str">
        <x:v>进入观察列表，下月复查</x:v>
      </x:c>
      <x:c r="D28" s="157" t="str">
        <x:v>不要过早投入生产资源</x:v>
      </x:c>
      <x:c r="E28" s="157" t="str">
        <x:v>待办</x:v>
      </x:c>
    </x:row>
  </x:sheetData>
  <x:mergeCells>
    <x:mergeCell ref="A1:J1"/>
    <x:mergeCell ref="A2:J3"/>
  </x:mergeCells>
  <x:pageMargins left="0.7" right="0.7" top="0.75" bottom="0.75" header="0.3" footer="0.3"/>
  <x:tableParts count="3">
    <x:tablePart xmlns:r="http://schemas.openxmlformats.org/officeDocument/2006/relationships" r:id="R310c035d250d4b26"/>
    <x:tablePart xmlns:r="http://schemas.openxmlformats.org/officeDocument/2006/relationships" r:id="R21f9cd9b81504059"/>
    <x:tablePart xmlns:r="http://schemas.openxmlformats.org/officeDocument/2006/relationships" r:id="R978bb5d53af14bb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7.5" hidden="0" customWidth="1"/>
    <x:col min="3" max="3" width="12.5" hidden="0" customWidth="1"/>
    <x:col min="4" max="4" width="11.25" hidden="0" customWidth="1"/>
    <x:col min="5" max="5" width="13.75" hidden="0" customWidth="1"/>
    <x:col min="6" max="6" width="11.25" hidden="0" customWidth="1"/>
    <x:col min="7" max="7" width="13.75" hidden="0" customWidth="1"/>
    <x:col min="8" max="8" width="16.25" hidden="0" customWidth="1"/>
    <x:col min="9" max="9" width="11.25" hidden="0" customWidth="1"/>
    <x:col min="10" max="10" width="26.25" hidden="0" customWidth="1"/>
    <x:col min="11" max="11" width="26.25" hidden="0" customWidth="1"/>
    <x:col min="12" max="12" width="11.25" hidden="0" customWidth="1"/>
    <x:col min="13" max="13" width="15" hidden="0" customWidth="1"/>
    <x:col min="14" max="14" width="16.25" hidden="0" customWidth="1"/>
    <x:col min="15" max="15" width="18.75" hidden="0" customWidth="1"/>
    <x:col min="16" max="16" width="10" hidden="0" customWidth="1"/>
    <x:col min="17" max="17" width="27.5" hidden="0" customWidth="1"/>
    <x:col min="18" max="18" width="16.25" hidden="0" customWidth="1"/>
    <x:col min="19" max="19" width="20" hidden="0" customWidth="1"/>
  </x:cols>
  <x:sheetData>
    <x:row r="1">
      <x:c r="A1" s="153" t="str">
        <x:v>GSC + 当前排名校验：不要把 GSC 均位当实时排名</x:v>
      </x:c>
      <x:c r="B1" s="153" t="str">
        <x:v>GSC + 当前排名校验：不要把 GSC 均位当实时排名</x:v>
      </x:c>
      <x:c r="C1" s="153" t="str">
        <x:v>GSC + 当前排名校验：不要把 GSC 均位当实时排名</x:v>
      </x:c>
      <x:c r="D1" s="153" t="str">
        <x:v>GSC + 当前排名校验：不要把 GSC 均位当实时排名</x:v>
      </x:c>
      <x:c r="E1" s="153" t="str">
        <x:v>GSC + 当前排名校验：不要把 GSC 均位当实时排名</x:v>
      </x:c>
      <x:c r="F1" s="153" t="str">
        <x:v>GSC + 当前排名校验：不要把 GSC 均位当实时排名</x:v>
      </x:c>
      <x:c r="G1" s="153" t="str">
        <x:v>GSC + 当前排名校验：不要把 GSC 均位当实时排名</x:v>
      </x:c>
      <x:c r="H1" s="153" t="str">
        <x:v>GSC + 当前排名校验：不要把 GSC 均位当实时排名</x:v>
      </x:c>
      <x:c r="I1" s="153" t="str">
        <x:v>GSC + 当前排名校验：不要把 GSC 均位当实时排名</x:v>
      </x:c>
      <x:c r="J1" s="153" t="str">
        <x:v>GSC + 当前排名校验：不要把 GSC 均位当实时排名</x:v>
      </x:c>
      <x:c r="K1" s="153" t="str">
        <x:v>GSC + 当前排名校验：不要把 GSC 均位当实时排名</x:v>
      </x:c>
      <x:c r="L1" s="153" t="str">
        <x:v>GSC + 当前排名校验：不要把 GSC 均位当实时排名</x:v>
      </x:c>
      <x:c r="M1" s="153" t="str">
        <x:v>GSC + 当前排名校验：不要把 GSC 均位当实时排名</x:v>
      </x:c>
      <x:c r="N1" s="153" t="str">
        <x:v>GSC + 当前排名校验：不要把 GSC 均位当实时排名</x:v>
      </x:c>
      <x:c r="O1" s="153" t="str">
        <x:v>GSC + 当前排名校验：不要把 GSC 均位当实时排名</x:v>
      </x:c>
      <x:c r="P1" s="153" t="str">
        <x:v>GSC + 当前排名校验：不要把 GSC 均位当实时排名</x:v>
      </x:c>
      <x:c r="Q1" s="153" t="str">
        <x:v>GSC + 当前排名校验：不要把 GSC 均位当实时排名</x:v>
      </x:c>
      <x:c r="R1" s="153" t="str">
        <x:v>GSC + 当前排名校验：不要把 GSC 均位当实时排名</x:v>
      </x:c>
      <x:c r="S1" s="153" t="str">
        <x:v>GSC + 当前排名校验：不要把 GSC 均位当实时排名</x:v>
      </x:c>
    </x:row>
    <x:row r="2" ht="34.5" customHeight="1">
      <x:c r="A2" s="164" t="str">
        <x:v>把 GSC 查询词和当前排名 provider 结果放在一起看，判断是 Quick Win、产品页缺失、博客支撑、内链，还是先观察。</x:v>
      </x:c>
      <x:c r="B2" s="164" t="str">
        <x:v>把 GSC 查询词和当前排名 provider 结果放在一起看，判断是 Quick Win、产品页缺失、博客支撑、内链，还是先观察。</x:v>
      </x:c>
      <x:c r="C2" s="164" t="str">
        <x:v>把 GSC 查询词和当前排名 provider 结果放在一起看，判断是 Quick Win、产品页缺失、博客支撑、内链，还是先观察。</x:v>
      </x:c>
      <x:c r="D2" s="164" t="str">
        <x:v>把 GSC 查询词和当前排名 provider 结果放在一起看，判断是 Quick Win、产品页缺失、博客支撑、内链，还是先观察。</x:v>
      </x:c>
      <x:c r="E2" s="164" t="str">
        <x:v>把 GSC 查询词和当前排名 provider 结果放在一起看，判断是 Quick Win、产品页缺失、博客支撑、内链，还是先观察。</x:v>
      </x:c>
      <x:c r="F2" s="164" t="str">
        <x:v>把 GSC 查询词和当前排名 provider 结果放在一起看，判断是 Quick Win、产品页缺失、博客支撑、内链，还是先观察。</x:v>
      </x:c>
      <x:c r="G2" s="164" t="str">
        <x:v>把 GSC 查询词和当前排名 provider 结果放在一起看，判断是 Quick Win、产品页缺失、博客支撑、内链，还是先观察。</x:v>
      </x:c>
      <x:c r="H2" s="164" t="str">
        <x:v>把 GSC 查询词和当前排名 provider 结果放在一起看，判断是 Quick Win、产品页缺失、博客支撑、内链，还是先观察。</x:v>
      </x:c>
      <x:c r="I2" s="164" t="str">
        <x:v>把 GSC 查询词和当前排名 provider 结果放在一起看，判断是 Quick Win、产品页缺失、博客支撑、内链，还是先观察。</x:v>
      </x:c>
      <x:c r="J2" s="164" t="str">
        <x:v>把 GSC 查询词和当前排名 provider 结果放在一起看，判断是 Quick Win、产品页缺失、博客支撑、内链，还是先观察。</x:v>
      </x:c>
      <x:c r="K2" s="164" t="str">
        <x:v>把 GSC 查询词和当前排名 provider 结果放在一起看，判断是 Quick Win、产品页缺失、博客支撑、内链，还是先观察。</x:v>
      </x:c>
      <x:c r="L2" s="164" t="str">
        <x:v>把 GSC 查询词和当前排名 provider 结果放在一起看，判断是 Quick Win、产品页缺失、博客支撑、内链，还是先观察。</x:v>
      </x:c>
      <x:c r="M2" s="164" t="str">
        <x:v>把 GSC 查询词和当前排名 provider 结果放在一起看，判断是 Quick Win、产品页缺失、博客支撑、内链，还是先观察。</x:v>
      </x:c>
      <x:c r="N2" s="164" t="str">
        <x:v>把 GSC 查询词和当前排名 provider 结果放在一起看，判断是 Quick Win、产品页缺失、博客支撑、内链，还是先观察。</x:v>
      </x:c>
      <x:c r="O2" s="164" t="str">
        <x:v>把 GSC 查询词和当前排名 provider 结果放在一起看，判断是 Quick Win、产品页缺失、博客支撑、内链，还是先观察。</x:v>
      </x:c>
      <x:c r="P2" s="164" t="str">
        <x:v>把 GSC 查询词和当前排名 provider 结果放在一起看，判断是 Quick Win、产品页缺失、博客支撑、内链，还是先观察。</x:v>
      </x:c>
      <x:c r="Q2" s="164" t="str">
        <x:v>把 GSC 查询词和当前排名 provider 结果放在一起看，判断是 Quick Win、产品页缺失、博客支撑、内链，还是先观察。</x:v>
      </x:c>
      <x:c r="R2" s="164" t="str">
        <x:v>把 GSC 查询词和当前排名 provider 结果放在一起看，判断是 Quick Win、产品页缺失、博客支撑、内链，还是先观察。</x:v>
      </x:c>
      <x:c r="S2" s="164" t="str">
        <x:v>把 GSC 查询词和当前排名 provider 结果放在一起看，判断是 Quick Win、产品页缺失、博客支撑、内链，还是先观察。</x:v>
      </x:c>
    </x:row>
    <x:row r="3" ht="34.5" customHeight="1">
      <x:c r="A3" s="164" t="str">
        <x:v>把 GSC 查询词和当前排名 provider 结果放在一起看，判断是 Quick Win、产品页缺失、博客支撑、内链，还是先观察。</x:v>
      </x:c>
      <x:c r="B3" s="164" t="str">
        <x:v>把 GSC 查询词和当前排名 provider 结果放在一起看，判断是 Quick Win、产品页缺失、博客支撑、内链，还是先观察。</x:v>
      </x:c>
      <x:c r="C3" s="164" t="str">
        <x:v>把 GSC 查询词和当前排名 provider 结果放在一起看，判断是 Quick Win、产品页缺失、博客支撑、内链，还是先观察。</x:v>
      </x:c>
      <x:c r="D3" s="164" t="str">
        <x:v>把 GSC 查询词和当前排名 provider 结果放在一起看，判断是 Quick Win、产品页缺失、博客支撑、内链，还是先观察。</x:v>
      </x:c>
      <x:c r="E3" s="164" t="str">
        <x:v>把 GSC 查询词和当前排名 provider 结果放在一起看，判断是 Quick Win、产品页缺失、博客支撑、内链，还是先观察。</x:v>
      </x:c>
      <x:c r="F3" s="164" t="str">
        <x:v>把 GSC 查询词和当前排名 provider 结果放在一起看，判断是 Quick Win、产品页缺失、博客支撑、内链，还是先观察。</x:v>
      </x:c>
      <x:c r="G3" s="164" t="str">
        <x:v>把 GSC 查询词和当前排名 provider 结果放在一起看，判断是 Quick Win、产品页缺失、博客支撑、内链，还是先观察。</x:v>
      </x:c>
      <x:c r="H3" s="164" t="str">
        <x:v>把 GSC 查询词和当前排名 provider 结果放在一起看，判断是 Quick Win、产品页缺失、博客支撑、内链，还是先观察。</x:v>
      </x:c>
      <x:c r="I3" s="164" t="str">
        <x:v>把 GSC 查询词和当前排名 provider 结果放在一起看，判断是 Quick Win、产品页缺失、博客支撑、内链，还是先观察。</x:v>
      </x:c>
      <x:c r="J3" s="164" t="str">
        <x:v>把 GSC 查询词和当前排名 provider 结果放在一起看，判断是 Quick Win、产品页缺失、博客支撑、内链，还是先观察。</x:v>
      </x:c>
      <x:c r="K3" s="164" t="str">
        <x:v>把 GSC 查询词和当前排名 provider 结果放在一起看，判断是 Quick Win、产品页缺失、博客支撑、内链，还是先观察。</x:v>
      </x:c>
      <x:c r="L3" s="164" t="str">
        <x:v>把 GSC 查询词和当前排名 provider 结果放在一起看，判断是 Quick Win、产品页缺失、博客支撑、内链，还是先观察。</x:v>
      </x:c>
      <x:c r="M3" s="164" t="str">
        <x:v>把 GSC 查询词和当前排名 provider 结果放在一起看，判断是 Quick Win、产品页缺失、博客支撑、内链，还是先观察。</x:v>
      </x:c>
      <x:c r="N3" s="164" t="str">
        <x:v>把 GSC 查询词和当前排名 provider 结果放在一起看，判断是 Quick Win、产品页缺失、博客支撑、内链，还是先观察。</x:v>
      </x:c>
      <x:c r="O3" s="164" t="str">
        <x:v>把 GSC 查询词和当前排名 provider 结果放在一起看，判断是 Quick Win、产品页缺失、博客支撑、内链，还是先观察。</x:v>
      </x:c>
      <x:c r="P3" s="164" t="str">
        <x:v>把 GSC 查询词和当前排名 provider 结果放在一起看，判断是 Quick Win、产品页缺失、博客支撑、内链，还是先观察。</x:v>
      </x:c>
      <x:c r="Q3" s="164" t="str">
        <x:v>把 GSC 查询词和当前排名 provider 结果放在一起看，判断是 Quick Win、产品页缺失、博客支撑、内链，还是先观察。</x:v>
      </x:c>
      <x:c r="R3" s="164" t="str">
        <x:v>把 GSC 查询词和当前排名 provider 结果放在一起看，判断是 Quick Win、产品页缺失、博客支撑、内链，还是先观察。</x:v>
      </x:c>
      <x:c r="S3" s="164" t="str">
        <x:v>把 GSC 查询词和当前排名 provider 结果放在一起看，判断是 Quick Win、产品页缺失、博客支撑、内链，还是先观察。</x:v>
      </x:c>
    </x:row>
    <x:row r="5" ht="27" customHeight="1">
      <x:c r="A5" s="160" t="str">
        <x:v>查询词</x:v>
      </x:c>
      <x:c r="B5" s="160" t="str">
        <x:v>主题集群</x:v>
      </x:c>
      <x:c r="C5" s="160" t="str">
        <x:v>目标市场</x:v>
      </x:c>
      <x:c r="D5" s="160" t="str">
        <x:v>GSC Clicks</x:v>
      </x:c>
      <x:c r="E5" s="160" t="str">
        <x:v>GSC Impressions</x:v>
      </x:c>
      <x:c r="F5" s="160" t="str">
        <x:v>GSC CTR</x:v>
      </x:c>
      <x:c r="G5" s="160" t="str">
        <x:v>GSC Avg Position</x:v>
      </x:c>
      <x:c r="H5" s="160" t="str">
        <x:v>当前排名 Provider</x:v>
      </x:c>
      <x:c r="I5" s="160" t="str">
        <x:v>当前排名</x:v>
      </x:c>
      <x:c r="J5" s="160" t="str">
        <x:v>当前排名 URL</x:v>
      </x:c>
      <x:c r="K5" s="160" t="str">
        <x:v>预期承接 URL</x:v>
      </x:c>
      <x:c r="L5" s="160" t="str">
        <x:v>URL匹配</x:v>
      </x:c>
      <x:c r="M5" s="160" t="str">
        <x:v>当前URL类型</x:v>
      </x:c>
      <x:c r="N5" s="160" t="str">
        <x:v>预期页面类型</x:v>
      </x:c>
      <x:c r="O5" s="160" t="str">
        <x:v>机会类型</x:v>
      </x:c>
      <x:c r="P5" s="160" t="str">
        <x:v>优先级</x:v>
      </x:c>
      <x:c r="Q5" s="160" t="str">
        <x:v>建议动作</x:v>
      </x:c>
      <x:c r="R5" s="160" t="str">
        <x:v>回流位置</x:v>
      </x:c>
      <x:c r="S5" s="160" t="str">
        <x:v>备注</x:v>
      </x:c>
    </x:row>
    <x:row r="6" ht="31.5" customHeight="1">
      <x:c r="A6" s="157" t="str"/>
      <x:c r="B6" s="157" t="str"/>
      <x:c r="C6" s="157" t="str"/>
      <x:c r="D6" s="165" t="str"/>
      <x:c r="E6" s="165" t="str"/>
      <x:c r="F6" s="166" t="n">
        <x:f>IFERROR(D6/E6,0)</x:f>
        <x:v>0</x:v>
      </x:c>
      <x:c r="G6" s="165" t="str"/>
      <x:c r="H6" s="157" t="str"/>
      <x:c r="I6" s="157" t="str"/>
      <x:c r="J6" s="157" t="str"/>
      <x:c r="K6" s="157" t="str"/>
      <x:c r="L6" s="157" t="str"/>
      <x:c r="M6" s="157" t="str"/>
      <x:c r="N6" s="157" t="str"/>
      <x:c r="O6" s="157" t="str"/>
      <x:c r="P6" s="157" t="str"/>
      <x:c r="Q6" s="157" t="str"/>
      <x:c r="R6" s="157" t="str"/>
      <x:c r="S6" s="157" t="str"/>
    </x:row>
    <x:row r="7" ht="31.5" customHeight="1">
      <x:c r="A7" s="157" t="str"/>
      <x:c r="B7" s="157" t="str"/>
      <x:c r="C7" s="157" t="str"/>
      <x:c r="D7" s="165" t="str"/>
      <x:c r="E7" s="165" t="str"/>
      <x:c r="F7" s="166" t="n">
        <x:f>IFERROR(D7/E7,0)</x:f>
        <x:v>0</x:v>
      </x:c>
      <x:c r="G7" s="165" t="str"/>
      <x:c r="H7" s="157" t="str"/>
      <x:c r="I7" s="157" t="str"/>
      <x:c r="J7" s="157" t="str"/>
      <x:c r="K7" s="157" t="str"/>
      <x:c r="L7" s="157" t="str"/>
      <x:c r="M7" s="157" t="str"/>
      <x:c r="N7" s="157" t="str"/>
      <x:c r="O7" s="157" t="str"/>
      <x:c r="P7" s="157" t="str"/>
      <x:c r="Q7" s="157" t="str"/>
      <x:c r="R7" s="157" t="str"/>
      <x:c r="S7" s="157" t="str"/>
    </x:row>
    <x:row r="8" ht="31.5" customHeight="1">
      <x:c r="A8" s="157" t="str"/>
      <x:c r="B8" s="157" t="str"/>
      <x:c r="C8" s="157" t="str"/>
      <x:c r="D8" s="165" t="str"/>
      <x:c r="E8" s="165" t="str"/>
      <x:c r="F8" s="166" t="n">
        <x:f>IFERROR(D8/E8,0)</x:f>
        <x:v>0</x:v>
      </x:c>
      <x:c r="G8" s="165" t="str"/>
      <x:c r="H8" s="157" t="str"/>
      <x:c r="I8" s="157" t="str"/>
      <x:c r="J8" s="157" t="str"/>
      <x:c r="K8" s="157" t="str"/>
      <x:c r="L8" s="157" t="str"/>
      <x:c r="M8" s="157" t="str"/>
      <x:c r="N8" s="157" t="str"/>
      <x:c r="O8" s="157" t="str"/>
      <x:c r="P8" s="157" t="str"/>
      <x:c r="Q8" s="157" t="str"/>
      <x:c r="R8" s="157" t="str"/>
      <x:c r="S8" s="157" t="str"/>
    </x:row>
    <x:row r="9" ht="31.5" customHeight="1">
      <x:c r="A9" s="157" t="str"/>
      <x:c r="B9" s="157" t="str"/>
      <x:c r="C9" s="157" t="str"/>
      <x:c r="D9" s="165" t="str"/>
      <x:c r="E9" s="165" t="str"/>
      <x:c r="F9" s="166" t="n">
        <x:f>IFERROR(D9/E9,0)</x:f>
        <x:v>0</x:v>
      </x:c>
      <x:c r="G9" s="165" t="str"/>
      <x:c r="H9" s="157" t="str"/>
      <x:c r="I9" s="157" t="str"/>
      <x:c r="J9" s="157" t="str"/>
      <x:c r="K9" s="157" t="str"/>
      <x:c r="L9" s="157" t="str"/>
      <x:c r="M9" s="157" t="str"/>
      <x:c r="N9" s="157" t="str"/>
      <x:c r="O9" s="157" t="str"/>
      <x:c r="P9" s="157" t="str"/>
      <x:c r="Q9" s="157" t="str"/>
      <x:c r="R9" s="157" t="str"/>
      <x:c r="S9" s="157" t="str"/>
    </x:row>
    <x:row r="10" ht="31.5" customHeight="1">
      <x:c r="A10" s="157" t="str"/>
      <x:c r="B10" s="157" t="str"/>
      <x:c r="C10" s="157" t="str"/>
      <x:c r="D10" s="165" t="str"/>
      <x:c r="E10" s="165" t="str"/>
      <x:c r="F10" s="166" t="n">
        <x:f>IFERROR(D10/E10,0)</x:f>
        <x:v>0</x:v>
      </x:c>
      <x:c r="G10" s="165" t="str"/>
      <x:c r="H10" s="157" t="str"/>
      <x:c r="I10" s="157" t="str"/>
      <x:c r="J10" s="157" t="str"/>
      <x:c r="K10" s="157" t="str"/>
      <x:c r="L10" s="157" t="str"/>
      <x:c r="M10" s="157" t="str"/>
      <x:c r="N10" s="157" t="str"/>
      <x:c r="O10" s="157" t="str"/>
      <x:c r="P10" s="157" t="str"/>
      <x:c r="Q10" s="157" t="str"/>
      <x:c r="R10" s="157" t="str"/>
      <x:c r="S10" s="157" t="str"/>
    </x:row>
    <x:row r="11" ht="31.5" customHeight="1">
      <x:c r="A11" s="157" t="str"/>
      <x:c r="B11" s="157" t="str"/>
      <x:c r="C11" s="157" t="str"/>
      <x:c r="D11" s="165" t="str"/>
      <x:c r="E11" s="165" t="str"/>
      <x:c r="F11" s="166" t="n">
        <x:f>IFERROR(D11/E11,0)</x:f>
        <x:v>0</x:v>
      </x:c>
      <x:c r="G11" s="165" t="str"/>
      <x:c r="H11" s="157" t="str"/>
      <x:c r="I11" s="157" t="str"/>
      <x:c r="J11" s="157" t="str"/>
      <x:c r="K11" s="157" t="str"/>
      <x:c r="L11" s="157" t="str"/>
      <x:c r="M11" s="157" t="str"/>
      <x:c r="N11" s="157" t="str"/>
      <x:c r="O11" s="157" t="str"/>
      <x:c r="P11" s="157" t="str"/>
      <x:c r="Q11" s="157" t="str"/>
      <x:c r="R11" s="157" t="str"/>
      <x:c r="S11" s="157" t="str"/>
    </x:row>
    <x:row r="12" ht="31.5" customHeight="1">
      <x:c r="A12" s="157" t="str"/>
      <x:c r="B12" s="157" t="str"/>
      <x:c r="C12" s="157" t="str"/>
      <x:c r="D12" s="165" t="str"/>
      <x:c r="E12" s="165" t="str"/>
      <x:c r="F12" s="166" t="n">
        <x:f>IFERROR(D12/E12,0)</x:f>
        <x:v>0</x:v>
      </x:c>
      <x:c r="G12" s="165" t="str"/>
      <x:c r="H12" s="157" t="str"/>
      <x:c r="I12" s="157" t="str"/>
      <x:c r="J12" s="157" t="str"/>
      <x:c r="K12" s="157" t="str"/>
      <x:c r="L12" s="157" t="str"/>
      <x:c r="M12" s="157" t="str"/>
      <x:c r="N12" s="157" t="str"/>
      <x:c r="O12" s="157" t="str"/>
      <x:c r="P12" s="157" t="str"/>
      <x:c r="Q12" s="157" t="str"/>
      <x:c r="R12" s="157" t="str"/>
      <x:c r="S12" s="157" t="str"/>
    </x:row>
    <x:row r="13" ht="31.5" customHeight="1">
      <x:c r="A13" s="157" t="str"/>
      <x:c r="B13" s="157" t="str"/>
      <x:c r="C13" s="157" t="str"/>
      <x:c r="D13" s="165" t="str"/>
      <x:c r="E13" s="165" t="str"/>
      <x:c r="F13" s="166" t="n">
        <x:f>IFERROR(D13/E13,0)</x:f>
        <x:v>0</x:v>
      </x:c>
      <x:c r="G13" s="165" t="str"/>
      <x:c r="H13" s="157" t="str"/>
      <x:c r="I13" s="157" t="str"/>
      <x:c r="J13" s="157" t="str"/>
      <x:c r="K13" s="157" t="str"/>
      <x:c r="L13" s="157" t="str"/>
      <x:c r="M13" s="157" t="str"/>
      <x:c r="N13" s="157" t="str"/>
      <x:c r="O13" s="157" t="str"/>
      <x:c r="P13" s="157" t="str"/>
      <x:c r="Q13" s="157" t="str"/>
      <x:c r="R13" s="157" t="str"/>
      <x:c r="S13" s="157" t="str"/>
    </x:row>
    <x:row r="14" ht="31.5" customHeight="1">
      <x:c r="A14" s="157" t="str"/>
      <x:c r="B14" s="157" t="str"/>
      <x:c r="C14" s="157" t="str"/>
      <x:c r="D14" s="165" t="str"/>
      <x:c r="E14" s="165" t="str"/>
      <x:c r="F14" s="166" t="n">
        <x:f>IFERROR(D14/E14,0)</x:f>
        <x:v>0</x:v>
      </x:c>
      <x:c r="G14" s="165" t="str"/>
      <x:c r="H14" s="157" t="str"/>
      <x:c r="I14" s="157" t="str"/>
      <x:c r="J14" s="157" t="str"/>
      <x:c r="K14" s="157" t="str"/>
      <x:c r="L14" s="157" t="str"/>
      <x:c r="M14" s="157" t="str"/>
      <x:c r="N14" s="157" t="str"/>
      <x:c r="O14" s="157" t="str"/>
      <x:c r="P14" s="157" t="str"/>
      <x:c r="Q14" s="157" t="str"/>
      <x:c r="R14" s="157" t="str"/>
      <x:c r="S14" s="157" t="str"/>
    </x:row>
    <x:row r="15" ht="31.5" customHeight="1">
      <x:c r="A15" s="157" t="str"/>
      <x:c r="B15" s="157" t="str"/>
      <x:c r="C15" s="157" t="str"/>
      <x:c r="D15" s="165" t="str"/>
      <x:c r="E15" s="165" t="str"/>
      <x:c r="F15" s="166" t="n">
        <x:f>IFERROR(D15/E15,0)</x:f>
        <x:v>0</x:v>
      </x:c>
      <x:c r="G15" s="165" t="str"/>
      <x:c r="H15" s="157" t="str"/>
      <x:c r="I15" s="157" t="str"/>
      <x:c r="J15" s="157" t="str"/>
      <x:c r="K15" s="157" t="str"/>
      <x:c r="L15" s="157" t="str"/>
      <x:c r="M15" s="157" t="str"/>
      <x:c r="N15" s="157" t="str"/>
      <x:c r="O15" s="157" t="str"/>
      <x:c r="P15" s="157" t="str"/>
      <x:c r="Q15" s="157" t="str"/>
      <x:c r="R15" s="157" t="str"/>
      <x:c r="S15" s="157" t="str"/>
    </x:row>
    <x:row r="16" ht="31.5" customHeight="1">
      <x:c r="A16" s="157" t="str"/>
      <x:c r="B16" s="157" t="str"/>
      <x:c r="C16" s="157" t="str"/>
      <x:c r="D16" s="165" t="str"/>
      <x:c r="E16" s="165" t="str"/>
      <x:c r="F16" s="166" t="n">
        <x:f>IFERROR(D16/E16,0)</x:f>
        <x:v>0</x:v>
      </x:c>
      <x:c r="G16" s="165" t="str"/>
      <x:c r="H16" s="157" t="str"/>
      <x:c r="I16" s="157" t="str"/>
      <x:c r="J16" s="157" t="str"/>
      <x:c r="K16" s="157" t="str"/>
      <x:c r="L16" s="157" t="str"/>
      <x:c r="M16" s="157" t="str"/>
      <x:c r="N16" s="157" t="str"/>
      <x:c r="O16" s="157" t="str"/>
      <x:c r="P16" s="157" t="str"/>
      <x:c r="Q16" s="157" t="str"/>
      <x:c r="R16" s="157" t="str"/>
      <x:c r="S16" s="157" t="str"/>
    </x:row>
    <x:row r="17" ht="31.5" customHeight="1">
      <x:c r="A17" s="157" t="str"/>
      <x:c r="B17" s="157" t="str"/>
      <x:c r="C17" s="157" t="str"/>
      <x:c r="D17" s="165" t="str"/>
      <x:c r="E17" s="165" t="str"/>
      <x:c r="F17" s="166" t="n">
        <x:f>IFERROR(D17/E17,0)</x:f>
        <x:v>0</x:v>
      </x:c>
      <x:c r="G17" s="165" t="str"/>
      <x:c r="H17" s="157" t="str"/>
      <x:c r="I17" s="157" t="str"/>
      <x:c r="J17" s="157" t="str"/>
      <x:c r="K17" s="157" t="str"/>
      <x:c r="L17" s="157" t="str"/>
      <x:c r="M17" s="157" t="str"/>
      <x:c r="N17" s="157" t="str"/>
      <x:c r="O17" s="157" t="str"/>
      <x:c r="P17" s="157" t="str"/>
      <x:c r="Q17" s="157" t="str"/>
      <x:c r="R17" s="157" t="str"/>
      <x:c r="S17" s="157" t="str"/>
    </x:row>
    <x:row r="18" ht="31.5" customHeight="1">
      <x:c r="A18" s="157" t="str"/>
      <x:c r="B18" s="157" t="str"/>
      <x:c r="C18" s="157" t="str"/>
      <x:c r="D18" s="165" t="str"/>
      <x:c r="E18" s="165" t="str"/>
      <x:c r="F18" s="166" t="n">
        <x:f>IFERROR(D18/E18,0)</x:f>
        <x:v>0</x:v>
      </x:c>
      <x:c r="G18" s="165" t="str"/>
      <x:c r="H18" s="157" t="str"/>
      <x:c r="I18" s="157" t="str"/>
      <x:c r="J18" s="157" t="str"/>
      <x:c r="K18" s="157" t="str"/>
      <x:c r="L18" s="157" t="str"/>
      <x:c r="M18" s="157" t="str"/>
      <x:c r="N18" s="157" t="str"/>
      <x:c r="O18" s="157" t="str"/>
      <x:c r="P18" s="157" t="str"/>
      <x:c r="Q18" s="157" t="str"/>
      <x:c r="R18" s="157" t="str"/>
      <x:c r="S18" s="157" t="str"/>
    </x:row>
    <x:row r="19" ht="31.5" customHeight="1">
      <x:c r="A19" s="157" t="str"/>
      <x:c r="B19" s="157" t="str"/>
      <x:c r="C19" s="157" t="str"/>
      <x:c r="D19" s="165" t="str"/>
      <x:c r="E19" s="165" t="str"/>
      <x:c r="F19" s="166" t="n">
        <x:f>IFERROR(D19/E19,0)</x:f>
        <x:v>0</x:v>
      </x:c>
      <x:c r="G19" s="165" t="str"/>
      <x:c r="H19" s="157" t="str"/>
      <x:c r="I19" s="157" t="str"/>
      <x:c r="J19" s="157" t="str"/>
      <x:c r="K19" s="157" t="str"/>
      <x:c r="L19" s="157" t="str"/>
      <x:c r="M19" s="157" t="str"/>
      <x:c r="N19" s="157" t="str"/>
      <x:c r="O19" s="157" t="str"/>
      <x:c r="P19" s="157" t="str"/>
      <x:c r="Q19" s="157" t="str"/>
      <x:c r="R19" s="157" t="str"/>
      <x:c r="S19" s="157" t="str"/>
    </x:row>
    <x:row r="20" ht="31.5" customHeight="1">
      <x:c r="A20" s="157" t="str"/>
      <x:c r="B20" s="157" t="str"/>
      <x:c r="C20" s="157" t="str"/>
      <x:c r="D20" s="165" t="str"/>
      <x:c r="E20" s="165" t="str"/>
      <x:c r="F20" s="166" t="n">
        <x:f>IFERROR(D20/E20,0)</x:f>
        <x:v>0</x:v>
      </x:c>
      <x:c r="G20" s="165" t="str"/>
      <x:c r="H20" s="157" t="str"/>
      <x:c r="I20" s="157" t="str"/>
      <x:c r="J20" s="157" t="str"/>
      <x:c r="K20" s="157" t="str"/>
      <x:c r="L20" s="157" t="str"/>
      <x:c r="M20" s="157" t="str"/>
      <x:c r="N20" s="157" t="str"/>
      <x:c r="O20" s="157" t="str"/>
      <x:c r="P20" s="157" t="str"/>
      <x:c r="Q20" s="157" t="str"/>
      <x:c r="R20" s="157" t="str"/>
      <x:c r="S20" s="157" t="str"/>
    </x:row>
    <x:row r="21" ht="31.5" customHeight="1">
      <x:c r="A21" s="157" t="str"/>
      <x:c r="B21" s="157" t="str"/>
      <x:c r="C21" s="157" t="str"/>
      <x:c r="D21" s="165" t="str"/>
      <x:c r="E21" s="165" t="str"/>
      <x:c r="F21" s="166" t="n">
        <x:f>IFERROR(D21/E21,0)</x:f>
        <x:v>0</x:v>
      </x:c>
      <x:c r="G21" s="165" t="str"/>
      <x:c r="H21" s="157" t="str"/>
      <x:c r="I21" s="157" t="str"/>
      <x:c r="J21" s="157" t="str"/>
      <x:c r="K21" s="157" t="str"/>
      <x:c r="L21" s="157" t="str"/>
      <x:c r="M21" s="157" t="str"/>
      <x:c r="N21" s="157" t="str"/>
      <x:c r="O21" s="157" t="str"/>
      <x:c r="P21" s="157" t="str"/>
      <x:c r="Q21" s="157" t="str"/>
      <x:c r="R21" s="157" t="str"/>
      <x:c r="S21" s="157" t="str"/>
    </x:row>
    <x:row r="22" ht="31.5" customHeight="1">
      <x:c r="A22" s="157" t="str"/>
      <x:c r="B22" s="157" t="str"/>
      <x:c r="C22" s="157" t="str"/>
      <x:c r="D22" s="165" t="str"/>
      <x:c r="E22" s="165" t="str"/>
      <x:c r="F22" s="166" t="n">
        <x:f>IFERROR(D22/E22,0)</x:f>
        <x:v>0</x:v>
      </x:c>
      <x:c r="G22" s="165" t="str"/>
      <x:c r="H22" s="157" t="str"/>
      <x:c r="I22" s="157" t="str"/>
      <x:c r="J22" s="157" t="str"/>
      <x:c r="K22" s="157" t="str"/>
      <x:c r="L22" s="157" t="str"/>
      <x:c r="M22" s="157" t="str"/>
      <x:c r="N22" s="157" t="str"/>
      <x:c r="O22" s="157" t="str"/>
      <x:c r="P22" s="157" t="str"/>
      <x:c r="Q22" s="157" t="str"/>
      <x:c r="R22" s="157" t="str"/>
      <x:c r="S22" s="157" t="str"/>
    </x:row>
    <x:row r="23" ht="31.5" customHeight="1">
      <x:c r="A23" s="157" t="str"/>
      <x:c r="B23" s="157" t="str"/>
      <x:c r="C23" s="157" t="str"/>
      <x:c r="D23" s="165" t="str"/>
      <x:c r="E23" s="165" t="str"/>
      <x:c r="F23" s="166" t="n">
        <x:f>IFERROR(D23/E23,0)</x:f>
        <x:v>0</x:v>
      </x:c>
      <x:c r="G23" s="165" t="str"/>
      <x:c r="H23" s="157" t="str"/>
      <x:c r="I23" s="157" t="str"/>
      <x:c r="J23" s="157" t="str"/>
      <x:c r="K23" s="157" t="str"/>
      <x:c r="L23" s="157" t="str"/>
      <x:c r="M23" s="157" t="str"/>
      <x:c r="N23" s="157" t="str"/>
      <x:c r="O23" s="157" t="str"/>
      <x:c r="P23" s="157" t="str"/>
      <x:c r="Q23" s="157" t="str"/>
      <x:c r="R23" s="157" t="str"/>
      <x:c r="S23" s="157" t="str"/>
    </x:row>
    <x:row r="24" ht="31.5" customHeight="1">
      <x:c r="A24" s="157" t="str"/>
      <x:c r="B24" s="157" t="str"/>
      <x:c r="C24" s="157" t="str"/>
      <x:c r="D24" s="165" t="str"/>
      <x:c r="E24" s="165" t="str"/>
      <x:c r="F24" s="166" t="n">
        <x:f>IFERROR(D24/E24,0)</x:f>
        <x:v>0</x:v>
      </x:c>
      <x:c r="G24" s="165" t="str"/>
      <x:c r="H24" s="157" t="str"/>
      <x:c r="I24" s="157" t="str"/>
      <x:c r="J24" s="157" t="str"/>
      <x:c r="K24" s="157" t="str"/>
      <x:c r="L24" s="157" t="str"/>
      <x:c r="M24" s="157" t="str"/>
      <x:c r="N24" s="157" t="str"/>
      <x:c r="O24" s="157" t="str"/>
      <x:c r="P24" s="157" t="str"/>
      <x:c r="Q24" s="157" t="str"/>
      <x:c r="R24" s="157" t="str"/>
      <x:c r="S24" s="157" t="str"/>
    </x:row>
    <x:row r="25" ht="31.5" customHeight="1">
      <x:c r="A25" s="157" t="str"/>
      <x:c r="B25" s="157" t="str"/>
      <x:c r="C25" s="157" t="str"/>
      <x:c r="D25" s="165" t="str"/>
      <x:c r="E25" s="165" t="str"/>
      <x:c r="F25" s="166" t="n">
        <x:f>IFERROR(D25/E25,0)</x:f>
        <x:v>0</x:v>
      </x:c>
      <x:c r="G25" s="165" t="str"/>
      <x:c r="H25" s="157" t="str"/>
      <x:c r="I25" s="157" t="str"/>
      <x:c r="J25" s="157" t="str"/>
      <x:c r="K25" s="157" t="str"/>
      <x:c r="L25" s="157" t="str"/>
      <x:c r="M25" s="157" t="str"/>
      <x:c r="N25" s="157" t="str"/>
      <x:c r="O25" s="157" t="str"/>
      <x:c r="P25" s="157" t="str"/>
      <x:c r="Q25" s="157" t="str"/>
      <x:c r="R25" s="157" t="str"/>
      <x:c r="S25" s="157" t="str"/>
    </x:row>
    <x:row r="26" ht="31.5" customHeight="1">
      <x:c r="A26" s="157" t="str"/>
      <x:c r="B26" s="157" t="str"/>
      <x:c r="C26" s="157" t="str"/>
      <x:c r="D26" s="165" t="str"/>
      <x:c r="E26" s="165" t="str"/>
      <x:c r="F26" s="166" t="n">
        <x:f>IFERROR(D26/E26,0)</x:f>
        <x:v>0</x:v>
      </x:c>
      <x:c r="G26" s="165" t="str"/>
      <x:c r="H26" s="157" t="str"/>
      <x:c r="I26" s="157" t="str"/>
      <x:c r="J26" s="157" t="str"/>
      <x:c r="K26" s="157" t="str"/>
      <x:c r="L26" s="157" t="str"/>
      <x:c r="M26" s="157" t="str"/>
      <x:c r="N26" s="157" t="str"/>
      <x:c r="O26" s="157" t="str"/>
      <x:c r="P26" s="157" t="str"/>
      <x:c r="Q26" s="157" t="str"/>
      <x:c r="R26" s="157" t="str"/>
      <x:c r="S26" s="157" t="str"/>
    </x:row>
    <x:row r="27" ht="31.5" customHeight="1">
      <x:c r="A27" s="157" t="str"/>
      <x:c r="B27" s="157" t="str"/>
      <x:c r="C27" s="157" t="str"/>
      <x:c r="D27" s="165" t="str"/>
      <x:c r="E27" s="165" t="str"/>
      <x:c r="F27" s="166" t="n">
        <x:f>IFERROR(D27/E27,0)</x:f>
        <x:v>0</x:v>
      </x:c>
      <x:c r="G27" s="165" t="str"/>
      <x:c r="H27" s="157" t="str"/>
      <x:c r="I27" s="157" t="str"/>
      <x:c r="J27" s="157" t="str"/>
      <x:c r="K27" s="157" t="str"/>
      <x:c r="L27" s="157" t="str"/>
      <x:c r="M27" s="157" t="str"/>
      <x:c r="N27" s="157" t="str"/>
      <x:c r="O27" s="157" t="str"/>
      <x:c r="P27" s="157" t="str"/>
      <x:c r="Q27" s="157" t="str"/>
      <x:c r="R27" s="157" t="str"/>
      <x:c r="S27" s="157" t="str"/>
    </x:row>
    <x:row r="28" ht="31.5" customHeight="1">
      <x:c r="A28" s="157" t="str"/>
      <x:c r="B28" s="157" t="str"/>
      <x:c r="C28" s="157" t="str"/>
      <x:c r="D28" s="165" t="str"/>
      <x:c r="E28" s="165" t="str"/>
      <x:c r="F28" s="166" t="n">
        <x:f>IFERROR(D28/E28,0)</x:f>
        <x:v>0</x:v>
      </x:c>
      <x:c r="G28" s="165" t="str"/>
      <x:c r="H28" s="157" t="str"/>
      <x:c r="I28" s="157" t="str"/>
      <x:c r="J28" s="157" t="str"/>
      <x:c r="K28" s="157" t="str"/>
      <x:c r="L28" s="157" t="str"/>
      <x:c r="M28" s="157" t="str"/>
      <x:c r="N28" s="157" t="str"/>
      <x:c r="O28" s="157" t="str"/>
      <x:c r="P28" s="157" t="str"/>
      <x:c r="Q28" s="157" t="str"/>
      <x:c r="R28" s="157" t="str"/>
      <x:c r="S28" s="157" t="str"/>
    </x:row>
    <x:row r="29" ht="31.5" customHeight="1">
      <x:c r="A29" s="157" t="str"/>
      <x:c r="B29" s="157" t="str"/>
      <x:c r="C29" s="157" t="str"/>
      <x:c r="D29" s="165" t="str"/>
      <x:c r="E29" s="165" t="str"/>
      <x:c r="F29" s="166" t="n">
        <x:f>IFERROR(D29/E29,0)</x:f>
        <x:v>0</x:v>
      </x:c>
      <x:c r="G29" s="165" t="str"/>
      <x:c r="H29" s="157" t="str"/>
      <x:c r="I29" s="157" t="str"/>
      <x:c r="J29" s="157" t="str"/>
      <x:c r="K29" s="157" t="str"/>
      <x:c r="L29" s="157" t="str"/>
      <x:c r="M29" s="157" t="str"/>
      <x:c r="N29" s="157" t="str"/>
      <x:c r="O29" s="157" t="str"/>
      <x:c r="P29" s="157" t="str"/>
      <x:c r="Q29" s="157" t="str"/>
      <x:c r="R29" s="157" t="str"/>
      <x:c r="S29" s="157" t="str"/>
    </x:row>
    <x:row r="30" ht="31.5" customHeight="1">
      <x:c r="A30" s="157" t="str"/>
      <x:c r="B30" s="157" t="str"/>
      <x:c r="C30" s="157" t="str"/>
      <x:c r="D30" s="165" t="str"/>
      <x:c r="E30" s="165" t="str"/>
      <x:c r="F30" s="166" t="n">
        <x:f>IFERROR(D30/E30,0)</x:f>
        <x:v>0</x:v>
      </x:c>
      <x:c r="G30" s="165" t="str"/>
      <x:c r="H30" s="157" t="str"/>
      <x:c r="I30" s="157" t="str"/>
      <x:c r="J30" s="157" t="str"/>
      <x:c r="K30" s="157" t="str"/>
      <x:c r="L30" s="157" t="str"/>
      <x:c r="M30" s="157" t="str"/>
      <x:c r="N30" s="157" t="str"/>
      <x:c r="O30" s="157" t="str"/>
      <x:c r="P30" s="157" t="str"/>
      <x:c r="Q30" s="157" t="str"/>
      <x:c r="R30" s="157" t="str"/>
      <x:c r="S30" s="157" t="str"/>
    </x:row>
    <x:row r="31" ht="31.5" customHeight="1">
      <x:c r="A31" s="157" t="str"/>
      <x:c r="B31" s="157" t="str"/>
      <x:c r="C31" s="157" t="str"/>
      <x:c r="D31" s="165" t="str"/>
      <x:c r="E31" s="165" t="str"/>
      <x:c r="F31" s="166" t="n">
        <x:f>IFERROR(D31/E31,0)</x:f>
        <x:v>0</x:v>
      </x:c>
      <x:c r="G31" s="165" t="str"/>
      <x:c r="H31" s="157" t="str"/>
      <x:c r="I31" s="157" t="str"/>
      <x:c r="J31" s="157" t="str"/>
      <x:c r="K31" s="157" t="str"/>
      <x:c r="L31" s="157" t="str"/>
      <x:c r="M31" s="157" t="str"/>
      <x:c r="N31" s="157" t="str"/>
      <x:c r="O31" s="157" t="str"/>
      <x:c r="P31" s="157" t="str"/>
      <x:c r="Q31" s="157" t="str"/>
      <x:c r="R31" s="157" t="str"/>
      <x:c r="S31" s="157" t="str"/>
    </x:row>
    <x:row r="32" ht="31.5" customHeight="1">
      <x:c r="A32" s="157" t="str"/>
      <x:c r="B32" s="157" t="str"/>
      <x:c r="C32" s="157" t="str"/>
      <x:c r="D32" s="165" t="str"/>
      <x:c r="E32" s="165" t="str"/>
      <x:c r="F32" s="166" t="n">
        <x:f>IFERROR(D32/E32,0)</x:f>
        <x:v>0</x:v>
      </x:c>
      <x:c r="G32" s="165" t="str"/>
      <x:c r="H32" s="157" t="str"/>
      <x:c r="I32" s="157" t="str"/>
      <x:c r="J32" s="157" t="str"/>
      <x:c r="K32" s="157" t="str"/>
      <x:c r="L32" s="157" t="str"/>
      <x:c r="M32" s="157" t="str"/>
      <x:c r="N32" s="157" t="str"/>
      <x:c r="O32" s="157" t="str"/>
      <x:c r="P32" s="157" t="str"/>
      <x:c r="Q32" s="157" t="str"/>
      <x:c r="R32" s="157" t="str"/>
      <x:c r="S32" s="157" t="str"/>
    </x:row>
    <x:row r="33" ht="31.5" customHeight="1">
      <x:c r="A33" s="157" t="str"/>
      <x:c r="B33" s="157" t="str"/>
      <x:c r="C33" s="157" t="str"/>
      <x:c r="D33" s="165" t="str"/>
      <x:c r="E33" s="165" t="str"/>
      <x:c r="F33" s="166" t="n">
        <x:f>IFERROR(D33/E33,0)</x:f>
        <x:v>0</x:v>
      </x:c>
      <x:c r="G33" s="165" t="str"/>
      <x:c r="H33" s="157" t="str"/>
      <x:c r="I33" s="157" t="str"/>
      <x:c r="J33" s="157" t="str"/>
      <x:c r="K33" s="157" t="str"/>
      <x:c r="L33" s="157" t="str"/>
      <x:c r="M33" s="157" t="str"/>
      <x:c r="N33" s="157" t="str"/>
      <x:c r="O33" s="157" t="str"/>
      <x:c r="P33" s="157" t="str"/>
      <x:c r="Q33" s="157" t="str"/>
      <x:c r="R33" s="157" t="str"/>
      <x:c r="S33" s="157" t="str"/>
    </x:row>
    <x:row r="34" ht="31.5" customHeight="1">
      <x:c r="A34" s="157" t="str"/>
      <x:c r="B34" s="157" t="str"/>
      <x:c r="C34" s="157" t="str"/>
      <x:c r="D34" s="165" t="str"/>
      <x:c r="E34" s="165" t="str"/>
      <x:c r="F34" s="166" t="n">
        <x:f>IFERROR(D34/E34,0)</x:f>
        <x:v>0</x:v>
      </x:c>
      <x:c r="G34" s="165" t="str"/>
      <x:c r="H34" s="157" t="str"/>
      <x:c r="I34" s="157" t="str"/>
      <x:c r="J34" s="157" t="str"/>
      <x:c r="K34" s="157" t="str"/>
      <x:c r="L34" s="157" t="str"/>
      <x:c r="M34" s="157" t="str"/>
      <x:c r="N34" s="157" t="str"/>
      <x:c r="O34" s="157" t="str"/>
      <x:c r="P34" s="157" t="str"/>
      <x:c r="Q34" s="157" t="str"/>
      <x:c r="R34" s="157" t="str"/>
      <x:c r="S34" s="157" t="str"/>
    </x:row>
    <x:row r="35" ht="31.5" customHeight="1">
      <x:c r="A35" s="157" t="str"/>
      <x:c r="B35" s="157" t="str"/>
      <x:c r="C35" s="157" t="str"/>
      <x:c r="D35" s="165" t="str"/>
      <x:c r="E35" s="165" t="str"/>
      <x:c r="F35" s="166" t="n">
        <x:f>IFERROR(D35/E35,0)</x:f>
        <x:v>0</x:v>
      </x:c>
      <x:c r="G35" s="165" t="str"/>
      <x:c r="H35" s="157" t="str"/>
      <x:c r="I35" s="157" t="str"/>
      <x:c r="J35" s="157" t="str"/>
      <x:c r="K35" s="157" t="str"/>
      <x:c r="L35" s="157" t="str"/>
      <x:c r="M35" s="157" t="str"/>
      <x:c r="N35" s="157" t="str"/>
      <x:c r="O35" s="157" t="str"/>
      <x:c r="P35" s="157" t="str"/>
      <x:c r="Q35" s="157" t="str"/>
      <x:c r="R35" s="157" t="str"/>
      <x:c r="S35" s="157" t="str"/>
    </x:row>
    <x:row r="36" ht="31.5" customHeight="1">
      <x:c r="A36" s="157" t="str"/>
      <x:c r="B36" s="157" t="str"/>
      <x:c r="C36" s="157" t="str"/>
      <x:c r="D36" s="165" t="str"/>
      <x:c r="E36" s="165" t="str"/>
      <x:c r="F36" s="166" t="n">
        <x:f>IFERROR(D36/E36,0)</x:f>
        <x:v>0</x:v>
      </x:c>
      <x:c r="G36" s="165" t="str"/>
      <x:c r="H36" s="157" t="str"/>
      <x:c r="I36" s="157" t="str"/>
      <x:c r="J36" s="157" t="str"/>
      <x:c r="K36" s="157" t="str"/>
      <x:c r="L36" s="157" t="str"/>
      <x:c r="M36" s="157" t="str"/>
      <x:c r="N36" s="157" t="str"/>
      <x:c r="O36" s="157" t="str"/>
      <x:c r="P36" s="157" t="str"/>
      <x:c r="Q36" s="157" t="str"/>
      <x:c r="R36" s="157" t="str"/>
      <x:c r="S36" s="157" t="str"/>
    </x:row>
    <x:row r="37" ht="31.5" customHeight="1">
      <x:c r="A37" s="157" t="str"/>
      <x:c r="B37" s="157" t="str"/>
      <x:c r="C37" s="157" t="str"/>
      <x:c r="D37" s="165" t="str"/>
      <x:c r="E37" s="165" t="str"/>
      <x:c r="F37" s="166" t="n">
        <x:f>IFERROR(D37/E37,0)</x:f>
        <x:v>0</x:v>
      </x:c>
      <x:c r="G37" s="165" t="str"/>
      <x:c r="H37" s="157" t="str"/>
      <x:c r="I37" s="157" t="str"/>
      <x:c r="J37" s="157" t="str"/>
      <x:c r="K37" s="157" t="str"/>
      <x:c r="L37" s="157" t="str"/>
      <x:c r="M37" s="157" t="str"/>
      <x:c r="N37" s="157" t="str"/>
      <x:c r="O37" s="157" t="str"/>
      <x:c r="P37" s="157" t="str"/>
      <x:c r="Q37" s="157" t="str"/>
      <x:c r="R37" s="157" t="str"/>
      <x:c r="S37" s="157" t="str"/>
    </x:row>
    <x:row r="38" ht="31.5" customHeight="1">
      <x:c r="A38" s="157" t="str"/>
      <x:c r="B38" s="157" t="str"/>
      <x:c r="C38" s="157" t="str"/>
      <x:c r="D38" s="165" t="str"/>
      <x:c r="E38" s="165" t="str"/>
      <x:c r="F38" s="166" t="n">
        <x:f>IFERROR(D38/E38,0)</x:f>
        <x:v>0</x:v>
      </x:c>
      <x:c r="G38" s="165" t="str"/>
      <x:c r="H38" s="157" t="str"/>
      <x:c r="I38" s="157" t="str"/>
      <x:c r="J38" s="157" t="str"/>
      <x:c r="K38" s="157" t="str"/>
      <x:c r="L38" s="157" t="str"/>
      <x:c r="M38" s="157" t="str"/>
      <x:c r="N38" s="157" t="str"/>
      <x:c r="O38" s="157" t="str"/>
      <x:c r="P38" s="157" t="str"/>
      <x:c r="Q38" s="157" t="str"/>
      <x:c r="R38" s="157" t="str"/>
      <x:c r="S38" s="157" t="str"/>
    </x:row>
    <x:row r="39" ht="31.5" customHeight="1">
      <x:c r="A39" s="157" t="str"/>
      <x:c r="B39" s="157" t="str"/>
      <x:c r="C39" s="157" t="str"/>
      <x:c r="D39" s="165" t="str"/>
      <x:c r="E39" s="165" t="str"/>
      <x:c r="F39" s="166" t="n">
        <x:f>IFERROR(D39/E39,0)</x:f>
        <x:v>0</x:v>
      </x:c>
      <x:c r="G39" s="165" t="str"/>
      <x:c r="H39" s="157" t="str"/>
      <x:c r="I39" s="157" t="str"/>
      <x:c r="J39" s="157" t="str"/>
      <x:c r="K39" s="157" t="str"/>
      <x:c r="L39" s="157" t="str"/>
      <x:c r="M39" s="157" t="str"/>
      <x:c r="N39" s="157" t="str"/>
      <x:c r="O39" s="157" t="str"/>
      <x:c r="P39" s="157" t="str"/>
      <x:c r="Q39" s="157" t="str"/>
      <x:c r="R39" s="157" t="str"/>
      <x:c r="S39" s="157" t="str"/>
    </x:row>
    <x:row r="40" ht="31.5" customHeight="1">
      <x:c r="A40" s="157" t="str"/>
      <x:c r="B40" s="157" t="str"/>
      <x:c r="C40" s="157" t="str"/>
      <x:c r="D40" s="165" t="str"/>
      <x:c r="E40" s="165" t="str"/>
      <x:c r="F40" s="166" t="n">
        <x:f>IFERROR(D40/E40,0)</x:f>
        <x:v>0</x:v>
      </x:c>
      <x:c r="G40" s="165" t="str"/>
      <x:c r="H40" s="157" t="str"/>
      <x:c r="I40" s="157" t="str"/>
      <x:c r="J40" s="157" t="str"/>
      <x:c r="K40" s="157" t="str"/>
      <x:c r="L40" s="157" t="str"/>
      <x:c r="M40" s="157" t="str"/>
      <x:c r="N40" s="157" t="str"/>
      <x:c r="O40" s="157" t="str"/>
      <x:c r="P40" s="157" t="str"/>
      <x:c r="Q40" s="157" t="str"/>
      <x:c r="R40" s="157" t="str"/>
      <x:c r="S40" s="157" t="str"/>
    </x:row>
    <x:row r="41" ht="31.5" customHeight="1">
      <x:c r="A41" s="157" t="str"/>
      <x:c r="B41" s="157" t="str"/>
      <x:c r="C41" s="157" t="str"/>
      <x:c r="D41" s="165" t="str"/>
      <x:c r="E41" s="165" t="str"/>
      <x:c r="F41" s="166" t="n">
        <x:f>IFERROR(D41/E41,0)</x:f>
        <x:v>0</x:v>
      </x:c>
      <x:c r="G41" s="165" t="str"/>
      <x:c r="H41" s="157" t="str"/>
      <x:c r="I41" s="157" t="str"/>
      <x:c r="J41" s="157" t="str"/>
      <x:c r="K41" s="157" t="str"/>
      <x:c r="L41" s="157" t="str"/>
      <x:c r="M41" s="157" t="str"/>
      <x:c r="N41" s="157" t="str"/>
      <x:c r="O41" s="157" t="str"/>
      <x:c r="P41" s="157" t="str"/>
      <x:c r="Q41" s="157" t="str"/>
      <x:c r="R41" s="157" t="str"/>
      <x:c r="S41" s="157" t="str"/>
    </x:row>
    <x:row r="42" ht="31.5" customHeight="1">
      <x:c r="A42" s="157" t="str"/>
      <x:c r="B42" s="157" t="str"/>
      <x:c r="C42" s="157" t="str"/>
      <x:c r="D42" s="165" t="str"/>
      <x:c r="E42" s="165" t="str"/>
      <x:c r="F42" s="166" t="n">
        <x:f>IFERROR(D42/E42,0)</x:f>
        <x:v>0</x:v>
      </x:c>
      <x:c r="G42" s="165" t="str"/>
      <x:c r="H42" s="157" t="str"/>
      <x:c r="I42" s="157" t="str"/>
      <x:c r="J42" s="157" t="str"/>
      <x:c r="K42" s="157" t="str"/>
      <x:c r="L42" s="157" t="str"/>
      <x:c r="M42" s="157" t="str"/>
      <x:c r="N42" s="157" t="str"/>
      <x:c r="O42" s="157" t="str"/>
      <x:c r="P42" s="157" t="str"/>
      <x:c r="Q42" s="157" t="str"/>
      <x:c r="R42" s="157" t="str"/>
      <x:c r="S42" s="157" t="str"/>
    </x:row>
    <x:row r="43" ht="31.5" customHeight="1">
      <x:c r="A43" s="157" t="str"/>
      <x:c r="B43" s="157" t="str"/>
      <x:c r="C43" s="157" t="str"/>
      <x:c r="D43" s="165" t="str"/>
      <x:c r="E43" s="165" t="str"/>
      <x:c r="F43" s="166" t="n">
        <x:f>IFERROR(D43/E43,0)</x:f>
        <x:v>0</x:v>
      </x:c>
      <x:c r="G43" s="165" t="str"/>
      <x:c r="H43" s="157" t="str"/>
      <x:c r="I43" s="157" t="str"/>
      <x:c r="J43" s="157" t="str"/>
      <x:c r="K43" s="157" t="str"/>
      <x:c r="L43" s="157" t="str"/>
      <x:c r="M43" s="157" t="str"/>
      <x:c r="N43" s="157" t="str"/>
      <x:c r="O43" s="157" t="str"/>
      <x:c r="P43" s="157" t="str"/>
      <x:c r="Q43" s="157" t="str"/>
      <x:c r="R43" s="157" t="str"/>
      <x:c r="S43" s="157" t="str"/>
    </x:row>
    <x:row r="44" ht="31.5" customHeight="1">
      <x:c r="A44" s="157" t="str"/>
      <x:c r="B44" s="157" t="str"/>
      <x:c r="C44" s="157" t="str"/>
      <x:c r="D44" s="165" t="str"/>
      <x:c r="E44" s="165" t="str"/>
      <x:c r="F44" s="166" t="n">
        <x:f>IFERROR(D44/E44,0)</x:f>
        <x:v>0</x:v>
      </x:c>
      <x:c r="G44" s="165" t="str"/>
      <x:c r="H44" s="157" t="str"/>
      <x:c r="I44" s="157" t="str"/>
      <x:c r="J44" s="157" t="str"/>
      <x:c r="K44" s="157" t="str"/>
      <x:c r="L44" s="157" t="str"/>
      <x:c r="M44" s="157" t="str"/>
      <x:c r="N44" s="157" t="str"/>
      <x:c r="O44" s="157" t="str"/>
      <x:c r="P44" s="157" t="str"/>
      <x:c r="Q44" s="157" t="str"/>
      <x:c r="R44" s="157" t="str"/>
      <x:c r="S44" s="157" t="str"/>
    </x:row>
    <x:row r="45" ht="31.5" customHeight="1">
      <x:c r="A45" s="157" t="str"/>
      <x:c r="B45" s="157" t="str"/>
      <x:c r="C45" s="157" t="str"/>
      <x:c r="D45" s="165" t="str"/>
      <x:c r="E45" s="165" t="str"/>
      <x:c r="F45" s="166" t="n">
        <x:f>IFERROR(D45/E45,0)</x:f>
        <x:v>0</x:v>
      </x:c>
      <x:c r="G45" s="165" t="str"/>
      <x:c r="H45" s="157" t="str"/>
      <x:c r="I45" s="157" t="str"/>
      <x:c r="J45" s="157" t="str"/>
      <x:c r="K45" s="157" t="str"/>
      <x:c r="L45" s="157" t="str"/>
      <x:c r="M45" s="157" t="str"/>
      <x:c r="N45" s="157" t="str"/>
      <x:c r="O45" s="157" t="str"/>
      <x:c r="P45" s="157" t="str"/>
      <x:c r="Q45" s="157" t="str"/>
      <x:c r="R45" s="157" t="str"/>
      <x:c r="S45" s="157" t="str"/>
    </x:row>
    <x:row r="46" ht="31.5" customHeight="1">
      <x:c r="A46" s="157" t="str"/>
      <x:c r="B46" s="157" t="str"/>
      <x:c r="C46" s="157" t="str"/>
      <x:c r="D46" s="165" t="str"/>
      <x:c r="E46" s="165" t="str"/>
      <x:c r="F46" s="166" t="n">
        <x:f>IFERROR(D46/E46,0)</x:f>
        <x:v>0</x:v>
      </x:c>
      <x:c r="G46" s="165" t="str"/>
      <x:c r="H46" s="157" t="str"/>
      <x:c r="I46" s="157" t="str"/>
      <x:c r="J46" s="157" t="str"/>
      <x:c r="K46" s="157" t="str"/>
      <x:c r="L46" s="157" t="str"/>
      <x:c r="M46" s="157" t="str"/>
      <x:c r="N46" s="157" t="str"/>
      <x:c r="O46" s="157" t="str"/>
      <x:c r="P46" s="157" t="str"/>
      <x:c r="Q46" s="157" t="str"/>
      <x:c r="R46" s="157" t="str"/>
      <x:c r="S46" s="157" t="str"/>
    </x:row>
    <x:row r="47" ht="31.5" customHeight="1">
      <x:c r="A47" s="157" t="str"/>
      <x:c r="B47" s="157" t="str"/>
      <x:c r="C47" s="157" t="str"/>
      <x:c r="D47" s="165" t="str"/>
      <x:c r="E47" s="165" t="str"/>
      <x:c r="F47" s="166" t="n">
        <x:f>IFERROR(D47/E47,0)</x:f>
        <x:v>0</x:v>
      </x:c>
      <x:c r="G47" s="165" t="str"/>
      <x:c r="H47" s="157" t="str"/>
      <x:c r="I47" s="157" t="str"/>
      <x:c r="J47" s="157" t="str"/>
      <x:c r="K47" s="157" t="str"/>
      <x:c r="L47" s="157" t="str"/>
      <x:c r="M47" s="157" t="str"/>
      <x:c r="N47" s="157" t="str"/>
      <x:c r="O47" s="157" t="str"/>
      <x:c r="P47" s="157" t="str"/>
      <x:c r="Q47" s="157" t="str"/>
      <x:c r="R47" s="157" t="str"/>
      <x:c r="S47" s="157" t="str"/>
    </x:row>
    <x:row r="48" ht="31.5" customHeight="1">
      <x:c r="A48" s="157" t="str"/>
      <x:c r="B48" s="157" t="str"/>
      <x:c r="C48" s="157" t="str"/>
      <x:c r="D48" s="165" t="str"/>
      <x:c r="E48" s="165" t="str"/>
      <x:c r="F48" s="166" t="n">
        <x:f>IFERROR(D48/E48,0)</x:f>
        <x:v>0</x:v>
      </x:c>
      <x:c r="G48" s="165" t="str"/>
      <x:c r="H48" s="157" t="str"/>
      <x:c r="I48" s="157" t="str"/>
      <x:c r="J48" s="157" t="str"/>
      <x:c r="K48" s="157" t="str"/>
      <x:c r="L48" s="157" t="str"/>
      <x:c r="M48" s="157" t="str"/>
      <x:c r="N48" s="157" t="str"/>
      <x:c r="O48" s="157" t="str"/>
      <x:c r="P48" s="157" t="str"/>
      <x:c r="Q48" s="157" t="str"/>
      <x:c r="R48" s="157" t="str"/>
      <x:c r="S48" s="157" t="str"/>
    </x:row>
    <x:row r="49" ht="31.5" customHeight="1">
      <x:c r="A49" s="157" t="str"/>
      <x:c r="B49" s="157" t="str"/>
      <x:c r="C49" s="157" t="str"/>
      <x:c r="D49" s="165" t="str"/>
      <x:c r="E49" s="165" t="str"/>
      <x:c r="F49" s="166" t="n">
        <x:f>IFERROR(D49/E49,0)</x:f>
        <x:v>0</x:v>
      </x:c>
      <x:c r="G49" s="165" t="str"/>
      <x:c r="H49" s="157" t="str"/>
      <x:c r="I49" s="157" t="str"/>
      <x:c r="J49" s="157" t="str"/>
      <x:c r="K49" s="157" t="str"/>
      <x:c r="L49" s="157" t="str"/>
      <x:c r="M49" s="157" t="str"/>
      <x:c r="N49" s="157" t="str"/>
      <x:c r="O49" s="157" t="str"/>
      <x:c r="P49" s="157" t="str"/>
      <x:c r="Q49" s="157" t="str"/>
      <x:c r="R49" s="157" t="str"/>
      <x:c r="S49" s="157" t="str"/>
    </x:row>
    <x:row r="50" ht="31.5" customHeight="1">
      <x:c r="A50" s="157" t="str"/>
      <x:c r="B50" s="157" t="str"/>
      <x:c r="C50" s="157" t="str"/>
      <x:c r="D50" s="165" t="str"/>
      <x:c r="E50" s="165" t="str"/>
      <x:c r="F50" s="166" t="n">
        <x:f>IFERROR(D50/E50,0)</x:f>
        <x:v>0</x:v>
      </x:c>
      <x:c r="G50" s="165" t="str"/>
      <x:c r="H50" s="157" t="str"/>
      <x:c r="I50" s="157" t="str"/>
      <x:c r="J50" s="157" t="str"/>
      <x:c r="K50" s="157" t="str"/>
      <x:c r="L50" s="157" t="str"/>
      <x:c r="M50" s="157" t="str"/>
      <x:c r="N50" s="157" t="str"/>
      <x:c r="O50" s="157" t="str"/>
      <x:c r="P50" s="157" t="str"/>
      <x:c r="Q50" s="157" t="str"/>
      <x:c r="R50" s="157" t="str"/>
      <x:c r="S50" s="157" t="str"/>
    </x:row>
    <x:row r="51" ht="31.5" customHeight="1">
      <x:c r="A51" s="157" t="str"/>
      <x:c r="B51" s="157" t="str"/>
      <x:c r="C51" s="157" t="str"/>
      <x:c r="D51" s="165" t="str"/>
      <x:c r="E51" s="165" t="str"/>
      <x:c r="F51" s="166" t="n">
        <x:f>IFERROR(D51/E51,0)</x:f>
        <x:v>0</x:v>
      </x:c>
      <x:c r="G51" s="165" t="str"/>
      <x:c r="H51" s="157" t="str"/>
      <x:c r="I51" s="157" t="str"/>
      <x:c r="J51" s="157" t="str"/>
      <x:c r="K51" s="157" t="str"/>
      <x:c r="L51" s="157" t="str"/>
      <x:c r="M51" s="157" t="str"/>
      <x:c r="N51" s="157" t="str"/>
      <x:c r="O51" s="157" t="str"/>
      <x:c r="P51" s="157" t="str"/>
      <x:c r="Q51" s="157" t="str"/>
      <x:c r="R51" s="157" t="str"/>
      <x:c r="S51" s="157" t="str"/>
    </x:row>
    <x:row r="52" ht="31.5" customHeight="1">
      <x:c r="A52" s="157" t="str"/>
      <x:c r="B52" s="157" t="str"/>
      <x:c r="C52" s="157" t="str"/>
      <x:c r="D52" s="165" t="str"/>
      <x:c r="E52" s="165" t="str"/>
      <x:c r="F52" s="166" t="n">
        <x:f>IFERROR(D52/E52,0)</x:f>
        <x:v>0</x:v>
      </x:c>
      <x:c r="G52" s="165" t="str"/>
      <x:c r="H52" s="157" t="str"/>
      <x:c r="I52" s="157" t="str"/>
      <x:c r="J52" s="157" t="str"/>
      <x:c r="K52" s="157" t="str"/>
      <x:c r="L52" s="157" t="str"/>
      <x:c r="M52" s="157" t="str"/>
      <x:c r="N52" s="157" t="str"/>
      <x:c r="O52" s="157" t="str"/>
      <x:c r="P52" s="157" t="str"/>
      <x:c r="Q52" s="157" t="str"/>
      <x:c r="R52" s="157" t="str"/>
      <x:c r="S52" s="157" t="str"/>
    </x:row>
    <x:row r="53" ht="31.5" customHeight="1">
      <x:c r="A53" s="157" t="str"/>
      <x:c r="B53" s="157" t="str"/>
      <x:c r="C53" s="157" t="str"/>
      <x:c r="D53" s="165" t="str"/>
      <x:c r="E53" s="165" t="str"/>
      <x:c r="F53" s="166" t="n">
        <x:f>IFERROR(D53/E53,0)</x:f>
        <x:v>0</x:v>
      </x:c>
      <x:c r="G53" s="165" t="str"/>
      <x:c r="H53" s="157" t="str"/>
      <x:c r="I53" s="157" t="str"/>
      <x:c r="J53" s="157" t="str"/>
      <x:c r="K53" s="157" t="str"/>
      <x:c r="L53" s="157" t="str"/>
      <x:c r="M53" s="157" t="str"/>
      <x:c r="N53" s="157" t="str"/>
      <x:c r="O53" s="157" t="str"/>
      <x:c r="P53" s="157" t="str"/>
      <x:c r="Q53" s="157" t="str"/>
      <x:c r="R53" s="157" t="str"/>
      <x:c r="S53" s="157" t="str"/>
    </x:row>
    <x:row r="54" ht="31.5" customHeight="1">
      <x:c r="A54" s="157" t="str"/>
      <x:c r="B54" s="157" t="str"/>
      <x:c r="C54" s="157" t="str"/>
      <x:c r="D54" s="165" t="str"/>
      <x:c r="E54" s="165" t="str"/>
      <x:c r="F54" s="166" t="n">
        <x:f>IFERROR(D54/E54,0)</x:f>
        <x:v>0</x:v>
      </x:c>
      <x:c r="G54" s="165" t="str"/>
      <x:c r="H54" s="157" t="str"/>
      <x:c r="I54" s="157" t="str"/>
      <x:c r="J54" s="157" t="str"/>
      <x:c r="K54" s="157" t="str"/>
      <x:c r="L54" s="157" t="str"/>
      <x:c r="M54" s="157" t="str"/>
      <x:c r="N54" s="157" t="str"/>
      <x:c r="O54" s="157" t="str"/>
      <x:c r="P54" s="157" t="str"/>
      <x:c r="Q54" s="157" t="str"/>
      <x:c r="R54" s="157" t="str"/>
      <x:c r="S54" s="157" t="str"/>
    </x:row>
    <x:row r="55" ht="31.5" customHeight="1">
      <x:c r="A55" s="157" t="str"/>
      <x:c r="B55" s="157" t="str"/>
      <x:c r="C55" s="157" t="str"/>
      <x:c r="D55" s="165" t="str"/>
      <x:c r="E55" s="165" t="str"/>
      <x:c r="F55" s="166" t="n">
        <x:f>IFERROR(D55/E55,0)</x:f>
        <x:v>0</x:v>
      </x:c>
      <x:c r="G55" s="165" t="str"/>
      <x:c r="H55" s="157" t="str"/>
      <x:c r="I55" s="157" t="str"/>
      <x:c r="J55" s="157" t="str"/>
      <x:c r="K55" s="157" t="str"/>
      <x:c r="L55" s="157" t="str"/>
      <x:c r="M55" s="157" t="str"/>
      <x:c r="N55" s="157" t="str"/>
      <x:c r="O55" s="157" t="str"/>
      <x:c r="P55" s="157" t="str"/>
      <x:c r="Q55" s="157" t="str"/>
      <x:c r="R55" s="157" t="str"/>
      <x:c r="S55" s="157" t="str"/>
    </x:row>
    <x:row r="56" ht="31.5" customHeight="1">
      <x:c r="A56" s="157" t="str"/>
      <x:c r="B56" s="157" t="str"/>
      <x:c r="C56" s="157" t="str"/>
      <x:c r="D56" s="165" t="str"/>
      <x:c r="E56" s="165" t="str"/>
      <x:c r="F56" s="166" t="n">
        <x:f>IFERROR(D56/E56,0)</x:f>
        <x:v>0</x:v>
      </x:c>
      <x:c r="G56" s="165" t="str"/>
      <x:c r="H56" s="157" t="str"/>
      <x:c r="I56" s="157" t="str"/>
      <x:c r="J56" s="157" t="str"/>
      <x:c r="K56" s="157" t="str"/>
      <x:c r="L56" s="157" t="str"/>
      <x:c r="M56" s="157" t="str"/>
      <x:c r="N56" s="157" t="str"/>
      <x:c r="O56" s="157" t="str"/>
      <x:c r="P56" s="157" t="str"/>
      <x:c r="Q56" s="157" t="str"/>
      <x:c r="R56" s="157" t="str"/>
      <x:c r="S56" s="157" t="str"/>
    </x:row>
    <x:row r="57" ht="31.5" customHeight="1">
      <x:c r="A57" s="157" t="str"/>
      <x:c r="B57" s="157" t="str"/>
      <x:c r="C57" s="157" t="str"/>
      <x:c r="D57" s="165" t="str"/>
      <x:c r="E57" s="165" t="str"/>
      <x:c r="F57" s="166" t="n">
        <x:f>IFERROR(D57/E57,0)</x:f>
        <x:v>0</x:v>
      </x:c>
      <x:c r="G57" s="165" t="str"/>
      <x:c r="H57" s="157" t="str"/>
      <x:c r="I57" s="157" t="str"/>
      <x:c r="J57" s="157" t="str"/>
      <x:c r="K57" s="157" t="str"/>
      <x:c r="L57" s="157" t="str"/>
      <x:c r="M57" s="157" t="str"/>
      <x:c r="N57" s="157" t="str"/>
      <x:c r="O57" s="157" t="str"/>
      <x:c r="P57" s="157" t="str"/>
      <x:c r="Q57" s="157" t="str"/>
      <x:c r="R57" s="157" t="str"/>
      <x:c r="S57" s="157" t="str"/>
    </x:row>
    <x:row r="58" ht="31.5" customHeight="1">
      <x:c r="A58" s="157" t="str"/>
      <x:c r="B58" s="157" t="str"/>
      <x:c r="C58" s="157" t="str"/>
      <x:c r="D58" s="165" t="str"/>
      <x:c r="E58" s="165" t="str"/>
      <x:c r="F58" s="166" t="n">
        <x:f>IFERROR(D58/E58,0)</x:f>
        <x:v>0</x:v>
      </x:c>
      <x:c r="G58" s="165" t="str"/>
      <x:c r="H58" s="157" t="str"/>
      <x:c r="I58" s="157" t="str"/>
      <x:c r="J58" s="157" t="str"/>
      <x:c r="K58" s="157" t="str"/>
      <x:c r="L58" s="157" t="str"/>
      <x:c r="M58" s="157" t="str"/>
      <x:c r="N58" s="157" t="str"/>
      <x:c r="O58" s="157" t="str"/>
      <x:c r="P58" s="157" t="str"/>
      <x:c r="Q58" s="157" t="str"/>
      <x:c r="R58" s="157" t="str"/>
      <x:c r="S58" s="157" t="str"/>
    </x:row>
    <x:row r="59" ht="31.5" customHeight="1">
      <x:c r="A59" s="157" t="str"/>
      <x:c r="B59" s="157" t="str"/>
      <x:c r="C59" s="157" t="str"/>
      <x:c r="D59" s="165" t="str"/>
      <x:c r="E59" s="165" t="str"/>
      <x:c r="F59" s="166" t="n">
        <x:f>IFERROR(D59/E59,0)</x:f>
        <x:v>0</x:v>
      </x:c>
      <x:c r="G59" s="165" t="str"/>
      <x:c r="H59" s="157" t="str"/>
      <x:c r="I59" s="157" t="str"/>
      <x:c r="J59" s="157" t="str"/>
      <x:c r="K59" s="157" t="str"/>
      <x:c r="L59" s="157" t="str"/>
      <x:c r="M59" s="157" t="str"/>
      <x:c r="N59" s="157" t="str"/>
      <x:c r="O59" s="157" t="str"/>
      <x:c r="P59" s="157" t="str"/>
      <x:c r="Q59" s="157" t="str"/>
      <x:c r="R59" s="157" t="str"/>
      <x:c r="S59" s="157" t="str"/>
    </x:row>
    <x:row r="60" ht="31.5" customHeight="1">
      <x:c r="A60" s="157" t="str"/>
      <x:c r="B60" s="157" t="str"/>
      <x:c r="C60" s="157" t="str"/>
      <x:c r="D60" s="165" t="str"/>
      <x:c r="E60" s="165" t="str"/>
      <x:c r="F60" s="166" t="n">
        <x:f>IFERROR(D60/E60,0)</x:f>
        <x:v>0</x:v>
      </x:c>
      <x:c r="G60" s="165" t="str"/>
      <x:c r="H60" s="157" t="str"/>
      <x:c r="I60" s="157" t="str"/>
      <x:c r="J60" s="157" t="str"/>
      <x:c r="K60" s="157" t="str"/>
      <x:c r="L60" s="157" t="str"/>
      <x:c r="M60" s="157" t="str"/>
      <x:c r="N60" s="157" t="str"/>
      <x:c r="O60" s="157" t="str"/>
      <x:c r="P60" s="157" t="str"/>
      <x:c r="Q60" s="157" t="str"/>
      <x:c r="R60" s="157" t="str"/>
      <x:c r="S60" s="157" t="str"/>
    </x:row>
    <x:row r="61" ht="31.5" customHeight="1">
      <x:c r="A61" s="157" t="str"/>
      <x:c r="B61" s="157" t="str"/>
      <x:c r="C61" s="157" t="str"/>
      <x:c r="D61" s="165" t="str"/>
      <x:c r="E61" s="165" t="str"/>
      <x:c r="F61" s="166" t="n">
        <x:f>IFERROR(D61/E61,0)</x:f>
        <x:v>0</x:v>
      </x:c>
      <x:c r="G61" s="165" t="str"/>
      <x:c r="H61" s="157" t="str"/>
      <x:c r="I61" s="157" t="str"/>
      <x:c r="J61" s="157" t="str"/>
      <x:c r="K61" s="157" t="str"/>
      <x:c r="L61" s="157" t="str"/>
      <x:c r="M61" s="157" t="str"/>
      <x:c r="N61" s="157" t="str"/>
      <x:c r="O61" s="157" t="str"/>
      <x:c r="P61" s="157" t="str"/>
      <x:c r="Q61" s="157" t="str"/>
      <x:c r="R61" s="157" t="str"/>
      <x:c r="S61" s="157" t="str"/>
    </x:row>
    <x:row r="62" ht="31.5" customHeight="1">
      <x:c r="A62" s="157" t="str"/>
      <x:c r="B62" s="157" t="str"/>
      <x:c r="C62" s="157" t="str"/>
      <x:c r="D62" s="165" t="str"/>
      <x:c r="E62" s="165" t="str"/>
      <x:c r="F62" s="166" t="n">
        <x:f>IFERROR(D62/E62,0)</x:f>
        <x:v>0</x:v>
      </x:c>
      <x:c r="G62" s="165" t="str"/>
      <x:c r="H62" s="157" t="str"/>
      <x:c r="I62" s="157" t="str"/>
      <x:c r="J62" s="157" t="str"/>
      <x:c r="K62" s="157" t="str"/>
      <x:c r="L62" s="157" t="str"/>
      <x:c r="M62" s="157" t="str"/>
      <x:c r="N62" s="157" t="str"/>
      <x:c r="O62" s="157" t="str"/>
      <x:c r="P62" s="157" t="str"/>
      <x:c r="Q62" s="157" t="str"/>
      <x:c r="R62" s="157" t="str"/>
      <x:c r="S62" s="157" t="str"/>
    </x:row>
    <x:row r="63" ht="31.5" customHeight="1">
      <x:c r="A63" s="157" t="str"/>
      <x:c r="B63" s="157" t="str"/>
      <x:c r="C63" s="157" t="str"/>
      <x:c r="D63" s="165" t="str"/>
      <x:c r="E63" s="165" t="str"/>
      <x:c r="F63" s="166" t="n">
        <x:f>IFERROR(D63/E63,0)</x:f>
        <x:v>0</x:v>
      </x:c>
      <x:c r="G63" s="165" t="str"/>
      <x:c r="H63" s="157" t="str"/>
      <x:c r="I63" s="157" t="str"/>
      <x:c r="J63" s="157" t="str"/>
      <x:c r="K63" s="157" t="str"/>
      <x:c r="L63" s="157" t="str"/>
      <x:c r="M63" s="157" t="str"/>
      <x:c r="N63" s="157" t="str"/>
      <x:c r="O63" s="157" t="str"/>
      <x:c r="P63" s="157" t="str"/>
      <x:c r="Q63" s="157" t="str"/>
      <x:c r="R63" s="157" t="str"/>
      <x:c r="S63" s="157" t="str"/>
    </x:row>
    <x:row r="64" ht="31.5" customHeight="1">
      <x:c r="A64" s="157" t="str"/>
      <x:c r="B64" s="157" t="str"/>
      <x:c r="C64" s="157" t="str"/>
      <x:c r="D64" s="165" t="str"/>
      <x:c r="E64" s="165" t="str"/>
      <x:c r="F64" s="166" t="n">
        <x:f>IFERROR(D64/E64,0)</x:f>
        <x:v>0</x:v>
      </x:c>
      <x:c r="G64" s="165" t="str"/>
      <x:c r="H64" s="157" t="str"/>
      <x:c r="I64" s="157" t="str"/>
      <x:c r="J64" s="157" t="str"/>
      <x:c r="K64" s="157" t="str"/>
      <x:c r="L64" s="157" t="str"/>
      <x:c r="M64" s="157" t="str"/>
      <x:c r="N64" s="157" t="str"/>
      <x:c r="O64" s="157" t="str"/>
      <x:c r="P64" s="157" t="str"/>
      <x:c r="Q64" s="157" t="str"/>
      <x:c r="R64" s="157" t="str"/>
      <x:c r="S64" s="157" t="str"/>
    </x:row>
    <x:row r="65" ht="31.5" customHeight="1">
      <x:c r="A65" s="157" t="str"/>
      <x:c r="B65" s="157" t="str"/>
      <x:c r="C65" s="157" t="str"/>
      <x:c r="D65" s="165" t="str"/>
      <x:c r="E65" s="165" t="str"/>
      <x:c r="F65" s="166" t="n">
        <x:f>IFERROR(D65/E65,0)</x:f>
        <x:v>0</x:v>
      </x:c>
      <x:c r="G65" s="165" t="str"/>
      <x:c r="H65" s="157" t="str"/>
      <x:c r="I65" s="157" t="str"/>
      <x:c r="J65" s="157" t="str"/>
      <x:c r="K65" s="157" t="str"/>
      <x:c r="L65" s="157" t="str"/>
      <x:c r="M65" s="157" t="str"/>
      <x:c r="N65" s="157" t="str"/>
      <x:c r="O65" s="157" t="str"/>
      <x:c r="P65" s="157" t="str"/>
      <x:c r="Q65" s="157" t="str"/>
      <x:c r="R65" s="157" t="str"/>
      <x:c r="S65" s="157" t="str"/>
    </x:row>
    <x:row r="66" ht="31.5" customHeight="1">
      <x:c r="A66" s="157" t="str"/>
      <x:c r="B66" s="157" t="str"/>
      <x:c r="C66" s="157" t="str"/>
      <x:c r="D66" s="165" t="str"/>
      <x:c r="E66" s="165" t="str"/>
      <x:c r="F66" s="166" t="n">
        <x:f>IFERROR(D66/E66,0)</x:f>
        <x:v>0</x:v>
      </x:c>
      <x:c r="G66" s="165" t="str"/>
      <x:c r="H66" s="157" t="str"/>
      <x:c r="I66" s="157" t="str"/>
      <x:c r="J66" s="157" t="str"/>
      <x:c r="K66" s="157" t="str"/>
      <x:c r="L66" s="157" t="str"/>
      <x:c r="M66" s="157" t="str"/>
      <x:c r="N66" s="157" t="str"/>
      <x:c r="O66" s="157" t="str"/>
      <x:c r="P66" s="157" t="str"/>
      <x:c r="Q66" s="157" t="str"/>
      <x:c r="R66" s="157" t="str"/>
      <x:c r="S66" s="157" t="str"/>
    </x:row>
    <x:row r="67" ht="31.5" customHeight="1">
      <x:c r="A67" s="157" t="str"/>
      <x:c r="B67" s="157" t="str"/>
      <x:c r="C67" s="157" t="str"/>
      <x:c r="D67" s="165" t="str"/>
      <x:c r="E67" s="165" t="str"/>
      <x:c r="F67" s="166" t="n">
        <x:f>IFERROR(D67/E67,0)</x:f>
        <x:v>0</x:v>
      </x:c>
      <x:c r="G67" s="165" t="str"/>
      <x:c r="H67" s="157" t="str"/>
      <x:c r="I67" s="157" t="str"/>
      <x:c r="J67" s="157" t="str"/>
      <x:c r="K67" s="157" t="str"/>
      <x:c r="L67" s="157" t="str"/>
      <x:c r="M67" s="157" t="str"/>
      <x:c r="N67" s="157" t="str"/>
      <x:c r="O67" s="157" t="str"/>
      <x:c r="P67" s="157" t="str"/>
      <x:c r="Q67" s="157" t="str"/>
      <x:c r="R67" s="157" t="str"/>
      <x:c r="S67" s="157" t="str"/>
    </x:row>
    <x:row r="68" ht="31.5" customHeight="1">
      <x:c r="A68" s="157" t="str"/>
      <x:c r="B68" s="157" t="str"/>
      <x:c r="C68" s="157" t="str"/>
      <x:c r="D68" s="165" t="str"/>
      <x:c r="E68" s="165" t="str"/>
      <x:c r="F68" s="166" t="n">
        <x:f>IFERROR(D68/E68,0)</x:f>
        <x:v>0</x:v>
      </x:c>
      <x:c r="G68" s="165" t="str"/>
      <x:c r="H68" s="157" t="str"/>
      <x:c r="I68" s="157" t="str"/>
      <x:c r="J68" s="157" t="str"/>
      <x:c r="K68" s="157" t="str"/>
      <x:c r="L68" s="157" t="str"/>
      <x:c r="M68" s="157" t="str"/>
      <x:c r="N68" s="157" t="str"/>
      <x:c r="O68" s="157" t="str"/>
      <x:c r="P68" s="157" t="str"/>
      <x:c r="Q68" s="157" t="str"/>
      <x:c r="R68" s="157" t="str"/>
      <x:c r="S68" s="157" t="str"/>
    </x:row>
    <x:row r="69" ht="31.5" customHeight="1">
      <x:c r="A69" s="157" t="str"/>
      <x:c r="B69" s="157" t="str"/>
      <x:c r="C69" s="157" t="str"/>
      <x:c r="D69" s="165" t="str"/>
      <x:c r="E69" s="165" t="str"/>
      <x:c r="F69" s="166" t="n">
        <x:f>IFERROR(D69/E69,0)</x:f>
        <x:v>0</x:v>
      </x:c>
      <x:c r="G69" s="165" t="str"/>
      <x:c r="H69" s="157" t="str"/>
      <x:c r="I69" s="157" t="str"/>
      <x:c r="J69" s="157" t="str"/>
      <x:c r="K69" s="157" t="str"/>
      <x:c r="L69" s="157" t="str"/>
      <x:c r="M69" s="157" t="str"/>
      <x:c r="N69" s="157" t="str"/>
      <x:c r="O69" s="157" t="str"/>
      <x:c r="P69" s="157" t="str"/>
      <x:c r="Q69" s="157" t="str"/>
      <x:c r="R69" s="157" t="str"/>
      <x:c r="S69" s="157" t="str"/>
    </x:row>
    <x:row r="70" ht="31.5" customHeight="1">
      <x:c r="A70" s="157" t="str"/>
      <x:c r="B70" s="157" t="str"/>
      <x:c r="C70" s="157" t="str"/>
      <x:c r="D70" s="165" t="str"/>
      <x:c r="E70" s="165" t="str"/>
      <x:c r="F70" s="166" t="n">
        <x:f>IFERROR(D70/E70,0)</x:f>
        <x:v>0</x:v>
      </x:c>
      <x:c r="G70" s="165" t="str"/>
      <x:c r="H70" s="157" t="str"/>
      <x:c r="I70" s="157" t="str"/>
      <x:c r="J70" s="157" t="str"/>
      <x:c r="K70" s="157" t="str"/>
      <x:c r="L70" s="157" t="str"/>
      <x:c r="M70" s="157" t="str"/>
      <x:c r="N70" s="157" t="str"/>
      <x:c r="O70" s="157" t="str"/>
      <x:c r="P70" s="157" t="str"/>
      <x:c r="Q70" s="157" t="str"/>
      <x:c r="R70" s="157" t="str"/>
      <x:c r="S70" s="157" t="str"/>
    </x:row>
    <x:row r="71" ht="31.5" customHeight="1">
      <x:c r="A71" s="157" t="str"/>
      <x:c r="B71" s="157" t="str"/>
      <x:c r="C71" s="157" t="str"/>
      <x:c r="D71" s="165" t="str"/>
      <x:c r="E71" s="165" t="str"/>
      <x:c r="F71" s="166" t="n">
        <x:f>IFERROR(D71/E71,0)</x:f>
        <x:v>0</x:v>
      </x:c>
      <x:c r="G71" s="165" t="str"/>
      <x:c r="H71" s="157" t="str"/>
      <x:c r="I71" s="157" t="str"/>
      <x:c r="J71" s="157" t="str"/>
      <x:c r="K71" s="157" t="str"/>
      <x:c r="L71" s="157" t="str"/>
      <x:c r="M71" s="157" t="str"/>
      <x:c r="N71" s="157" t="str"/>
      <x:c r="O71" s="157" t="str"/>
      <x:c r="P71" s="157" t="str"/>
      <x:c r="Q71" s="157" t="str"/>
      <x:c r="R71" s="157" t="str"/>
      <x:c r="S71" s="157" t="str"/>
    </x:row>
    <x:row r="72" ht="31.5" customHeight="1">
      <x:c r="A72" s="157" t="str"/>
      <x:c r="B72" s="157" t="str"/>
      <x:c r="C72" s="157" t="str"/>
      <x:c r="D72" s="165" t="str"/>
      <x:c r="E72" s="165" t="str"/>
      <x:c r="F72" s="166" t="n">
        <x:f>IFERROR(D72/E72,0)</x:f>
        <x:v>0</x:v>
      </x:c>
      <x:c r="G72" s="165" t="str"/>
      <x:c r="H72" s="157" t="str"/>
      <x:c r="I72" s="157" t="str"/>
      <x:c r="J72" s="157" t="str"/>
      <x:c r="K72" s="157" t="str"/>
      <x:c r="L72" s="157" t="str"/>
      <x:c r="M72" s="157" t="str"/>
      <x:c r="N72" s="157" t="str"/>
      <x:c r="O72" s="157" t="str"/>
      <x:c r="P72" s="157" t="str"/>
      <x:c r="Q72" s="157" t="str"/>
      <x:c r="R72" s="157" t="str"/>
      <x:c r="S72" s="157" t="str"/>
    </x:row>
    <x:row r="73" ht="31.5" customHeight="1">
      <x:c r="A73" s="157" t="str"/>
      <x:c r="B73" s="157" t="str"/>
      <x:c r="C73" s="157" t="str"/>
      <x:c r="D73" s="165" t="str"/>
      <x:c r="E73" s="165" t="str"/>
      <x:c r="F73" s="166" t="n">
        <x:f>IFERROR(D73/E73,0)</x:f>
        <x:v>0</x:v>
      </x:c>
      <x:c r="G73" s="165" t="str"/>
      <x:c r="H73" s="157" t="str"/>
      <x:c r="I73" s="157" t="str"/>
      <x:c r="J73" s="157" t="str"/>
      <x:c r="K73" s="157" t="str"/>
      <x:c r="L73" s="157" t="str"/>
      <x:c r="M73" s="157" t="str"/>
      <x:c r="N73" s="157" t="str"/>
      <x:c r="O73" s="157" t="str"/>
      <x:c r="P73" s="157" t="str"/>
      <x:c r="Q73" s="157" t="str"/>
      <x:c r="R73" s="157" t="str"/>
      <x:c r="S73" s="157" t="str"/>
    </x:row>
    <x:row r="74" ht="31.5" customHeight="1">
      <x:c r="A74" s="157" t="str"/>
      <x:c r="B74" s="157" t="str"/>
      <x:c r="C74" s="157" t="str"/>
      <x:c r="D74" s="165" t="str"/>
      <x:c r="E74" s="165" t="str"/>
      <x:c r="F74" s="166" t="n">
        <x:f>IFERROR(D74/E74,0)</x:f>
        <x:v>0</x:v>
      </x:c>
      <x:c r="G74" s="165" t="str"/>
      <x:c r="H74" s="157" t="str"/>
      <x:c r="I74" s="157" t="str"/>
      <x:c r="J74" s="157" t="str"/>
      <x:c r="K74" s="157" t="str"/>
      <x:c r="L74" s="157" t="str"/>
      <x:c r="M74" s="157" t="str"/>
      <x:c r="N74" s="157" t="str"/>
      <x:c r="O74" s="157" t="str"/>
      <x:c r="P74" s="157" t="str"/>
      <x:c r="Q74" s="157" t="str"/>
      <x:c r="R74" s="157" t="str"/>
      <x:c r="S74" s="157" t="str"/>
    </x:row>
    <x:row r="75" ht="31.5" customHeight="1">
      <x:c r="A75" s="157" t="str"/>
      <x:c r="B75" s="157" t="str"/>
      <x:c r="C75" s="157" t="str"/>
      <x:c r="D75" s="165" t="str"/>
      <x:c r="E75" s="165" t="str"/>
      <x:c r="F75" s="166" t="n">
        <x:f>IFERROR(D75/E75,0)</x:f>
        <x:v>0</x:v>
      </x:c>
      <x:c r="G75" s="165" t="str"/>
      <x:c r="H75" s="157" t="str"/>
      <x:c r="I75" s="157" t="str"/>
      <x:c r="J75" s="157" t="str"/>
      <x:c r="K75" s="157" t="str"/>
      <x:c r="L75" s="157" t="str"/>
      <x:c r="M75" s="157" t="str"/>
      <x:c r="N75" s="157" t="str"/>
      <x:c r="O75" s="157" t="str"/>
      <x:c r="P75" s="157" t="str"/>
      <x:c r="Q75" s="157" t="str"/>
      <x:c r="R75" s="157" t="str"/>
      <x:c r="S75" s="157" t="str"/>
    </x:row>
    <x:row r="76" ht="31.5" customHeight="1">
      <x:c r="A76" s="157" t="str"/>
      <x:c r="B76" s="157" t="str"/>
      <x:c r="C76" s="157" t="str"/>
      <x:c r="D76" s="165" t="str"/>
      <x:c r="E76" s="165" t="str"/>
      <x:c r="F76" s="166" t="n">
        <x:f>IFERROR(D76/E76,0)</x:f>
        <x:v>0</x:v>
      </x:c>
      <x:c r="G76" s="165" t="str"/>
      <x:c r="H76" s="157" t="str"/>
      <x:c r="I76" s="157" t="str"/>
      <x:c r="J76" s="157" t="str"/>
      <x:c r="K76" s="157" t="str"/>
      <x:c r="L76" s="157" t="str"/>
      <x:c r="M76" s="157" t="str"/>
      <x:c r="N76" s="157" t="str"/>
      <x:c r="O76" s="157" t="str"/>
      <x:c r="P76" s="157" t="str"/>
      <x:c r="Q76" s="157" t="str"/>
      <x:c r="R76" s="157" t="str"/>
      <x:c r="S76" s="157" t="str"/>
    </x:row>
    <x:row r="77" ht="31.5" customHeight="1">
      <x:c r="A77" s="157" t="str"/>
      <x:c r="B77" s="157" t="str"/>
      <x:c r="C77" s="157" t="str"/>
      <x:c r="D77" s="165" t="str"/>
      <x:c r="E77" s="165" t="str"/>
      <x:c r="F77" s="166" t="n">
        <x:f>IFERROR(D77/E77,0)</x:f>
        <x:v>0</x:v>
      </x:c>
      <x:c r="G77" s="165" t="str"/>
      <x:c r="H77" s="157" t="str"/>
      <x:c r="I77" s="157" t="str"/>
      <x:c r="J77" s="157" t="str"/>
      <x:c r="K77" s="157" t="str"/>
      <x:c r="L77" s="157" t="str"/>
      <x:c r="M77" s="157" t="str"/>
      <x:c r="N77" s="157" t="str"/>
      <x:c r="O77" s="157" t="str"/>
      <x:c r="P77" s="157" t="str"/>
      <x:c r="Q77" s="157" t="str"/>
      <x:c r="R77" s="157" t="str"/>
      <x:c r="S77" s="157" t="str"/>
    </x:row>
    <x:row r="78" ht="31.5" customHeight="1">
      <x:c r="A78" s="157" t="str"/>
      <x:c r="B78" s="157" t="str"/>
      <x:c r="C78" s="157" t="str"/>
      <x:c r="D78" s="165" t="str"/>
      <x:c r="E78" s="165" t="str"/>
      <x:c r="F78" s="166" t="n">
        <x:f>IFERROR(D78/E78,0)</x:f>
        <x:v>0</x:v>
      </x:c>
      <x:c r="G78" s="165" t="str"/>
      <x:c r="H78" s="157" t="str"/>
      <x:c r="I78" s="157" t="str"/>
      <x:c r="J78" s="157" t="str"/>
      <x:c r="K78" s="157" t="str"/>
      <x:c r="L78" s="157" t="str"/>
      <x:c r="M78" s="157" t="str"/>
      <x:c r="N78" s="157" t="str"/>
      <x:c r="O78" s="157" t="str"/>
      <x:c r="P78" s="157" t="str"/>
      <x:c r="Q78" s="157" t="str"/>
      <x:c r="R78" s="157" t="str"/>
      <x:c r="S78" s="157" t="str"/>
    </x:row>
    <x:row r="79" ht="31.5" customHeight="1">
      <x:c r="A79" s="157" t="str"/>
      <x:c r="B79" s="157" t="str"/>
      <x:c r="C79" s="157" t="str"/>
      <x:c r="D79" s="165" t="str"/>
      <x:c r="E79" s="165" t="str"/>
      <x:c r="F79" s="166" t="n">
        <x:f>IFERROR(D79/E79,0)</x:f>
        <x:v>0</x:v>
      </x:c>
      <x:c r="G79" s="165" t="str"/>
      <x:c r="H79" s="157" t="str"/>
      <x:c r="I79" s="157" t="str"/>
      <x:c r="J79" s="157" t="str"/>
      <x:c r="K79" s="157" t="str"/>
      <x:c r="L79" s="157" t="str"/>
      <x:c r="M79" s="157" t="str"/>
      <x:c r="N79" s="157" t="str"/>
      <x:c r="O79" s="157" t="str"/>
      <x:c r="P79" s="157" t="str"/>
      <x:c r="Q79" s="157" t="str"/>
      <x:c r="R79" s="157" t="str"/>
      <x:c r="S79" s="157" t="str"/>
    </x:row>
    <x:row r="80" ht="31.5" customHeight="1">
      <x:c r="A80" s="157" t="str"/>
      <x:c r="B80" s="157" t="str"/>
      <x:c r="C80" s="157" t="str"/>
      <x:c r="D80" s="165" t="str"/>
      <x:c r="E80" s="165" t="str"/>
      <x:c r="F80" s="166" t="n">
        <x:f>IFERROR(D80/E80,0)</x:f>
        <x:v>0</x:v>
      </x:c>
      <x:c r="G80" s="165" t="str"/>
      <x:c r="H80" s="157" t="str"/>
      <x:c r="I80" s="157" t="str"/>
      <x:c r="J80" s="157" t="str"/>
      <x:c r="K80" s="157" t="str"/>
      <x:c r="L80" s="157" t="str"/>
      <x:c r="M80" s="157" t="str"/>
      <x:c r="N80" s="157" t="str"/>
      <x:c r="O80" s="157" t="str"/>
      <x:c r="P80" s="157" t="str"/>
      <x:c r="Q80" s="157" t="str"/>
      <x:c r="R80" s="157" t="str"/>
      <x:c r="S80" s="157" t="str"/>
    </x:row>
    <x:row r="81" ht="31.5" customHeight="1">
      <x:c r="A81" s="157" t="str"/>
      <x:c r="B81" s="157" t="str"/>
      <x:c r="C81" s="157" t="str"/>
      <x:c r="D81" s="165" t="str"/>
      <x:c r="E81" s="165" t="str"/>
      <x:c r="F81" s="166" t="n">
        <x:f>IFERROR(D81/E81,0)</x:f>
        <x:v>0</x:v>
      </x:c>
      <x:c r="G81" s="165" t="str"/>
      <x:c r="H81" s="157" t="str"/>
      <x:c r="I81" s="157" t="str"/>
      <x:c r="J81" s="157" t="str"/>
      <x:c r="K81" s="157" t="str"/>
      <x:c r="L81" s="157" t="str"/>
      <x:c r="M81" s="157" t="str"/>
      <x:c r="N81" s="157" t="str"/>
      <x:c r="O81" s="157" t="str"/>
      <x:c r="P81" s="157" t="str"/>
      <x:c r="Q81" s="157" t="str"/>
      <x:c r="R81" s="157" t="str"/>
      <x:c r="S81" s="157" t="str"/>
    </x:row>
    <x:row r="82" ht="31.5" customHeight="1">
      <x:c r="A82" s="157" t="str"/>
      <x:c r="B82" s="157" t="str"/>
      <x:c r="C82" s="157" t="str"/>
      <x:c r="D82" s="165" t="str"/>
      <x:c r="E82" s="165" t="str"/>
      <x:c r="F82" s="166" t="n">
        <x:f>IFERROR(D82/E82,0)</x:f>
        <x:v>0</x:v>
      </x:c>
      <x:c r="G82" s="165" t="str"/>
      <x:c r="H82" s="157" t="str"/>
      <x:c r="I82" s="157" t="str"/>
      <x:c r="J82" s="157" t="str"/>
      <x:c r="K82" s="157" t="str"/>
      <x:c r="L82" s="157" t="str"/>
      <x:c r="M82" s="157" t="str"/>
      <x:c r="N82" s="157" t="str"/>
      <x:c r="O82" s="157" t="str"/>
      <x:c r="P82" s="157" t="str"/>
      <x:c r="Q82" s="157" t="str"/>
      <x:c r="R82" s="157" t="str"/>
      <x:c r="S82" s="157" t="str"/>
    </x:row>
    <x:row r="83" ht="31.5" customHeight="1">
      <x:c r="A83" s="157" t="str"/>
      <x:c r="B83" s="157" t="str"/>
      <x:c r="C83" s="157" t="str"/>
      <x:c r="D83" s="165" t="str"/>
      <x:c r="E83" s="165" t="str"/>
      <x:c r="F83" s="166" t="n">
        <x:f>IFERROR(D83/E83,0)</x:f>
        <x:v>0</x:v>
      </x:c>
      <x:c r="G83" s="165" t="str"/>
      <x:c r="H83" s="157" t="str"/>
      <x:c r="I83" s="157" t="str"/>
      <x:c r="J83" s="157" t="str"/>
      <x:c r="K83" s="157" t="str"/>
      <x:c r="L83" s="157" t="str"/>
      <x:c r="M83" s="157" t="str"/>
      <x:c r="N83" s="157" t="str"/>
      <x:c r="O83" s="157" t="str"/>
      <x:c r="P83" s="157" t="str"/>
      <x:c r="Q83" s="157" t="str"/>
      <x:c r="R83" s="157" t="str"/>
      <x:c r="S83" s="157" t="str"/>
    </x:row>
    <x:row r="84" ht="31.5" customHeight="1">
      <x:c r="A84" s="157" t="str"/>
      <x:c r="B84" s="157" t="str"/>
      <x:c r="C84" s="157" t="str"/>
      <x:c r="D84" s="165" t="str"/>
      <x:c r="E84" s="165" t="str"/>
      <x:c r="F84" s="166" t="n">
        <x:f>IFERROR(D84/E84,0)</x:f>
        <x:v>0</x:v>
      </x:c>
      <x:c r="G84" s="165" t="str"/>
      <x:c r="H84" s="157" t="str"/>
      <x:c r="I84" s="157" t="str"/>
      <x:c r="J84" s="157" t="str"/>
      <x:c r="K84" s="157" t="str"/>
      <x:c r="L84" s="157" t="str"/>
      <x:c r="M84" s="157" t="str"/>
      <x:c r="N84" s="157" t="str"/>
      <x:c r="O84" s="157" t="str"/>
      <x:c r="P84" s="157" t="str"/>
      <x:c r="Q84" s="157" t="str"/>
      <x:c r="R84" s="157" t="str"/>
      <x:c r="S84" s="157" t="str"/>
    </x:row>
    <x:row r="85" ht="31.5" customHeight="1">
      <x:c r="A85" s="157" t="str"/>
      <x:c r="B85" s="157" t="str"/>
      <x:c r="C85" s="157" t="str"/>
      <x:c r="D85" s="165" t="str"/>
      <x:c r="E85" s="165" t="str"/>
      <x:c r="F85" s="166" t="n">
        <x:f>IFERROR(D85/E85,0)</x:f>
        <x:v>0</x:v>
      </x:c>
      <x:c r="G85" s="165" t="str"/>
      <x:c r="H85" s="157" t="str"/>
      <x:c r="I85" s="157" t="str"/>
      <x:c r="J85" s="157" t="str"/>
      <x:c r="K85" s="157" t="str"/>
      <x:c r="L85" s="157" t="str"/>
      <x:c r="M85" s="157" t="str"/>
      <x:c r="N85" s="157" t="str"/>
      <x:c r="O85" s="157" t="str"/>
      <x:c r="P85" s="157" t="str"/>
      <x:c r="Q85" s="157" t="str"/>
      <x:c r="R85" s="157" t="str"/>
      <x:c r="S85" s="157" t="str"/>
    </x:row>
    <x:row r="86" ht="31.5" customHeight="1">
      <x:c r="A86" s="157" t="str"/>
      <x:c r="B86" s="157" t="str"/>
      <x:c r="C86" s="157" t="str"/>
      <x:c r="D86" s="165" t="str"/>
      <x:c r="E86" s="165" t="str"/>
      <x:c r="F86" s="166" t="n">
        <x:f>IFERROR(D86/E86,0)</x:f>
        <x:v>0</x:v>
      </x:c>
      <x:c r="G86" s="165" t="str"/>
      <x:c r="H86" s="157" t="str"/>
      <x:c r="I86" s="157" t="str"/>
      <x:c r="J86" s="157" t="str"/>
      <x:c r="K86" s="157" t="str"/>
      <x:c r="L86" s="157" t="str"/>
      <x:c r="M86" s="157" t="str"/>
      <x:c r="N86" s="157" t="str"/>
      <x:c r="O86" s="157" t="str"/>
      <x:c r="P86" s="157" t="str"/>
      <x:c r="Q86" s="157" t="str"/>
      <x:c r="R86" s="157" t="str"/>
      <x:c r="S86" s="157" t="str"/>
    </x:row>
    <x:row r="87" ht="31.5" customHeight="1">
      <x:c r="A87" s="157" t="str"/>
      <x:c r="B87" s="157" t="str"/>
      <x:c r="C87" s="157" t="str"/>
      <x:c r="D87" s="165" t="str"/>
      <x:c r="E87" s="165" t="str"/>
      <x:c r="F87" s="166" t="n">
        <x:f>IFERROR(D87/E87,0)</x:f>
        <x:v>0</x:v>
      </x:c>
      <x:c r="G87" s="165" t="str"/>
      <x:c r="H87" s="157" t="str"/>
      <x:c r="I87" s="157" t="str"/>
      <x:c r="J87" s="157" t="str"/>
      <x:c r="K87" s="157" t="str"/>
      <x:c r="L87" s="157" t="str"/>
      <x:c r="M87" s="157" t="str"/>
      <x:c r="N87" s="157" t="str"/>
      <x:c r="O87" s="157" t="str"/>
      <x:c r="P87" s="157" t="str"/>
      <x:c r="Q87" s="157" t="str"/>
      <x:c r="R87" s="157" t="str"/>
      <x:c r="S87" s="157" t="str"/>
    </x:row>
    <x:row r="88" ht="31.5" customHeight="1">
      <x:c r="A88" s="157" t="str"/>
      <x:c r="B88" s="157" t="str"/>
      <x:c r="C88" s="157" t="str"/>
      <x:c r="D88" s="165" t="str"/>
      <x:c r="E88" s="165" t="str"/>
      <x:c r="F88" s="166" t="n">
        <x:f>IFERROR(D88/E88,0)</x:f>
        <x:v>0</x:v>
      </x:c>
      <x:c r="G88" s="165" t="str"/>
      <x:c r="H88" s="157" t="str"/>
      <x:c r="I88" s="157" t="str"/>
      <x:c r="J88" s="157" t="str"/>
      <x:c r="K88" s="157" t="str"/>
      <x:c r="L88" s="157" t="str"/>
      <x:c r="M88" s="157" t="str"/>
      <x:c r="N88" s="157" t="str"/>
      <x:c r="O88" s="157" t="str"/>
      <x:c r="P88" s="157" t="str"/>
      <x:c r="Q88" s="157" t="str"/>
      <x:c r="R88" s="157" t="str"/>
      <x:c r="S88" s="157" t="str"/>
    </x:row>
    <x:row r="89" ht="31.5" customHeight="1">
      <x:c r="A89" s="157" t="str"/>
      <x:c r="B89" s="157" t="str"/>
      <x:c r="C89" s="157" t="str"/>
      <x:c r="D89" s="165" t="str"/>
      <x:c r="E89" s="165" t="str"/>
      <x:c r="F89" s="166" t="n">
        <x:f>IFERROR(D89/E89,0)</x:f>
        <x:v>0</x:v>
      </x:c>
      <x:c r="G89" s="165" t="str"/>
      <x:c r="H89" s="157" t="str"/>
      <x:c r="I89" s="157" t="str"/>
      <x:c r="J89" s="157" t="str"/>
      <x:c r="K89" s="157" t="str"/>
      <x:c r="L89" s="157" t="str"/>
      <x:c r="M89" s="157" t="str"/>
      <x:c r="N89" s="157" t="str"/>
      <x:c r="O89" s="157" t="str"/>
      <x:c r="P89" s="157" t="str"/>
      <x:c r="Q89" s="157" t="str"/>
      <x:c r="R89" s="157" t="str"/>
      <x:c r="S89" s="157" t="str"/>
    </x:row>
    <x:row r="90" ht="31.5" customHeight="1">
      <x:c r="A90" s="157" t="str"/>
      <x:c r="B90" s="157" t="str"/>
      <x:c r="C90" s="157" t="str"/>
      <x:c r="D90" s="165" t="str"/>
      <x:c r="E90" s="165" t="str"/>
      <x:c r="F90" s="166" t="n">
        <x:f>IFERROR(D90/E90,0)</x:f>
        <x:v>0</x:v>
      </x:c>
      <x:c r="G90" s="165" t="str"/>
      <x:c r="H90" s="157" t="str"/>
      <x:c r="I90" s="157" t="str"/>
      <x:c r="J90" s="157" t="str"/>
      <x:c r="K90" s="157" t="str"/>
      <x:c r="L90" s="157" t="str"/>
      <x:c r="M90" s="157" t="str"/>
      <x:c r="N90" s="157" t="str"/>
      <x:c r="O90" s="157" t="str"/>
      <x:c r="P90" s="157" t="str"/>
      <x:c r="Q90" s="157" t="str"/>
      <x:c r="R90" s="157" t="str"/>
      <x:c r="S90" s="157" t="str"/>
    </x:row>
    <x:row r="91" ht="31.5" customHeight="1">
      <x:c r="A91" s="157" t="str"/>
      <x:c r="B91" s="157" t="str"/>
      <x:c r="C91" s="157" t="str"/>
      <x:c r="D91" s="165" t="str"/>
      <x:c r="E91" s="165" t="str"/>
      <x:c r="F91" s="166" t="n">
        <x:f>IFERROR(D91/E91,0)</x:f>
        <x:v>0</x:v>
      </x:c>
      <x:c r="G91" s="165" t="str"/>
      <x:c r="H91" s="157" t="str"/>
      <x:c r="I91" s="157" t="str"/>
      <x:c r="J91" s="157" t="str"/>
      <x:c r="K91" s="157" t="str"/>
      <x:c r="L91" s="157" t="str"/>
      <x:c r="M91" s="157" t="str"/>
      <x:c r="N91" s="157" t="str"/>
      <x:c r="O91" s="157" t="str"/>
      <x:c r="P91" s="157" t="str"/>
      <x:c r="Q91" s="157" t="str"/>
      <x:c r="R91" s="157" t="str"/>
      <x:c r="S91" s="157" t="str"/>
    </x:row>
    <x:row r="92" ht="31.5" customHeight="1">
      <x:c r="A92" s="157" t="str"/>
      <x:c r="B92" s="157" t="str"/>
      <x:c r="C92" s="157" t="str"/>
      <x:c r="D92" s="165" t="str"/>
      <x:c r="E92" s="165" t="str"/>
      <x:c r="F92" s="166" t="n">
        <x:f>IFERROR(D92/E92,0)</x:f>
        <x:v>0</x:v>
      </x:c>
      <x:c r="G92" s="165" t="str"/>
      <x:c r="H92" s="157" t="str"/>
      <x:c r="I92" s="157" t="str"/>
      <x:c r="J92" s="157" t="str"/>
      <x:c r="K92" s="157" t="str"/>
      <x:c r="L92" s="157" t="str"/>
      <x:c r="M92" s="157" t="str"/>
      <x:c r="N92" s="157" t="str"/>
      <x:c r="O92" s="157" t="str"/>
      <x:c r="P92" s="157" t="str"/>
      <x:c r="Q92" s="157" t="str"/>
      <x:c r="R92" s="157" t="str"/>
      <x:c r="S92" s="157" t="str"/>
    </x:row>
    <x:row r="93" ht="31.5" customHeight="1">
      <x:c r="A93" s="157" t="str"/>
      <x:c r="B93" s="157" t="str"/>
      <x:c r="C93" s="157" t="str"/>
      <x:c r="D93" s="165" t="str"/>
      <x:c r="E93" s="165" t="str"/>
      <x:c r="F93" s="166" t="n">
        <x:f>IFERROR(D93/E93,0)</x:f>
        <x:v>0</x:v>
      </x:c>
      <x:c r="G93" s="165" t="str"/>
      <x:c r="H93" s="157" t="str"/>
      <x:c r="I93" s="157" t="str"/>
      <x:c r="J93" s="157" t="str"/>
      <x:c r="K93" s="157" t="str"/>
      <x:c r="L93" s="157" t="str"/>
      <x:c r="M93" s="157" t="str"/>
      <x:c r="N93" s="157" t="str"/>
      <x:c r="O93" s="157" t="str"/>
      <x:c r="P93" s="157" t="str"/>
      <x:c r="Q93" s="157" t="str"/>
      <x:c r="R93" s="157" t="str"/>
      <x:c r="S93" s="157" t="str"/>
    </x:row>
    <x:row r="94" ht="31.5" customHeight="1">
      <x:c r="A94" s="157" t="str"/>
      <x:c r="B94" s="157" t="str"/>
      <x:c r="C94" s="157" t="str"/>
      <x:c r="D94" s="165" t="str"/>
      <x:c r="E94" s="165" t="str"/>
      <x:c r="F94" s="166" t="n">
        <x:f>IFERROR(D94/E94,0)</x:f>
        <x:v>0</x:v>
      </x:c>
      <x:c r="G94" s="165" t="str"/>
      <x:c r="H94" s="157" t="str"/>
      <x:c r="I94" s="157" t="str"/>
      <x:c r="J94" s="157" t="str"/>
      <x:c r="K94" s="157" t="str"/>
      <x:c r="L94" s="157" t="str"/>
      <x:c r="M94" s="157" t="str"/>
      <x:c r="N94" s="157" t="str"/>
      <x:c r="O94" s="157" t="str"/>
      <x:c r="P94" s="157" t="str"/>
      <x:c r="Q94" s="157" t="str"/>
      <x:c r="R94" s="157" t="str"/>
      <x:c r="S94" s="157" t="str"/>
    </x:row>
    <x:row r="95" ht="31.5" customHeight="1">
      <x:c r="A95" s="157" t="str"/>
      <x:c r="B95" s="157" t="str"/>
      <x:c r="C95" s="157" t="str"/>
      <x:c r="D95" s="165" t="str"/>
      <x:c r="E95" s="165" t="str"/>
      <x:c r="F95" s="166" t="n">
        <x:f>IFERROR(D95/E95,0)</x:f>
        <x:v>0</x:v>
      </x:c>
      <x:c r="G95" s="165" t="str"/>
      <x:c r="H95" s="157" t="str"/>
      <x:c r="I95" s="157" t="str"/>
      <x:c r="J95" s="157" t="str"/>
      <x:c r="K95" s="157" t="str"/>
      <x:c r="L95" s="157" t="str"/>
      <x:c r="M95" s="157" t="str"/>
      <x:c r="N95" s="157" t="str"/>
      <x:c r="O95" s="157" t="str"/>
      <x:c r="P95" s="157" t="str"/>
      <x:c r="Q95" s="157" t="str"/>
      <x:c r="R95" s="157" t="str"/>
      <x:c r="S95" s="157" t="str"/>
    </x:row>
    <x:row r="96" ht="31.5" customHeight="1">
      <x:c r="A96" s="157" t="str"/>
      <x:c r="B96" s="157" t="str"/>
      <x:c r="C96" s="157" t="str"/>
      <x:c r="D96" s="165" t="str"/>
      <x:c r="E96" s="165" t="str"/>
      <x:c r="F96" s="166" t="n">
        <x:f>IFERROR(D96/E96,0)</x:f>
        <x:v>0</x:v>
      </x:c>
      <x:c r="G96" s="165" t="str"/>
      <x:c r="H96" s="157" t="str"/>
      <x:c r="I96" s="157" t="str"/>
      <x:c r="J96" s="157" t="str"/>
      <x:c r="K96" s="157" t="str"/>
      <x:c r="L96" s="157" t="str"/>
      <x:c r="M96" s="157" t="str"/>
      <x:c r="N96" s="157" t="str"/>
      <x:c r="O96" s="157" t="str"/>
      <x:c r="P96" s="157" t="str"/>
      <x:c r="Q96" s="157" t="str"/>
      <x:c r="R96" s="157" t="str"/>
      <x:c r="S96" s="157" t="str"/>
    </x:row>
    <x:row r="97" ht="31.5" customHeight="1">
      <x:c r="A97" s="157" t="str"/>
      <x:c r="B97" s="157" t="str"/>
      <x:c r="C97" s="157" t="str"/>
      <x:c r="D97" s="165" t="str"/>
      <x:c r="E97" s="165" t="str"/>
      <x:c r="F97" s="166" t="n">
        <x:f>IFERROR(D97/E97,0)</x:f>
        <x:v>0</x:v>
      </x:c>
      <x:c r="G97" s="165" t="str"/>
      <x:c r="H97" s="157" t="str"/>
      <x:c r="I97" s="157" t="str"/>
      <x:c r="J97" s="157" t="str"/>
      <x:c r="K97" s="157" t="str"/>
      <x:c r="L97" s="157" t="str"/>
      <x:c r="M97" s="157" t="str"/>
      <x:c r="N97" s="157" t="str"/>
      <x:c r="O97" s="157" t="str"/>
      <x:c r="P97" s="157" t="str"/>
      <x:c r="Q97" s="157" t="str"/>
      <x:c r="R97" s="157" t="str"/>
      <x:c r="S97" s="157" t="str"/>
    </x:row>
    <x:row r="98" ht="31.5" customHeight="1">
      <x:c r="A98" s="157" t="str"/>
      <x:c r="B98" s="157" t="str"/>
      <x:c r="C98" s="157" t="str"/>
      <x:c r="D98" s="165" t="str"/>
      <x:c r="E98" s="165" t="str"/>
      <x:c r="F98" s="166" t="n">
        <x:f>IFERROR(D98/E98,0)</x:f>
        <x:v>0</x:v>
      </x:c>
      <x:c r="G98" s="165" t="str"/>
      <x:c r="H98" s="157" t="str"/>
      <x:c r="I98" s="157" t="str"/>
      <x:c r="J98" s="157" t="str"/>
      <x:c r="K98" s="157" t="str"/>
      <x:c r="L98" s="157" t="str"/>
      <x:c r="M98" s="157" t="str"/>
      <x:c r="N98" s="157" t="str"/>
      <x:c r="O98" s="157" t="str"/>
      <x:c r="P98" s="157" t="str"/>
      <x:c r="Q98" s="157" t="str"/>
      <x:c r="R98" s="157" t="str"/>
      <x:c r="S98" s="157" t="str"/>
    </x:row>
    <x:row r="99" ht="31.5" customHeight="1">
      <x:c r="A99" s="157" t="str"/>
      <x:c r="B99" s="157" t="str"/>
      <x:c r="C99" s="157" t="str"/>
      <x:c r="D99" s="165" t="str"/>
      <x:c r="E99" s="165" t="str"/>
      <x:c r="F99" s="166" t="n">
        <x:f>IFERROR(D99/E99,0)</x:f>
        <x:v>0</x:v>
      </x:c>
      <x:c r="G99" s="165" t="str"/>
      <x:c r="H99" s="157" t="str"/>
      <x:c r="I99" s="157" t="str"/>
      <x:c r="J99" s="157" t="str"/>
      <x:c r="K99" s="157" t="str"/>
      <x:c r="L99" s="157" t="str"/>
      <x:c r="M99" s="157" t="str"/>
      <x:c r="N99" s="157" t="str"/>
      <x:c r="O99" s="157" t="str"/>
      <x:c r="P99" s="157" t="str"/>
      <x:c r="Q99" s="157" t="str"/>
      <x:c r="R99" s="157" t="str"/>
      <x:c r="S99" s="157" t="str"/>
    </x:row>
    <x:row r="100" ht="31.5" customHeight="1">
      <x:c r="A100" s="157" t="str"/>
      <x:c r="B100" s="157" t="str"/>
      <x:c r="C100" s="157" t="str"/>
      <x:c r="D100" s="165" t="str"/>
      <x:c r="E100" s="165" t="str"/>
      <x:c r="F100" s="166" t="n">
        <x:f>IFERROR(D100/E100,0)</x:f>
        <x:v>0</x:v>
      </x:c>
      <x:c r="G100" s="165" t="str"/>
      <x:c r="H100" s="157" t="str"/>
      <x:c r="I100" s="157" t="str"/>
      <x:c r="J100" s="157" t="str"/>
      <x:c r="K100" s="157" t="str"/>
      <x:c r="L100" s="157" t="str"/>
      <x:c r="M100" s="157" t="str"/>
      <x:c r="N100" s="157" t="str"/>
      <x:c r="O100" s="157" t="str"/>
      <x:c r="P100" s="157" t="str"/>
      <x:c r="Q100" s="157" t="str"/>
      <x:c r="R100" s="157" t="str"/>
      <x:c r="S100" s="157" t="str"/>
    </x:row>
    <x:row r="101" ht="31.5" customHeight="1">
      <x:c r="A101" s="157" t="str"/>
      <x:c r="B101" s="157" t="str"/>
      <x:c r="C101" s="157" t="str"/>
      <x:c r="D101" s="165" t="str"/>
      <x:c r="E101" s="165" t="str"/>
      <x:c r="F101" s="166" t="n">
        <x:f>IFERROR(D101/E101,0)</x:f>
        <x:v>0</x:v>
      </x:c>
      <x:c r="G101" s="165" t="str"/>
      <x:c r="H101" s="157" t="str"/>
      <x:c r="I101" s="157" t="str"/>
      <x:c r="J101" s="157" t="str"/>
      <x:c r="K101" s="157" t="str"/>
      <x:c r="L101" s="157" t="str"/>
      <x:c r="M101" s="157" t="str"/>
      <x:c r="N101" s="157" t="str"/>
      <x:c r="O101" s="157" t="str"/>
      <x:c r="P101" s="157" t="str"/>
      <x:c r="Q101" s="157" t="str"/>
      <x:c r="R101" s="157" t="str"/>
      <x:c r="S101" s="157" t="str"/>
    </x:row>
    <x:row r="102" ht="31.5" customHeight="1">
      <x:c r="A102" s="157" t="str"/>
      <x:c r="B102" s="157" t="str"/>
      <x:c r="C102" s="157" t="str"/>
      <x:c r="D102" s="165" t="str"/>
      <x:c r="E102" s="165" t="str"/>
      <x:c r="F102" s="166" t="n">
        <x:f>IFERROR(D102/E102,0)</x:f>
        <x:v>0</x:v>
      </x:c>
      <x:c r="G102" s="165" t="str"/>
      <x:c r="H102" s="157" t="str"/>
      <x:c r="I102" s="157" t="str"/>
      <x:c r="J102" s="157" t="str"/>
      <x:c r="K102" s="157" t="str"/>
      <x:c r="L102" s="157" t="str"/>
      <x:c r="M102" s="157" t="str"/>
      <x:c r="N102" s="157" t="str"/>
      <x:c r="O102" s="157" t="str"/>
      <x:c r="P102" s="157" t="str"/>
      <x:c r="Q102" s="157" t="str"/>
      <x:c r="R102" s="157" t="str"/>
      <x:c r="S102" s="157" t="str"/>
    </x:row>
    <x:row r="103" ht="31.5" customHeight="1">
      <x:c r="A103" s="157" t="str"/>
      <x:c r="B103" s="157" t="str"/>
      <x:c r="C103" s="157" t="str"/>
      <x:c r="D103" s="165" t="str"/>
      <x:c r="E103" s="165" t="str"/>
      <x:c r="F103" s="166" t="n">
        <x:f>IFERROR(D103/E103,0)</x:f>
        <x:v>0</x:v>
      </x:c>
      <x:c r="G103" s="165" t="str"/>
      <x:c r="H103" s="157" t="str"/>
      <x:c r="I103" s="157" t="str"/>
      <x:c r="J103" s="157" t="str"/>
      <x:c r="K103" s="157" t="str"/>
      <x:c r="L103" s="157" t="str"/>
      <x:c r="M103" s="157" t="str"/>
      <x:c r="N103" s="157" t="str"/>
      <x:c r="O103" s="157" t="str"/>
      <x:c r="P103" s="157" t="str"/>
      <x:c r="Q103" s="157" t="str"/>
      <x:c r="R103" s="157" t="str"/>
      <x:c r="S103" s="157" t="str"/>
    </x:row>
    <x:row r="104" ht="31.5" customHeight="1">
      <x:c r="A104" s="157" t="str"/>
      <x:c r="B104" s="157" t="str"/>
      <x:c r="C104" s="157" t="str"/>
      <x:c r="D104" s="165" t="str"/>
      <x:c r="E104" s="165" t="str"/>
      <x:c r="F104" s="166" t="n">
        <x:f>IFERROR(D104/E104,0)</x:f>
        <x:v>0</x:v>
      </x:c>
      <x:c r="G104" s="165" t="str"/>
      <x:c r="H104" s="157" t="str"/>
      <x:c r="I104" s="157" t="str"/>
      <x:c r="J104" s="157" t="str"/>
      <x:c r="K104" s="157" t="str"/>
      <x:c r="L104" s="157" t="str"/>
      <x:c r="M104" s="157" t="str"/>
      <x:c r="N104" s="157" t="str"/>
      <x:c r="O104" s="157" t="str"/>
      <x:c r="P104" s="157" t="str"/>
      <x:c r="Q104" s="157" t="str"/>
      <x:c r="R104" s="157" t="str"/>
      <x:c r="S104" s="157" t="str"/>
    </x:row>
  </x:sheetData>
  <x:mergeCells>
    <x:mergeCell ref="A1:S1"/>
    <x:mergeCell ref="A2:S3"/>
  </x:mergeCells>
  <x:dataValidations count="6">
    <x:dataValidation type="list" sqref="L6:L104">
      <x:formula1>"匹配,不匹配,待确认"</x:formula1>
    </x:dataValidation>
    <x:dataValidation type="list" sqref="M6:M104">
      <x:formula1>"博客,产品页,集合页,支柱页,FAQ,首页,未知"</x:formula1>
    </x:dataValidation>
    <x:dataValidation type="list" sqref="N6:N104">
      <x:formula1>"博客,产品页,集合页,支柱页,FAQ,暂不做"</x:formula1>
    </x:dataValidation>
    <x:dataValidation type="list" sqref="O6:O104">
      <x:formula1>"Quick Win,Blog Supporting,Product Page Needed,Internal Link,Update Old Page,Monitor"</x:formula1>
    </x:dataValidation>
    <x:dataValidation type="list" sqref="P6:P104">
      <x:formula1>"P0,P1,P2,P3"</x:formula1>
    </x:dataValidation>
    <x:dataValidation type="list" sqref="R6:R104">
      <x:formula1>"内容中枢,生产,页面规划,内链任务,内容优化,待办"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6f981e66064d38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2.5" hidden="0" customWidth="1"/>
    <x:col min="3" max="3" width="22.5" hidden="0" customWidth="1"/>
    <x:col min="4" max="4" width="12.5" hidden="0" customWidth="1"/>
    <x:col min="5" max="5" width="17.5" hidden="0" customWidth="1"/>
    <x:col min="6" max="6" width="11.25" hidden="0" customWidth="1"/>
    <x:col min="7" max="7" width="11.25" hidden="0" customWidth="1"/>
    <x:col min="8" max="8" width="11.25" hidden="0" customWidth="1"/>
    <x:col min="9" max="9" width="13.75" hidden="0" customWidth="1"/>
    <x:col min="10" max="10" width="11.25" hidden="0" customWidth="1"/>
    <x:col min="11" max="11" width="15" hidden="0" customWidth="1"/>
    <x:col min="12" max="12" width="11.25" hidden="0" customWidth="1"/>
    <x:col min="13" max="13" width="21.25" hidden="0" customWidth="1"/>
    <x:col min="14" max="14" width="27.5" hidden="0" customWidth="1"/>
  </x:cols>
  <x:sheetData>
    <x:row r="1">
      <x:c r="A1" s="153" t="str">
        <x:v>GA4 站内行为质量：看流量值不值钱，而不是只看访问量</x:v>
      </x:c>
      <x:c r="B1" s="153" t="str">
        <x:v>GA4 站内行为质量：看流量值不值钱，而不是只看访问量</x:v>
      </x:c>
      <x:c r="C1" s="153" t="str">
        <x:v>GA4 站内行为质量：看流量值不值钱，而不是只看访问量</x:v>
      </x:c>
      <x:c r="D1" s="153" t="str">
        <x:v>GA4 站内行为质量：看流量值不值钱，而不是只看访问量</x:v>
      </x:c>
      <x:c r="E1" s="153" t="str">
        <x:v>GA4 站内行为质量：看流量值不值钱，而不是只看访问量</x:v>
      </x:c>
      <x:c r="F1" s="153" t="str">
        <x:v>GA4 站内行为质量：看流量值不值钱，而不是只看访问量</x:v>
      </x:c>
      <x:c r="G1" s="153" t="str">
        <x:v>GA4 站内行为质量：看流量值不值钱，而不是只看访问量</x:v>
      </x:c>
      <x:c r="H1" s="153" t="str">
        <x:v>GA4 站内行为质量：看流量值不值钱，而不是只看访问量</x:v>
      </x:c>
      <x:c r="I1" s="153" t="str">
        <x:v>GA4 站内行为质量：看流量值不值钱，而不是只看访问量</x:v>
      </x:c>
      <x:c r="J1" s="153" t="str">
        <x:v>GA4 站内行为质量：看流量值不值钱，而不是只看访问量</x:v>
      </x:c>
      <x:c r="K1" s="153" t="str">
        <x:v>GA4 站内行为质量：看流量值不值钱，而不是只看访问量</x:v>
      </x:c>
      <x:c r="L1" s="153" t="str">
        <x:v>GA4 站内行为质量：看流量值不值钱，而不是只看访问量</x:v>
      </x:c>
      <x:c r="M1" s="153" t="str">
        <x:v>GA4 站内行为质量：看流量值不值钱，而不是只看访问量</x:v>
      </x:c>
      <x:c r="N1" s="153" t="str">
        <x:v>GA4 站内行为质量：看流量值不值钱，而不是只看访问量</x:v>
      </x:c>
    </x:row>
    <x:row r="2" ht="34.5" customHeight="1">
      <x:c r="A2" s="164" t="str">
        <x:v>用于判断目标国家、入口页、渠道和停留质量。分数只是辅助判断，最终仍要结合关键词意图、页面承接和转化路径。</x:v>
      </x:c>
      <x:c r="B2" s="164" t="str">
        <x:v>用于判断目标国家、入口页、渠道和停留质量。分数只是辅助判断，最终仍要结合关键词意图、页面承接和转化路径。</x:v>
      </x:c>
      <x:c r="C2" s="164" t="str">
        <x:v>用于判断目标国家、入口页、渠道和停留质量。分数只是辅助判断，最终仍要结合关键词意图、页面承接和转化路径。</x:v>
      </x:c>
      <x:c r="D2" s="164" t="str">
        <x:v>用于判断目标国家、入口页、渠道和停留质量。分数只是辅助判断，最终仍要结合关键词意图、页面承接和转化路径。</x:v>
      </x:c>
      <x:c r="E2" s="164" t="str">
        <x:v>用于判断目标国家、入口页、渠道和停留质量。分数只是辅助判断，最终仍要结合关键词意图、页面承接和转化路径。</x:v>
      </x:c>
      <x:c r="F2" s="164" t="str">
        <x:v>用于判断目标国家、入口页、渠道和停留质量。分数只是辅助判断，最终仍要结合关键词意图、页面承接和转化路径。</x:v>
      </x:c>
      <x:c r="G2" s="164" t="str">
        <x:v>用于判断目标国家、入口页、渠道和停留质量。分数只是辅助判断，最终仍要结合关键词意图、页面承接和转化路径。</x:v>
      </x:c>
      <x:c r="H2" s="164" t="str">
        <x:v>用于判断目标国家、入口页、渠道和停留质量。分数只是辅助判断，最终仍要结合关键词意图、页面承接和转化路径。</x:v>
      </x:c>
      <x:c r="I2" s="164" t="str">
        <x:v>用于判断目标国家、入口页、渠道和停留质量。分数只是辅助判断，最终仍要结合关键词意图、页面承接和转化路径。</x:v>
      </x:c>
      <x:c r="J2" s="164" t="str">
        <x:v>用于判断目标国家、入口页、渠道和停留质量。分数只是辅助判断，最终仍要结合关键词意图、页面承接和转化路径。</x:v>
      </x:c>
      <x:c r="K2" s="164" t="str">
        <x:v>用于判断目标国家、入口页、渠道和停留质量。分数只是辅助判断，最终仍要结合关键词意图、页面承接和转化路径。</x:v>
      </x:c>
      <x:c r="L2" s="164" t="str">
        <x:v>用于判断目标国家、入口页、渠道和停留质量。分数只是辅助判断，最终仍要结合关键词意图、页面承接和转化路径。</x:v>
      </x:c>
      <x:c r="M2" s="164" t="str">
        <x:v>用于判断目标国家、入口页、渠道和停留质量。分数只是辅助判断，最终仍要结合关键词意图、页面承接和转化路径。</x:v>
      </x:c>
      <x:c r="N2" s="164" t="str">
        <x:v>用于判断目标国家、入口页、渠道和停留质量。分数只是辅助判断，最终仍要结合关键词意图、页面承接和转化路径。</x:v>
      </x:c>
    </x:row>
    <x:row r="3" ht="34.5" customHeight="1">
      <x:c r="A3" s="164" t="str">
        <x:v>用于判断目标国家、入口页、渠道和停留质量。分数只是辅助判断，最终仍要结合关键词意图、页面承接和转化路径。</x:v>
      </x:c>
      <x:c r="B3" s="164" t="str">
        <x:v>用于判断目标国家、入口页、渠道和停留质量。分数只是辅助判断，最终仍要结合关键词意图、页面承接和转化路径。</x:v>
      </x:c>
      <x:c r="C3" s="164" t="str">
        <x:v>用于判断目标国家、入口页、渠道和停留质量。分数只是辅助判断，最终仍要结合关键词意图、页面承接和转化路径。</x:v>
      </x:c>
      <x:c r="D3" s="164" t="str">
        <x:v>用于判断目标国家、入口页、渠道和停留质量。分数只是辅助判断，最终仍要结合关键词意图、页面承接和转化路径。</x:v>
      </x:c>
      <x:c r="E3" s="164" t="str">
        <x:v>用于判断目标国家、入口页、渠道和停留质量。分数只是辅助判断，最终仍要结合关键词意图、页面承接和转化路径。</x:v>
      </x:c>
      <x:c r="F3" s="164" t="str">
        <x:v>用于判断目标国家、入口页、渠道和停留质量。分数只是辅助判断，最终仍要结合关键词意图、页面承接和转化路径。</x:v>
      </x:c>
      <x:c r="G3" s="164" t="str">
        <x:v>用于判断目标国家、入口页、渠道和停留质量。分数只是辅助判断，最终仍要结合关键词意图、页面承接和转化路径。</x:v>
      </x:c>
      <x:c r="H3" s="164" t="str">
        <x:v>用于判断目标国家、入口页、渠道和停留质量。分数只是辅助判断，最终仍要结合关键词意图、页面承接和转化路径。</x:v>
      </x:c>
      <x:c r="I3" s="164" t="str">
        <x:v>用于判断目标国家、入口页、渠道和停留质量。分数只是辅助判断，最终仍要结合关键词意图、页面承接和转化路径。</x:v>
      </x:c>
      <x:c r="J3" s="164" t="str">
        <x:v>用于判断目标国家、入口页、渠道和停留质量。分数只是辅助判断，最终仍要结合关键词意图、页面承接和转化路径。</x:v>
      </x:c>
      <x:c r="K3" s="164" t="str">
        <x:v>用于判断目标国家、入口页、渠道和停留质量。分数只是辅助判断，最终仍要结合关键词意图、页面承接和转化路径。</x:v>
      </x:c>
      <x:c r="L3" s="164" t="str">
        <x:v>用于判断目标国家、入口页、渠道和停留质量。分数只是辅助判断，最终仍要结合关键词意图、页面承接和转化路径。</x:v>
      </x:c>
      <x:c r="M3" s="164" t="str">
        <x:v>用于判断目标国家、入口页、渠道和停留质量。分数只是辅助判断，最终仍要结合关键词意图、页面承接和转化路径。</x:v>
      </x:c>
      <x:c r="N3" s="164" t="str">
        <x:v>用于判断目标国家、入口页、渠道和停留质量。分数只是辅助判断，最终仍要结合关键词意图、页面承接和转化路径。</x:v>
      </x:c>
    </x:row>
    <x:row r="4">
      <x:c r="A4" s="168" t="str">
        <x:v>目标国家</x:v>
      </x:c>
      <x:c r="B4" s="168" t="str"/>
    </x:row>
    <x:row r="7" ht="27" customHeight="1">
      <x:c r="A7" s="160" t="str">
        <x:v>站点</x:v>
      </x:c>
      <x:c r="B7" s="160" t="str">
        <x:v>市场</x:v>
      </x:c>
      <x:c r="C7" s="160" t="str">
        <x:v>入口页</x:v>
      </x:c>
      <x:c r="D7" s="160" t="str">
        <x:v>国家</x:v>
      </x:c>
      <x:c r="E7" s="160" t="str">
        <x:v>Source / Medium</x:v>
      </x:c>
      <x:c r="F7" s="160" t="str">
        <x:v>Active Users</x:v>
      </x:c>
      <x:c r="G7" s="160" t="str">
        <x:v>Sessions</x:v>
      </x:c>
      <x:c r="H7" s="160" t="str">
        <x:v>Views</x:v>
      </x:c>
      <x:c r="I7" s="160" t="str">
        <x:v>Engagement Rate</x:v>
      </x:c>
      <x:c r="J7" s="160" t="str">
        <x:v>Bounce Rate</x:v>
      </x:c>
      <x:c r="K7" s="160" t="str">
        <x:v>Avg Time Sec</x:v>
      </x:c>
      <x:c r="L7" s="160" t="str">
        <x:v>质量分</x:v>
      </x:c>
      <x:c r="M7" s="160" t="str">
        <x:v>建议动作</x:v>
      </x:c>
      <x:c r="N7" s="160" t="str">
        <x:v>备注</x:v>
      </x:c>
    </x:row>
    <x:row r="8">
      <x:c r="A8" s="157" t="str"/>
      <x:c r="B8" s="157" t="str"/>
      <x:c r="C8" s="157" t="str"/>
      <x:c r="D8" s="157" t="str"/>
      <x:c r="E8" s="157" t="str"/>
      <x:c r="F8" s="169" t="str"/>
      <x:c r="G8" s="169" t="str"/>
      <x:c r="H8" s="169" t="str"/>
      <x:c r="I8" s="166" t="str"/>
      <x:c r="J8" s="166" t="str"/>
      <x:c r="K8" s="169" t="str"/>
      <x:c r="L8" s="169" t="n">
        <x:f>IFERROR(IF(I8&gt;=0.45,25,IF(I8&gt;=0.30,15,5))+IF(J8&lt;=0.55,20,IF(J8&lt;=0.75,10,0))+IF(K8&gt;=120,25,IF(K8&gt;=60,15,5))+IF(F8&gt;=20,15,5)+IF(D8=$B$4,15,5),0)</x:f>
        <x:v>50</x:v>
      </x:c>
      <x:c r="M8" s="157" t="str"/>
      <x:c r="N8" s="157" t="str"/>
    </x:row>
    <x:row r="9">
      <x:c r="A9" s="157" t="str"/>
      <x:c r="B9" s="157" t="str"/>
      <x:c r="C9" s="157" t="str"/>
      <x:c r="D9" s="157" t="str"/>
      <x:c r="E9" s="157" t="str"/>
      <x:c r="F9" s="169" t="str"/>
      <x:c r="G9" s="169" t="str"/>
      <x:c r="H9" s="169" t="str"/>
      <x:c r="I9" s="166" t="str"/>
      <x:c r="J9" s="166" t="str"/>
      <x:c r="K9" s="169" t="str"/>
      <x:c r="L9" s="169" t="n">
        <x:f>IFERROR(IF(I9&gt;=0.45,25,IF(I9&gt;=0.30,15,5))+IF(J9&lt;=0.55,20,IF(J9&lt;=0.75,10,0))+IF(K9&gt;=120,25,IF(K9&gt;=60,15,5))+IF(F9&gt;=20,15,5)+IF(D9=$B$4,15,5),0)</x:f>
        <x:v>50</x:v>
      </x:c>
      <x:c r="M9" s="157" t="str"/>
      <x:c r="N9" s="157" t="str"/>
    </x:row>
    <x:row r="10">
      <x:c r="A10" s="157" t="str"/>
      <x:c r="B10" s="157" t="str"/>
      <x:c r="C10" s="157" t="str"/>
      <x:c r="D10" s="157" t="str"/>
      <x:c r="E10" s="157" t="str"/>
      <x:c r="F10" s="169" t="str"/>
      <x:c r="G10" s="169" t="str"/>
      <x:c r="H10" s="169" t="str"/>
      <x:c r="I10" s="166" t="str"/>
      <x:c r="J10" s="166" t="str"/>
      <x:c r="K10" s="169" t="str"/>
      <x:c r="L10" s="169" t="n">
        <x:f>IFERROR(IF(I10&gt;=0.45,25,IF(I10&gt;=0.30,15,5))+IF(J10&lt;=0.55,20,IF(J10&lt;=0.75,10,0))+IF(K10&gt;=120,25,IF(K10&gt;=60,15,5))+IF(F10&gt;=20,15,5)+IF(D10=$B$4,15,5),0)</x:f>
        <x:v>50</x:v>
      </x:c>
      <x:c r="M10" s="157" t="str"/>
      <x:c r="N10" s="157" t="str"/>
    </x:row>
    <x:row r="11">
      <x:c r="A11" s="157" t="str"/>
      <x:c r="B11" s="157" t="str"/>
      <x:c r="C11" s="157" t="str"/>
      <x:c r="D11" s="157" t="str"/>
      <x:c r="E11" s="157" t="str"/>
      <x:c r="F11" s="169" t="str"/>
      <x:c r="G11" s="169" t="str"/>
      <x:c r="H11" s="169" t="str"/>
      <x:c r="I11" s="166" t="str"/>
      <x:c r="J11" s="166" t="str"/>
      <x:c r="K11" s="169" t="str"/>
      <x:c r="L11" s="169" t="n">
        <x:f>IFERROR(IF(I11&gt;=0.45,25,IF(I11&gt;=0.30,15,5))+IF(J11&lt;=0.55,20,IF(J11&lt;=0.75,10,0))+IF(K11&gt;=120,25,IF(K11&gt;=60,15,5))+IF(F11&gt;=20,15,5)+IF(D11=$B$4,15,5),0)</x:f>
        <x:v>50</x:v>
      </x:c>
      <x:c r="M11" s="157" t="str"/>
      <x:c r="N11" s="157" t="str"/>
    </x:row>
    <x:row r="12">
      <x:c r="A12" s="157" t="str"/>
      <x:c r="B12" s="157" t="str"/>
      <x:c r="C12" s="157" t="str"/>
      <x:c r="D12" s="157" t="str"/>
      <x:c r="E12" s="157" t="str"/>
      <x:c r="F12" s="169" t="str"/>
      <x:c r="G12" s="169" t="str"/>
      <x:c r="H12" s="169" t="str"/>
      <x:c r="I12" s="166" t="str"/>
      <x:c r="J12" s="166" t="str"/>
      <x:c r="K12" s="169" t="str"/>
      <x:c r="L12" s="169" t="n">
        <x:f>IFERROR(IF(I12&gt;=0.45,25,IF(I12&gt;=0.30,15,5))+IF(J12&lt;=0.55,20,IF(J12&lt;=0.75,10,0))+IF(K12&gt;=120,25,IF(K12&gt;=60,15,5))+IF(F12&gt;=20,15,5)+IF(D12=$B$4,15,5),0)</x:f>
        <x:v>50</x:v>
      </x:c>
      <x:c r="M12" s="157" t="str"/>
      <x:c r="N12" s="157" t="str"/>
    </x:row>
    <x:row r="13">
      <x:c r="A13" s="157" t="str"/>
      <x:c r="B13" s="157" t="str"/>
      <x:c r="C13" s="157" t="str"/>
      <x:c r="D13" s="157" t="str"/>
      <x:c r="E13" s="157" t="str"/>
      <x:c r="F13" s="169" t="str"/>
      <x:c r="G13" s="169" t="str"/>
      <x:c r="H13" s="169" t="str"/>
      <x:c r="I13" s="166" t="str"/>
      <x:c r="J13" s="166" t="str"/>
      <x:c r="K13" s="169" t="str"/>
      <x:c r="L13" s="169" t="n">
        <x:f>IFERROR(IF(I13&gt;=0.45,25,IF(I13&gt;=0.30,15,5))+IF(J13&lt;=0.55,20,IF(J13&lt;=0.75,10,0))+IF(K13&gt;=120,25,IF(K13&gt;=60,15,5))+IF(F13&gt;=20,15,5)+IF(D13=$B$4,15,5),0)</x:f>
        <x:v>50</x:v>
      </x:c>
      <x:c r="M13" s="157" t="str"/>
      <x:c r="N13" s="157" t="str"/>
    </x:row>
    <x:row r="14">
      <x:c r="A14" s="157" t="str"/>
      <x:c r="B14" s="157" t="str"/>
      <x:c r="C14" s="157" t="str"/>
      <x:c r="D14" s="157" t="str"/>
      <x:c r="E14" s="157" t="str"/>
      <x:c r="F14" s="169" t="str"/>
      <x:c r="G14" s="169" t="str"/>
      <x:c r="H14" s="169" t="str"/>
      <x:c r="I14" s="166" t="str"/>
      <x:c r="J14" s="166" t="str"/>
      <x:c r="K14" s="169" t="str"/>
      <x:c r="L14" s="169" t="n">
        <x:f>IFERROR(IF(I14&gt;=0.45,25,IF(I14&gt;=0.30,15,5))+IF(J14&lt;=0.55,20,IF(J14&lt;=0.75,10,0))+IF(K14&gt;=120,25,IF(K14&gt;=60,15,5))+IF(F14&gt;=20,15,5)+IF(D14=$B$4,15,5),0)</x:f>
        <x:v>50</x:v>
      </x:c>
      <x:c r="M14" s="157" t="str"/>
      <x:c r="N14" s="157" t="str"/>
    </x:row>
    <x:row r="15">
      <x:c r="A15" s="157" t="str"/>
      <x:c r="B15" s="157" t="str"/>
      <x:c r="C15" s="157" t="str"/>
      <x:c r="D15" s="157" t="str"/>
      <x:c r="E15" s="157" t="str"/>
      <x:c r="F15" s="169" t="str"/>
      <x:c r="G15" s="169" t="str"/>
      <x:c r="H15" s="169" t="str"/>
      <x:c r="I15" s="166" t="str"/>
      <x:c r="J15" s="166" t="str"/>
      <x:c r="K15" s="169" t="str"/>
      <x:c r="L15" s="169" t="n">
        <x:f>IFERROR(IF(I15&gt;=0.45,25,IF(I15&gt;=0.30,15,5))+IF(J15&lt;=0.55,20,IF(J15&lt;=0.75,10,0))+IF(K15&gt;=120,25,IF(K15&gt;=60,15,5))+IF(F15&gt;=20,15,5)+IF(D15=$B$4,15,5),0)</x:f>
        <x:v>50</x:v>
      </x:c>
      <x:c r="M15" s="157" t="str"/>
      <x:c r="N15" s="157" t="str"/>
    </x:row>
    <x:row r="16">
      <x:c r="A16" s="157" t="str"/>
      <x:c r="B16" s="157" t="str"/>
      <x:c r="C16" s="157" t="str"/>
      <x:c r="D16" s="157" t="str"/>
      <x:c r="E16" s="157" t="str"/>
      <x:c r="F16" s="169" t="str"/>
      <x:c r="G16" s="169" t="str"/>
      <x:c r="H16" s="169" t="str"/>
      <x:c r="I16" s="166" t="str"/>
      <x:c r="J16" s="166" t="str"/>
      <x:c r="K16" s="169" t="str"/>
      <x:c r="L16" s="169" t="n">
        <x:f>IFERROR(IF(I16&gt;=0.45,25,IF(I16&gt;=0.30,15,5))+IF(J16&lt;=0.55,20,IF(J16&lt;=0.75,10,0))+IF(K16&gt;=120,25,IF(K16&gt;=60,15,5))+IF(F16&gt;=20,15,5)+IF(D16=$B$4,15,5),0)</x:f>
        <x:v>50</x:v>
      </x:c>
      <x:c r="M16" s="157" t="str"/>
      <x:c r="N16" s="157" t="str"/>
    </x:row>
    <x:row r="17">
      <x:c r="A17" s="157" t="str"/>
      <x:c r="B17" s="157" t="str"/>
      <x:c r="C17" s="157" t="str"/>
      <x:c r="D17" s="157" t="str"/>
      <x:c r="E17" s="157" t="str"/>
      <x:c r="F17" s="169" t="str"/>
      <x:c r="G17" s="169" t="str"/>
      <x:c r="H17" s="169" t="str"/>
      <x:c r="I17" s="166" t="str"/>
      <x:c r="J17" s="166" t="str"/>
      <x:c r="K17" s="169" t="str"/>
      <x:c r="L17" s="169" t="n">
        <x:f>IFERROR(IF(I17&gt;=0.45,25,IF(I17&gt;=0.30,15,5))+IF(J17&lt;=0.55,20,IF(J17&lt;=0.75,10,0))+IF(K17&gt;=120,25,IF(K17&gt;=60,15,5))+IF(F17&gt;=20,15,5)+IF(D17=$B$4,15,5),0)</x:f>
        <x:v>50</x:v>
      </x:c>
      <x:c r="M17" s="157" t="str"/>
      <x:c r="N17" s="157" t="str"/>
    </x:row>
    <x:row r="18">
      <x:c r="A18" s="157" t="str"/>
      <x:c r="B18" s="157" t="str"/>
      <x:c r="C18" s="157" t="str"/>
      <x:c r="D18" s="157" t="str"/>
      <x:c r="E18" s="157" t="str"/>
      <x:c r="F18" s="169" t="str"/>
      <x:c r="G18" s="169" t="str"/>
      <x:c r="H18" s="169" t="str"/>
      <x:c r="I18" s="166" t="str"/>
      <x:c r="J18" s="166" t="str"/>
      <x:c r="K18" s="169" t="str"/>
      <x:c r="L18" s="169" t="n">
        <x:f>IFERROR(IF(I18&gt;=0.45,25,IF(I18&gt;=0.30,15,5))+IF(J18&lt;=0.55,20,IF(J18&lt;=0.75,10,0))+IF(K18&gt;=120,25,IF(K18&gt;=60,15,5))+IF(F18&gt;=20,15,5)+IF(D18=$B$4,15,5),0)</x:f>
        <x:v>50</x:v>
      </x:c>
      <x:c r="M18" s="157" t="str"/>
      <x:c r="N18" s="157" t="str"/>
    </x:row>
    <x:row r="19">
      <x:c r="A19" s="157" t="str"/>
      <x:c r="B19" s="157" t="str"/>
      <x:c r="C19" s="157" t="str"/>
      <x:c r="D19" s="157" t="str"/>
      <x:c r="E19" s="157" t="str"/>
      <x:c r="F19" s="169" t="str"/>
      <x:c r="G19" s="169" t="str"/>
      <x:c r="H19" s="169" t="str"/>
      <x:c r="I19" s="166" t="str"/>
      <x:c r="J19" s="166" t="str"/>
      <x:c r="K19" s="169" t="str"/>
      <x:c r="L19" s="169" t="n">
        <x:f>IFERROR(IF(I19&gt;=0.45,25,IF(I19&gt;=0.30,15,5))+IF(J19&lt;=0.55,20,IF(J19&lt;=0.75,10,0))+IF(K19&gt;=120,25,IF(K19&gt;=60,15,5))+IF(F19&gt;=20,15,5)+IF(D19=$B$4,15,5),0)</x:f>
        <x:v>50</x:v>
      </x:c>
      <x:c r="M19" s="157" t="str"/>
      <x:c r="N19" s="157" t="str"/>
    </x:row>
    <x:row r="20">
      <x:c r="A20" s="157" t="str"/>
      <x:c r="B20" s="157" t="str"/>
      <x:c r="C20" s="157" t="str"/>
      <x:c r="D20" s="157" t="str"/>
      <x:c r="E20" s="157" t="str"/>
      <x:c r="F20" s="169" t="str"/>
      <x:c r="G20" s="169" t="str"/>
      <x:c r="H20" s="169" t="str"/>
      <x:c r="I20" s="166" t="str"/>
      <x:c r="J20" s="166" t="str"/>
      <x:c r="K20" s="169" t="str"/>
      <x:c r="L20" s="169" t="n">
        <x:f>IFERROR(IF(I20&gt;=0.45,25,IF(I20&gt;=0.30,15,5))+IF(J20&lt;=0.55,20,IF(J20&lt;=0.75,10,0))+IF(K20&gt;=120,25,IF(K20&gt;=60,15,5))+IF(F20&gt;=20,15,5)+IF(D20=$B$4,15,5),0)</x:f>
        <x:v>50</x:v>
      </x:c>
      <x:c r="M20" s="157" t="str"/>
      <x:c r="N20" s="157" t="str"/>
    </x:row>
    <x:row r="21">
      <x:c r="A21" s="157" t="str"/>
      <x:c r="B21" s="157" t="str"/>
      <x:c r="C21" s="157" t="str"/>
      <x:c r="D21" s="157" t="str"/>
      <x:c r="E21" s="157" t="str"/>
      <x:c r="F21" s="169" t="str"/>
      <x:c r="G21" s="169" t="str"/>
      <x:c r="H21" s="169" t="str"/>
      <x:c r="I21" s="166" t="str"/>
      <x:c r="J21" s="166" t="str"/>
      <x:c r="K21" s="169" t="str"/>
      <x:c r="L21" s="169" t="n">
        <x:f>IFERROR(IF(I21&gt;=0.45,25,IF(I21&gt;=0.30,15,5))+IF(J21&lt;=0.55,20,IF(J21&lt;=0.75,10,0))+IF(K21&gt;=120,25,IF(K21&gt;=60,15,5))+IF(F21&gt;=20,15,5)+IF(D21=$B$4,15,5),0)</x:f>
        <x:v>50</x:v>
      </x:c>
      <x:c r="M21" s="157" t="str"/>
      <x:c r="N21" s="157" t="str"/>
    </x:row>
    <x:row r="22">
      <x:c r="A22" s="157" t="str"/>
      <x:c r="B22" s="157" t="str"/>
      <x:c r="C22" s="157" t="str"/>
      <x:c r="D22" s="157" t="str"/>
      <x:c r="E22" s="157" t="str"/>
      <x:c r="F22" s="169" t="str"/>
      <x:c r="G22" s="169" t="str"/>
      <x:c r="H22" s="169" t="str"/>
      <x:c r="I22" s="166" t="str"/>
      <x:c r="J22" s="166" t="str"/>
      <x:c r="K22" s="169" t="str"/>
      <x:c r="L22" s="169" t="n">
        <x:f>IFERROR(IF(I22&gt;=0.45,25,IF(I22&gt;=0.30,15,5))+IF(J22&lt;=0.55,20,IF(J22&lt;=0.75,10,0))+IF(K22&gt;=120,25,IF(K22&gt;=60,15,5))+IF(F22&gt;=20,15,5)+IF(D22=$B$4,15,5),0)</x:f>
        <x:v>50</x:v>
      </x:c>
      <x:c r="M22" s="157" t="str"/>
      <x:c r="N22" s="157" t="str"/>
    </x:row>
    <x:row r="23">
      <x:c r="A23" s="157" t="str"/>
      <x:c r="B23" s="157" t="str"/>
      <x:c r="C23" s="157" t="str"/>
      <x:c r="D23" s="157" t="str"/>
      <x:c r="E23" s="157" t="str"/>
      <x:c r="F23" s="169" t="str"/>
      <x:c r="G23" s="169" t="str"/>
      <x:c r="H23" s="169" t="str"/>
      <x:c r="I23" s="166" t="str"/>
      <x:c r="J23" s="166" t="str"/>
      <x:c r="K23" s="169" t="str"/>
      <x:c r="L23" s="169" t="n">
        <x:f>IFERROR(IF(I23&gt;=0.45,25,IF(I23&gt;=0.30,15,5))+IF(J23&lt;=0.55,20,IF(J23&lt;=0.75,10,0))+IF(K23&gt;=120,25,IF(K23&gt;=60,15,5))+IF(F23&gt;=20,15,5)+IF(D23=$B$4,15,5),0)</x:f>
        <x:v>50</x:v>
      </x:c>
      <x:c r="M23" s="157" t="str"/>
      <x:c r="N23" s="157" t="str"/>
    </x:row>
    <x:row r="24">
      <x:c r="A24" s="157" t="str"/>
      <x:c r="B24" s="157" t="str"/>
      <x:c r="C24" s="157" t="str"/>
      <x:c r="D24" s="157" t="str"/>
      <x:c r="E24" s="157" t="str"/>
      <x:c r="F24" s="169" t="str"/>
      <x:c r="G24" s="169" t="str"/>
      <x:c r="H24" s="169" t="str"/>
      <x:c r="I24" s="166" t="str"/>
      <x:c r="J24" s="166" t="str"/>
      <x:c r="K24" s="169" t="str"/>
      <x:c r="L24" s="169" t="n">
        <x:f>IFERROR(IF(I24&gt;=0.45,25,IF(I24&gt;=0.30,15,5))+IF(J24&lt;=0.55,20,IF(J24&lt;=0.75,10,0))+IF(K24&gt;=120,25,IF(K24&gt;=60,15,5))+IF(F24&gt;=20,15,5)+IF(D24=$B$4,15,5),0)</x:f>
        <x:v>50</x:v>
      </x:c>
      <x:c r="M24" s="157" t="str"/>
      <x:c r="N24" s="157" t="str"/>
    </x:row>
    <x:row r="25">
      <x:c r="A25" s="157" t="str"/>
      <x:c r="B25" s="157" t="str"/>
      <x:c r="C25" s="157" t="str"/>
      <x:c r="D25" s="157" t="str"/>
      <x:c r="E25" s="157" t="str"/>
      <x:c r="F25" s="169" t="str"/>
      <x:c r="G25" s="169" t="str"/>
      <x:c r="H25" s="169" t="str"/>
      <x:c r="I25" s="166" t="str"/>
      <x:c r="J25" s="166" t="str"/>
      <x:c r="K25" s="169" t="str"/>
      <x:c r="L25" s="169" t="n">
        <x:f>IFERROR(IF(I25&gt;=0.45,25,IF(I25&gt;=0.30,15,5))+IF(J25&lt;=0.55,20,IF(J25&lt;=0.75,10,0))+IF(K25&gt;=120,25,IF(K25&gt;=60,15,5))+IF(F25&gt;=20,15,5)+IF(D25=$B$4,15,5),0)</x:f>
        <x:v>50</x:v>
      </x:c>
      <x:c r="M25" s="157" t="str"/>
      <x:c r="N25" s="157" t="str"/>
    </x:row>
    <x:row r="26">
      <x:c r="A26" s="157" t="str"/>
      <x:c r="B26" s="157" t="str"/>
      <x:c r="C26" s="157" t="str"/>
      <x:c r="D26" s="157" t="str"/>
      <x:c r="E26" s="157" t="str"/>
      <x:c r="F26" s="169" t="str"/>
      <x:c r="G26" s="169" t="str"/>
      <x:c r="H26" s="169" t="str"/>
      <x:c r="I26" s="166" t="str"/>
      <x:c r="J26" s="166" t="str"/>
      <x:c r="K26" s="169" t="str"/>
      <x:c r="L26" s="169" t="n">
        <x:f>IFERROR(IF(I26&gt;=0.45,25,IF(I26&gt;=0.30,15,5))+IF(J26&lt;=0.55,20,IF(J26&lt;=0.75,10,0))+IF(K26&gt;=120,25,IF(K26&gt;=60,15,5))+IF(F26&gt;=20,15,5)+IF(D26=$B$4,15,5),0)</x:f>
        <x:v>50</x:v>
      </x:c>
      <x:c r="M26" s="157" t="str"/>
      <x:c r="N26" s="157" t="str"/>
    </x:row>
    <x:row r="27">
      <x:c r="A27" s="157" t="str"/>
      <x:c r="B27" s="157" t="str"/>
      <x:c r="C27" s="157" t="str"/>
      <x:c r="D27" s="157" t="str"/>
      <x:c r="E27" s="157" t="str"/>
      <x:c r="F27" s="169" t="str"/>
      <x:c r="G27" s="169" t="str"/>
      <x:c r="H27" s="169" t="str"/>
      <x:c r="I27" s="166" t="str"/>
      <x:c r="J27" s="166" t="str"/>
      <x:c r="K27" s="169" t="str"/>
      <x:c r="L27" s="169" t="n">
        <x:f>IFERROR(IF(I27&gt;=0.45,25,IF(I27&gt;=0.30,15,5))+IF(J27&lt;=0.55,20,IF(J27&lt;=0.75,10,0))+IF(K27&gt;=120,25,IF(K27&gt;=60,15,5))+IF(F27&gt;=20,15,5)+IF(D27=$B$4,15,5),0)</x:f>
        <x:v>50</x:v>
      </x:c>
      <x:c r="M27" s="157" t="str"/>
      <x:c r="N27" s="157" t="str"/>
    </x:row>
    <x:row r="28">
      <x:c r="A28" s="157" t="str"/>
      <x:c r="B28" s="157" t="str"/>
      <x:c r="C28" s="157" t="str"/>
      <x:c r="D28" s="157" t="str"/>
      <x:c r="E28" s="157" t="str"/>
      <x:c r="F28" s="169" t="str"/>
      <x:c r="G28" s="169" t="str"/>
      <x:c r="H28" s="169" t="str"/>
      <x:c r="I28" s="166" t="str"/>
      <x:c r="J28" s="166" t="str"/>
      <x:c r="K28" s="169" t="str"/>
      <x:c r="L28" s="169" t="n">
        <x:f>IFERROR(IF(I28&gt;=0.45,25,IF(I28&gt;=0.30,15,5))+IF(J28&lt;=0.55,20,IF(J28&lt;=0.75,10,0))+IF(K28&gt;=120,25,IF(K28&gt;=60,15,5))+IF(F28&gt;=20,15,5)+IF(D28=$B$4,15,5),0)</x:f>
        <x:v>50</x:v>
      </x:c>
      <x:c r="M28" s="157" t="str"/>
      <x:c r="N28" s="157" t="str"/>
    </x:row>
    <x:row r="29">
      <x:c r="A29" s="157" t="str"/>
      <x:c r="B29" s="157" t="str"/>
      <x:c r="C29" s="157" t="str"/>
      <x:c r="D29" s="157" t="str"/>
      <x:c r="E29" s="157" t="str"/>
      <x:c r="F29" s="169" t="str"/>
      <x:c r="G29" s="169" t="str"/>
      <x:c r="H29" s="169" t="str"/>
      <x:c r="I29" s="166" t="str"/>
      <x:c r="J29" s="166" t="str"/>
      <x:c r="K29" s="169" t="str"/>
      <x:c r="L29" s="169" t="n">
        <x:f>IFERROR(IF(I29&gt;=0.45,25,IF(I29&gt;=0.30,15,5))+IF(J29&lt;=0.55,20,IF(J29&lt;=0.75,10,0))+IF(K29&gt;=120,25,IF(K29&gt;=60,15,5))+IF(F29&gt;=20,15,5)+IF(D29=$B$4,15,5),0)</x:f>
        <x:v>50</x:v>
      </x:c>
      <x:c r="M29" s="157" t="str"/>
      <x:c r="N29" s="157" t="str"/>
    </x:row>
    <x:row r="30">
      <x:c r="A30" s="157" t="str"/>
      <x:c r="B30" s="157" t="str"/>
      <x:c r="C30" s="157" t="str"/>
      <x:c r="D30" s="157" t="str"/>
      <x:c r="E30" s="157" t="str"/>
      <x:c r="F30" s="169" t="str"/>
      <x:c r="G30" s="169" t="str"/>
      <x:c r="H30" s="169" t="str"/>
      <x:c r="I30" s="166" t="str"/>
      <x:c r="J30" s="166" t="str"/>
      <x:c r="K30" s="169" t="str"/>
      <x:c r="L30" s="169" t="n">
        <x:f>IFERROR(IF(I30&gt;=0.45,25,IF(I30&gt;=0.30,15,5))+IF(J30&lt;=0.55,20,IF(J30&lt;=0.75,10,0))+IF(K30&gt;=120,25,IF(K30&gt;=60,15,5))+IF(F30&gt;=20,15,5)+IF(D30=$B$4,15,5),0)</x:f>
        <x:v>50</x:v>
      </x:c>
      <x:c r="M30" s="157" t="str"/>
      <x:c r="N30" s="157" t="str"/>
    </x:row>
    <x:row r="31">
      <x:c r="A31" s="157" t="str"/>
      <x:c r="B31" s="157" t="str"/>
      <x:c r="C31" s="157" t="str"/>
      <x:c r="D31" s="157" t="str"/>
      <x:c r="E31" s="157" t="str"/>
      <x:c r="F31" s="169" t="str"/>
      <x:c r="G31" s="169" t="str"/>
      <x:c r="H31" s="169" t="str"/>
      <x:c r="I31" s="166" t="str"/>
      <x:c r="J31" s="166" t="str"/>
      <x:c r="K31" s="169" t="str"/>
      <x:c r="L31" s="169" t="n">
        <x:f>IFERROR(IF(I31&gt;=0.45,25,IF(I31&gt;=0.30,15,5))+IF(J31&lt;=0.55,20,IF(J31&lt;=0.75,10,0))+IF(K31&gt;=120,25,IF(K31&gt;=60,15,5))+IF(F31&gt;=20,15,5)+IF(D31=$B$4,15,5),0)</x:f>
        <x:v>50</x:v>
      </x:c>
      <x:c r="M31" s="157" t="str"/>
      <x:c r="N31" s="157" t="str"/>
    </x:row>
    <x:row r="32">
      <x:c r="A32" s="157" t="str"/>
      <x:c r="B32" s="157" t="str"/>
      <x:c r="C32" s="157" t="str"/>
      <x:c r="D32" s="157" t="str"/>
      <x:c r="E32" s="157" t="str"/>
      <x:c r="F32" s="169" t="str"/>
      <x:c r="G32" s="169" t="str"/>
      <x:c r="H32" s="169" t="str"/>
      <x:c r="I32" s="166" t="str"/>
      <x:c r="J32" s="166" t="str"/>
      <x:c r="K32" s="169" t="str"/>
      <x:c r="L32" s="169" t="n">
        <x:f>IFERROR(IF(I32&gt;=0.45,25,IF(I32&gt;=0.30,15,5))+IF(J32&lt;=0.55,20,IF(J32&lt;=0.75,10,0))+IF(K32&gt;=120,25,IF(K32&gt;=60,15,5))+IF(F32&gt;=20,15,5)+IF(D32=$B$4,15,5),0)</x:f>
        <x:v>50</x:v>
      </x:c>
      <x:c r="M32" s="157" t="str"/>
      <x:c r="N32" s="157" t="str"/>
    </x:row>
    <x:row r="33">
      <x:c r="A33" s="157" t="str"/>
      <x:c r="B33" s="157" t="str"/>
      <x:c r="C33" s="157" t="str"/>
      <x:c r="D33" s="157" t="str"/>
      <x:c r="E33" s="157" t="str"/>
      <x:c r="F33" s="169" t="str"/>
      <x:c r="G33" s="169" t="str"/>
      <x:c r="H33" s="169" t="str"/>
      <x:c r="I33" s="166" t="str"/>
      <x:c r="J33" s="166" t="str"/>
      <x:c r="K33" s="169" t="str"/>
      <x:c r="L33" s="169" t="n">
        <x:f>IFERROR(IF(I33&gt;=0.45,25,IF(I33&gt;=0.30,15,5))+IF(J33&lt;=0.55,20,IF(J33&lt;=0.75,10,0))+IF(K33&gt;=120,25,IF(K33&gt;=60,15,5))+IF(F33&gt;=20,15,5)+IF(D33=$B$4,15,5),0)</x:f>
        <x:v>50</x:v>
      </x:c>
      <x:c r="M33" s="157" t="str"/>
      <x:c r="N33" s="157" t="str"/>
    </x:row>
    <x:row r="34">
      <x:c r="A34" s="157" t="str"/>
      <x:c r="B34" s="157" t="str"/>
      <x:c r="C34" s="157" t="str"/>
      <x:c r="D34" s="157" t="str"/>
      <x:c r="E34" s="157" t="str"/>
      <x:c r="F34" s="169" t="str"/>
      <x:c r="G34" s="169" t="str"/>
      <x:c r="H34" s="169" t="str"/>
      <x:c r="I34" s="166" t="str"/>
      <x:c r="J34" s="166" t="str"/>
      <x:c r="K34" s="169" t="str"/>
      <x:c r="L34" s="169" t="n">
        <x:f>IFERROR(IF(I34&gt;=0.45,25,IF(I34&gt;=0.30,15,5))+IF(J34&lt;=0.55,20,IF(J34&lt;=0.75,10,0))+IF(K34&gt;=120,25,IF(K34&gt;=60,15,5))+IF(F34&gt;=20,15,5)+IF(D34=$B$4,15,5),0)</x:f>
        <x:v>50</x:v>
      </x:c>
      <x:c r="M34" s="157" t="str"/>
      <x:c r="N34" s="157" t="str"/>
    </x:row>
    <x:row r="35">
      <x:c r="A35" s="157" t="str"/>
      <x:c r="B35" s="157" t="str"/>
      <x:c r="C35" s="157" t="str"/>
      <x:c r="D35" s="157" t="str"/>
      <x:c r="E35" s="157" t="str"/>
      <x:c r="F35" s="169" t="str"/>
      <x:c r="G35" s="169" t="str"/>
      <x:c r="H35" s="169" t="str"/>
      <x:c r="I35" s="166" t="str"/>
      <x:c r="J35" s="166" t="str"/>
      <x:c r="K35" s="169" t="str"/>
      <x:c r="L35" s="169" t="n">
        <x:f>IFERROR(IF(I35&gt;=0.45,25,IF(I35&gt;=0.30,15,5))+IF(J35&lt;=0.55,20,IF(J35&lt;=0.75,10,0))+IF(K35&gt;=120,25,IF(K35&gt;=60,15,5))+IF(F35&gt;=20,15,5)+IF(D35=$B$4,15,5),0)</x:f>
        <x:v>50</x:v>
      </x:c>
      <x:c r="M35" s="157" t="str"/>
      <x:c r="N35" s="157" t="str"/>
    </x:row>
    <x:row r="36">
      <x:c r="A36" s="157" t="str"/>
      <x:c r="B36" s="157" t="str"/>
      <x:c r="C36" s="157" t="str"/>
      <x:c r="D36" s="157" t="str"/>
      <x:c r="E36" s="157" t="str"/>
      <x:c r="F36" s="169" t="str"/>
      <x:c r="G36" s="169" t="str"/>
      <x:c r="H36" s="169" t="str"/>
      <x:c r="I36" s="166" t="str"/>
      <x:c r="J36" s="166" t="str"/>
      <x:c r="K36" s="169" t="str"/>
      <x:c r="L36" s="169" t="n">
        <x:f>IFERROR(IF(I36&gt;=0.45,25,IF(I36&gt;=0.30,15,5))+IF(J36&lt;=0.55,20,IF(J36&lt;=0.75,10,0))+IF(K36&gt;=120,25,IF(K36&gt;=60,15,5))+IF(F36&gt;=20,15,5)+IF(D36=$B$4,15,5),0)</x:f>
        <x:v>50</x:v>
      </x:c>
      <x:c r="M36" s="157" t="str"/>
      <x:c r="N36" s="157" t="str"/>
    </x:row>
    <x:row r="37">
      <x:c r="A37" s="157" t="str"/>
      <x:c r="B37" s="157" t="str"/>
      <x:c r="C37" s="157" t="str"/>
      <x:c r="D37" s="157" t="str"/>
      <x:c r="E37" s="157" t="str"/>
      <x:c r="F37" s="169" t="str"/>
      <x:c r="G37" s="169" t="str"/>
      <x:c r="H37" s="169" t="str"/>
      <x:c r="I37" s="166" t="str"/>
      <x:c r="J37" s="166" t="str"/>
      <x:c r="K37" s="169" t="str"/>
      <x:c r="L37" s="169" t="n">
        <x:f>IFERROR(IF(I37&gt;=0.45,25,IF(I37&gt;=0.30,15,5))+IF(J37&lt;=0.55,20,IF(J37&lt;=0.75,10,0))+IF(K37&gt;=120,25,IF(K37&gt;=60,15,5))+IF(F37&gt;=20,15,5)+IF(D37=$B$4,15,5),0)</x:f>
        <x:v>50</x:v>
      </x:c>
      <x:c r="M37" s="157" t="str"/>
      <x:c r="N37" s="157" t="str"/>
    </x:row>
    <x:row r="38">
      <x:c r="A38" s="157" t="str"/>
      <x:c r="B38" s="157" t="str"/>
      <x:c r="C38" s="157" t="str"/>
      <x:c r="D38" s="157" t="str"/>
      <x:c r="E38" s="157" t="str"/>
      <x:c r="F38" s="169" t="str"/>
      <x:c r="G38" s="169" t="str"/>
      <x:c r="H38" s="169" t="str"/>
      <x:c r="I38" s="166" t="str"/>
      <x:c r="J38" s="166" t="str"/>
      <x:c r="K38" s="169" t="str"/>
      <x:c r="L38" s="169" t="n">
        <x:f>IFERROR(IF(I38&gt;=0.45,25,IF(I38&gt;=0.30,15,5))+IF(J38&lt;=0.55,20,IF(J38&lt;=0.75,10,0))+IF(K38&gt;=120,25,IF(K38&gt;=60,15,5))+IF(F38&gt;=20,15,5)+IF(D38=$B$4,15,5),0)</x:f>
        <x:v>50</x:v>
      </x:c>
      <x:c r="M38" s="157" t="str"/>
      <x:c r="N38" s="157" t="str"/>
    </x:row>
    <x:row r="39">
      <x:c r="A39" s="157" t="str"/>
      <x:c r="B39" s="157" t="str"/>
      <x:c r="C39" s="157" t="str"/>
      <x:c r="D39" s="157" t="str"/>
      <x:c r="E39" s="157" t="str"/>
      <x:c r="F39" s="169" t="str"/>
      <x:c r="G39" s="169" t="str"/>
      <x:c r="H39" s="169" t="str"/>
      <x:c r="I39" s="166" t="str"/>
      <x:c r="J39" s="166" t="str"/>
      <x:c r="K39" s="169" t="str"/>
      <x:c r="L39" s="169" t="n">
        <x:f>IFERROR(IF(I39&gt;=0.45,25,IF(I39&gt;=0.30,15,5))+IF(J39&lt;=0.55,20,IF(J39&lt;=0.75,10,0))+IF(K39&gt;=120,25,IF(K39&gt;=60,15,5))+IF(F39&gt;=20,15,5)+IF(D39=$B$4,15,5),0)</x:f>
        <x:v>50</x:v>
      </x:c>
      <x:c r="M39" s="157" t="str"/>
      <x:c r="N39" s="157" t="str"/>
    </x:row>
    <x:row r="40">
      <x:c r="A40" s="157" t="str"/>
      <x:c r="B40" s="157" t="str"/>
      <x:c r="C40" s="157" t="str"/>
      <x:c r="D40" s="157" t="str"/>
      <x:c r="E40" s="157" t="str"/>
      <x:c r="F40" s="169" t="str"/>
      <x:c r="G40" s="169" t="str"/>
      <x:c r="H40" s="169" t="str"/>
      <x:c r="I40" s="166" t="str"/>
      <x:c r="J40" s="166" t="str"/>
      <x:c r="K40" s="169" t="str"/>
      <x:c r="L40" s="169" t="n">
        <x:f>IFERROR(IF(I40&gt;=0.45,25,IF(I40&gt;=0.30,15,5))+IF(J40&lt;=0.55,20,IF(J40&lt;=0.75,10,0))+IF(K40&gt;=120,25,IF(K40&gt;=60,15,5))+IF(F40&gt;=20,15,5)+IF(D40=$B$4,15,5),0)</x:f>
        <x:v>50</x:v>
      </x:c>
      <x:c r="M40" s="157" t="str"/>
      <x:c r="N40" s="157" t="str"/>
    </x:row>
    <x:row r="41">
      <x:c r="A41" s="157" t="str"/>
      <x:c r="B41" s="157" t="str"/>
      <x:c r="C41" s="157" t="str"/>
      <x:c r="D41" s="157" t="str"/>
      <x:c r="E41" s="157" t="str"/>
      <x:c r="F41" s="169" t="str"/>
      <x:c r="G41" s="169" t="str"/>
      <x:c r="H41" s="169" t="str"/>
      <x:c r="I41" s="166" t="str"/>
      <x:c r="J41" s="166" t="str"/>
      <x:c r="K41" s="169" t="str"/>
      <x:c r="L41" s="169" t="n">
        <x:f>IFERROR(IF(I41&gt;=0.45,25,IF(I41&gt;=0.30,15,5))+IF(J41&lt;=0.55,20,IF(J41&lt;=0.75,10,0))+IF(K41&gt;=120,25,IF(K41&gt;=60,15,5))+IF(F41&gt;=20,15,5)+IF(D41=$B$4,15,5),0)</x:f>
        <x:v>50</x:v>
      </x:c>
      <x:c r="M41" s="157" t="str"/>
      <x:c r="N41" s="157" t="str"/>
    </x:row>
    <x:row r="42">
      <x:c r="A42" s="157" t="str"/>
      <x:c r="B42" s="157" t="str"/>
      <x:c r="C42" s="157" t="str"/>
      <x:c r="D42" s="157" t="str"/>
      <x:c r="E42" s="157" t="str"/>
      <x:c r="F42" s="169" t="str"/>
      <x:c r="G42" s="169" t="str"/>
      <x:c r="H42" s="169" t="str"/>
      <x:c r="I42" s="166" t="str"/>
      <x:c r="J42" s="166" t="str"/>
      <x:c r="K42" s="169" t="str"/>
      <x:c r="L42" s="169" t="n">
        <x:f>IFERROR(IF(I42&gt;=0.45,25,IF(I42&gt;=0.30,15,5))+IF(J42&lt;=0.55,20,IF(J42&lt;=0.75,10,0))+IF(K42&gt;=120,25,IF(K42&gt;=60,15,5))+IF(F42&gt;=20,15,5)+IF(D42=$B$4,15,5),0)</x:f>
        <x:v>50</x:v>
      </x:c>
      <x:c r="M42" s="157" t="str"/>
      <x:c r="N42" s="157" t="str"/>
    </x:row>
    <x:row r="43">
      <x:c r="A43" s="157" t="str"/>
      <x:c r="B43" s="157" t="str"/>
      <x:c r="C43" s="157" t="str"/>
      <x:c r="D43" s="157" t="str"/>
      <x:c r="E43" s="157" t="str"/>
      <x:c r="F43" s="169" t="str"/>
      <x:c r="G43" s="169" t="str"/>
      <x:c r="H43" s="169" t="str"/>
      <x:c r="I43" s="166" t="str"/>
      <x:c r="J43" s="166" t="str"/>
      <x:c r="K43" s="169" t="str"/>
      <x:c r="L43" s="169" t="n">
        <x:f>IFERROR(IF(I43&gt;=0.45,25,IF(I43&gt;=0.30,15,5))+IF(J43&lt;=0.55,20,IF(J43&lt;=0.75,10,0))+IF(K43&gt;=120,25,IF(K43&gt;=60,15,5))+IF(F43&gt;=20,15,5)+IF(D43=$B$4,15,5),0)</x:f>
        <x:v>50</x:v>
      </x:c>
      <x:c r="M43" s="157" t="str"/>
      <x:c r="N43" s="157" t="str"/>
    </x:row>
    <x:row r="44">
      <x:c r="A44" s="157" t="str"/>
      <x:c r="B44" s="157" t="str"/>
      <x:c r="C44" s="157" t="str"/>
      <x:c r="D44" s="157" t="str"/>
      <x:c r="E44" s="157" t="str"/>
      <x:c r="F44" s="169" t="str"/>
      <x:c r="G44" s="169" t="str"/>
      <x:c r="H44" s="169" t="str"/>
      <x:c r="I44" s="166" t="str"/>
      <x:c r="J44" s="166" t="str"/>
      <x:c r="K44" s="169" t="str"/>
      <x:c r="L44" s="169" t="n">
        <x:f>IFERROR(IF(I44&gt;=0.45,25,IF(I44&gt;=0.30,15,5))+IF(J44&lt;=0.55,20,IF(J44&lt;=0.75,10,0))+IF(K44&gt;=120,25,IF(K44&gt;=60,15,5))+IF(F44&gt;=20,15,5)+IF(D44=$B$4,15,5),0)</x:f>
        <x:v>50</x:v>
      </x:c>
      <x:c r="M44" s="157" t="str"/>
      <x:c r="N44" s="157" t="str"/>
    </x:row>
    <x:row r="45">
      <x:c r="A45" s="157" t="str"/>
      <x:c r="B45" s="157" t="str"/>
      <x:c r="C45" s="157" t="str"/>
      <x:c r="D45" s="157" t="str"/>
      <x:c r="E45" s="157" t="str"/>
      <x:c r="F45" s="169" t="str"/>
      <x:c r="G45" s="169" t="str"/>
      <x:c r="H45" s="169" t="str"/>
      <x:c r="I45" s="166" t="str"/>
      <x:c r="J45" s="166" t="str"/>
      <x:c r="K45" s="169" t="str"/>
      <x:c r="L45" s="169" t="n">
        <x:f>IFERROR(IF(I45&gt;=0.45,25,IF(I45&gt;=0.30,15,5))+IF(J45&lt;=0.55,20,IF(J45&lt;=0.75,10,0))+IF(K45&gt;=120,25,IF(K45&gt;=60,15,5))+IF(F45&gt;=20,15,5)+IF(D45=$B$4,15,5),0)</x:f>
        <x:v>50</x:v>
      </x:c>
      <x:c r="M45" s="157" t="str"/>
      <x:c r="N45" s="157" t="str"/>
    </x:row>
    <x:row r="46">
      <x:c r="A46" s="157" t="str"/>
      <x:c r="B46" s="157" t="str"/>
      <x:c r="C46" s="157" t="str"/>
      <x:c r="D46" s="157" t="str"/>
      <x:c r="E46" s="157" t="str"/>
      <x:c r="F46" s="169" t="str"/>
      <x:c r="G46" s="169" t="str"/>
      <x:c r="H46" s="169" t="str"/>
      <x:c r="I46" s="166" t="str"/>
      <x:c r="J46" s="166" t="str"/>
      <x:c r="K46" s="169" t="str"/>
      <x:c r="L46" s="169" t="n">
        <x:f>IFERROR(IF(I46&gt;=0.45,25,IF(I46&gt;=0.30,15,5))+IF(J46&lt;=0.55,20,IF(J46&lt;=0.75,10,0))+IF(K46&gt;=120,25,IF(K46&gt;=60,15,5))+IF(F46&gt;=20,15,5)+IF(D46=$B$4,15,5),0)</x:f>
        <x:v>50</x:v>
      </x:c>
      <x:c r="M46" s="157" t="str"/>
      <x:c r="N46" s="157" t="str"/>
    </x:row>
    <x:row r="47">
      <x:c r="A47" s="157" t="str"/>
      <x:c r="B47" s="157" t="str"/>
      <x:c r="C47" s="157" t="str"/>
      <x:c r="D47" s="157" t="str"/>
      <x:c r="E47" s="157" t="str"/>
      <x:c r="F47" s="169" t="str"/>
      <x:c r="G47" s="169" t="str"/>
      <x:c r="H47" s="169" t="str"/>
      <x:c r="I47" s="166" t="str"/>
      <x:c r="J47" s="166" t="str"/>
      <x:c r="K47" s="169" t="str"/>
      <x:c r="L47" s="169" t="n">
        <x:f>IFERROR(IF(I47&gt;=0.45,25,IF(I47&gt;=0.30,15,5))+IF(J47&lt;=0.55,20,IF(J47&lt;=0.75,10,0))+IF(K47&gt;=120,25,IF(K47&gt;=60,15,5))+IF(F47&gt;=20,15,5)+IF(D47=$B$4,15,5),0)</x:f>
        <x:v>50</x:v>
      </x:c>
      <x:c r="M47" s="157" t="str"/>
      <x:c r="N47" s="157" t="str"/>
    </x:row>
    <x:row r="48">
      <x:c r="A48" s="157" t="str"/>
      <x:c r="B48" s="157" t="str"/>
      <x:c r="C48" s="157" t="str"/>
      <x:c r="D48" s="157" t="str"/>
      <x:c r="E48" s="157" t="str"/>
      <x:c r="F48" s="169" t="str"/>
      <x:c r="G48" s="169" t="str"/>
      <x:c r="H48" s="169" t="str"/>
      <x:c r="I48" s="166" t="str"/>
      <x:c r="J48" s="166" t="str"/>
      <x:c r="K48" s="169" t="str"/>
      <x:c r="L48" s="169" t="n">
        <x:f>IFERROR(IF(I48&gt;=0.45,25,IF(I48&gt;=0.30,15,5))+IF(J48&lt;=0.55,20,IF(J48&lt;=0.75,10,0))+IF(K48&gt;=120,25,IF(K48&gt;=60,15,5))+IF(F48&gt;=20,15,5)+IF(D48=$B$4,15,5),0)</x:f>
        <x:v>50</x:v>
      </x:c>
      <x:c r="M48" s="157" t="str"/>
      <x:c r="N48" s="157" t="str"/>
    </x:row>
    <x:row r="49">
      <x:c r="A49" s="157" t="str"/>
      <x:c r="B49" s="157" t="str"/>
      <x:c r="C49" s="157" t="str"/>
      <x:c r="D49" s="157" t="str"/>
      <x:c r="E49" s="157" t="str"/>
      <x:c r="F49" s="169" t="str"/>
      <x:c r="G49" s="169" t="str"/>
      <x:c r="H49" s="169" t="str"/>
      <x:c r="I49" s="166" t="str"/>
      <x:c r="J49" s="166" t="str"/>
      <x:c r="K49" s="169" t="str"/>
      <x:c r="L49" s="169" t="n">
        <x:f>IFERROR(IF(I49&gt;=0.45,25,IF(I49&gt;=0.30,15,5))+IF(J49&lt;=0.55,20,IF(J49&lt;=0.75,10,0))+IF(K49&gt;=120,25,IF(K49&gt;=60,15,5))+IF(F49&gt;=20,15,5)+IF(D49=$B$4,15,5),0)</x:f>
        <x:v>50</x:v>
      </x:c>
      <x:c r="M49" s="157" t="str"/>
      <x:c r="N49" s="157" t="str"/>
    </x:row>
    <x:row r="50">
      <x:c r="A50" s="157" t="str"/>
      <x:c r="B50" s="157" t="str"/>
      <x:c r="C50" s="157" t="str"/>
      <x:c r="D50" s="157" t="str"/>
      <x:c r="E50" s="157" t="str"/>
      <x:c r="F50" s="169" t="str"/>
      <x:c r="G50" s="169" t="str"/>
      <x:c r="H50" s="169" t="str"/>
      <x:c r="I50" s="166" t="str"/>
      <x:c r="J50" s="166" t="str"/>
      <x:c r="K50" s="169" t="str"/>
      <x:c r="L50" s="169" t="n">
        <x:f>IFERROR(IF(I50&gt;=0.45,25,IF(I50&gt;=0.30,15,5))+IF(J50&lt;=0.55,20,IF(J50&lt;=0.75,10,0))+IF(K50&gt;=120,25,IF(K50&gt;=60,15,5))+IF(F50&gt;=20,15,5)+IF(D50=$B$4,15,5),0)</x:f>
        <x:v>50</x:v>
      </x:c>
      <x:c r="M50" s="157" t="str"/>
      <x:c r="N50" s="157" t="str"/>
    </x:row>
    <x:row r="51">
      <x:c r="A51" s="157" t="str"/>
      <x:c r="B51" s="157" t="str"/>
      <x:c r="C51" s="157" t="str"/>
      <x:c r="D51" s="157" t="str"/>
      <x:c r="E51" s="157" t="str"/>
      <x:c r="F51" s="169" t="str"/>
      <x:c r="G51" s="169" t="str"/>
      <x:c r="H51" s="169" t="str"/>
      <x:c r="I51" s="166" t="str"/>
      <x:c r="J51" s="166" t="str"/>
      <x:c r="K51" s="169" t="str"/>
      <x:c r="L51" s="169" t="n">
        <x:f>IFERROR(IF(I51&gt;=0.45,25,IF(I51&gt;=0.30,15,5))+IF(J51&lt;=0.55,20,IF(J51&lt;=0.75,10,0))+IF(K51&gt;=120,25,IF(K51&gt;=60,15,5))+IF(F51&gt;=20,15,5)+IF(D51=$B$4,15,5),0)</x:f>
        <x:v>50</x:v>
      </x:c>
      <x:c r="M51" s="157" t="str"/>
      <x:c r="N51" s="157" t="str"/>
    </x:row>
    <x:row r="52">
      <x:c r="A52" s="157" t="str"/>
      <x:c r="B52" s="157" t="str"/>
      <x:c r="C52" s="157" t="str"/>
      <x:c r="D52" s="157" t="str"/>
      <x:c r="E52" s="157" t="str"/>
      <x:c r="F52" s="169" t="str"/>
      <x:c r="G52" s="169" t="str"/>
      <x:c r="H52" s="169" t="str"/>
      <x:c r="I52" s="166" t="str"/>
      <x:c r="J52" s="166" t="str"/>
      <x:c r="K52" s="169" t="str"/>
      <x:c r="L52" s="169" t="n">
        <x:f>IFERROR(IF(I52&gt;=0.45,25,IF(I52&gt;=0.30,15,5))+IF(J52&lt;=0.55,20,IF(J52&lt;=0.75,10,0))+IF(K52&gt;=120,25,IF(K52&gt;=60,15,5))+IF(F52&gt;=20,15,5)+IF(D52=$B$4,15,5),0)</x:f>
        <x:v>50</x:v>
      </x:c>
      <x:c r="M52" s="157" t="str"/>
      <x:c r="N52" s="157" t="str"/>
    </x:row>
    <x:row r="53">
      <x:c r="A53" s="157" t="str"/>
      <x:c r="B53" s="157" t="str"/>
      <x:c r="C53" s="157" t="str"/>
      <x:c r="D53" s="157" t="str"/>
      <x:c r="E53" s="157" t="str"/>
      <x:c r="F53" s="169" t="str"/>
      <x:c r="G53" s="169" t="str"/>
      <x:c r="H53" s="169" t="str"/>
      <x:c r="I53" s="166" t="str"/>
      <x:c r="J53" s="166" t="str"/>
      <x:c r="K53" s="169" t="str"/>
      <x:c r="L53" s="169" t="n">
        <x:f>IFERROR(IF(I53&gt;=0.45,25,IF(I53&gt;=0.30,15,5))+IF(J53&lt;=0.55,20,IF(J53&lt;=0.75,10,0))+IF(K53&gt;=120,25,IF(K53&gt;=60,15,5))+IF(F53&gt;=20,15,5)+IF(D53=$B$4,15,5),0)</x:f>
        <x:v>50</x:v>
      </x:c>
      <x:c r="M53" s="157" t="str"/>
      <x:c r="N53" s="157" t="str"/>
    </x:row>
    <x:row r="54">
      <x:c r="A54" s="157" t="str"/>
      <x:c r="B54" s="157" t="str"/>
      <x:c r="C54" s="157" t="str"/>
      <x:c r="D54" s="157" t="str"/>
      <x:c r="E54" s="157" t="str"/>
      <x:c r="F54" s="169" t="str"/>
      <x:c r="G54" s="169" t="str"/>
      <x:c r="H54" s="169" t="str"/>
      <x:c r="I54" s="166" t="str"/>
      <x:c r="J54" s="166" t="str"/>
      <x:c r="K54" s="169" t="str"/>
      <x:c r="L54" s="169" t="n">
        <x:f>IFERROR(IF(I54&gt;=0.45,25,IF(I54&gt;=0.30,15,5))+IF(J54&lt;=0.55,20,IF(J54&lt;=0.75,10,0))+IF(K54&gt;=120,25,IF(K54&gt;=60,15,5))+IF(F54&gt;=20,15,5)+IF(D54=$B$4,15,5),0)</x:f>
        <x:v>50</x:v>
      </x:c>
      <x:c r="M54" s="157" t="str"/>
      <x:c r="N54" s="157" t="str"/>
    </x:row>
    <x:row r="55">
      <x:c r="A55" s="157" t="str"/>
      <x:c r="B55" s="157" t="str"/>
      <x:c r="C55" s="157" t="str"/>
      <x:c r="D55" s="157" t="str"/>
      <x:c r="E55" s="157" t="str"/>
      <x:c r="F55" s="169" t="str"/>
      <x:c r="G55" s="169" t="str"/>
      <x:c r="H55" s="169" t="str"/>
      <x:c r="I55" s="166" t="str"/>
      <x:c r="J55" s="166" t="str"/>
      <x:c r="K55" s="169" t="str"/>
      <x:c r="L55" s="169" t="n">
        <x:f>IFERROR(IF(I55&gt;=0.45,25,IF(I55&gt;=0.30,15,5))+IF(J55&lt;=0.55,20,IF(J55&lt;=0.75,10,0))+IF(K55&gt;=120,25,IF(K55&gt;=60,15,5))+IF(F55&gt;=20,15,5)+IF(D55=$B$4,15,5),0)</x:f>
        <x:v>50</x:v>
      </x:c>
      <x:c r="M55" s="157" t="str"/>
      <x:c r="N55" s="157" t="str"/>
    </x:row>
    <x:row r="56">
      <x:c r="A56" s="157" t="str"/>
      <x:c r="B56" s="157" t="str"/>
      <x:c r="C56" s="157" t="str"/>
      <x:c r="D56" s="157" t="str"/>
      <x:c r="E56" s="157" t="str"/>
      <x:c r="F56" s="169" t="str"/>
      <x:c r="G56" s="169" t="str"/>
      <x:c r="H56" s="169" t="str"/>
      <x:c r="I56" s="166" t="str"/>
      <x:c r="J56" s="166" t="str"/>
      <x:c r="K56" s="169" t="str"/>
      <x:c r="L56" s="169" t="n">
        <x:f>IFERROR(IF(I56&gt;=0.45,25,IF(I56&gt;=0.30,15,5))+IF(J56&lt;=0.55,20,IF(J56&lt;=0.75,10,0))+IF(K56&gt;=120,25,IF(K56&gt;=60,15,5))+IF(F56&gt;=20,15,5)+IF(D56=$B$4,15,5),0)</x:f>
        <x:v>50</x:v>
      </x:c>
      <x:c r="M56" s="157" t="str"/>
      <x:c r="N56" s="157" t="str"/>
    </x:row>
    <x:row r="57">
      <x:c r="A57" s="157" t="str"/>
      <x:c r="B57" s="157" t="str"/>
      <x:c r="C57" s="157" t="str"/>
      <x:c r="D57" s="157" t="str"/>
      <x:c r="E57" s="157" t="str"/>
      <x:c r="F57" s="169" t="str"/>
      <x:c r="G57" s="169" t="str"/>
      <x:c r="H57" s="169" t="str"/>
      <x:c r="I57" s="166" t="str"/>
      <x:c r="J57" s="166" t="str"/>
      <x:c r="K57" s="169" t="str"/>
      <x:c r="L57" s="169" t="n">
        <x:f>IFERROR(IF(I57&gt;=0.45,25,IF(I57&gt;=0.30,15,5))+IF(J57&lt;=0.55,20,IF(J57&lt;=0.75,10,0))+IF(K57&gt;=120,25,IF(K57&gt;=60,15,5))+IF(F57&gt;=20,15,5)+IF(D57=$B$4,15,5),0)</x:f>
        <x:v>50</x:v>
      </x:c>
      <x:c r="M57" s="157" t="str"/>
      <x:c r="N57" s="157" t="str"/>
    </x:row>
    <x:row r="58">
      <x:c r="A58" s="157" t="str"/>
      <x:c r="B58" s="157" t="str"/>
      <x:c r="C58" s="157" t="str"/>
      <x:c r="D58" s="157" t="str"/>
      <x:c r="E58" s="157" t="str"/>
      <x:c r="F58" s="169" t="str"/>
      <x:c r="G58" s="169" t="str"/>
      <x:c r="H58" s="169" t="str"/>
      <x:c r="I58" s="166" t="str"/>
      <x:c r="J58" s="166" t="str"/>
      <x:c r="K58" s="169" t="str"/>
      <x:c r="L58" s="169" t="n">
        <x:f>IFERROR(IF(I58&gt;=0.45,25,IF(I58&gt;=0.30,15,5))+IF(J58&lt;=0.55,20,IF(J58&lt;=0.75,10,0))+IF(K58&gt;=120,25,IF(K58&gt;=60,15,5))+IF(F58&gt;=20,15,5)+IF(D58=$B$4,15,5),0)</x:f>
        <x:v>50</x:v>
      </x:c>
      <x:c r="M58" s="157" t="str"/>
      <x:c r="N58" s="157" t="str"/>
    </x:row>
    <x:row r="59">
      <x:c r="A59" s="157" t="str"/>
      <x:c r="B59" s="157" t="str"/>
      <x:c r="C59" s="157" t="str"/>
      <x:c r="D59" s="157" t="str"/>
      <x:c r="E59" s="157" t="str"/>
      <x:c r="F59" s="169" t="str"/>
      <x:c r="G59" s="169" t="str"/>
      <x:c r="H59" s="169" t="str"/>
      <x:c r="I59" s="166" t="str"/>
      <x:c r="J59" s="166" t="str"/>
      <x:c r="K59" s="169" t="str"/>
      <x:c r="L59" s="169" t="n">
        <x:f>IFERROR(IF(I59&gt;=0.45,25,IF(I59&gt;=0.30,15,5))+IF(J59&lt;=0.55,20,IF(J59&lt;=0.75,10,0))+IF(K59&gt;=120,25,IF(K59&gt;=60,15,5))+IF(F59&gt;=20,15,5)+IF(D59=$B$4,15,5),0)</x:f>
        <x:v>50</x:v>
      </x:c>
      <x:c r="M59" s="157" t="str"/>
      <x:c r="N59" s="157" t="str"/>
    </x:row>
    <x:row r="60">
      <x:c r="A60" s="157" t="str"/>
      <x:c r="B60" s="157" t="str"/>
      <x:c r="C60" s="157" t="str"/>
      <x:c r="D60" s="157" t="str"/>
      <x:c r="E60" s="157" t="str"/>
      <x:c r="F60" s="169" t="str"/>
      <x:c r="G60" s="169" t="str"/>
      <x:c r="H60" s="169" t="str"/>
      <x:c r="I60" s="166" t="str"/>
      <x:c r="J60" s="166" t="str"/>
      <x:c r="K60" s="169" t="str"/>
      <x:c r="L60" s="169" t="n">
        <x:f>IFERROR(IF(I60&gt;=0.45,25,IF(I60&gt;=0.30,15,5))+IF(J60&lt;=0.55,20,IF(J60&lt;=0.75,10,0))+IF(K60&gt;=120,25,IF(K60&gt;=60,15,5))+IF(F60&gt;=20,15,5)+IF(D60=$B$4,15,5),0)</x:f>
        <x:v>50</x:v>
      </x:c>
      <x:c r="M60" s="157" t="str"/>
      <x:c r="N60" s="157" t="str"/>
    </x:row>
    <x:row r="61">
      <x:c r="A61" s="157" t="str"/>
      <x:c r="B61" s="157" t="str"/>
      <x:c r="C61" s="157" t="str"/>
      <x:c r="D61" s="157" t="str"/>
      <x:c r="E61" s="157" t="str"/>
      <x:c r="F61" s="169" t="str"/>
      <x:c r="G61" s="169" t="str"/>
      <x:c r="H61" s="169" t="str"/>
      <x:c r="I61" s="166" t="str"/>
      <x:c r="J61" s="166" t="str"/>
      <x:c r="K61" s="169" t="str"/>
      <x:c r="L61" s="169" t="n">
        <x:f>IFERROR(IF(I61&gt;=0.45,25,IF(I61&gt;=0.30,15,5))+IF(J61&lt;=0.55,20,IF(J61&lt;=0.75,10,0))+IF(K61&gt;=120,25,IF(K61&gt;=60,15,5))+IF(F61&gt;=20,15,5)+IF(D61=$B$4,15,5),0)</x:f>
        <x:v>50</x:v>
      </x:c>
      <x:c r="M61" s="157" t="str"/>
      <x:c r="N61" s="157" t="str"/>
    </x:row>
    <x:row r="62">
      <x:c r="A62" s="157" t="str"/>
      <x:c r="B62" s="157" t="str"/>
      <x:c r="C62" s="157" t="str"/>
      <x:c r="D62" s="157" t="str"/>
      <x:c r="E62" s="157" t="str"/>
      <x:c r="F62" s="169" t="str"/>
      <x:c r="G62" s="169" t="str"/>
      <x:c r="H62" s="169" t="str"/>
      <x:c r="I62" s="166" t="str"/>
      <x:c r="J62" s="166" t="str"/>
      <x:c r="K62" s="169" t="str"/>
      <x:c r="L62" s="169" t="n">
        <x:f>IFERROR(IF(I62&gt;=0.45,25,IF(I62&gt;=0.30,15,5))+IF(J62&lt;=0.55,20,IF(J62&lt;=0.75,10,0))+IF(K62&gt;=120,25,IF(K62&gt;=60,15,5))+IF(F62&gt;=20,15,5)+IF(D62=$B$4,15,5),0)</x:f>
        <x:v>50</x:v>
      </x:c>
      <x:c r="M62" s="157" t="str"/>
      <x:c r="N62" s="157" t="str"/>
    </x:row>
    <x:row r="63">
      <x:c r="A63" s="157" t="str"/>
      <x:c r="B63" s="157" t="str"/>
      <x:c r="C63" s="157" t="str"/>
      <x:c r="D63" s="157" t="str"/>
      <x:c r="E63" s="157" t="str"/>
      <x:c r="F63" s="169" t="str"/>
      <x:c r="G63" s="169" t="str"/>
      <x:c r="H63" s="169" t="str"/>
      <x:c r="I63" s="166" t="str"/>
      <x:c r="J63" s="166" t="str"/>
      <x:c r="K63" s="169" t="str"/>
      <x:c r="L63" s="169" t="n">
        <x:f>IFERROR(IF(I63&gt;=0.45,25,IF(I63&gt;=0.30,15,5))+IF(J63&lt;=0.55,20,IF(J63&lt;=0.75,10,0))+IF(K63&gt;=120,25,IF(K63&gt;=60,15,5))+IF(F63&gt;=20,15,5)+IF(D63=$B$4,15,5),0)</x:f>
        <x:v>50</x:v>
      </x:c>
      <x:c r="M63" s="157" t="str"/>
      <x:c r="N63" s="157" t="str"/>
    </x:row>
    <x:row r="64">
      <x:c r="A64" s="157" t="str"/>
      <x:c r="B64" s="157" t="str"/>
      <x:c r="C64" s="157" t="str"/>
      <x:c r="D64" s="157" t="str"/>
      <x:c r="E64" s="157" t="str"/>
      <x:c r="F64" s="169" t="str"/>
      <x:c r="G64" s="169" t="str"/>
      <x:c r="H64" s="169" t="str"/>
      <x:c r="I64" s="166" t="str"/>
      <x:c r="J64" s="166" t="str"/>
      <x:c r="K64" s="169" t="str"/>
      <x:c r="L64" s="169" t="n">
        <x:f>IFERROR(IF(I64&gt;=0.45,25,IF(I64&gt;=0.30,15,5))+IF(J64&lt;=0.55,20,IF(J64&lt;=0.75,10,0))+IF(K64&gt;=120,25,IF(K64&gt;=60,15,5))+IF(F64&gt;=20,15,5)+IF(D64=$B$4,15,5),0)</x:f>
        <x:v>50</x:v>
      </x:c>
      <x:c r="M64" s="157" t="str"/>
      <x:c r="N64" s="157" t="str"/>
    </x:row>
    <x:row r="65">
      <x:c r="A65" s="157" t="str"/>
      <x:c r="B65" s="157" t="str"/>
      <x:c r="C65" s="157" t="str"/>
      <x:c r="D65" s="157" t="str"/>
      <x:c r="E65" s="157" t="str"/>
      <x:c r="F65" s="169" t="str"/>
      <x:c r="G65" s="169" t="str"/>
      <x:c r="H65" s="169" t="str"/>
      <x:c r="I65" s="166" t="str"/>
      <x:c r="J65" s="166" t="str"/>
      <x:c r="K65" s="169" t="str"/>
      <x:c r="L65" s="169" t="n">
        <x:f>IFERROR(IF(I65&gt;=0.45,25,IF(I65&gt;=0.30,15,5))+IF(J65&lt;=0.55,20,IF(J65&lt;=0.75,10,0))+IF(K65&gt;=120,25,IF(K65&gt;=60,15,5))+IF(F65&gt;=20,15,5)+IF(D65=$B$4,15,5),0)</x:f>
        <x:v>50</x:v>
      </x:c>
      <x:c r="M65" s="157" t="str"/>
      <x:c r="N65" s="157" t="str"/>
    </x:row>
    <x:row r="66">
      <x:c r="A66" s="157" t="str"/>
      <x:c r="B66" s="157" t="str"/>
      <x:c r="C66" s="157" t="str"/>
      <x:c r="D66" s="157" t="str"/>
      <x:c r="E66" s="157" t="str"/>
      <x:c r="F66" s="169" t="str"/>
      <x:c r="G66" s="169" t="str"/>
      <x:c r="H66" s="169" t="str"/>
      <x:c r="I66" s="166" t="str"/>
      <x:c r="J66" s="166" t="str"/>
      <x:c r="K66" s="169" t="str"/>
      <x:c r="L66" s="169" t="n">
        <x:f>IFERROR(IF(I66&gt;=0.45,25,IF(I66&gt;=0.30,15,5))+IF(J66&lt;=0.55,20,IF(J66&lt;=0.75,10,0))+IF(K66&gt;=120,25,IF(K66&gt;=60,15,5))+IF(F66&gt;=20,15,5)+IF(D66=$B$4,15,5),0)</x:f>
        <x:v>50</x:v>
      </x:c>
      <x:c r="M66" s="157" t="str"/>
      <x:c r="N66" s="157" t="str"/>
    </x:row>
    <x:row r="67">
      <x:c r="A67" s="157" t="str"/>
      <x:c r="B67" s="157" t="str"/>
      <x:c r="C67" s="157" t="str"/>
      <x:c r="D67" s="157" t="str"/>
      <x:c r="E67" s="157" t="str"/>
      <x:c r="F67" s="169" t="str"/>
      <x:c r="G67" s="169" t="str"/>
      <x:c r="H67" s="169" t="str"/>
      <x:c r="I67" s="166" t="str"/>
      <x:c r="J67" s="166" t="str"/>
      <x:c r="K67" s="169" t="str"/>
      <x:c r="L67" s="169" t="n">
        <x:f>IFERROR(IF(I67&gt;=0.45,25,IF(I67&gt;=0.30,15,5))+IF(J67&lt;=0.55,20,IF(J67&lt;=0.75,10,0))+IF(K67&gt;=120,25,IF(K67&gt;=60,15,5))+IF(F67&gt;=20,15,5)+IF(D67=$B$4,15,5),0)</x:f>
        <x:v>50</x:v>
      </x:c>
      <x:c r="M67" s="157" t="str"/>
      <x:c r="N67" s="157" t="str"/>
    </x:row>
    <x:row r="68">
      <x:c r="A68" s="157" t="str"/>
      <x:c r="B68" s="157" t="str"/>
      <x:c r="C68" s="157" t="str"/>
      <x:c r="D68" s="157" t="str"/>
      <x:c r="E68" s="157" t="str"/>
      <x:c r="F68" s="169" t="str"/>
      <x:c r="G68" s="169" t="str"/>
      <x:c r="H68" s="169" t="str"/>
      <x:c r="I68" s="166" t="str"/>
      <x:c r="J68" s="166" t="str"/>
      <x:c r="K68" s="169" t="str"/>
      <x:c r="L68" s="169" t="n">
        <x:f>IFERROR(IF(I68&gt;=0.45,25,IF(I68&gt;=0.30,15,5))+IF(J68&lt;=0.55,20,IF(J68&lt;=0.75,10,0))+IF(K68&gt;=120,25,IF(K68&gt;=60,15,5))+IF(F68&gt;=20,15,5)+IF(D68=$B$4,15,5),0)</x:f>
        <x:v>50</x:v>
      </x:c>
      <x:c r="M68" s="157" t="str"/>
      <x:c r="N68" s="157" t="str"/>
    </x:row>
    <x:row r="69">
      <x:c r="A69" s="157" t="str"/>
      <x:c r="B69" s="157" t="str"/>
      <x:c r="C69" s="157" t="str"/>
      <x:c r="D69" s="157" t="str"/>
      <x:c r="E69" s="157" t="str"/>
      <x:c r="F69" s="169" t="str"/>
      <x:c r="G69" s="169" t="str"/>
      <x:c r="H69" s="169" t="str"/>
      <x:c r="I69" s="166" t="str"/>
      <x:c r="J69" s="166" t="str"/>
      <x:c r="K69" s="169" t="str"/>
      <x:c r="L69" s="169" t="n">
        <x:f>IFERROR(IF(I69&gt;=0.45,25,IF(I69&gt;=0.30,15,5))+IF(J69&lt;=0.55,20,IF(J69&lt;=0.75,10,0))+IF(K69&gt;=120,25,IF(K69&gt;=60,15,5))+IF(F69&gt;=20,15,5)+IF(D69=$B$4,15,5),0)</x:f>
        <x:v>50</x:v>
      </x:c>
      <x:c r="M69" s="157" t="str"/>
      <x:c r="N69" s="157" t="str"/>
    </x:row>
    <x:row r="70">
      <x:c r="A70" s="157" t="str"/>
      <x:c r="B70" s="157" t="str"/>
      <x:c r="C70" s="157" t="str"/>
      <x:c r="D70" s="157" t="str"/>
      <x:c r="E70" s="157" t="str"/>
      <x:c r="F70" s="169" t="str"/>
      <x:c r="G70" s="169" t="str"/>
      <x:c r="H70" s="169" t="str"/>
      <x:c r="I70" s="166" t="str"/>
      <x:c r="J70" s="166" t="str"/>
      <x:c r="K70" s="169" t="str"/>
      <x:c r="L70" s="169" t="n">
        <x:f>IFERROR(IF(I70&gt;=0.45,25,IF(I70&gt;=0.30,15,5))+IF(J70&lt;=0.55,20,IF(J70&lt;=0.75,10,0))+IF(K70&gt;=120,25,IF(K70&gt;=60,15,5))+IF(F70&gt;=20,15,5)+IF(D70=$B$4,15,5),0)</x:f>
        <x:v>50</x:v>
      </x:c>
      <x:c r="M70" s="157" t="str"/>
      <x:c r="N70" s="157" t="str"/>
    </x:row>
    <x:row r="71">
      <x:c r="A71" s="157" t="str"/>
      <x:c r="B71" s="157" t="str"/>
      <x:c r="C71" s="157" t="str"/>
      <x:c r="D71" s="157" t="str"/>
      <x:c r="E71" s="157" t="str"/>
      <x:c r="F71" s="169" t="str"/>
      <x:c r="G71" s="169" t="str"/>
      <x:c r="H71" s="169" t="str"/>
      <x:c r="I71" s="166" t="str"/>
      <x:c r="J71" s="166" t="str"/>
      <x:c r="K71" s="169" t="str"/>
      <x:c r="L71" s="169" t="n">
        <x:f>IFERROR(IF(I71&gt;=0.45,25,IF(I71&gt;=0.30,15,5))+IF(J71&lt;=0.55,20,IF(J71&lt;=0.75,10,0))+IF(K71&gt;=120,25,IF(K71&gt;=60,15,5))+IF(F71&gt;=20,15,5)+IF(D71=$B$4,15,5),0)</x:f>
        <x:v>50</x:v>
      </x:c>
      <x:c r="M71" s="157" t="str"/>
      <x:c r="N71" s="157" t="str"/>
    </x:row>
    <x:row r="72">
      <x:c r="A72" s="157" t="str"/>
      <x:c r="B72" s="157" t="str"/>
      <x:c r="C72" s="157" t="str"/>
      <x:c r="D72" s="157" t="str"/>
      <x:c r="E72" s="157" t="str"/>
      <x:c r="F72" s="169" t="str"/>
      <x:c r="G72" s="169" t="str"/>
      <x:c r="H72" s="169" t="str"/>
      <x:c r="I72" s="166" t="str"/>
      <x:c r="J72" s="166" t="str"/>
      <x:c r="K72" s="169" t="str"/>
      <x:c r="L72" s="169" t="n">
        <x:f>IFERROR(IF(I72&gt;=0.45,25,IF(I72&gt;=0.30,15,5))+IF(J72&lt;=0.55,20,IF(J72&lt;=0.75,10,0))+IF(K72&gt;=120,25,IF(K72&gt;=60,15,5))+IF(F72&gt;=20,15,5)+IF(D72=$B$4,15,5),0)</x:f>
        <x:v>50</x:v>
      </x:c>
      <x:c r="M72" s="157" t="str"/>
      <x:c r="N72" s="157" t="str"/>
    </x:row>
    <x:row r="73">
      <x:c r="A73" s="157" t="str"/>
      <x:c r="B73" s="157" t="str"/>
      <x:c r="C73" s="157" t="str"/>
      <x:c r="D73" s="157" t="str"/>
      <x:c r="E73" s="157" t="str"/>
      <x:c r="F73" s="169" t="str"/>
      <x:c r="G73" s="169" t="str"/>
      <x:c r="H73" s="169" t="str"/>
      <x:c r="I73" s="166" t="str"/>
      <x:c r="J73" s="166" t="str"/>
      <x:c r="K73" s="169" t="str"/>
      <x:c r="L73" s="169" t="n">
        <x:f>IFERROR(IF(I73&gt;=0.45,25,IF(I73&gt;=0.30,15,5))+IF(J73&lt;=0.55,20,IF(J73&lt;=0.75,10,0))+IF(K73&gt;=120,25,IF(K73&gt;=60,15,5))+IF(F73&gt;=20,15,5)+IF(D73=$B$4,15,5),0)</x:f>
        <x:v>50</x:v>
      </x:c>
      <x:c r="M73" s="157" t="str"/>
      <x:c r="N73" s="157" t="str"/>
    </x:row>
    <x:row r="74">
      <x:c r="A74" s="157" t="str"/>
      <x:c r="B74" s="157" t="str"/>
      <x:c r="C74" s="157" t="str"/>
      <x:c r="D74" s="157" t="str"/>
      <x:c r="E74" s="157" t="str"/>
      <x:c r="F74" s="169" t="str"/>
      <x:c r="G74" s="169" t="str"/>
      <x:c r="H74" s="169" t="str"/>
      <x:c r="I74" s="166" t="str"/>
      <x:c r="J74" s="166" t="str"/>
      <x:c r="K74" s="169" t="str"/>
      <x:c r="L74" s="169" t="n">
        <x:f>IFERROR(IF(I74&gt;=0.45,25,IF(I74&gt;=0.30,15,5))+IF(J74&lt;=0.55,20,IF(J74&lt;=0.75,10,0))+IF(K74&gt;=120,25,IF(K74&gt;=60,15,5))+IF(F74&gt;=20,15,5)+IF(D74=$B$4,15,5),0)</x:f>
        <x:v>50</x:v>
      </x:c>
      <x:c r="M74" s="157" t="str"/>
      <x:c r="N74" s="157" t="str"/>
    </x:row>
    <x:row r="75">
      <x:c r="A75" s="157" t="str"/>
      <x:c r="B75" s="157" t="str"/>
      <x:c r="C75" s="157" t="str"/>
      <x:c r="D75" s="157" t="str"/>
      <x:c r="E75" s="157" t="str"/>
      <x:c r="F75" s="169" t="str"/>
      <x:c r="G75" s="169" t="str"/>
      <x:c r="H75" s="169" t="str"/>
      <x:c r="I75" s="166" t="str"/>
      <x:c r="J75" s="166" t="str"/>
      <x:c r="K75" s="169" t="str"/>
      <x:c r="L75" s="169" t="n">
        <x:f>IFERROR(IF(I75&gt;=0.45,25,IF(I75&gt;=0.30,15,5))+IF(J75&lt;=0.55,20,IF(J75&lt;=0.75,10,0))+IF(K75&gt;=120,25,IF(K75&gt;=60,15,5))+IF(F75&gt;=20,15,5)+IF(D75=$B$4,15,5),0)</x:f>
        <x:v>50</x:v>
      </x:c>
      <x:c r="M75" s="157" t="str"/>
      <x:c r="N75" s="157" t="str"/>
    </x:row>
    <x:row r="76">
      <x:c r="A76" s="157" t="str"/>
      <x:c r="B76" s="157" t="str"/>
      <x:c r="C76" s="157" t="str"/>
      <x:c r="D76" s="157" t="str"/>
      <x:c r="E76" s="157" t="str"/>
      <x:c r="F76" s="169" t="str"/>
      <x:c r="G76" s="169" t="str"/>
      <x:c r="H76" s="169" t="str"/>
      <x:c r="I76" s="166" t="str"/>
      <x:c r="J76" s="166" t="str"/>
      <x:c r="K76" s="169" t="str"/>
      <x:c r="L76" s="169" t="n">
        <x:f>IFERROR(IF(I76&gt;=0.45,25,IF(I76&gt;=0.30,15,5))+IF(J76&lt;=0.55,20,IF(J76&lt;=0.75,10,0))+IF(K76&gt;=120,25,IF(K76&gt;=60,15,5))+IF(F76&gt;=20,15,5)+IF(D76=$B$4,15,5),0)</x:f>
        <x:v>50</x:v>
      </x:c>
      <x:c r="M76" s="157" t="str"/>
      <x:c r="N76" s="157" t="str"/>
    </x:row>
    <x:row r="77">
      <x:c r="A77" s="157" t="str"/>
      <x:c r="B77" s="157" t="str"/>
      <x:c r="C77" s="157" t="str"/>
      <x:c r="D77" s="157" t="str"/>
      <x:c r="E77" s="157" t="str"/>
      <x:c r="F77" s="169" t="str"/>
      <x:c r="G77" s="169" t="str"/>
      <x:c r="H77" s="169" t="str"/>
      <x:c r="I77" s="166" t="str"/>
      <x:c r="J77" s="166" t="str"/>
      <x:c r="K77" s="169" t="str"/>
      <x:c r="L77" s="169" t="n">
        <x:f>IFERROR(IF(I77&gt;=0.45,25,IF(I77&gt;=0.30,15,5))+IF(J77&lt;=0.55,20,IF(J77&lt;=0.75,10,0))+IF(K77&gt;=120,25,IF(K77&gt;=60,15,5))+IF(F77&gt;=20,15,5)+IF(D77=$B$4,15,5),0)</x:f>
        <x:v>50</x:v>
      </x:c>
      <x:c r="M77" s="157" t="str"/>
      <x:c r="N77" s="157" t="str"/>
    </x:row>
    <x:row r="78">
      <x:c r="A78" s="157" t="str"/>
      <x:c r="B78" s="157" t="str"/>
      <x:c r="C78" s="157" t="str"/>
      <x:c r="D78" s="157" t="str"/>
      <x:c r="E78" s="157" t="str"/>
      <x:c r="F78" s="169" t="str"/>
      <x:c r="G78" s="169" t="str"/>
      <x:c r="H78" s="169" t="str"/>
      <x:c r="I78" s="166" t="str"/>
      <x:c r="J78" s="166" t="str"/>
      <x:c r="K78" s="169" t="str"/>
      <x:c r="L78" s="169" t="n">
        <x:f>IFERROR(IF(I78&gt;=0.45,25,IF(I78&gt;=0.30,15,5))+IF(J78&lt;=0.55,20,IF(J78&lt;=0.75,10,0))+IF(K78&gt;=120,25,IF(K78&gt;=60,15,5))+IF(F78&gt;=20,15,5)+IF(D78=$B$4,15,5),0)</x:f>
        <x:v>50</x:v>
      </x:c>
      <x:c r="M78" s="157" t="str"/>
      <x:c r="N78" s="157" t="str"/>
    </x:row>
    <x:row r="79">
      <x:c r="A79" s="157" t="str"/>
      <x:c r="B79" s="157" t="str"/>
      <x:c r="C79" s="157" t="str"/>
      <x:c r="D79" s="157" t="str"/>
      <x:c r="E79" s="157" t="str"/>
      <x:c r="F79" s="169" t="str"/>
      <x:c r="G79" s="169" t="str"/>
      <x:c r="H79" s="169" t="str"/>
      <x:c r="I79" s="166" t="str"/>
      <x:c r="J79" s="166" t="str"/>
      <x:c r="K79" s="169" t="str"/>
      <x:c r="L79" s="169" t="n">
        <x:f>IFERROR(IF(I79&gt;=0.45,25,IF(I79&gt;=0.30,15,5))+IF(J79&lt;=0.55,20,IF(J79&lt;=0.75,10,0))+IF(K79&gt;=120,25,IF(K79&gt;=60,15,5))+IF(F79&gt;=20,15,5)+IF(D79=$B$4,15,5),0)</x:f>
        <x:v>50</x:v>
      </x:c>
      <x:c r="M79" s="157" t="str"/>
      <x:c r="N79" s="157" t="str"/>
    </x:row>
    <x:row r="80">
      <x:c r="A80" s="157" t="str"/>
      <x:c r="B80" s="157" t="str"/>
      <x:c r="C80" s="157" t="str"/>
      <x:c r="D80" s="157" t="str"/>
      <x:c r="E80" s="157" t="str"/>
      <x:c r="F80" s="169" t="str"/>
      <x:c r="G80" s="169" t="str"/>
      <x:c r="H80" s="169" t="str"/>
      <x:c r="I80" s="166" t="str"/>
      <x:c r="J80" s="166" t="str"/>
      <x:c r="K80" s="169" t="str"/>
      <x:c r="L80" s="169" t="n">
        <x:f>IFERROR(IF(I80&gt;=0.45,25,IF(I80&gt;=0.30,15,5))+IF(J80&lt;=0.55,20,IF(J80&lt;=0.75,10,0))+IF(K80&gt;=120,25,IF(K80&gt;=60,15,5))+IF(F80&gt;=20,15,5)+IF(D80=$B$4,15,5),0)</x:f>
        <x:v>50</x:v>
      </x:c>
      <x:c r="M80" s="157" t="str"/>
      <x:c r="N80" s="157" t="str"/>
    </x:row>
    <x:row r="81">
      <x:c r="A81" s="157" t="str"/>
      <x:c r="B81" s="157" t="str"/>
      <x:c r="C81" s="157" t="str"/>
      <x:c r="D81" s="157" t="str"/>
      <x:c r="E81" s="157" t="str"/>
      <x:c r="F81" s="169" t="str"/>
      <x:c r="G81" s="169" t="str"/>
      <x:c r="H81" s="169" t="str"/>
      <x:c r="I81" s="166" t="str"/>
      <x:c r="J81" s="166" t="str"/>
      <x:c r="K81" s="169" t="str"/>
      <x:c r="L81" s="169" t="n">
        <x:f>IFERROR(IF(I81&gt;=0.45,25,IF(I81&gt;=0.30,15,5))+IF(J81&lt;=0.55,20,IF(J81&lt;=0.75,10,0))+IF(K81&gt;=120,25,IF(K81&gt;=60,15,5))+IF(F81&gt;=20,15,5)+IF(D81=$B$4,15,5),0)</x:f>
        <x:v>50</x:v>
      </x:c>
      <x:c r="M81" s="157" t="str"/>
      <x:c r="N81" s="157" t="str"/>
    </x:row>
    <x:row r="82">
      <x:c r="A82" s="157" t="str"/>
      <x:c r="B82" s="157" t="str"/>
      <x:c r="C82" s="157" t="str"/>
      <x:c r="D82" s="157" t="str"/>
      <x:c r="E82" s="157" t="str"/>
      <x:c r="F82" s="169" t="str"/>
      <x:c r="G82" s="169" t="str"/>
      <x:c r="H82" s="169" t="str"/>
      <x:c r="I82" s="166" t="str"/>
      <x:c r="J82" s="166" t="str"/>
      <x:c r="K82" s="169" t="str"/>
      <x:c r="L82" s="169" t="n">
        <x:f>IFERROR(IF(I82&gt;=0.45,25,IF(I82&gt;=0.30,15,5))+IF(J82&lt;=0.55,20,IF(J82&lt;=0.75,10,0))+IF(K82&gt;=120,25,IF(K82&gt;=60,15,5))+IF(F82&gt;=20,15,5)+IF(D82=$B$4,15,5),0)</x:f>
        <x:v>50</x:v>
      </x:c>
      <x:c r="M82" s="157" t="str"/>
      <x:c r="N82" s="157" t="str"/>
    </x:row>
    <x:row r="83">
      <x:c r="A83" s="157" t="str"/>
      <x:c r="B83" s="157" t="str"/>
      <x:c r="C83" s="157" t="str"/>
      <x:c r="D83" s="157" t="str"/>
      <x:c r="E83" s="157" t="str"/>
      <x:c r="F83" s="169" t="str"/>
      <x:c r="G83" s="169" t="str"/>
      <x:c r="H83" s="169" t="str"/>
      <x:c r="I83" s="166" t="str"/>
      <x:c r="J83" s="166" t="str"/>
      <x:c r="K83" s="169" t="str"/>
      <x:c r="L83" s="169" t="n">
        <x:f>IFERROR(IF(I83&gt;=0.45,25,IF(I83&gt;=0.30,15,5))+IF(J83&lt;=0.55,20,IF(J83&lt;=0.75,10,0))+IF(K83&gt;=120,25,IF(K83&gt;=60,15,5))+IF(F83&gt;=20,15,5)+IF(D83=$B$4,15,5),0)</x:f>
        <x:v>50</x:v>
      </x:c>
      <x:c r="M83" s="157" t="str"/>
      <x:c r="N83" s="157" t="str"/>
    </x:row>
    <x:row r="84">
      <x:c r="A84" s="157" t="str"/>
      <x:c r="B84" s="157" t="str"/>
      <x:c r="C84" s="157" t="str"/>
      <x:c r="D84" s="157" t="str"/>
      <x:c r="E84" s="157" t="str"/>
      <x:c r="F84" s="169" t="str"/>
      <x:c r="G84" s="169" t="str"/>
      <x:c r="H84" s="169" t="str"/>
      <x:c r="I84" s="166" t="str"/>
      <x:c r="J84" s="166" t="str"/>
      <x:c r="K84" s="169" t="str"/>
      <x:c r="L84" s="169" t="n">
        <x:f>IFERROR(IF(I84&gt;=0.45,25,IF(I84&gt;=0.30,15,5))+IF(J84&lt;=0.55,20,IF(J84&lt;=0.75,10,0))+IF(K84&gt;=120,25,IF(K84&gt;=60,15,5))+IF(F84&gt;=20,15,5)+IF(D84=$B$4,15,5),0)</x:f>
        <x:v>50</x:v>
      </x:c>
      <x:c r="M84" s="157" t="str"/>
      <x:c r="N84" s="157" t="str"/>
    </x:row>
    <x:row r="85">
      <x:c r="A85" s="157" t="str"/>
      <x:c r="B85" s="157" t="str"/>
      <x:c r="C85" s="157" t="str"/>
      <x:c r="D85" s="157" t="str"/>
      <x:c r="E85" s="157" t="str"/>
      <x:c r="F85" s="169" t="str"/>
      <x:c r="G85" s="169" t="str"/>
      <x:c r="H85" s="169" t="str"/>
      <x:c r="I85" s="166" t="str"/>
      <x:c r="J85" s="166" t="str"/>
      <x:c r="K85" s="169" t="str"/>
      <x:c r="L85" s="169" t="n">
        <x:f>IFERROR(IF(I85&gt;=0.45,25,IF(I85&gt;=0.30,15,5))+IF(J85&lt;=0.55,20,IF(J85&lt;=0.75,10,0))+IF(K85&gt;=120,25,IF(K85&gt;=60,15,5))+IF(F85&gt;=20,15,5)+IF(D85=$B$4,15,5),0)</x:f>
        <x:v>50</x:v>
      </x:c>
      <x:c r="M85" s="157" t="str"/>
      <x:c r="N85" s="157" t="str"/>
    </x:row>
    <x:row r="86">
      <x:c r="A86" s="157" t="str"/>
      <x:c r="B86" s="157" t="str"/>
      <x:c r="C86" s="157" t="str"/>
      <x:c r="D86" s="157" t="str"/>
      <x:c r="E86" s="157" t="str"/>
      <x:c r="F86" s="169" t="str"/>
      <x:c r="G86" s="169" t="str"/>
      <x:c r="H86" s="169" t="str"/>
      <x:c r="I86" s="166" t="str"/>
      <x:c r="J86" s="166" t="str"/>
      <x:c r="K86" s="169" t="str"/>
      <x:c r="L86" s="169" t="n">
        <x:f>IFERROR(IF(I86&gt;=0.45,25,IF(I86&gt;=0.30,15,5))+IF(J86&lt;=0.55,20,IF(J86&lt;=0.75,10,0))+IF(K86&gt;=120,25,IF(K86&gt;=60,15,5))+IF(F86&gt;=20,15,5)+IF(D86=$B$4,15,5),0)</x:f>
        <x:v>50</x:v>
      </x:c>
      <x:c r="M86" s="157" t="str"/>
      <x:c r="N86" s="157" t="str"/>
    </x:row>
    <x:row r="87">
      <x:c r="A87" s="157" t="str"/>
      <x:c r="B87" s="157" t="str"/>
      <x:c r="C87" s="157" t="str"/>
      <x:c r="D87" s="157" t="str"/>
      <x:c r="E87" s="157" t="str"/>
      <x:c r="F87" s="169" t="str"/>
      <x:c r="G87" s="169" t="str"/>
      <x:c r="H87" s="169" t="str"/>
      <x:c r="I87" s="166" t="str"/>
      <x:c r="J87" s="166" t="str"/>
      <x:c r="K87" s="169" t="str"/>
      <x:c r="L87" s="169" t="n">
        <x:f>IFERROR(IF(I87&gt;=0.45,25,IF(I87&gt;=0.30,15,5))+IF(J87&lt;=0.55,20,IF(J87&lt;=0.75,10,0))+IF(K87&gt;=120,25,IF(K87&gt;=60,15,5))+IF(F87&gt;=20,15,5)+IF(D87=$B$4,15,5),0)</x:f>
        <x:v>50</x:v>
      </x:c>
      <x:c r="M87" s="157" t="str"/>
      <x:c r="N87" s="157" t="str"/>
    </x:row>
    <x:row r="88">
      <x:c r="A88" s="157" t="str"/>
      <x:c r="B88" s="157" t="str"/>
      <x:c r="C88" s="157" t="str"/>
      <x:c r="D88" s="157" t="str"/>
      <x:c r="E88" s="157" t="str"/>
      <x:c r="F88" s="169" t="str"/>
      <x:c r="G88" s="169" t="str"/>
      <x:c r="H88" s="169" t="str"/>
      <x:c r="I88" s="166" t="str"/>
      <x:c r="J88" s="166" t="str"/>
      <x:c r="K88" s="169" t="str"/>
      <x:c r="L88" s="169" t="n">
        <x:f>IFERROR(IF(I88&gt;=0.45,25,IF(I88&gt;=0.30,15,5))+IF(J88&lt;=0.55,20,IF(J88&lt;=0.75,10,0))+IF(K88&gt;=120,25,IF(K88&gt;=60,15,5))+IF(F88&gt;=20,15,5)+IF(D88=$B$4,15,5),0)</x:f>
        <x:v>50</x:v>
      </x:c>
      <x:c r="M88" s="157" t="str"/>
      <x:c r="N88" s="157" t="str"/>
    </x:row>
    <x:row r="89">
      <x:c r="A89" s="157" t="str"/>
      <x:c r="B89" s="157" t="str"/>
      <x:c r="C89" s="157" t="str"/>
      <x:c r="D89" s="157" t="str"/>
      <x:c r="E89" s="157" t="str"/>
      <x:c r="F89" s="169" t="str"/>
      <x:c r="G89" s="169" t="str"/>
      <x:c r="H89" s="169" t="str"/>
      <x:c r="I89" s="166" t="str"/>
      <x:c r="J89" s="166" t="str"/>
      <x:c r="K89" s="169" t="str"/>
      <x:c r="L89" s="169" t="n">
        <x:f>IFERROR(IF(I89&gt;=0.45,25,IF(I89&gt;=0.30,15,5))+IF(J89&lt;=0.55,20,IF(J89&lt;=0.75,10,0))+IF(K89&gt;=120,25,IF(K89&gt;=60,15,5))+IF(F89&gt;=20,15,5)+IF(D89=$B$4,15,5),0)</x:f>
        <x:v>50</x:v>
      </x:c>
      <x:c r="M89" s="157" t="str"/>
      <x:c r="N89" s="157" t="str"/>
    </x:row>
    <x:row r="90">
      <x:c r="A90" s="157" t="str"/>
      <x:c r="B90" s="157" t="str"/>
      <x:c r="C90" s="157" t="str"/>
      <x:c r="D90" s="157" t="str"/>
      <x:c r="E90" s="157" t="str"/>
      <x:c r="F90" s="169" t="str"/>
      <x:c r="G90" s="169" t="str"/>
      <x:c r="H90" s="169" t="str"/>
      <x:c r="I90" s="166" t="str"/>
      <x:c r="J90" s="166" t="str"/>
      <x:c r="K90" s="169" t="str"/>
      <x:c r="L90" s="169" t="n">
        <x:f>IFERROR(IF(I90&gt;=0.45,25,IF(I90&gt;=0.30,15,5))+IF(J90&lt;=0.55,20,IF(J90&lt;=0.75,10,0))+IF(K90&gt;=120,25,IF(K90&gt;=60,15,5))+IF(F90&gt;=20,15,5)+IF(D90=$B$4,15,5),0)</x:f>
        <x:v>50</x:v>
      </x:c>
      <x:c r="M90" s="157" t="str"/>
      <x:c r="N90" s="157" t="str"/>
    </x:row>
    <x:row r="91">
      <x:c r="A91" s="157" t="str"/>
      <x:c r="B91" s="157" t="str"/>
      <x:c r="C91" s="157" t="str"/>
      <x:c r="D91" s="157" t="str"/>
      <x:c r="E91" s="157" t="str"/>
      <x:c r="F91" s="169" t="str"/>
      <x:c r="G91" s="169" t="str"/>
      <x:c r="H91" s="169" t="str"/>
      <x:c r="I91" s="166" t="str"/>
      <x:c r="J91" s="166" t="str"/>
      <x:c r="K91" s="169" t="str"/>
      <x:c r="L91" s="169" t="n">
        <x:f>IFERROR(IF(I91&gt;=0.45,25,IF(I91&gt;=0.30,15,5))+IF(J91&lt;=0.55,20,IF(J91&lt;=0.75,10,0))+IF(K91&gt;=120,25,IF(K91&gt;=60,15,5))+IF(F91&gt;=20,15,5)+IF(D91=$B$4,15,5),0)</x:f>
        <x:v>50</x:v>
      </x:c>
      <x:c r="M91" s="157" t="str"/>
      <x:c r="N91" s="157" t="str"/>
    </x:row>
    <x:row r="92">
      <x:c r="A92" s="157" t="str"/>
      <x:c r="B92" s="157" t="str"/>
      <x:c r="C92" s="157" t="str"/>
      <x:c r="D92" s="157" t="str"/>
      <x:c r="E92" s="157" t="str"/>
      <x:c r="F92" s="169" t="str"/>
      <x:c r="G92" s="169" t="str"/>
      <x:c r="H92" s="169" t="str"/>
      <x:c r="I92" s="166" t="str"/>
      <x:c r="J92" s="166" t="str"/>
      <x:c r="K92" s="169" t="str"/>
      <x:c r="L92" s="169" t="n">
        <x:f>IFERROR(IF(I92&gt;=0.45,25,IF(I92&gt;=0.30,15,5))+IF(J92&lt;=0.55,20,IF(J92&lt;=0.75,10,0))+IF(K92&gt;=120,25,IF(K92&gt;=60,15,5))+IF(F92&gt;=20,15,5)+IF(D92=$B$4,15,5),0)</x:f>
        <x:v>50</x:v>
      </x:c>
      <x:c r="M92" s="157" t="str"/>
      <x:c r="N92" s="157" t="str"/>
    </x:row>
    <x:row r="93">
      <x:c r="A93" s="157" t="str"/>
      <x:c r="B93" s="157" t="str"/>
      <x:c r="C93" s="157" t="str"/>
      <x:c r="D93" s="157" t="str"/>
      <x:c r="E93" s="157" t="str"/>
      <x:c r="F93" s="169" t="str"/>
      <x:c r="G93" s="169" t="str"/>
      <x:c r="H93" s="169" t="str"/>
      <x:c r="I93" s="166" t="str"/>
      <x:c r="J93" s="166" t="str"/>
      <x:c r="K93" s="169" t="str"/>
      <x:c r="L93" s="169" t="n">
        <x:f>IFERROR(IF(I93&gt;=0.45,25,IF(I93&gt;=0.30,15,5))+IF(J93&lt;=0.55,20,IF(J93&lt;=0.75,10,0))+IF(K93&gt;=120,25,IF(K93&gt;=60,15,5))+IF(F93&gt;=20,15,5)+IF(D93=$B$4,15,5),0)</x:f>
        <x:v>50</x:v>
      </x:c>
      <x:c r="M93" s="157" t="str"/>
      <x:c r="N93" s="157" t="str"/>
    </x:row>
    <x:row r="94">
      <x:c r="A94" s="157" t="str"/>
      <x:c r="B94" s="157" t="str"/>
      <x:c r="C94" s="157" t="str"/>
      <x:c r="D94" s="157" t="str"/>
      <x:c r="E94" s="157" t="str"/>
      <x:c r="F94" s="169" t="str"/>
      <x:c r="G94" s="169" t="str"/>
      <x:c r="H94" s="169" t="str"/>
      <x:c r="I94" s="166" t="str"/>
      <x:c r="J94" s="166" t="str"/>
      <x:c r="K94" s="169" t="str"/>
      <x:c r="L94" s="169" t="n">
        <x:f>IFERROR(IF(I94&gt;=0.45,25,IF(I94&gt;=0.30,15,5))+IF(J94&lt;=0.55,20,IF(J94&lt;=0.75,10,0))+IF(K94&gt;=120,25,IF(K94&gt;=60,15,5))+IF(F94&gt;=20,15,5)+IF(D94=$B$4,15,5),0)</x:f>
        <x:v>50</x:v>
      </x:c>
      <x:c r="M94" s="157" t="str"/>
      <x:c r="N94" s="157" t="str"/>
    </x:row>
    <x:row r="95">
      <x:c r="A95" s="157" t="str"/>
      <x:c r="B95" s="157" t="str"/>
      <x:c r="C95" s="157" t="str"/>
      <x:c r="D95" s="157" t="str"/>
      <x:c r="E95" s="157" t="str"/>
      <x:c r="F95" s="169" t="str"/>
      <x:c r="G95" s="169" t="str"/>
      <x:c r="H95" s="169" t="str"/>
      <x:c r="I95" s="166" t="str"/>
      <x:c r="J95" s="166" t="str"/>
      <x:c r="K95" s="169" t="str"/>
      <x:c r="L95" s="169" t="n">
        <x:f>IFERROR(IF(I95&gt;=0.45,25,IF(I95&gt;=0.30,15,5))+IF(J95&lt;=0.55,20,IF(J95&lt;=0.75,10,0))+IF(K95&gt;=120,25,IF(K95&gt;=60,15,5))+IF(F95&gt;=20,15,5)+IF(D95=$B$4,15,5),0)</x:f>
        <x:v>50</x:v>
      </x:c>
      <x:c r="M95" s="157" t="str"/>
      <x:c r="N95" s="157" t="str"/>
    </x:row>
    <x:row r="96">
      <x:c r="A96" s="157" t="str"/>
      <x:c r="B96" s="157" t="str"/>
      <x:c r="C96" s="157" t="str"/>
      <x:c r="D96" s="157" t="str"/>
      <x:c r="E96" s="157" t="str"/>
      <x:c r="F96" s="169" t="str"/>
      <x:c r="G96" s="169" t="str"/>
      <x:c r="H96" s="169" t="str"/>
      <x:c r="I96" s="166" t="str"/>
      <x:c r="J96" s="166" t="str"/>
      <x:c r="K96" s="169" t="str"/>
      <x:c r="L96" s="169" t="n">
        <x:f>IFERROR(IF(I96&gt;=0.45,25,IF(I96&gt;=0.30,15,5))+IF(J96&lt;=0.55,20,IF(J96&lt;=0.75,10,0))+IF(K96&gt;=120,25,IF(K96&gt;=60,15,5))+IF(F96&gt;=20,15,5)+IF(D96=$B$4,15,5),0)</x:f>
        <x:v>50</x:v>
      </x:c>
      <x:c r="M96" s="157" t="str"/>
      <x:c r="N96" s="157" t="str"/>
    </x:row>
    <x:row r="97">
      <x:c r="A97" s="157" t="str"/>
      <x:c r="B97" s="157" t="str"/>
      <x:c r="C97" s="157" t="str"/>
      <x:c r="D97" s="157" t="str"/>
      <x:c r="E97" s="157" t="str"/>
      <x:c r="F97" s="169" t="str"/>
      <x:c r="G97" s="169" t="str"/>
      <x:c r="H97" s="169" t="str"/>
      <x:c r="I97" s="166" t="str"/>
      <x:c r="J97" s="166" t="str"/>
      <x:c r="K97" s="169" t="str"/>
      <x:c r="L97" s="169" t="n">
        <x:f>IFERROR(IF(I97&gt;=0.45,25,IF(I97&gt;=0.30,15,5))+IF(J97&lt;=0.55,20,IF(J97&lt;=0.75,10,0))+IF(K97&gt;=120,25,IF(K97&gt;=60,15,5))+IF(F97&gt;=20,15,5)+IF(D97=$B$4,15,5),0)</x:f>
        <x:v>50</x:v>
      </x:c>
      <x:c r="M97" s="157" t="str"/>
      <x:c r="N97" s="157" t="str"/>
    </x:row>
    <x:row r="98">
      <x:c r="A98" s="157" t="str"/>
      <x:c r="B98" s="157" t="str"/>
      <x:c r="C98" s="157" t="str"/>
      <x:c r="D98" s="157" t="str"/>
      <x:c r="E98" s="157" t="str"/>
      <x:c r="F98" s="169" t="str"/>
      <x:c r="G98" s="169" t="str"/>
      <x:c r="H98" s="169" t="str"/>
      <x:c r="I98" s="166" t="str"/>
      <x:c r="J98" s="166" t="str"/>
      <x:c r="K98" s="169" t="str"/>
      <x:c r="L98" s="169" t="n">
        <x:f>IFERROR(IF(I98&gt;=0.45,25,IF(I98&gt;=0.30,15,5))+IF(J98&lt;=0.55,20,IF(J98&lt;=0.75,10,0))+IF(K98&gt;=120,25,IF(K98&gt;=60,15,5))+IF(F98&gt;=20,15,5)+IF(D98=$B$4,15,5),0)</x:f>
        <x:v>50</x:v>
      </x:c>
      <x:c r="M98" s="157" t="str"/>
      <x:c r="N98" s="157" t="str"/>
    </x:row>
    <x:row r="99">
      <x:c r="A99" s="157" t="str"/>
      <x:c r="B99" s="157" t="str"/>
      <x:c r="C99" s="157" t="str"/>
      <x:c r="D99" s="157" t="str"/>
      <x:c r="E99" s="157" t="str"/>
      <x:c r="F99" s="169" t="str"/>
      <x:c r="G99" s="169" t="str"/>
      <x:c r="H99" s="169" t="str"/>
      <x:c r="I99" s="166" t="str"/>
      <x:c r="J99" s="166" t="str"/>
      <x:c r="K99" s="169" t="str"/>
      <x:c r="L99" s="169" t="n">
        <x:f>IFERROR(IF(I99&gt;=0.45,25,IF(I99&gt;=0.30,15,5))+IF(J99&lt;=0.55,20,IF(J99&lt;=0.75,10,0))+IF(K99&gt;=120,25,IF(K99&gt;=60,15,5))+IF(F99&gt;=20,15,5)+IF(D99=$B$4,15,5),0)</x:f>
        <x:v>50</x:v>
      </x:c>
      <x:c r="M99" s="157" t="str"/>
      <x:c r="N99" s="157" t="str"/>
    </x:row>
    <x:row r="100">
      <x:c r="A100" s="157" t="str"/>
      <x:c r="B100" s="157" t="str"/>
      <x:c r="C100" s="157" t="str"/>
      <x:c r="D100" s="157" t="str"/>
      <x:c r="E100" s="157" t="str"/>
      <x:c r="F100" s="169" t="str"/>
      <x:c r="G100" s="169" t="str"/>
      <x:c r="H100" s="169" t="str"/>
      <x:c r="I100" s="166" t="str"/>
      <x:c r="J100" s="166" t="str"/>
      <x:c r="K100" s="169" t="str"/>
      <x:c r="L100" s="169" t="n">
        <x:f>IFERROR(IF(I100&gt;=0.45,25,IF(I100&gt;=0.30,15,5))+IF(J100&lt;=0.55,20,IF(J100&lt;=0.75,10,0))+IF(K100&gt;=120,25,IF(K100&gt;=60,15,5))+IF(F100&gt;=20,15,5)+IF(D100=$B$4,15,5),0)</x:f>
        <x:v>50</x:v>
      </x:c>
      <x:c r="M100" s="157" t="str"/>
      <x:c r="N100" s="157" t="str"/>
    </x:row>
    <x:row r="101">
      <x:c r="A101" s="157" t="str"/>
      <x:c r="B101" s="157" t="str"/>
      <x:c r="C101" s="157" t="str"/>
      <x:c r="D101" s="157" t="str"/>
      <x:c r="E101" s="157" t="str"/>
      <x:c r="F101" s="169" t="str"/>
      <x:c r="G101" s="169" t="str"/>
      <x:c r="H101" s="169" t="str"/>
      <x:c r="I101" s="166" t="str"/>
      <x:c r="J101" s="166" t="str"/>
      <x:c r="K101" s="169" t="str"/>
      <x:c r="L101" s="169" t="n">
        <x:f>IFERROR(IF(I101&gt;=0.45,25,IF(I101&gt;=0.30,15,5))+IF(J101&lt;=0.55,20,IF(J101&lt;=0.75,10,0))+IF(K101&gt;=120,25,IF(K101&gt;=60,15,5))+IF(F101&gt;=20,15,5)+IF(D101=$B$4,15,5),0)</x:f>
        <x:v>50</x:v>
      </x:c>
      <x:c r="M101" s="157" t="str"/>
      <x:c r="N101" s="157" t="str"/>
    </x:row>
    <x:row r="102">
      <x:c r="A102" s="157" t="str"/>
      <x:c r="B102" s="157" t="str"/>
      <x:c r="C102" s="157" t="str"/>
      <x:c r="D102" s="157" t="str"/>
      <x:c r="E102" s="157" t="str"/>
      <x:c r="F102" s="169" t="str"/>
      <x:c r="G102" s="169" t="str"/>
      <x:c r="H102" s="169" t="str"/>
      <x:c r="I102" s="166" t="str"/>
      <x:c r="J102" s="166" t="str"/>
      <x:c r="K102" s="169" t="str"/>
      <x:c r="L102" s="169" t="n">
        <x:f>IFERROR(IF(I102&gt;=0.45,25,IF(I102&gt;=0.30,15,5))+IF(J102&lt;=0.55,20,IF(J102&lt;=0.75,10,0))+IF(K102&gt;=120,25,IF(K102&gt;=60,15,5))+IF(F102&gt;=20,15,5)+IF(D102=$B$4,15,5),0)</x:f>
        <x:v>50</x:v>
      </x:c>
      <x:c r="M102" s="157" t="str"/>
      <x:c r="N102" s="157" t="str"/>
    </x:row>
    <x:row r="103">
      <x:c r="A103" s="157" t="str"/>
      <x:c r="B103" s="157" t="str"/>
      <x:c r="C103" s="157" t="str"/>
      <x:c r="D103" s="157" t="str"/>
      <x:c r="E103" s="157" t="str"/>
      <x:c r="F103" s="169" t="str"/>
      <x:c r="G103" s="169" t="str"/>
      <x:c r="H103" s="169" t="str"/>
      <x:c r="I103" s="166" t="str"/>
      <x:c r="J103" s="166" t="str"/>
      <x:c r="K103" s="169" t="str"/>
      <x:c r="L103" s="169" t="n">
        <x:f>IFERROR(IF(I103&gt;=0.45,25,IF(I103&gt;=0.30,15,5))+IF(J103&lt;=0.55,20,IF(J103&lt;=0.75,10,0))+IF(K103&gt;=120,25,IF(K103&gt;=60,15,5))+IF(F103&gt;=20,15,5)+IF(D103=$B$4,15,5),0)</x:f>
        <x:v>50</x:v>
      </x:c>
      <x:c r="M103" s="157" t="str"/>
      <x:c r="N103" s="157" t="str"/>
    </x:row>
    <x:row r="104">
      <x:c r="A104" s="157" t="str"/>
      <x:c r="B104" s="157" t="str"/>
      <x:c r="C104" s="157" t="str"/>
      <x:c r="D104" s="157" t="str"/>
      <x:c r="E104" s="157" t="str"/>
      <x:c r="F104" s="169" t="str"/>
      <x:c r="G104" s="169" t="str"/>
      <x:c r="H104" s="169" t="str"/>
      <x:c r="I104" s="166" t="str"/>
      <x:c r="J104" s="166" t="str"/>
      <x:c r="K104" s="169" t="str"/>
      <x:c r="L104" s="169" t="n">
        <x:f>IFERROR(IF(I104&gt;=0.45,25,IF(I104&gt;=0.30,15,5))+IF(J104&lt;=0.55,20,IF(J104&lt;=0.75,10,0))+IF(K104&gt;=120,25,IF(K104&gt;=60,15,5))+IF(F104&gt;=20,15,5)+IF(D104=$B$4,15,5),0)</x:f>
        <x:v>50</x:v>
      </x:c>
      <x:c r="M104" s="157" t="str"/>
      <x:c r="N104" s="157" t="str"/>
    </x:row>
    <x:row r="105">
      <x:c r="A105" s="157" t="str"/>
      <x:c r="B105" s="157" t="str"/>
      <x:c r="C105" s="157" t="str"/>
      <x:c r="D105" s="157" t="str"/>
      <x:c r="E105" s="157" t="str"/>
      <x:c r="F105" s="169" t="str"/>
      <x:c r="G105" s="169" t="str"/>
      <x:c r="H105" s="169" t="str"/>
      <x:c r="I105" s="166" t="str"/>
      <x:c r="J105" s="166" t="str"/>
      <x:c r="K105" s="169" t="str"/>
      <x:c r="L105" s="169" t="n">
        <x:f>IFERROR(IF(I105&gt;=0.45,25,IF(I105&gt;=0.30,15,5))+IF(J105&lt;=0.55,20,IF(J105&lt;=0.75,10,0))+IF(K105&gt;=120,25,IF(K105&gt;=60,15,5))+IF(F105&gt;=20,15,5)+IF(D105=$B$4,15,5),0)</x:f>
        <x:v>50</x:v>
      </x:c>
      <x:c r="M105" s="157" t="str"/>
      <x:c r="N105" s="157" t="str"/>
    </x:row>
    <x:row r="106">
      <x:c r="A106" s="157" t="str"/>
      <x:c r="B106" s="157" t="str"/>
      <x:c r="C106" s="157" t="str"/>
      <x:c r="D106" s="157" t="str"/>
      <x:c r="E106" s="157" t="str"/>
      <x:c r="F106" s="169" t="str"/>
      <x:c r="G106" s="169" t="str"/>
      <x:c r="H106" s="169" t="str"/>
      <x:c r="I106" s="166" t="str"/>
      <x:c r="J106" s="166" t="str"/>
      <x:c r="K106" s="169" t="str"/>
      <x:c r="L106" s="169" t="n">
        <x:f>IFERROR(IF(I106&gt;=0.45,25,IF(I106&gt;=0.30,15,5))+IF(J106&lt;=0.55,20,IF(J106&lt;=0.75,10,0))+IF(K106&gt;=120,25,IF(K106&gt;=60,15,5))+IF(F106&gt;=20,15,5)+IF(D106=$B$4,15,5),0)</x:f>
        <x:v>50</x:v>
      </x:c>
      <x:c r="M106" s="157" t="str"/>
      <x:c r="N106" s="157" t="str"/>
    </x:row>
  </x:sheetData>
  <x:mergeCells>
    <x:mergeCell ref="A1:N1"/>
    <x:mergeCell ref="A2:N3"/>
  </x:mergeCells>
  <x:dataValidations count="1">
    <x:dataValidation type="list" sqref="M8:M106">
      <x:formula1>"强化 CTA,补内链,优化标题摘要,更新内容,观察,暂缓,做转化路径"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e575500a8a4788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.75" hidden="0" customWidth="1"/>
    <x:col min="3" max="3" width="20" hidden="0" customWidth="1"/>
    <x:col min="4" max="4" width="21.25" hidden="0" customWidth="1"/>
    <x:col min="5" max="5" width="16.25" hidden="0" customWidth="1"/>
    <x:col min="6" max="6" width="26.25" hidden="0" customWidth="1"/>
    <x:col min="7" max="7" width="26.25" hidden="0" customWidth="1"/>
    <x:col min="8" max="8" width="16.25" hidden="0" customWidth="1"/>
    <x:col min="9" max="9" width="27.5" hidden="0" customWidth="1"/>
    <x:col min="10" max="10" width="20" hidden="0" customWidth="1"/>
    <x:col min="11" max="11" width="13.75" hidden="0" customWidth="1"/>
    <x:col min="12" max="12" width="12.5" hidden="0" customWidth="1"/>
    <x:col min="13" max="13" width="12.5" hidden="0" customWidth="1"/>
    <x:col min="14" max="14" width="15" hidden="0" customWidth="1"/>
    <x:col min="15" max="15" width="17.5" hidden="0" customWidth="1"/>
    <x:col min="16" max="16" width="22.5" hidden="0" customWidth="1"/>
  </x:cols>
  <x:sheetData>
    <x:row r="1">
      <x:c r="A1" s="153" t="str">
        <x:v>下月 Action Plan：把复盘结果回流到内容中枢、生产、发布和待办</x:v>
      </x:c>
      <x:c r="B1" s="153" t="str">
        <x:v>下月 Action Plan：把复盘结果回流到内容中枢、生产、发布和待办</x:v>
      </x:c>
      <x:c r="C1" s="153" t="str">
        <x:v>下月 Action Plan：把复盘结果回流到内容中枢、生产、发布和待办</x:v>
      </x:c>
      <x:c r="D1" s="153" t="str">
        <x:v>下月 Action Plan：把复盘结果回流到内容中枢、生产、发布和待办</x:v>
      </x:c>
      <x:c r="E1" s="153" t="str">
        <x:v>下月 Action Plan：把复盘结果回流到内容中枢、生产、发布和待办</x:v>
      </x:c>
      <x:c r="F1" s="153" t="str">
        <x:v>下月 Action Plan：把复盘结果回流到内容中枢、生产、发布和待办</x:v>
      </x:c>
      <x:c r="G1" s="153" t="str">
        <x:v>下月 Action Plan：把复盘结果回流到内容中枢、生产、发布和待办</x:v>
      </x:c>
      <x:c r="H1" s="153" t="str">
        <x:v>下月 Action Plan：把复盘结果回流到内容中枢、生产、发布和待办</x:v>
      </x:c>
      <x:c r="I1" s="153" t="str">
        <x:v>下月 Action Plan：把复盘结果回流到内容中枢、生产、发布和待办</x:v>
      </x:c>
      <x:c r="J1" s="153" t="str">
        <x:v>下月 Action Plan：把复盘结果回流到内容中枢、生产、发布和待办</x:v>
      </x:c>
      <x:c r="K1" s="153" t="str">
        <x:v>下月 Action Plan：把复盘结果回流到内容中枢、生产、发布和待办</x:v>
      </x:c>
      <x:c r="L1" s="153" t="str">
        <x:v>下月 Action Plan：把复盘结果回流到内容中枢、生产、发布和待办</x:v>
      </x:c>
      <x:c r="M1" s="153" t="str">
        <x:v>下月 Action Plan：把复盘结果回流到内容中枢、生产、发布和待办</x:v>
      </x:c>
      <x:c r="N1" s="153" t="str">
        <x:v>下月 Action Plan：把复盘结果回流到内容中枢、生产、发布和待办</x:v>
      </x:c>
      <x:c r="O1" s="153" t="str">
        <x:v>下月 Action Plan：把复盘结果回流到内容中枢、生产、发布和待办</x:v>
      </x:c>
      <x:c r="P1" s="153" t="str">
        <x:v>下月 Action Plan：把复盘结果回流到内容中枢、生产、发布和待办</x:v>
      </x:c>
    </x:row>
    <x:row r="2" ht="34.5" customHeight="1">
      <x:c r="A2" s="164" t="str">
        <x:v>这张表是月度复盘的最终产物。不是每一行都写新文章：有些需要更新旧文，有些需要补内链，有些应该规划产品页/集合页，有些只需要观察。</x:v>
      </x:c>
      <x:c r="B2" s="164" t="str">
        <x:v>这张表是月度复盘的最终产物。不是每一行都写新文章：有些需要更新旧文，有些需要补内链，有些应该规划产品页/集合页，有些只需要观察。</x:v>
      </x:c>
      <x:c r="C2" s="164" t="str">
        <x:v>这张表是月度复盘的最终产物。不是每一行都写新文章：有些需要更新旧文，有些需要补内链，有些应该规划产品页/集合页，有些只需要观察。</x:v>
      </x:c>
      <x:c r="D2" s="164" t="str">
        <x:v>这张表是月度复盘的最终产物。不是每一行都写新文章：有些需要更新旧文，有些需要补内链，有些应该规划产品页/集合页，有些只需要观察。</x:v>
      </x:c>
      <x:c r="E2" s="164" t="str">
        <x:v>这张表是月度复盘的最终产物。不是每一行都写新文章：有些需要更新旧文，有些需要补内链，有些应该规划产品页/集合页，有些只需要观察。</x:v>
      </x:c>
      <x:c r="F2" s="164" t="str">
        <x:v>这张表是月度复盘的最终产物。不是每一行都写新文章：有些需要更新旧文，有些需要补内链，有些应该规划产品页/集合页，有些只需要观察。</x:v>
      </x:c>
      <x:c r="G2" s="164" t="str">
        <x:v>这张表是月度复盘的最终产物。不是每一行都写新文章：有些需要更新旧文，有些需要补内链，有些应该规划产品页/集合页，有些只需要观察。</x:v>
      </x:c>
      <x:c r="H2" s="164" t="str">
        <x:v>这张表是月度复盘的最终产物。不是每一行都写新文章：有些需要更新旧文，有些需要补内链，有些应该规划产品页/集合页，有些只需要观察。</x:v>
      </x:c>
      <x:c r="I2" s="164" t="str">
        <x:v>这张表是月度复盘的最终产物。不是每一行都写新文章：有些需要更新旧文，有些需要补内链，有些应该规划产品页/集合页，有些只需要观察。</x:v>
      </x:c>
      <x:c r="J2" s="164" t="str">
        <x:v>这张表是月度复盘的最终产物。不是每一行都写新文章：有些需要更新旧文，有些需要补内链，有些应该规划产品页/集合页，有些只需要观察。</x:v>
      </x:c>
      <x:c r="K2" s="164" t="str">
        <x:v>这张表是月度复盘的最终产物。不是每一行都写新文章：有些需要更新旧文，有些需要补内链，有些应该规划产品页/集合页，有些只需要观察。</x:v>
      </x:c>
      <x:c r="L2" s="164" t="str">
        <x:v>这张表是月度复盘的最终产物。不是每一行都写新文章：有些需要更新旧文，有些需要补内链，有些应该规划产品页/集合页，有些只需要观察。</x:v>
      </x:c>
      <x:c r="M2" s="164" t="str">
        <x:v>这张表是月度复盘的最终产物。不是每一行都写新文章：有些需要更新旧文，有些需要补内链，有些应该规划产品页/集合页，有些只需要观察。</x:v>
      </x:c>
      <x:c r="N2" s="164" t="str">
        <x:v>这张表是月度复盘的最终产物。不是每一行都写新文章：有些需要更新旧文，有些需要补内链，有些应该规划产品页/集合页，有些只需要观察。</x:v>
      </x:c>
      <x:c r="O2" s="164" t="str">
        <x:v>这张表是月度复盘的最终产物。不是每一行都写新文章：有些需要更新旧文，有些需要补内链，有些应该规划产品页/集合页，有些只需要观察。</x:v>
      </x:c>
      <x:c r="P2" s="164" t="str">
        <x:v>这张表是月度复盘的最终产物。不是每一行都写新文章：有些需要更新旧文，有些需要补内链，有些应该规划产品页/集合页，有些只需要观察。</x:v>
      </x:c>
    </x:row>
    <x:row r="3" ht="34.5" customHeight="1">
      <x:c r="A3" s="164" t="str">
        <x:v>这张表是月度复盘的最终产物。不是每一行都写新文章：有些需要更新旧文，有些需要补内链，有些应该规划产品页/集合页，有些只需要观察。</x:v>
      </x:c>
      <x:c r="B3" s="164" t="str">
        <x:v>这张表是月度复盘的最终产物。不是每一行都写新文章：有些需要更新旧文，有些需要补内链，有些应该规划产品页/集合页，有些只需要观察。</x:v>
      </x:c>
      <x:c r="C3" s="164" t="str">
        <x:v>这张表是月度复盘的最终产物。不是每一行都写新文章：有些需要更新旧文，有些需要补内链，有些应该规划产品页/集合页，有些只需要观察。</x:v>
      </x:c>
      <x:c r="D3" s="164" t="str">
        <x:v>这张表是月度复盘的最终产物。不是每一行都写新文章：有些需要更新旧文，有些需要补内链，有些应该规划产品页/集合页，有些只需要观察。</x:v>
      </x:c>
      <x:c r="E3" s="164" t="str">
        <x:v>这张表是月度复盘的最终产物。不是每一行都写新文章：有些需要更新旧文，有些需要补内链，有些应该规划产品页/集合页，有些只需要观察。</x:v>
      </x:c>
      <x:c r="F3" s="164" t="str">
        <x:v>这张表是月度复盘的最终产物。不是每一行都写新文章：有些需要更新旧文，有些需要补内链，有些应该规划产品页/集合页，有些只需要观察。</x:v>
      </x:c>
      <x:c r="G3" s="164" t="str">
        <x:v>这张表是月度复盘的最终产物。不是每一行都写新文章：有些需要更新旧文，有些需要补内链，有些应该规划产品页/集合页，有些只需要观察。</x:v>
      </x:c>
      <x:c r="H3" s="164" t="str">
        <x:v>这张表是月度复盘的最终产物。不是每一行都写新文章：有些需要更新旧文，有些需要补内链，有些应该规划产品页/集合页，有些只需要观察。</x:v>
      </x:c>
      <x:c r="I3" s="164" t="str">
        <x:v>这张表是月度复盘的最终产物。不是每一行都写新文章：有些需要更新旧文，有些需要补内链，有些应该规划产品页/集合页，有些只需要观察。</x:v>
      </x:c>
      <x:c r="J3" s="164" t="str">
        <x:v>这张表是月度复盘的最终产物。不是每一行都写新文章：有些需要更新旧文，有些需要补内链，有些应该规划产品页/集合页，有些只需要观察。</x:v>
      </x:c>
      <x:c r="K3" s="164" t="str">
        <x:v>这张表是月度复盘的最终产物。不是每一行都写新文章：有些需要更新旧文，有些需要补内链，有些应该规划产品页/集合页，有些只需要观察。</x:v>
      </x:c>
      <x:c r="L3" s="164" t="str">
        <x:v>这张表是月度复盘的最终产物。不是每一行都写新文章：有些需要更新旧文，有些需要补内链，有些应该规划产品页/集合页，有些只需要观察。</x:v>
      </x:c>
      <x:c r="M3" s="164" t="str">
        <x:v>这张表是月度复盘的最终产物。不是每一行都写新文章：有些需要更新旧文，有些需要补内链，有些应该规划产品页/集合页，有些只需要观察。</x:v>
      </x:c>
      <x:c r="N3" s="164" t="str">
        <x:v>这张表是月度复盘的最终产物。不是每一行都写新文章：有些需要更新旧文，有些需要补内链，有些应该规划产品页/集合页，有些只需要观察。</x:v>
      </x:c>
      <x:c r="O3" s="164" t="str">
        <x:v>这张表是月度复盘的最终产物。不是每一行都写新文章：有些需要更新旧文，有些需要补内链，有些应该规划产品页/集合页，有些只需要观察。</x:v>
      </x:c>
      <x:c r="P3" s="164" t="str">
        <x:v>这张表是月度复盘的最终产物。不是每一行都写新文章：有些需要更新旧文，有些需要补内链，有些应该规划产品页/集合页，有些只需要观察。</x:v>
      </x:c>
    </x:row>
    <x:row r="5" ht="27" customHeight="1">
      <x:c r="A5" s="160" t="str">
        <x:v>优先级</x:v>
      </x:c>
      <x:c r="B5" s="160" t="str">
        <x:v>任务类型</x:v>
      </x:c>
      <x:c r="C5" s="160" t="str">
        <x:v>来源信号</x:v>
      </x:c>
      <x:c r="D5" s="160" t="str">
        <x:v>关键词 / 主题</x:v>
      </x:c>
      <x:c r="E5" s="160" t="str">
        <x:v>目标站点</x:v>
      </x:c>
      <x:c r="F5" s="160" t="str">
        <x:v>当前 URL</x:v>
      </x:c>
      <x:c r="G5" s="160" t="str">
        <x:v>目标 URL</x:v>
      </x:c>
      <x:c r="H5" s="160" t="str">
        <x:v>页面类型</x:v>
      </x:c>
      <x:c r="I5" s="160" t="str">
        <x:v>建议动作</x:v>
      </x:c>
      <x:c r="J5" s="160" t="str">
        <x:v>预期收益</x:v>
      </x:c>
      <x:c r="K5" s="160" t="str">
        <x:v>状态</x:v>
      </x:c>
      <x:c r="L5" s="160" t="str">
        <x:v>负责人</x:v>
      </x:c>
      <x:c r="M5" s="160" t="str">
        <x:v>截止日期</x:v>
      </x:c>
      <x:c r="N5" s="160" t="str">
        <x:v>是否推送</x:v>
      </x:c>
      <x:c r="O5" s="160" t="str">
        <x:v>复盘指标</x:v>
      </x:c>
      <x:c r="P5" s="160" t="str">
        <x:v>备注</x:v>
      </x:c>
    </x:row>
    <x:row r="6">
      <x:c r="A6" s="157" t="str"/>
      <x:c r="B6" s="157" t="str"/>
      <x:c r="C6" s="157" t="str"/>
      <x:c r="D6" s="157" t="str"/>
      <x:c r="E6" s="157" t="str"/>
      <x:c r="F6" s="157" t="str"/>
      <x:c r="G6" s="157" t="str"/>
      <x:c r="H6" s="157" t="str"/>
      <x:c r="I6" s="157" t="str"/>
      <x:c r="J6" s="157" t="str"/>
      <x:c r="K6" s="157" t="str">
        <x:v>待做</x:v>
      </x:c>
      <x:c r="L6" s="157" t="str"/>
      <x:c r="M6" s="170" t="str"/>
      <x:c r="N6" s="157" t="str"/>
      <x:c r="O6" s="157" t="str"/>
      <x:c r="P6" s="157" t="str"/>
    </x:row>
    <x:row r="7">
      <x:c r="A7" s="157" t="str"/>
      <x:c r="B7" s="157" t="str"/>
      <x:c r="C7" s="157" t="str"/>
      <x:c r="D7" s="157" t="str"/>
      <x:c r="E7" s="157" t="str"/>
      <x:c r="F7" s="157" t="str"/>
      <x:c r="G7" s="157" t="str"/>
      <x:c r="H7" s="157" t="str"/>
      <x:c r="I7" s="157" t="str"/>
      <x:c r="J7" s="157" t="str"/>
      <x:c r="K7" s="157" t="str">
        <x:v>待做</x:v>
      </x:c>
      <x:c r="L7" s="157" t="str"/>
      <x:c r="M7" s="170" t="str"/>
      <x:c r="N7" s="157" t="str"/>
      <x:c r="O7" s="157" t="str"/>
      <x:c r="P7" s="157" t="str"/>
    </x:row>
    <x:row r="8">
      <x:c r="A8" s="157" t="str"/>
      <x:c r="B8" s="157" t="str"/>
      <x:c r="C8" s="157" t="str"/>
      <x:c r="D8" s="157" t="str"/>
      <x:c r="E8" s="157" t="str"/>
      <x:c r="F8" s="157" t="str"/>
      <x:c r="G8" s="157" t="str"/>
      <x:c r="H8" s="157" t="str"/>
      <x:c r="I8" s="157" t="str"/>
      <x:c r="J8" s="157" t="str"/>
      <x:c r="K8" s="157" t="str">
        <x:v>待做</x:v>
      </x:c>
      <x:c r="L8" s="157" t="str"/>
      <x:c r="M8" s="170" t="str"/>
      <x:c r="N8" s="157" t="str"/>
      <x:c r="O8" s="157" t="str"/>
      <x:c r="P8" s="157" t="str"/>
    </x:row>
    <x:row r="9">
      <x:c r="A9" s="157" t="str"/>
      <x:c r="B9" s="157" t="str"/>
      <x:c r="C9" s="157" t="str"/>
      <x:c r="D9" s="157" t="str"/>
      <x:c r="E9" s="157" t="str"/>
      <x:c r="F9" s="157" t="str"/>
      <x:c r="G9" s="157" t="str"/>
      <x:c r="H9" s="157" t="str"/>
      <x:c r="I9" s="157" t="str"/>
      <x:c r="J9" s="157" t="str"/>
      <x:c r="K9" s="157" t="str">
        <x:v>待做</x:v>
      </x:c>
      <x:c r="L9" s="157" t="str"/>
      <x:c r="M9" s="170" t="str"/>
      <x:c r="N9" s="157" t="str"/>
      <x:c r="O9" s="157" t="str"/>
      <x:c r="P9" s="157" t="str"/>
    </x:row>
    <x:row r="10">
      <x:c r="A10" s="157" t="str"/>
      <x:c r="B10" s="157" t="str"/>
      <x:c r="C10" s="157" t="str"/>
      <x:c r="D10" s="157" t="str"/>
      <x:c r="E10" s="157" t="str"/>
      <x:c r="F10" s="157" t="str"/>
      <x:c r="G10" s="157" t="str"/>
      <x:c r="H10" s="157" t="str"/>
      <x:c r="I10" s="157" t="str"/>
      <x:c r="J10" s="157" t="str"/>
      <x:c r="K10" s="157" t="str">
        <x:v>待做</x:v>
      </x:c>
      <x:c r="L10" s="157" t="str"/>
      <x:c r="M10" s="170" t="str"/>
      <x:c r="N10" s="157" t="str"/>
      <x:c r="O10" s="157" t="str"/>
      <x:c r="P10" s="157" t="str"/>
    </x:row>
    <x:row r="11">
      <x:c r="A11" s="157" t="str"/>
      <x:c r="B11" s="157" t="str"/>
      <x:c r="C11" s="157" t="str"/>
      <x:c r="D11" s="157" t="str"/>
      <x:c r="E11" s="157" t="str"/>
      <x:c r="F11" s="157" t="str"/>
      <x:c r="G11" s="157" t="str"/>
      <x:c r="H11" s="157" t="str"/>
      <x:c r="I11" s="157" t="str"/>
      <x:c r="J11" s="157" t="str"/>
      <x:c r="K11" s="157" t="str">
        <x:v>待做</x:v>
      </x:c>
      <x:c r="L11" s="157" t="str"/>
      <x:c r="M11" s="170" t="str"/>
      <x:c r="N11" s="157" t="str"/>
      <x:c r="O11" s="157" t="str"/>
      <x:c r="P11" s="157" t="str"/>
    </x:row>
    <x:row r="12">
      <x:c r="A12" s="157" t="str"/>
      <x:c r="B12" s="157" t="str"/>
      <x:c r="C12" s="157" t="str"/>
      <x:c r="D12" s="157" t="str"/>
      <x:c r="E12" s="157" t="str"/>
      <x:c r="F12" s="157" t="str"/>
      <x:c r="G12" s="157" t="str"/>
      <x:c r="H12" s="157" t="str"/>
      <x:c r="I12" s="157" t="str"/>
      <x:c r="J12" s="157" t="str"/>
      <x:c r="K12" s="157" t="str">
        <x:v>待做</x:v>
      </x:c>
      <x:c r="L12" s="157" t="str"/>
      <x:c r="M12" s="170" t="str"/>
      <x:c r="N12" s="157" t="str"/>
      <x:c r="O12" s="157" t="str"/>
      <x:c r="P12" s="157" t="str"/>
    </x:row>
    <x:row r="13">
      <x:c r="A13" s="157" t="str"/>
      <x:c r="B13" s="157" t="str"/>
      <x:c r="C13" s="157" t="str"/>
      <x:c r="D13" s="157" t="str"/>
      <x:c r="E13" s="157" t="str"/>
      <x:c r="F13" s="157" t="str"/>
      <x:c r="G13" s="157" t="str"/>
      <x:c r="H13" s="157" t="str"/>
      <x:c r="I13" s="157" t="str"/>
      <x:c r="J13" s="157" t="str"/>
      <x:c r="K13" s="157" t="str">
        <x:v>待做</x:v>
      </x:c>
      <x:c r="L13" s="157" t="str"/>
      <x:c r="M13" s="170" t="str"/>
      <x:c r="N13" s="157" t="str"/>
      <x:c r="O13" s="157" t="str"/>
      <x:c r="P13" s="157" t="str"/>
    </x:row>
    <x:row r="14">
      <x:c r="A14" s="157" t="str"/>
      <x:c r="B14" s="157" t="str"/>
      <x:c r="C14" s="157" t="str"/>
      <x:c r="D14" s="157" t="str"/>
      <x:c r="E14" s="157" t="str"/>
      <x:c r="F14" s="157" t="str"/>
      <x:c r="G14" s="157" t="str"/>
      <x:c r="H14" s="157" t="str"/>
      <x:c r="I14" s="157" t="str"/>
      <x:c r="J14" s="157" t="str"/>
      <x:c r="K14" s="157" t="str">
        <x:v>待做</x:v>
      </x:c>
      <x:c r="L14" s="157" t="str"/>
      <x:c r="M14" s="170" t="str"/>
      <x:c r="N14" s="157" t="str"/>
      <x:c r="O14" s="157" t="str"/>
      <x:c r="P14" s="157" t="str"/>
    </x:row>
    <x:row r="15">
      <x:c r="A15" s="157" t="str"/>
      <x:c r="B15" s="157" t="str"/>
      <x:c r="C15" s="157" t="str"/>
      <x:c r="D15" s="157" t="str"/>
      <x:c r="E15" s="157" t="str"/>
      <x:c r="F15" s="157" t="str"/>
      <x:c r="G15" s="157" t="str"/>
      <x:c r="H15" s="157" t="str"/>
      <x:c r="I15" s="157" t="str"/>
      <x:c r="J15" s="157" t="str"/>
      <x:c r="K15" s="157" t="str">
        <x:v>待做</x:v>
      </x:c>
      <x:c r="L15" s="157" t="str"/>
      <x:c r="M15" s="170" t="str"/>
      <x:c r="N15" s="157" t="str"/>
      <x:c r="O15" s="157" t="str"/>
      <x:c r="P15" s="157" t="str"/>
    </x:row>
    <x:row r="16">
      <x:c r="A16" s="157" t="str"/>
      <x:c r="B16" s="157" t="str"/>
      <x:c r="C16" s="157" t="str"/>
      <x:c r="D16" s="157" t="str"/>
      <x:c r="E16" s="157" t="str"/>
      <x:c r="F16" s="157" t="str"/>
      <x:c r="G16" s="157" t="str"/>
      <x:c r="H16" s="157" t="str"/>
      <x:c r="I16" s="157" t="str"/>
      <x:c r="J16" s="157" t="str"/>
      <x:c r="K16" s="157" t="str">
        <x:v>待做</x:v>
      </x:c>
      <x:c r="L16" s="157" t="str"/>
      <x:c r="M16" s="170" t="str"/>
      <x:c r="N16" s="157" t="str"/>
      <x:c r="O16" s="157" t="str"/>
      <x:c r="P16" s="157" t="str"/>
    </x:row>
    <x:row r="17">
      <x:c r="A17" s="157" t="str"/>
      <x:c r="B17" s="157" t="str"/>
      <x:c r="C17" s="157" t="str"/>
      <x:c r="D17" s="157" t="str"/>
      <x:c r="E17" s="157" t="str"/>
      <x:c r="F17" s="157" t="str"/>
      <x:c r="G17" s="157" t="str"/>
      <x:c r="H17" s="157" t="str"/>
      <x:c r="I17" s="157" t="str"/>
      <x:c r="J17" s="157" t="str"/>
      <x:c r="K17" s="157" t="str">
        <x:v>待做</x:v>
      </x:c>
      <x:c r="L17" s="157" t="str"/>
      <x:c r="M17" s="170" t="str"/>
      <x:c r="N17" s="157" t="str"/>
      <x:c r="O17" s="157" t="str"/>
      <x:c r="P17" s="157" t="str"/>
    </x:row>
    <x:row r="18">
      <x:c r="A18" s="157" t="str"/>
      <x:c r="B18" s="157" t="str"/>
      <x:c r="C18" s="157" t="str"/>
      <x:c r="D18" s="157" t="str"/>
      <x:c r="E18" s="157" t="str"/>
      <x:c r="F18" s="157" t="str"/>
      <x:c r="G18" s="157" t="str"/>
      <x:c r="H18" s="157" t="str"/>
      <x:c r="I18" s="157" t="str"/>
      <x:c r="J18" s="157" t="str"/>
      <x:c r="K18" s="157" t="str">
        <x:v>待做</x:v>
      </x:c>
      <x:c r="L18" s="157" t="str"/>
      <x:c r="M18" s="170" t="str"/>
      <x:c r="N18" s="157" t="str"/>
      <x:c r="O18" s="157" t="str"/>
      <x:c r="P18" s="157" t="str"/>
    </x:row>
    <x:row r="19">
      <x:c r="A19" s="157" t="str"/>
      <x:c r="B19" s="157" t="str"/>
      <x:c r="C19" s="157" t="str"/>
      <x:c r="D19" s="157" t="str"/>
      <x:c r="E19" s="157" t="str"/>
      <x:c r="F19" s="157" t="str"/>
      <x:c r="G19" s="157" t="str"/>
      <x:c r="H19" s="157" t="str"/>
      <x:c r="I19" s="157" t="str"/>
      <x:c r="J19" s="157" t="str"/>
      <x:c r="K19" s="157" t="str">
        <x:v>待做</x:v>
      </x:c>
      <x:c r="L19" s="157" t="str"/>
      <x:c r="M19" s="170" t="str"/>
      <x:c r="N19" s="157" t="str"/>
      <x:c r="O19" s="157" t="str"/>
      <x:c r="P19" s="157" t="str"/>
    </x:row>
    <x:row r="20">
      <x:c r="A20" s="157" t="str"/>
      <x:c r="B20" s="157" t="str"/>
      <x:c r="C20" s="157" t="str"/>
      <x:c r="D20" s="157" t="str"/>
      <x:c r="E20" s="157" t="str"/>
      <x:c r="F20" s="157" t="str"/>
      <x:c r="G20" s="157" t="str"/>
      <x:c r="H20" s="157" t="str"/>
      <x:c r="I20" s="157" t="str"/>
      <x:c r="J20" s="157" t="str"/>
      <x:c r="K20" s="157" t="str">
        <x:v>待做</x:v>
      </x:c>
      <x:c r="L20" s="157" t="str"/>
      <x:c r="M20" s="170" t="str"/>
      <x:c r="N20" s="157" t="str"/>
      <x:c r="O20" s="157" t="str"/>
      <x:c r="P20" s="157" t="str"/>
    </x:row>
    <x:row r="21">
      <x:c r="A21" s="157" t="str"/>
      <x:c r="B21" s="157" t="str"/>
      <x:c r="C21" s="157" t="str"/>
      <x:c r="D21" s="157" t="str"/>
      <x:c r="E21" s="157" t="str"/>
      <x:c r="F21" s="157" t="str"/>
      <x:c r="G21" s="157" t="str"/>
      <x:c r="H21" s="157" t="str"/>
      <x:c r="I21" s="157" t="str"/>
      <x:c r="J21" s="157" t="str"/>
      <x:c r="K21" s="157" t="str">
        <x:v>待做</x:v>
      </x:c>
      <x:c r="L21" s="157" t="str"/>
      <x:c r="M21" s="170" t="str"/>
      <x:c r="N21" s="157" t="str"/>
      <x:c r="O21" s="157" t="str"/>
      <x:c r="P21" s="157" t="str"/>
    </x:row>
    <x:row r="22">
      <x:c r="A22" s="157" t="str"/>
      <x:c r="B22" s="157" t="str"/>
      <x:c r="C22" s="157" t="str"/>
      <x:c r="D22" s="157" t="str"/>
      <x:c r="E22" s="157" t="str"/>
      <x:c r="F22" s="157" t="str"/>
      <x:c r="G22" s="157" t="str"/>
      <x:c r="H22" s="157" t="str"/>
      <x:c r="I22" s="157" t="str"/>
      <x:c r="J22" s="157" t="str"/>
      <x:c r="K22" s="157" t="str">
        <x:v>待做</x:v>
      </x:c>
      <x:c r="L22" s="157" t="str"/>
      <x:c r="M22" s="170" t="str"/>
      <x:c r="N22" s="157" t="str"/>
      <x:c r="O22" s="157" t="str"/>
      <x:c r="P22" s="157" t="str"/>
    </x:row>
    <x:row r="23">
      <x:c r="A23" s="157" t="str"/>
      <x:c r="B23" s="157" t="str"/>
      <x:c r="C23" s="157" t="str"/>
      <x:c r="D23" s="157" t="str"/>
      <x:c r="E23" s="157" t="str"/>
      <x:c r="F23" s="157" t="str"/>
      <x:c r="G23" s="157" t="str"/>
      <x:c r="H23" s="157" t="str"/>
      <x:c r="I23" s="157" t="str"/>
      <x:c r="J23" s="157" t="str"/>
      <x:c r="K23" s="157" t="str">
        <x:v>待做</x:v>
      </x:c>
      <x:c r="L23" s="157" t="str"/>
      <x:c r="M23" s="170" t="str"/>
      <x:c r="N23" s="157" t="str"/>
      <x:c r="O23" s="157" t="str"/>
      <x:c r="P23" s="157" t="str"/>
    </x:row>
    <x:row r="24">
      <x:c r="A24" s="157" t="str"/>
      <x:c r="B24" s="157" t="str"/>
      <x:c r="C24" s="157" t="str"/>
      <x:c r="D24" s="157" t="str"/>
      <x:c r="E24" s="157" t="str"/>
      <x:c r="F24" s="157" t="str"/>
      <x:c r="G24" s="157" t="str"/>
      <x:c r="H24" s="157" t="str"/>
      <x:c r="I24" s="157" t="str"/>
      <x:c r="J24" s="157" t="str"/>
      <x:c r="K24" s="157" t="str">
        <x:v>待做</x:v>
      </x:c>
      <x:c r="L24" s="157" t="str"/>
      <x:c r="M24" s="170" t="str"/>
      <x:c r="N24" s="157" t="str"/>
      <x:c r="O24" s="157" t="str"/>
      <x:c r="P24" s="157" t="str"/>
    </x:row>
    <x:row r="25">
      <x:c r="A25" s="157" t="str"/>
      <x:c r="B25" s="157" t="str"/>
      <x:c r="C25" s="157" t="str"/>
      <x:c r="D25" s="157" t="str"/>
      <x:c r="E25" s="157" t="str"/>
      <x:c r="F25" s="157" t="str"/>
      <x:c r="G25" s="157" t="str"/>
      <x:c r="H25" s="157" t="str"/>
      <x:c r="I25" s="157" t="str"/>
      <x:c r="J25" s="157" t="str"/>
      <x:c r="K25" s="157" t="str">
        <x:v>待做</x:v>
      </x:c>
      <x:c r="L25" s="157" t="str"/>
      <x:c r="M25" s="170" t="str"/>
      <x:c r="N25" s="157" t="str"/>
      <x:c r="O25" s="157" t="str"/>
      <x:c r="P25" s="157" t="str"/>
    </x:row>
    <x:row r="26">
      <x:c r="A26" s="157" t="str"/>
      <x:c r="B26" s="157" t="str"/>
      <x:c r="C26" s="157" t="str"/>
      <x:c r="D26" s="157" t="str"/>
      <x:c r="E26" s="157" t="str"/>
      <x:c r="F26" s="157" t="str"/>
      <x:c r="G26" s="157" t="str"/>
      <x:c r="H26" s="157" t="str"/>
      <x:c r="I26" s="157" t="str"/>
      <x:c r="J26" s="157" t="str"/>
      <x:c r="K26" s="157" t="str">
        <x:v>待做</x:v>
      </x:c>
      <x:c r="L26" s="157" t="str"/>
      <x:c r="M26" s="170" t="str"/>
      <x:c r="N26" s="157" t="str"/>
      <x:c r="O26" s="157" t="str"/>
      <x:c r="P26" s="157" t="str"/>
    </x:row>
    <x:row r="27">
      <x:c r="A27" s="157" t="str"/>
      <x:c r="B27" s="157" t="str"/>
      <x:c r="C27" s="157" t="str"/>
      <x:c r="D27" s="157" t="str"/>
      <x:c r="E27" s="157" t="str"/>
      <x:c r="F27" s="157" t="str"/>
      <x:c r="G27" s="157" t="str"/>
      <x:c r="H27" s="157" t="str"/>
      <x:c r="I27" s="157" t="str"/>
      <x:c r="J27" s="157" t="str"/>
      <x:c r="K27" s="157" t="str">
        <x:v>待做</x:v>
      </x:c>
      <x:c r="L27" s="157" t="str"/>
      <x:c r="M27" s="170" t="str"/>
      <x:c r="N27" s="157" t="str"/>
      <x:c r="O27" s="157" t="str"/>
      <x:c r="P27" s="157" t="str"/>
    </x:row>
    <x:row r="28">
      <x:c r="A28" s="157" t="str"/>
      <x:c r="B28" s="157" t="str"/>
      <x:c r="C28" s="157" t="str"/>
      <x:c r="D28" s="157" t="str"/>
      <x:c r="E28" s="157" t="str"/>
      <x:c r="F28" s="157" t="str"/>
      <x:c r="G28" s="157" t="str"/>
      <x:c r="H28" s="157" t="str"/>
      <x:c r="I28" s="157" t="str"/>
      <x:c r="J28" s="157" t="str"/>
      <x:c r="K28" s="157" t="str">
        <x:v>待做</x:v>
      </x:c>
      <x:c r="L28" s="157" t="str"/>
      <x:c r="M28" s="170" t="str"/>
      <x:c r="N28" s="157" t="str"/>
      <x:c r="O28" s="157" t="str"/>
      <x:c r="P28" s="157" t="str"/>
    </x:row>
    <x:row r="29">
      <x:c r="A29" s="157" t="str"/>
      <x:c r="B29" s="157" t="str"/>
      <x:c r="C29" s="157" t="str"/>
      <x:c r="D29" s="157" t="str"/>
      <x:c r="E29" s="157" t="str"/>
      <x:c r="F29" s="157" t="str"/>
      <x:c r="G29" s="157" t="str"/>
      <x:c r="H29" s="157" t="str"/>
      <x:c r="I29" s="157" t="str"/>
      <x:c r="J29" s="157" t="str"/>
      <x:c r="K29" s="157" t="str">
        <x:v>待做</x:v>
      </x:c>
      <x:c r="L29" s="157" t="str"/>
      <x:c r="M29" s="170" t="str"/>
      <x:c r="N29" s="157" t="str"/>
      <x:c r="O29" s="157" t="str"/>
      <x:c r="P29" s="157" t="str"/>
    </x:row>
    <x:row r="30">
      <x:c r="A30" s="157" t="str"/>
      <x:c r="B30" s="157" t="str"/>
      <x:c r="C30" s="157" t="str"/>
      <x:c r="D30" s="157" t="str"/>
      <x:c r="E30" s="157" t="str"/>
      <x:c r="F30" s="157" t="str"/>
      <x:c r="G30" s="157" t="str"/>
      <x:c r="H30" s="157" t="str"/>
      <x:c r="I30" s="157" t="str"/>
      <x:c r="J30" s="157" t="str"/>
      <x:c r="K30" s="157" t="str">
        <x:v>待做</x:v>
      </x:c>
      <x:c r="L30" s="157" t="str"/>
      <x:c r="M30" s="170" t="str"/>
      <x:c r="N30" s="157" t="str"/>
      <x:c r="O30" s="157" t="str"/>
      <x:c r="P30" s="157" t="str"/>
    </x:row>
    <x:row r="31">
      <x:c r="A31" s="157" t="str"/>
      <x:c r="B31" s="157" t="str"/>
      <x:c r="C31" s="157" t="str"/>
      <x:c r="D31" s="157" t="str"/>
      <x:c r="E31" s="157" t="str"/>
      <x:c r="F31" s="157" t="str"/>
      <x:c r="G31" s="157" t="str"/>
      <x:c r="H31" s="157" t="str"/>
      <x:c r="I31" s="157" t="str"/>
      <x:c r="J31" s="157" t="str"/>
      <x:c r="K31" s="157" t="str">
        <x:v>待做</x:v>
      </x:c>
      <x:c r="L31" s="157" t="str"/>
      <x:c r="M31" s="170" t="str"/>
      <x:c r="N31" s="157" t="str"/>
      <x:c r="O31" s="157" t="str"/>
      <x:c r="P31" s="157" t="str"/>
    </x:row>
    <x:row r="32">
      <x:c r="A32" s="157" t="str"/>
      <x:c r="B32" s="157" t="str"/>
      <x:c r="C32" s="157" t="str"/>
      <x:c r="D32" s="157" t="str"/>
      <x:c r="E32" s="157" t="str"/>
      <x:c r="F32" s="157" t="str"/>
      <x:c r="G32" s="157" t="str"/>
      <x:c r="H32" s="157" t="str"/>
      <x:c r="I32" s="157" t="str"/>
      <x:c r="J32" s="157" t="str"/>
      <x:c r="K32" s="157" t="str">
        <x:v>待做</x:v>
      </x:c>
      <x:c r="L32" s="157" t="str"/>
      <x:c r="M32" s="170" t="str"/>
      <x:c r="N32" s="157" t="str"/>
      <x:c r="O32" s="157" t="str"/>
      <x:c r="P32" s="157" t="str"/>
    </x:row>
    <x:row r="33">
      <x:c r="A33" s="157" t="str"/>
      <x:c r="B33" s="157" t="str"/>
      <x:c r="C33" s="157" t="str"/>
      <x:c r="D33" s="157" t="str"/>
      <x:c r="E33" s="157" t="str"/>
      <x:c r="F33" s="157" t="str"/>
      <x:c r="G33" s="157" t="str"/>
      <x:c r="H33" s="157" t="str"/>
      <x:c r="I33" s="157" t="str"/>
      <x:c r="J33" s="157" t="str"/>
      <x:c r="K33" s="157" t="str">
        <x:v>待做</x:v>
      </x:c>
      <x:c r="L33" s="157" t="str"/>
      <x:c r="M33" s="170" t="str"/>
      <x:c r="N33" s="157" t="str"/>
      <x:c r="O33" s="157" t="str"/>
      <x:c r="P33" s="157" t="str"/>
    </x:row>
    <x:row r="34">
      <x:c r="A34" s="157" t="str"/>
      <x:c r="B34" s="157" t="str"/>
      <x:c r="C34" s="157" t="str"/>
      <x:c r="D34" s="157" t="str"/>
      <x:c r="E34" s="157" t="str"/>
      <x:c r="F34" s="157" t="str"/>
      <x:c r="G34" s="157" t="str"/>
      <x:c r="H34" s="157" t="str"/>
      <x:c r="I34" s="157" t="str"/>
      <x:c r="J34" s="157" t="str"/>
      <x:c r="K34" s="157" t="str">
        <x:v>待做</x:v>
      </x:c>
      <x:c r="L34" s="157" t="str"/>
      <x:c r="M34" s="170" t="str"/>
      <x:c r="N34" s="157" t="str"/>
      <x:c r="O34" s="157" t="str"/>
      <x:c r="P34" s="157" t="str"/>
    </x:row>
    <x:row r="35">
      <x:c r="A35" s="157" t="str"/>
      <x:c r="B35" s="157" t="str"/>
      <x:c r="C35" s="157" t="str"/>
      <x:c r="D35" s="157" t="str"/>
      <x:c r="E35" s="157" t="str"/>
      <x:c r="F35" s="157" t="str"/>
      <x:c r="G35" s="157" t="str"/>
      <x:c r="H35" s="157" t="str"/>
      <x:c r="I35" s="157" t="str"/>
      <x:c r="J35" s="157" t="str"/>
      <x:c r="K35" s="157" t="str">
        <x:v>待做</x:v>
      </x:c>
      <x:c r="L35" s="157" t="str"/>
      <x:c r="M35" s="170" t="str"/>
      <x:c r="N35" s="157" t="str"/>
      <x:c r="O35" s="157" t="str"/>
      <x:c r="P35" s="157" t="str"/>
    </x:row>
    <x:row r="36">
      <x:c r="A36" s="157" t="str"/>
      <x:c r="B36" s="157" t="str"/>
      <x:c r="C36" s="157" t="str"/>
      <x:c r="D36" s="157" t="str"/>
      <x:c r="E36" s="157" t="str"/>
      <x:c r="F36" s="157" t="str"/>
      <x:c r="G36" s="157" t="str"/>
      <x:c r="H36" s="157" t="str"/>
      <x:c r="I36" s="157" t="str"/>
      <x:c r="J36" s="157" t="str"/>
      <x:c r="K36" s="157" t="str">
        <x:v>待做</x:v>
      </x:c>
      <x:c r="L36" s="157" t="str"/>
      <x:c r="M36" s="170" t="str"/>
      <x:c r="N36" s="157" t="str"/>
      <x:c r="O36" s="157" t="str"/>
      <x:c r="P36" s="157" t="str"/>
    </x:row>
    <x:row r="37">
      <x:c r="A37" s="157" t="str"/>
      <x:c r="B37" s="157" t="str"/>
      <x:c r="C37" s="157" t="str"/>
      <x:c r="D37" s="157" t="str"/>
      <x:c r="E37" s="157" t="str"/>
      <x:c r="F37" s="157" t="str"/>
      <x:c r="G37" s="157" t="str"/>
      <x:c r="H37" s="157" t="str"/>
      <x:c r="I37" s="157" t="str"/>
      <x:c r="J37" s="157" t="str"/>
      <x:c r="K37" s="157" t="str">
        <x:v>待做</x:v>
      </x:c>
      <x:c r="L37" s="157" t="str"/>
      <x:c r="M37" s="170" t="str"/>
      <x:c r="N37" s="157" t="str"/>
      <x:c r="O37" s="157" t="str"/>
      <x:c r="P37" s="157" t="str"/>
    </x:row>
    <x:row r="38">
      <x:c r="A38" s="157" t="str"/>
      <x:c r="B38" s="157" t="str"/>
      <x:c r="C38" s="157" t="str"/>
      <x:c r="D38" s="157" t="str"/>
      <x:c r="E38" s="157" t="str"/>
      <x:c r="F38" s="157" t="str"/>
      <x:c r="G38" s="157" t="str"/>
      <x:c r="H38" s="157" t="str"/>
      <x:c r="I38" s="157" t="str"/>
      <x:c r="J38" s="157" t="str"/>
      <x:c r="K38" s="157" t="str">
        <x:v>待做</x:v>
      </x:c>
      <x:c r="L38" s="157" t="str"/>
      <x:c r="M38" s="170" t="str"/>
      <x:c r="N38" s="157" t="str"/>
      <x:c r="O38" s="157" t="str"/>
      <x:c r="P38" s="157" t="str"/>
    </x:row>
    <x:row r="39">
      <x:c r="A39" s="157" t="str"/>
      <x:c r="B39" s="157" t="str"/>
      <x:c r="C39" s="157" t="str"/>
      <x:c r="D39" s="157" t="str"/>
      <x:c r="E39" s="157" t="str"/>
      <x:c r="F39" s="157" t="str"/>
      <x:c r="G39" s="157" t="str"/>
      <x:c r="H39" s="157" t="str"/>
      <x:c r="I39" s="157" t="str"/>
      <x:c r="J39" s="157" t="str"/>
      <x:c r="K39" s="157" t="str">
        <x:v>待做</x:v>
      </x:c>
      <x:c r="L39" s="157" t="str"/>
      <x:c r="M39" s="170" t="str"/>
      <x:c r="N39" s="157" t="str"/>
      <x:c r="O39" s="157" t="str"/>
      <x:c r="P39" s="157" t="str"/>
    </x:row>
    <x:row r="40">
      <x:c r="A40" s="157" t="str"/>
      <x:c r="B40" s="157" t="str"/>
      <x:c r="C40" s="157" t="str"/>
      <x:c r="D40" s="157" t="str"/>
      <x:c r="E40" s="157" t="str"/>
      <x:c r="F40" s="157" t="str"/>
      <x:c r="G40" s="157" t="str"/>
      <x:c r="H40" s="157" t="str"/>
      <x:c r="I40" s="157" t="str"/>
      <x:c r="J40" s="157" t="str"/>
      <x:c r="K40" s="157" t="str">
        <x:v>待做</x:v>
      </x:c>
      <x:c r="L40" s="157" t="str"/>
      <x:c r="M40" s="170" t="str"/>
      <x:c r="N40" s="157" t="str"/>
      <x:c r="O40" s="157" t="str"/>
      <x:c r="P40" s="157" t="str"/>
    </x:row>
    <x:row r="41">
      <x:c r="A41" s="157" t="str"/>
      <x:c r="B41" s="157" t="str"/>
      <x:c r="C41" s="157" t="str"/>
      <x:c r="D41" s="157" t="str"/>
      <x:c r="E41" s="157" t="str"/>
      <x:c r="F41" s="157" t="str"/>
      <x:c r="G41" s="157" t="str"/>
      <x:c r="H41" s="157" t="str"/>
      <x:c r="I41" s="157" t="str"/>
      <x:c r="J41" s="157" t="str"/>
      <x:c r="K41" s="157" t="str">
        <x:v>待做</x:v>
      </x:c>
      <x:c r="L41" s="157" t="str"/>
      <x:c r="M41" s="170" t="str"/>
      <x:c r="N41" s="157" t="str"/>
      <x:c r="O41" s="157" t="str"/>
      <x:c r="P41" s="157" t="str"/>
    </x:row>
    <x:row r="42">
      <x:c r="A42" s="157" t="str"/>
      <x:c r="B42" s="157" t="str"/>
      <x:c r="C42" s="157" t="str"/>
      <x:c r="D42" s="157" t="str"/>
      <x:c r="E42" s="157" t="str"/>
      <x:c r="F42" s="157" t="str"/>
      <x:c r="G42" s="157" t="str"/>
      <x:c r="H42" s="157" t="str"/>
      <x:c r="I42" s="157" t="str"/>
      <x:c r="J42" s="157" t="str"/>
      <x:c r="K42" s="157" t="str">
        <x:v>待做</x:v>
      </x:c>
      <x:c r="L42" s="157" t="str"/>
      <x:c r="M42" s="170" t="str"/>
      <x:c r="N42" s="157" t="str"/>
      <x:c r="O42" s="157" t="str"/>
      <x:c r="P42" s="157" t="str"/>
    </x:row>
    <x:row r="43">
      <x:c r="A43" s="157" t="str"/>
      <x:c r="B43" s="157" t="str"/>
      <x:c r="C43" s="157" t="str"/>
      <x:c r="D43" s="157" t="str"/>
      <x:c r="E43" s="157" t="str"/>
      <x:c r="F43" s="157" t="str"/>
      <x:c r="G43" s="157" t="str"/>
      <x:c r="H43" s="157" t="str"/>
      <x:c r="I43" s="157" t="str"/>
      <x:c r="J43" s="157" t="str"/>
      <x:c r="K43" s="157" t="str">
        <x:v>待做</x:v>
      </x:c>
      <x:c r="L43" s="157" t="str"/>
      <x:c r="M43" s="170" t="str"/>
      <x:c r="N43" s="157" t="str"/>
      <x:c r="O43" s="157" t="str"/>
      <x:c r="P43" s="157" t="str"/>
    </x:row>
    <x:row r="44">
      <x:c r="A44" s="157" t="str"/>
      <x:c r="B44" s="157" t="str"/>
      <x:c r="C44" s="157" t="str"/>
      <x:c r="D44" s="157" t="str"/>
      <x:c r="E44" s="157" t="str"/>
      <x:c r="F44" s="157" t="str"/>
      <x:c r="G44" s="157" t="str"/>
      <x:c r="H44" s="157" t="str"/>
      <x:c r="I44" s="157" t="str"/>
      <x:c r="J44" s="157" t="str"/>
      <x:c r="K44" s="157" t="str">
        <x:v>待做</x:v>
      </x:c>
      <x:c r="L44" s="157" t="str"/>
      <x:c r="M44" s="170" t="str"/>
      <x:c r="N44" s="157" t="str"/>
      <x:c r="O44" s="157" t="str"/>
      <x:c r="P44" s="157" t="str"/>
    </x:row>
    <x:row r="45">
      <x:c r="A45" s="157" t="str"/>
      <x:c r="B45" s="157" t="str"/>
      <x:c r="C45" s="157" t="str"/>
      <x:c r="D45" s="157" t="str"/>
      <x:c r="E45" s="157" t="str"/>
      <x:c r="F45" s="157" t="str"/>
      <x:c r="G45" s="157" t="str"/>
      <x:c r="H45" s="157" t="str"/>
      <x:c r="I45" s="157" t="str"/>
      <x:c r="J45" s="157" t="str"/>
      <x:c r="K45" s="157" t="str">
        <x:v>待做</x:v>
      </x:c>
      <x:c r="L45" s="157" t="str"/>
      <x:c r="M45" s="170" t="str"/>
      <x:c r="N45" s="157" t="str"/>
      <x:c r="O45" s="157" t="str"/>
      <x:c r="P45" s="157" t="str"/>
    </x:row>
    <x:row r="46">
      <x:c r="A46" s="157" t="str"/>
      <x:c r="B46" s="157" t="str"/>
      <x:c r="C46" s="157" t="str"/>
      <x:c r="D46" s="157" t="str"/>
      <x:c r="E46" s="157" t="str"/>
      <x:c r="F46" s="157" t="str"/>
      <x:c r="G46" s="157" t="str"/>
      <x:c r="H46" s="157" t="str"/>
      <x:c r="I46" s="157" t="str"/>
      <x:c r="J46" s="157" t="str"/>
      <x:c r="K46" s="157" t="str">
        <x:v>待做</x:v>
      </x:c>
      <x:c r="L46" s="157" t="str"/>
      <x:c r="M46" s="170" t="str"/>
      <x:c r="N46" s="157" t="str"/>
      <x:c r="O46" s="157" t="str"/>
      <x:c r="P46" s="157" t="str"/>
    </x:row>
    <x:row r="47">
      <x:c r="A47" s="157" t="str"/>
      <x:c r="B47" s="157" t="str"/>
      <x:c r="C47" s="157" t="str"/>
      <x:c r="D47" s="157" t="str"/>
      <x:c r="E47" s="157" t="str"/>
      <x:c r="F47" s="157" t="str"/>
      <x:c r="G47" s="157" t="str"/>
      <x:c r="H47" s="157" t="str"/>
      <x:c r="I47" s="157" t="str"/>
      <x:c r="J47" s="157" t="str"/>
      <x:c r="K47" s="157" t="str">
        <x:v>待做</x:v>
      </x:c>
      <x:c r="L47" s="157" t="str"/>
      <x:c r="M47" s="170" t="str"/>
      <x:c r="N47" s="157" t="str"/>
      <x:c r="O47" s="157" t="str"/>
      <x:c r="P47" s="157" t="str"/>
    </x:row>
    <x:row r="48">
      <x:c r="A48" s="157" t="str"/>
      <x:c r="B48" s="157" t="str"/>
      <x:c r="C48" s="157" t="str"/>
      <x:c r="D48" s="157" t="str"/>
      <x:c r="E48" s="157" t="str"/>
      <x:c r="F48" s="157" t="str"/>
      <x:c r="G48" s="157" t="str"/>
      <x:c r="H48" s="157" t="str"/>
      <x:c r="I48" s="157" t="str"/>
      <x:c r="J48" s="157" t="str"/>
      <x:c r="K48" s="157" t="str">
        <x:v>待做</x:v>
      </x:c>
      <x:c r="L48" s="157" t="str"/>
      <x:c r="M48" s="170" t="str"/>
      <x:c r="N48" s="157" t="str"/>
      <x:c r="O48" s="157" t="str"/>
      <x:c r="P48" s="157" t="str"/>
    </x:row>
    <x:row r="49">
      <x:c r="A49" s="157" t="str"/>
      <x:c r="B49" s="157" t="str"/>
      <x:c r="C49" s="157" t="str"/>
      <x:c r="D49" s="157" t="str"/>
      <x:c r="E49" s="157" t="str"/>
      <x:c r="F49" s="157" t="str"/>
      <x:c r="G49" s="157" t="str"/>
      <x:c r="H49" s="157" t="str"/>
      <x:c r="I49" s="157" t="str"/>
      <x:c r="J49" s="157" t="str"/>
      <x:c r="K49" s="157" t="str">
        <x:v>待做</x:v>
      </x:c>
      <x:c r="L49" s="157" t="str"/>
      <x:c r="M49" s="170" t="str"/>
      <x:c r="N49" s="157" t="str"/>
      <x:c r="O49" s="157" t="str"/>
      <x:c r="P49" s="157" t="str"/>
    </x:row>
    <x:row r="50">
      <x:c r="A50" s="157" t="str"/>
      <x:c r="B50" s="157" t="str"/>
      <x:c r="C50" s="157" t="str"/>
      <x:c r="D50" s="157" t="str"/>
      <x:c r="E50" s="157" t="str"/>
      <x:c r="F50" s="157" t="str"/>
      <x:c r="G50" s="157" t="str"/>
      <x:c r="H50" s="157" t="str"/>
      <x:c r="I50" s="157" t="str"/>
      <x:c r="J50" s="157" t="str"/>
      <x:c r="K50" s="157" t="str">
        <x:v>待做</x:v>
      </x:c>
      <x:c r="L50" s="157" t="str"/>
      <x:c r="M50" s="170" t="str"/>
      <x:c r="N50" s="157" t="str"/>
      <x:c r="O50" s="157" t="str"/>
      <x:c r="P50" s="157" t="str"/>
    </x:row>
    <x:row r="51">
      <x:c r="A51" s="157" t="str"/>
      <x:c r="B51" s="157" t="str"/>
      <x:c r="C51" s="157" t="str"/>
      <x:c r="D51" s="157" t="str"/>
      <x:c r="E51" s="157" t="str"/>
      <x:c r="F51" s="157" t="str"/>
      <x:c r="G51" s="157" t="str"/>
      <x:c r="H51" s="157" t="str"/>
      <x:c r="I51" s="157" t="str"/>
      <x:c r="J51" s="157" t="str"/>
      <x:c r="K51" s="157" t="str">
        <x:v>待做</x:v>
      </x:c>
      <x:c r="L51" s="157" t="str"/>
      <x:c r="M51" s="170" t="str"/>
      <x:c r="N51" s="157" t="str"/>
      <x:c r="O51" s="157" t="str"/>
      <x:c r="P51" s="157" t="str"/>
    </x:row>
    <x:row r="52">
      <x:c r="A52" s="157" t="str"/>
      <x:c r="B52" s="157" t="str"/>
      <x:c r="C52" s="157" t="str"/>
      <x:c r="D52" s="157" t="str"/>
      <x:c r="E52" s="157" t="str"/>
      <x:c r="F52" s="157" t="str"/>
      <x:c r="G52" s="157" t="str"/>
      <x:c r="H52" s="157" t="str"/>
      <x:c r="I52" s="157" t="str"/>
      <x:c r="J52" s="157" t="str"/>
      <x:c r="K52" s="157" t="str">
        <x:v>待做</x:v>
      </x:c>
      <x:c r="L52" s="157" t="str"/>
      <x:c r="M52" s="170" t="str"/>
      <x:c r="N52" s="157" t="str"/>
      <x:c r="O52" s="157" t="str"/>
      <x:c r="P52" s="157" t="str"/>
    </x:row>
    <x:row r="53">
      <x:c r="A53" s="157" t="str"/>
      <x:c r="B53" s="157" t="str"/>
      <x:c r="C53" s="157" t="str"/>
      <x:c r="D53" s="157" t="str"/>
      <x:c r="E53" s="157" t="str"/>
      <x:c r="F53" s="157" t="str"/>
      <x:c r="G53" s="157" t="str"/>
      <x:c r="H53" s="157" t="str"/>
      <x:c r="I53" s="157" t="str"/>
      <x:c r="J53" s="157" t="str"/>
      <x:c r="K53" s="157" t="str">
        <x:v>待做</x:v>
      </x:c>
      <x:c r="L53" s="157" t="str"/>
      <x:c r="M53" s="170" t="str"/>
      <x:c r="N53" s="157" t="str"/>
      <x:c r="O53" s="157" t="str"/>
      <x:c r="P53" s="157" t="str"/>
    </x:row>
    <x:row r="54">
      <x:c r="A54" s="157" t="str"/>
      <x:c r="B54" s="157" t="str"/>
      <x:c r="C54" s="157" t="str"/>
      <x:c r="D54" s="157" t="str"/>
      <x:c r="E54" s="157" t="str"/>
      <x:c r="F54" s="157" t="str"/>
      <x:c r="G54" s="157" t="str"/>
      <x:c r="H54" s="157" t="str"/>
      <x:c r="I54" s="157" t="str"/>
      <x:c r="J54" s="157" t="str"/>
      <x:c r="K54" s="157" t="str">
        <x:v>待做</x:v>
      </x:c>
      <x:c r="L54" s="157" t="str"/>
      <x:c r="M54" s="170" t="str"/>
      <x:c r="N54" s="157" t="str"/>
      <x:c r="O54" s="157" t="str"/>
      <x:c r="P54" s="157" t="str"/>
    </x:row>
    <x:row r="55">
      <x:c r="A55" s="157" t="str"/>
      <x:c r="B55" s="157" t="str"/>
      <x:c r="C55" s="157" t="str"/>
      <x:c r="D55" s="157" t="str"/>
      <x:c r="E55" s="157" t="str"/>
      <x:c r="F55" s="157" t="str"/>
      <x:c r="G55" s="157" t="str"/>
      <x:c r="H55" s="157" t="str"/>
      <x:c r="I55" s="157" t="str"/>
      <x:c r="J55" s="157" t="str"/>
      <x:c r="K55" s="157" t="str">
        <x:v>待做</x:v>
      </x:c>
      <x:c r="L55" s="157" t="str"/>
      <x:c r="M55" s="170" t="str"/>
      <x:c r="N55" s="157" t="str"/>
      <x:c r="O55" s="157" t="str"/>
      <x:c r="P55" s="157" t="str"/>
    </x:row>
    <x:row r="56">
      <x:c r="A56" s="157" t="str"/>
      <x:c r="B56" s="157" t="str"/>
      <x:c r="C56" s="157" t="str"/>
      <x:c r="D56" s="157" t="str"/>
      <x:c r="E56" s="157" t="str"/>
      <x:c r="F56" s="157" t="str"/>
      <x:c r="G56" s="157" t="str"/>
      <x:c r="H56" s="157" t="str"/>
      <x:c r="I56" s="157" t="str"/>
      <x:c r="J56" s="157" t="str"/>
      <x:c r="K56" s="157" t="str">
        <x:v>待做</x:v>
      </x:c>
      <x:c r="L56" s="157" t="str"/>
      <x:c r="M56" s="170" t="str"/>
      <x:c r="N56" s="157" t="str"/>
      <x:c r="O56" s="157" t="str"/>
      <x:c r="P56" s="157" t="str"/>
    </x:row>
    <x:row r="57">
      <x:c r="A57" s="157" t="str"/>
      <x:c r="B57" s="157" t="str"/>
      <x:c r="C57" s="157" t="str"/>
      <x:c r="D57" s="157" t="str"/>
      <x:c r="E57" s="157" t="str"/>
      <x:c r="F57" s="157" t="str"/>
      <x:c r="G57" s="157" t="str"/>
      <x:c r="H57" s="157" t="str"/>
      <x:c r="I57" s="157" t="str"/>
      <x:c r="J57" s="157" t="str"/>
      <x:c r="K57" s="157" t="str">
        <x:v>待做</x:v>
      </x:c>
      <x:c r="L57" s="157" t="str"/>
      <x:c r="M57" s="170" t="str"/>
      <x:c r="N57" s="157" t="str"/>
      <x:c r="O57" s="157" t="str"/>
      <x:c r="P57" s="157" t="str"/>
    </x:row>
    <x:row r="58">
      <x:c r="A58" s="157" t="str"/>
      <x:c r="B58" s="157" t="str"/>
      <x:c r="C58" s="157" t="str"/>
      <x:c r="D58" s="157" t="str"/>
      <x:c r="E58" s="157" t="str"/>
      <x:c r="F58" s="157" t="str"/>
      <x:c r="G58" s="157" t="str"/>
      <x:c r="H58" s="157" t="str"/>
      <x:c r="I58" s="157" t="str"/>
      <x:c r="J58" s="157" t="str"/>
      <x:c r="K58" s="157" t="str">
        <x:v>待做</x:v>
      </x:c>
      <x:c r="L58" s="157" t="str"/>
      <x:c r="M58" s="170" t="str"/>
      <x:c r="N58" s="157" t="str"/>
      <x:c r="O58" s="157" t="str"/>
      <x:c r="P58" s="157" t="str"/>
    </x:row>
    <x:row r="59">
      <x:c r="A59" s="157" t="str"/>
      <x:c r="B59" s="157" t="str"/>
      <x:c r="C59" s="157" t="str"/>
      <x:c r="D59" s="157" t="str"/>
      <x:c r="E59" s="157" t="str"/>
      <x:c r="F59" s="157" t="str"/>
      <x:c r="G59" s="157" t="str"/>
      <x:c r="H59" s="157" t="str"/>
      <x:c r="I59" s="157" t="str"/>
      <x:c r="J59" s="157" t="str"/>
      <x:c r="K59" s="157" t="str">
        <x:v>待做</x:v>
      </x:c>
      <x:c r="L59" s="157" t="str"/>
      <x:c r="M59" s="170" t="str"/>
      <x:c r="N59" s="157" t="str"/>
      <x:c r="O59" s="157" t="str"/>
      <x:c r="P59" s="157" t="str"/>
    </x:row>
    <x:row r="60">
      <x:c r="A60" s="157" t="str"/>
      <x:c r="B60" s="157" t="str"/>
      <x:c r="C60" s="157" t="str"/>
      <x:c r="D60" s="157" t="str"/>
      <x:c r="E60" s="157" t="str"/>
      <x:c r="F60" s="157" t="str"/>
      <x:c r="G60" s="157" t="str"/>
      <x:c r="H60" s="157" t="str"/>
      <x:c r="I60" s="157" t="str"/>
      <x:c r="J60" s="157" t="str"/>
      <x:c r="K60" s="157" t="str">
        <x:v>待做</x:v>
      </x:c>
      <x:c r="L60" s="157" t="str"/>
      <x:c r="M60" s="170" t="str"/>
      <x:c r="N60" s="157" t="str"/>
      <x:c r="O60" s="157" t="str"/>
      <x:c r="P60" s="157" t="str"/>
    </x:row>
    <x:row r="61">
      <x:c r="A61" s="157" t="str"/>
      <x:c r="B61" s="157" t="str"/>
      <x:c r="C61" s="157" t="str"/>
      <x:c r="D61" s="157" t="str"/>
      <x:c r="E61" s="157" t="str"/>
      <x:c r="F61" s="157" t="str"/>
      <x:c r="G61" s="157" t="str"/>
      <x:c r="H61" s="157" t="str"/>
      <x:c r="I61" s="157" t="str"/>
      <x:c r="J61" s="157" t="str"/>
      <x:c r="K61" s="157" t="str">
        <x:v>待做</x:v>
      </x:c>
      <x:c r="L61" s="157" t="str"/>
      <x:c r="M61" s="170" t="str"/>
      <x:c r="N61" s="157" t="str"/>
      <x:c r="O61" s="157" t="str"/>
      <x:c r="P61" s="157" t="str"/>
    </x:row>
    <x:row r="62">
      <x:c r="A62" s="157" t="str"/>
      <x:c r="B62" s="157" t="str"/>
      <x:c r="C62" s="157" t="str"/>
      <x:c r="D62" s="157" t="str"/>
      <x:c r="E62" s="157" t="str"/>
      <x:c r="F62" s="157" t="str"/>
      <x:c r="G62" s="157" t="str"/>
      <x:c r="H62" s="157" t="str"/>
      <x:c r="I62" s="157" t="str"/>
      <x:c r="J62" s="157" t="str"/>
      <x:c r="K62" s="157" t="str">
        <x:v>待做</x:v>
      </x:c>
      <x:c r="L62" s="157" t="str"/>
      <x:c r="M62" s="170" t="str"/>
      <x:c r="N62" s="157" t="str"/>
      <x:c r="O62" s="157" t="str"/>
      <x:c r="P62" s="157" t="str"/>
    </x:row>
    <x:row r="63">
      <x:c r="A63" s="157" t="str"/>
      <x:c r="B63" s="157" t="str"/>
      <x:c r="C63" s="157" t="str"/>
      <x:c r="D63" s="157" t="str"/>
      <x:c r="E63" s="157" t="str"/>
      <x:c r="F63" s="157" t="str"/>
      <x:c r="G63" s="157" t="str"/>
      <x:c r="H63" s="157" t="str"/>
      <x:c r="I63" s="157" t="str"/>
      <x:c r="J63" s="157" t="str"/>
      <x:c r="K63" s="157" t="str">
        <x:v>待做</x:v>
      </x:c>
      <x:c r="L63" s="157" t="str"/>
      <x:c r="M63" s="170" t="str"/>
      <x:c r="N63" s="157" t="str"/>
      <x:c r="O63" s="157" t="str"/>
      <x:c r="P63" s="157" t="str"/>
    </x:row>
    <x:row r="64">
      <x:c r="A64" s="157" t="str"/>
      <x:c r="B64" s="157" t="str"/>
      <x:c r="C64" s="157" t="str"/>
      <x:c r="D64" s="157" t="str"/>
      <x:c r="E64" s="157" t="str"/>
      <x:c r="F64" s="157" t="str"/>
      <x:c r="G64" s="157" t="str"/>
      <x:c r="H64" s="157" t="str"/>
      <x:c r="I64" s="157" t="str"/>
      <x:c r="J64" s="157" t="str"/>
      <x:c r="K64" s="157" t="str">
        <x:v>待做</x:v>
      </x:c>
      <x:c r="L64" s="157" t="str"/>
      <x:c r="M64" s="170" t="str"/>
      <x:c r="N64" s="157" t="str"/>
      <x:c r="O64" s="157" t="str"/>
      <x:c r="P64" s="157" t="str"/>
    </x:row>
    <x:row r="65">
      <x:c r="A65" s="157" t="str"/>
      <x:c r="B65" s="157" t="str"/>
      <x:c r="C65" s="157" t="str"/>
      <x:c r="D65" s="157" t="str"/>
      <x:c r="E65" s="157" t="str"/>
      <x:c r="F65" s="157" t="str"/>
      <x:c r="G65" s="157" t="str"/>
      <x:c r="H65" s="157" t="str"/>
      <x:c r="I65" s="157" t="str"/>
      <x:c r="J65" s="157" t="str"/>
      <x:c r="K65" s="157" t="str">
        <x:v>待做</x:v>
      </x:c>
      <x:c r="L65" s="157" t="str"/>
      <x:c r="M65" s="170" t="str"/>
      <x:c r="N65" s="157" t="str"/>
      <x:c r="O65" s="157" t="str"/>
      <x:c r="P65" s="157" t="str"/>
    </x:row>
    <x:row r="66">
      <x:c r="A66" s="157" t="str"/>
      <x:c r="B66" s="157" t="str"/>
      <x:c r="C66" s="157" t="str"/>
      <x:c r="D66" s="157" t="str"/>
      <x:c r="E66" s="157" t="str"/>
      <x:c r="F66" s="157" t="str"/>
      <x:c r="G66" s="157" t="str"/>
      <x:c r="H66" s="157" t="str"/>
      <x:c r="I66" s="157" t="str"/>
      <x:c r="J66" s="157" t="str"/>
      <x:c r="K66" s="157" t="str">
        <x:v>待做</x:v>
      </x:c>
      <x:c r="L66" s="157" t="str"/>
      <x:c r="M66" s="170" t="str"/>
      <x:c r="N66" s="157" t="str"/>
      <x:c r="O66" s="157" t="str"/>
      <x:c r="P66" s="157" t="str"/>
    </x:row>
    <x:row r="67">
      <x:c r="A67" s="157" t="str"/>
      <x:c r="B67" s="157" t="str"/>
      <x:c r="C67" s="157" t="str"/>
      <x:c r="D67" s="157" t="str"/>
      <x:c r="E67" s="157" t="str"/>
      <x:c r="F67" s="157" t="str"/>
      <x:c r="G67" s="157" t="str"/>
      <x:c r="H67" s="157" t="str"/>
      <x:c r="I67" s="157" t="str"/>
      <x:c r="J67" s="157" t="str"/>
      <x:c r="K67" s="157" t="str">
        <x:v>待做</x:v>
      </x:c>
      <x:c r="L67" s="157" t="str"/>
      <x:c r="M67" s="170" t="str"/>
      <x:c r="N67" s="157" t="str"/>
      <x:c r="O67" s="157" t="str"/>
      <x:c r="P67" s="157" t="str"/>
    </x:row>
    <x:row r="68">
      <x:c r="A68" s="157" t="str"/>
      <x:c r="B68" s="157" t="str"/>
      <x:c r="C68" s="157" t="str"/>
      <x:c r="D68" s="157" t="str"/>
      <x:c r="E68" s="157" t="str"/>
      <x:c r="F68" s="157" t="str"/>
      <x:c r="G68" s="157" t="str"/>
      <x:c r="H68" s="157" t="str"/>
      <x:c r="I68" s="157" t="str"/>
      <x:c r="J68" s="157" t="str"/>
      <x:c r="K68" s="157" t="str">
        <x:v>待做</x:v>
      </x:c>
      <x:c r="L68" s="157" t="str"/>
      <x:c r="M68" s="170" t="str"/>
      <x:c r="N68" s="157" t="str"/>
      <x:c r="O68" s="157" t="str"/>
      <x:c r="P68" s="157" t="str"/>
    </x:row>
    <x:row r="69">
      <x:c r="A69" s="157" t="str"/>
      <x:c r="B69" s="157" t="str"/>
      <x:c r="C69" s="157" t="str"/>
      <x:c r="D69" s="157" t="str"/>
      <x:c r="E69" s="157" t="str"/>
      <x:c r="F69" s="157" t="str"/>
      <x:c r="G69" s="157" t="str"/>
      <x:c r="H69" s="157" t="str"/>
      <x:c r="I69" s="157" t="str"/>
      <x:c r="J69" s="157" t="str"/>
      <x:c r="K69" s="157" t="str">
        <x:v>待做</x:v>
      </x:c>
      <x:c r="L69" s="157" t="str"/>
      <x:c r="M69" s="170" t="str"/>
      <x:c r="N69" s="157" t="str"/>
      <x:c r="O69" s="157" t="str"/>
      <x:c r="P69" s="157" t="str"/>
    </x:row>
    <x:row r="70">
      <x:c r="A70" s="157" t="str"/>
      <x:c r="B70" s="157" t="str"/>
      <x:c r="C70" s="157" t="str"/>
      <x:c r="D70" s="157" t="str"/>
      <x:c r="E70" s="157" t="str"/>
      <x:c r="F70" s="157" t="str"/>
      <x:c r="G70" s="157" t="str"/>
      <x:c r="H70" s="157" t="str"/>
      <x:c r="I70" s="157" t="str"/>
      <x:c r="J70" s="157" t="str"/>
      <x:c r="K70" s="157" t="str">
        <x:v>待做</x:v>
      </x:c>
      <x:c r="L70" s="157" t="str"/>
      <x:c r="M70" s="170" t="str"/>
      <x:c r="N70" s="157" t="str"/>
      <x:c r="O70" s="157" t="str"/>
      <x:c r="P70" s="157" t="str"/>
    </x:row>
    <x:row r="71">
      <x:c r="A71" s="157" t="str"/>
      <x:c r="B71" s="157" t="str"/>
      <x:c r="C71" s="157" t="str"/>
      <x:c r="D71" s="157" t="str"/>
      <x:c r="E71" s="157" t="str"/>
      <x:c r="F71" s="157" t="str"/>
      <x:c r="G71" s="157" t="str"/>
      <x:c r="H71" s="157" t="str"/>
      <x:c r="I71" s="157" t="str"/>
      <x:c r="J71" s="157" t="str"/>
      <x:c r="K71" s="157" t="str">
        <x:v>待做</x:v>
      </x:c>
      <x:c r="L71" s="157" t="str"/>
      <x:c r="M71" s="170" t="str"/>
      <x:c r="N71" s="157" t="str"/>
      <x:c r="O71" s="157" t="str"/>
      <x:c r="P71" s="157" t="str"/>
    </x:row>
    <x:row r="72">
      <x:c r="A72" s="157" t="str"/>
      <x:c r="B72" s="157" t="str"/>
      <x:c r="C72" s="157" t="str"/>
      <x:c r="D72" s="157" t="str"/>
      <x:c r="E72" s="157" t="str"/>
      <x:c r="F72" s="157" t="str"/>
      <x:c r="G72" s="157" t="str"/>
      <x:c r="H72" s="157" t="str"/>
      <x:c r="I72" s="157" t="str"/>
      <x:c r="J72" s="157" t="str"/>
      <x:c r="K72" s="157" t="str">
        <x:v>待做</x:v>
      </x:c>
      <x:c r="L72" s="157" t="str"/>
      <x:c r="M72" s="170" t="str"/>
      <x:c r="N72" s="157" t="str"/>
      <x:c r="O72" s="157" t="str"/>
      <x:c r="P72" s="157" t="str"/>
    </x:row>
    <x:row r="73">
      <x:c r="A73" s="157" t="str"/>
      <x:c r="B73" s="157" t="str"/>
      <x:c r="C73" s="157" t="str"/>
      <x:c r="D73" s="157" t="str"/>
      <x:c r="E73" s="157" t="str"/>
      <x:c r="F73" s="157" t="str"/>
      <x:c r="G73" s="157" t="str"/>
      <x:c r="H73" s="157" t="str"/>
      <x:c r="I73" s="157" t="str"/>
      <x:c r="J73" s="157" t="str"/>
      <x:c r="K73" s="157" t="str">
        <x:v>待做</x:v>
      </x:c>
      <x:c r="L73" s="157" t="str"/>
      <x:c r="M73" s="170" t="str"/>
      <x:c r="N73" s="157" t="str"/>
      <x:c r="O73" s="157" t="str"/>
      <x:c r="P73" s="157" t="str"/>
    </x:row>
    <x:row r="74">
      <x:c r="A74" s="157" t="str"/>
      <x:c r="B74" s="157" t="str"/>
      <x:c r="C74" s="157" t="str"/>
      <x:c r="D74" s="157" t="str"/>
      <x:c r="E74" s="157" t="str"/>
      <x:c r="F74" s="157" t="str"/>
      <x:c r="G74" s="157" t="str"/>
      <x:c r="H74" s="157" t="str"/>
      <x:c r="I74" s="157" t="str"/>
      <x:c r="J74" s="157" t="str"/>
      <x:c r="K74" s="157" t="str">
        <x:v>待做</x:v>
      </x:c>
      <x:c r="L74" s="157" t="str"/>
      <x:c r="M74" s="170" t="str"/>
      <x:c r="N74" s="157" t="str"/>
      <x:c r="O74" s="157" t="str"/>
      <x:c r="P74" s="157" t="str"/>
    </x:row>
    <x:row r="75">
      <x:c r="A75" s="157" t="str"/>
      <x:c r="B75" s="157" t="str"/>
      <x:c r="C75" s="157" t="str"/>
      <x:c r="D75" s="157" t="str"/>
      <x:c r="E75" s="157" t="str"/>
      <x:c r="F75" s="157" t="str"/>
      <x:c r="G75" s="157" t="str"/>
      <x:c r="H75" s="157" t="str"/>
      <x:c r="I75" s="157" t="str"/>
      <x:c r="J75" s="157" t="str"/>
      <x:c r="K75" s="157" t="str">
        <x:v>待做</x:v>
      </x:c>
      <x:c r="L75" s="157" t="str"/>
      <x:c r="M75" s="170" t="str"/>
      <x:c r="N75" s="157" t="str"/>
      <x:c r="O75" s="157" t="str"/>
      <x:c r="P75" s="157" t="str"/>
    </x:row>
    <x:row r="76">
      <x:c r="A76" s="157" t="str"/>
      <x:c r="B76" s="157" t="str"/>
      <x:c r="C76" s="157" t="str"/>
      <x:c r="D76" s="157" t="str"/>
      <x:c r="E76" s="157" t="str"/>
      <x:c r="F76" s="157" t="str"/>
      <x:c r="G76" s="157" t="str"/>
      <x:c r="H76" s="157" t="str"/>
      <x:c r="I76" s="157" t="str"/>
      <x:c r="J76" s="157" t="str"/>
      <x:c r="K76" s="157" t="str">
        <x:v>待做</x:v>
      </x:c>
      <x:c r="L76" s="157" t="str"/>
      <x:c r="M76" s="170" t="str"/>
      <x:c r="N76" s="157" t="str"/>
      <x:c r="O76" s="157" t="str"/>
      <x:c r="P76" s="157" t="str"/>
    </x:row>
    <x:row r="77">
      <x:c r="A77" s="157" t="str"/>
      <x:c r="B77" s="157" t="str"/>
      <x:c r="C77" s="157" t="str"/>
      <x:c r="D77" s="157" t="str"/>
      <x:c r="E77" s="157" t="str"/>
      <x:c r="F77" s="157" t="str"/>
      <x:c r="G77" s="157" t="str"/>
      <x:c r="H77" s="157" t="str"/>
      <x:c r="I77" s="157" t="str"/>
      <x:c r="J77" s="157" t="str"/>
      <x:c r="K77" s="157" t="str">
        <x:v>待做</x:v>
      </x:c>
      <x:c r="L77" s="157" t="str"/>
      <x:c r="M77" s="170" t="str"/>
      <x:c r="N77" s="157" t="str"/>
      <x:c r="O77" s="157" t="str"/>
      <x:c r="P77" s="157" t="str"/>
    </x:row>
    <x:row r="78">
      <x:c r="A78" s="157" t="str"/>
      <x:c r="B78" s="157" t="str"/>
      <x:c r="C78" s="157" t="str"/>
      <x:c r="D78" s="157" t="str"/>
      <x:c r="E78" s="157" t="str"/>
      <x:c r="F78" s="157" t="str"/>
      <x:c r="G78" s="157" t="str"/>
      <x:c r="H78" s="157" t="str"/>
      <x:c r="I78" s="157" t="str"/>
      <x:c r="J78" s="157" t="str"/>
      <x:c r="K78" s="157" t="str">
        <x:v>待做</x:v>
      </x:c>
      <x:c r="L78" s="157" t="str"/>
      <x:c r="M78" s="170" t="str"/>
      <x:c r="N78" s="157" t="str"/>
      <x:c r="O78" s="157" t="str"/>
      <x:c r="P78" s="157" t="str"/>
    </x:row>
    <x:row r="79">
      <x:c r="A79" s="157" t="str"/>
      <x:c r="B79" s="157" t="str"/>
      <x:c r="C79" s="157" t="str"/>
      <x:c r="D79" s="157" t="str"/>
      <x:c r="E79" s="157" t="str"/>
      <x:c r="F79" s="157" t="str"/>
      <x:c r="G79" s="157" t="str"/>
      <x:c r="H79" s="157" t="str"/>
      <x:c r="I79" s="157" t="str"/>
      <x:c r="J79" s="157" t="str"/>
      <x:c r="K79" s="157" t="str">
        <x:v>待做</x:v>
      </x:c>
      <x:c r="L79" s="157" t="str"/>
      <x:c r="M79" s="170" t="str"/>
      <x:c r="N79" s="157" t="str"/>
      <x:c r="O79" s="157" t="str"/>
      <x:c r="P79" s="157" t="str"/>
    </x:row>
    <x:row r="80">
      <x:c r="A80" s="157" t="str"/>
      <x:c r="B80" s="157" t="str"/>
      <x:c r="C80" s="157" t="str"/>
      <x:c r="D80" s="157" t="str"/>
      <x:c r="E80" s="157" t="str"/>
      <x:c r="F80" s="157" t="str"/>
      <x:c r="G80" s="157" t="str"/>
      <x:c r="H80" s="157" t="str"/>
      <x:c r="I80" s="157" t="str"/>
      <x:c r="J80" s="157" t="str"/>
      <x:c r="K80" s="157" t="str">
        <x:v>待做</x:v>
      </x:c>
      <x:c r="L80" s="157" t="str"/>
      <x:c r="M80" s="170" t="str"/>
      <x:c r="N80" s="157" t="str"/>
      <x:c r="O80" s="157" t="str"/>
      <x:c r="P80" s="157" t="str"/>
    </x:row>
    <x:row r="81">
      <x:c r="A81" s="157" t="str"/>
      <x:c r="B81" s="157" t="str"/>
      <x:c r="C81" s="157" t="str"/>
      <x:c r="D81" s="157" t="str"/>
      <x:c r="E81" s="157" t="str"/>
      <x:c r="F81" s="157" t="str"/>
      <x:c r="G81" s="157" t="str"/>
      <x:c r="H81" s="157" t="str"/>
      <x:c r="I81" s="157" t="str"/>
      <x:c r="J81" s="157" t="str"/>
      <x:c r="K81" s="157" t="str">
        <x:v>待做</x:v>
      </x:c>
      <x:c r="L81" s="157" t="str"/>
      <x:c r="M81" s="170" t="str"/>
      <x:c r="N81" s="157" t="str"/>
      <x:c r="O81" s="157" t="str"/>
      <x:c r="P81" s="157" t="str"/>
    </x:row>
    <x:row r="82">
      <x:c r="A82" s="157" t="str"/>
      <x:c r="B82" s="157" t="str"/>
      <x:c r="C82" s="157" t="str"/>
      <x:c r="D82" s="157" t="str"/>
      <x:c r="E82" s="157" t="str"/>
      <x:c r="F82" s="157" t="str"/>
      <x:c r="G82" s="157" t="str"/>
      <x:c r="H82" s="157" t="str"/>
      <x:c r="I82" s="157" t="str"/>
      <x:c r="J82" s="157" t="str"/>
      <x:c r="K82" s="157" t="str">
        <x:v>待做</x:v>
      </x:c>
      <x:c r="L82" s="157" t="str"/>
      <x:c r="M82" s="170" t="str"/>
      <x:c r="N82" s="157" t="str"/>
      <x:c r="O82" s="157" t="str"/>
      <x:c r="P82" s="157" t="str"/>
    </x:row>
    <x:row r="83">
      <x:c r="A83" s="157" t="str"/>
      <x:c r="B83" s="157" t="str"/>
      <x:c r="C83" s="157" t="str"/>
      <x:c r="D83" s="157" t="str"/>
      <x:c r="E83" s="157" t="str"/>
      <x:c r="F83" s="157" t="str"/>
      <x:c r="G83" s="157" t="str"/>
      <x:c r="H83" s="157" t="str"/>
      <x:c r="I83" s="157" t="str"/>
      <x:c r="J83" s="157" t="str"/>
      <x:c r="K83" s="157" t="str">
        <x:v>待做</x:v>
      </x:c>
      <x:c r="L83" s="157" t="str"/>
      <x:c r="M83" s="170" t="str"/>
      <x:c r="N83" s="157" t="str"/>
      <x:c r="O83" s="157" t="str"/>
      <x:c r="P83" s="157" t="str"/>
    </x:row>
    <x:row r="84">
      <x:c r="A84" s="157" t="str"/>
      <x:c r="B84" s="157" t="str"/>
      <x:c r="C84" s="157" t="str"/>
      <x:c r="D84" s="157" t="str"/>
      <x:c r="E84" s="157" t="str"/>
      <x:c r="F84" s="157" t="str"/>
      <x:c r="G84" s="157" t="str"/>
      <x:c r="H84" s="157" t="str"/>
      <x:c r="I84" s="157" t="str"/>
      <x:c r="J84" s="157" t="str"/>
      <x:c r="K84" s="157" t="str">
        <x:v>待做</x:v>
      </x:c>
      <x:c r="L84" s="157" t="str"/>
      <x:c r="M84" s="170" t="str"/>
      <x:c r="N84" s="157" t="str"/>
      <x:c r="O84" s="157" t="str"/>
      <x:c r="P84" s="157" t="str"/>
    </x:row>
    <x:row r="85">
      <x:c r="A85" s="157" t="str"/>
      <x:c r="B85" s="157" t="str"/>
      <x:c r="C85" s="157" t="str"/>
      <x:c r="D85" s="157" t="str"/>
      <x:c r="E85" s="157" t="str"/>
      <x:c r="F85" s="157" t="str"/>
      <x:c r="G85" s="157" t="str"/>
      <x:c r="H85" s="157" t="str"/>
      <x:c r="I85" s="157" t="str"/>
      <x:c r="J85" s="157" t="str"/>
      <x:c r="K85" s="157" t="str">
        <x:v>待做</x:v>
      </x:c>
      <x:c r="L85" s="157" t="str"/>
      <x:c r="M85" s="170" t="str"/>
      <x:c r="N85" s="157" t="str"/>
      <x:c r="O85" s="157" t="str"/>
      <x:c r="P85" s="157" t="str"/>
    </x:row>
    <x:row r="86">
      <x:c r="A86" s="157" t="str"/>
      <x:c r="B86" s="157" t="str"/>
      <x:c r="C86" s="157" t="str"/>
      <x:c r="D86" s="157" t="str"/>
      <x:c r="E86" s="157" t="str"/>
      <x:c r="F86" s="157" t="str"/>
      <x:c r="G86" s="157" t="str"/>
      <x:c r="H86" s="157" t="str"/>
      <x:c r="I86" s="157" t="str"/>
      <x:c r="J86" s="157" t="str"/>
      <x:c r="K86" s="157" t="str">
        <x:v>待做</x:v>
      </x:c>
      <x:c r="L86" s="157" t="str"/>
      <x:c r="M86" s="170" t="str"/>
      <x:c r="N86" s="157" t="str"/>
      <x:c r="O86" s="157" t="str"/>
      <x:c r="P86" s="157" t="str"/>
    </x:row>
    <x:row r="87">
      <x:c r="A87" s="157" t="str"/>
      <x:c r="B87" s="157" t="str"/>
      <x:c r="C87" s="157" t="str"/>
      <x:c r="D87" s="157" t="str"/>
      <x:c r="E87" s="157" t="str"/>
      <x:c r="F87" s="157" t="str"/>
      <x:c r="G87" s="157" t="str"/>
      <x:c r="H87" s="157" t="str"/>
      <x:c r="I87" s="157" t="str"/>
      <x:c r="J87" s="157" t="str"/>
      <x:c r="K87" s="157" t="str">
        <x:v>待做</x:v>
      </x:c>
      <x:c r="L87" s="157" t="str"/>
      <x:c r="M87" s="170" t="str"/>
      <x:c r="N87" s="157" t="str"/>
      <x:c r="O87" s="157" t="str"/>
      <x:c r="P87" s="157" t="str"/>
    </x:row>
    <x:row r="88">
      <x:c r="A88" s="157" t="str"/>
      <x:c r="B88" s="157" t="str"/>
      <x:c r="C88" s="157" t="str"/>
      <x:c r="D88" s="157" t="str"/>
      <x:c r="E88" s="157" t="str"/>
      <x:c r="F88" s="157" t="str"/>
      <x:c r="G88" s="157" t="str"/>
      <x:c r="H88" s="157" t="str"/>
      <x:c r="I88" s="157" t="str"/>
      <x:c r="J88" s="157" t="str"/>
      <x:c r="K88" s="157" t="str">
        <x:v>待做</x:v>
      </x:c>
      <x:c r="L88" s="157" t="str"/>
      <x:c r="M88" s="170" t="str"/>
      <x:c r="N88" s="157" t="str"/>
      <x:c r="O88" s="157" t="str"/>
      <x:c r="P88" s="157" t="str"/>
    </x:row>
    <x:row r="89">
      <x:c r="A89" s="157" t="str"/>
      <x:c r="B89" s="157" t="str"/>
      <x:c r="C89" s="157" t="str"/>
      <x:c r="D89" s="157" t="str"/>
      <x:c r="E89" s="157" t="str"/>
      <x:c r="F89" s="157" t="str"/>
      <x:c r="G89" s="157" t="str"/>
      <x:c r="H89" s="157" t="str"/>
      <x:c r="I89" s="157" t="str"/>
      <x:c r="J89" s="157" t="str"/>
      <x:c r="K89" s="157" t="str">
        <x:v>待做</x:v>
      </x:c>
      <x:c r="L89" s="157" t="str"/>
      <x:c r="M89" s="170" t="str"/>
      <x:c r="N89" s="157" t="str"/>
      <x:c r="O89" s="157" t="str"/>
      <x:c r="P89" s="157" t="str"/>
    </x:row>
    <x:row r="90">
      <x:c r="A90" s="157" t="str"/>
      <x:c r="B90" s="157" t="str"/>
      <x:c r="C90" s="157" t="str"/>
      <x:c r="D90" s="157" t="str"/>
      <x:c r="E90" s="157" t="str"/>
      <x:c r="F90" s="157" t="str"/>
      <x:c r="G90" s="157" t="str"/>
      <x:c r="H90" s="157" t="str"/>
      <x:c r="I90" s="157" t="str"/>
      <x:c r="J90" s="157" t="str"/>
      <x:c r="K90" s="157" t="str">
        <x:v>待做</x:v>
      </x:c>
      <x:c r="L90" s="157" t="str"/>
      <x:c r="M90" s="170" t="str"/>
      <x:c r="N90" s="157" t="str"/>
      <x:c r="O90" s="157" t="str"/>
      <x:c r="P90" s="157" t="str"/>
    </x:row>
    <x:row r="91">
      <x:c r="A91" s="157" t="str"/>
      <x:c r="B91" s="157" t="str"/>
      <x:c r="C91" s="157" t="str"/>
      <x:c r="D91" s="157" t="str"/>
      <x:c r="E91" s="157" t="str"/>
      <x:c r="F91" s="157" t="str"/>
      <x:c r="G91" s="157" t="str"/>
      <x:c r="H91" s="157" t="str"/>
      <x:c r="I91" s="157" t="str"/>
      <x:c r="J91" s="157" t="str"/>
      <x:c r="K91" s="157" t="str">
        <x:v>待做</x:v>
      </x:c>
      <x:c r="L91" s="157" t="str"/>
      <x:c r="M91" s="170" t="str"/>
      <x:c r="N91" s="157" t="str"/>
      <x:c r="O91" s="157" t="str"/>
      <x:c r="P91" s="157" t="str"/>
    </x:row>
    <x:row r="92">
      <x:c r="A92" s="157" t="str"/>
      <x:c r="B92" s="157" t="str"/>
      <x:c r="C92" s="157" t="str"/>
      <x:c r="D92" s="157" t="str"/>
      <x:c r="E92" s="157" t="str"/>
      <x:c r="F92" s="157" t="str"/>
      <x:c r="G92" s="157" t="str"/>
      <x:c r="H92" s="157" t="str"/>
      <x:c r="I92" s="157" t="str"/>
      <x:c r="J92" s="157" t="str"/>
      <x:c r="K92" s="157" t="str">
        <x:v>待做</x:v>
      </x:c>
      <x:c r="L92" s="157" t="str"/>
      <x:c r="M92" s="170" t="str"/>
      <x:c r="N92" s="157" t="str"/>
      <x:c r="O92" s="157" t="str"/>
      <x:c r="P92" s="157" t="str"/>
    </x:row>
    <x:row r="93">
      <x:c r="A93" s="157" t="str"/>
      <x:c r="B93" s="157" t="str"/>
      <x:c r="C93" s="157" t="str"/>
      <x:c r="D93" s="157" t="str"/>
      <x:c r="E93" s="157" t="str"/>
      <x:c r="F93" s="157" t="str"/>
      <x:c r="G93" s="157" t="str"/>
      <x:c r="H93" s="157" t="str"/>
      <x:c r="I93" s="157" t="str"/>
      <x:c r="J93" s="157" t="str"/>
      <x:c r="K93" s="157" t="str">
        <x:v>待做</x:v>
      </x:c>
      <x:c r="L93" s="157" t="str"/>
      <x:c r="M93" s="170" t="str"/>
      <x:c r="N93" s="157" t="str"/>
      <x:c r="O93" s="157" t="str"/>
      <x:c r="P93" s="157" t="str"/>
    </x:row>
    <x:row r="94">
      <x:c r="A94" s="157" t="str"/>
      <x:c r="B94" s="157" t="str"/>
      <x:c r="C94" s="157" t="str"/>
      <x:c r="D94" s="157" t="str"/>
      <x:c r="E94" s="157" t="str"/>
      <x:c r="F94" s="157" t="str"/>
      <x:c r="G94" s="157" t="str"/>
      <x:c r="H94" s="157" t="str"/>
      <x:c r="I94" s="157" t="str"/>
      <x:c r="J94" s="157" t="str"/>
      <x:c r="K94" s="157" t="str">
        <x:v>待做</x:v>
      </x:c>
      <x:c r="L94" s="157" t="str"/>
      <x:c r="M94" s="170" t="str"/>
      <x:c r="N94" s="157" t="str"/>
      <x:c r="O94" s="157" t="str"/>
      <x:c r="P94" s="157" t="str"/>
    </x:row>
    <x:row r="95">
      <x:c r="A95" s="157" t="str"/>
      <x:c r="B95" s="157" t="str"/>
      <x:c r="C95" s="157" t="str"/>
      <x:c r="D95" s="157" t="str"/>
      <x:c r="E95" s="157" t="str"/>
      <x:c r="F95" s="157" t="str"/>
      <x:c r="G95" s="157" t="str"/>
      <x:c r="H95" s="157" t="str"/>
      <x:c r="I95" s="157" t="str"/>
      <x:c r="J95" s="157" t="str"/>
      <x:c r="K95" s="157" t="str">
        <x:v>待做</x:v>
      </x:c>
      <x:c r="L95" s="157" t="str"/>
      <x:c r="M95" s="170" t="str"/>
      <x:c r="N95" s="157" t="str"/>
      <x:c r="O95" s="157" t="str"/>
      <x:c r="P95" s="157" t="str"/>
    </x:row>
    <x:row r="96">
      <x:c r="A96" s="157" t="str"/>
      <x:c r="B96" s="157" t="str"/>
      <x:c r="C96" s="157" t="str"/>
      <x:c r="D96" s="157" t="str"/>
      <x:c r="E96" s="157" t="str"/>
      <x:c r="F96" s="157" t="str"/>
      <x:c r="G96" s="157" t="str"/>
      <x:c r="H96" s="157" t="str"/>
      <x:c r="I96" s="157" t="str"/>
      <x:c r="J96" s="157" t="str"/>
      <x:c r="K96" s="157" t="str">
        <x:v>待做</x:v>
      </x:c>
      <x:c r="L96" s="157" t="str"/>
      <x:c r="M96" s="170" t="str"/>
      <x:c r="N96" s="157" t="str"/>
      <x:c r="O96" s="157" t="str"/>
      <x:c r="P96" s="157" t="str"/>
    </x:row>
    <x:row r="97">
      <x:c r="A97" s="157" t="str"/>
      <x:c r="B97" s="157" t="str"/>
      <x:c r="C97" s="157" t="str"/>
      <x:c r="D97" s="157" t="str"/>
      <x:c r="E97" s="157" t="str"/>
      <x:c r="F97" s="157" t="str"/>
      <x:c r="G97" s="157" t="str"/>
      <x:c r="H97" s="157" t="str"/>
      <x:c r="I97" s="157" t="str"/>
      <x:c r="J97" s="157" t="str"/>
      <x:c r="K97" s="157" t="str">
        <x:v>待做</x:v>
      </x:c>
      <x:c r="L97" s="157" t="str"/>
      <x:c r="M97" s="170" t="str"/>
      <x:c r="N97" s="157" t="str"/>
      <x:c r="O97" s="157" t="str"/>
      <x:c r="P97" s="157" t="str"/>
    </x:row>
    <x:row r="98">
      <x:c r="A98" s="157" t="str"/>
      <x:c r="B98" s="157" t="str"/>
      <x:c r="C98" s="157" t="str"/>
      <x:c r="D98" s="157" t="str"/>
      <x:c r="E98" s="157" t="str"/>
      <x:c r="F98" s="157" t="str"/>
      <x:c r="G98" s="157" t="str"/>
      <x:c r="H98" s="157" t="str"/>
      <x:c r="I98" s="157" t="str"/>
      <x:c r="J98" s="157" t="str"/>
      <x:c r="K98" s="157" t="str">
        <x:v>待做</x:v>
      </x:c>
      <x:c r="L98" s="157" t="str"/>
      <x:c r="M98" s="170" t="str"/>
      <x:c r="N98" s="157" t="str"/>
      <x:c r="O98" s="157" t="str"/>
      <x:c r="P98" s="157" t="str"/>
    </x:row>
    <x:row r="99">
      <x:c r="A99" s="157" t="str"/>
      <x:c r="B99" s="157" t="str"/>
      <x:c r="C99" s="157" t="str"/>
      <x:c r="D99" s="157" t="str"/>
      <x:c r="E99" s="157" t="str"/>
      <x:c r="F99" s="157" t="str"/>
      <x:c r="G99" s="157" t="str"/>
      <x:c r="H99" s="157" t="str"/>
      <x:c r="I99" s="157" t="str"/>
      <x:c r="J99" s="157" t="str"/>
      <x:c r="K99" s="157" t="str">
        <x:v>待做</x:v>
      </x:c>
      <x:c r="L99" s="157" t="str"/>
      <x:c r="M99" s="170" t="str"/>
      <x:c r="N99" s="157" t="str"/>
      <x:c r="O99" s="157" t="str"/>
      <x:c r="P99" s="157" t="str"/>
    </x:row>
    <x:row r="100">
      <x:c r="A100" s="157" t="str"/>
      <x:c r="B100" s="157" t="str"/>
      <x:c r="C100" s="157" t="str"/>
      <x:c r="D100" s="157" t="str"/>
      <x:c r="E100" s="157" t="str"/>
      <x:c r="F100" s="157" t="str"/>
      <x:c r="G100" s="157" t="str"/>
      <x:c r="H100" s="157" t="str"/>
      <x:c r="I100" s="157" t="str"/>
      <x:c r="J100" s="157" t="str"/>
      <x:c r="K100" s="157" t="str">
        <x:v>待做</x:v>
      </x:c>
      <x:c r="L100" s="157" t="str"/>
      <x:c r="M100" s="170" t="str"/>
      <x:c r="N100" s="157" t="str"/>
      <x:c r="O100" s="157" t="str"/>
      <x:c r="P100" s="157" t="str"/>
    </x:row>
    <x:row r="101">
      <x:c r="A101" s="157" t="str"/>
      <x:c r="B101" s="157" t="str"/>
      <x:c r="C101" s="157" t="str"/>
      <x:c r="D101" s="157" t="str"/>
      <x:c r="E101" s="157" t="str"/>
      <x:c r="F101" s="157" t="str"/>
      <x:c r="G101" s="157" t="str"/>
      <x:c r="H101" s="157" t="str"/>
      <x:c r="I101" s="157" t="str"/>
      <x:c r="J101" s="157" t="str"/>
      <x:c r="K101" s="157" t="str">
        <x:v>待做</x:v>
      </x:c>
      <x:c r="L101" s="157" t="str"/>
      <x:c r="M101" s="170" t="str"/>
      <x:c r="N101" s="157" t="str"/>
      <x:c r="O101" s="157" t="str"/>
      <x:c r="P101" s="157" t="str"/>
    </x:row>
    <x:row r="102">
      <x:c r="A102" s="157" t="str"/>
      <x:c r="B102" s="157" t="str"/>
      <x:c r="C102" s="157" t="str"/>
      <x:c r="D102" s="157" t="str"/>
      <x:c r="E102" s="157" t="str"/>
      <x:c r="F102" s="157" t="str"/>
      <x:c r="G102" s="157" t="str"/>
      <x:c r="H102" s="157" t="str"/>
      <x:c r="I102" s="157" t="str"/>
      <x:c r="J102" s="157" t="str"/>
      <x:c r="K102" s="157" t="str">
        <x:v>待做</x:v>
      </x:c>
      <x:c r="L102" s="157" t="str"/>
      <x:c r="M102" s="170" t="str"/>
      <x:c r="N102" s="157" t="str"/>
      <x:c r="O102" s="157" t="str"/>
      <x:c r="P102" s="157" t="str"/>
    </x:row>
    <x:row r="103">
      <x:c r="A103" s="157" t="str"/>
      <x:c r="B103" s="157" t="str"/>
      <x:c r="C103" s="157" t="str"/>
      <x:c r="D103" s="157" t="str"/>
      <x:c r="E103" s="157" t="str"/>
      <x:c r="F103" s="157" t="str"/>
      <x:c r="G103" s="157" t="str"/>
      <x:c r="H103" s="157" t="str"/>
      <x:c r="I103" s="157" t="str"/>
      <x:c r="J103" s="157" t="str"/>
      <x:c r="K103" s="157" t="str">
        <x:v>待做</x:v>
      </x:c>
      <x:c r="L103" s="157" t="str"/>
      <x:c r="M103" s="170" t="str"/>
      <x:c r="N103" s="157" t="str"/>
      <x:c r="O103" s="157" t="str"/>
      <x:c r="P103" s="157" t="str"/>
    </x:row>
    <x:row r="104">
      <x:c r="A104" s="157" t="str"/>
      <x:c r="B104" s="157" t="str"/>
      <x:c r="C104" s="157" t="str"/>
      <x:c r="D104" s="157" t="str"/>
      <x:c r="E104" s="157" t="str"/>
      <x:c r="F104" s="157" t="str"/>
      <x:c r="G104" s="157" t="str"/>
      <x:c r="H104" s="157" t="str"/>
      <x:c r="I104" s="157" t="str"/>
      <x:c r="J104" s="157" t="str"/>
      <x:c r="K104" s="157" t="str">
        <x:v>待做</x:v>
      </x:c>
      <x:c r="L104" s="157" t="str"/>
      <x:c r="M104" s="170" t="str"/>
      <x:c r="N104" s="157" t="str"/>
      <x:c r="O104" s="157" t="str"/>
      <x:c r="P104" s="157" t="str"/>
    </x:row>
  </x:sheetData>
  <x:mergeCells>
    <x:mergeCell ref="A1:P1"/>
    <x:mergeCell ref="A2:P3"/>
  </x:mergeCells>
  <x:dataValidations count="5">
    <x:dataValidation type="list" sqref="A6:A104">
      <x:formula1>"P0,P1,P2,P3"</x:formula1>
    </x:dataValidation>
    <x:dataValidation type="list" sqref="B6:B104">
      <x:formula1>"Quick Win,Blog Supporting,Product Page Needed,Internal Link,Update Old Page,Technical Fix,Monitor"</x:formula1>
    </x:dataValidation>
    <x:dataValidation type="list" sqref="H6:H104">
      <x:formula1>"博客,产品页,集合页,支柱页,FAQ,技术任务"</x:formula1>
    </x:dataValidation>
    <x:dataValidation type="list" sqref="K6:K104">
      <x:formula1>"待做,生成中,待审核,已发布,已完成,待复盘,暂缓"</x:formula1>
    </x:dataValidation>
    <x:dataValidation type="list" sqref="N6:N104">
      <x:formula1>"未推送,内容中枢,生产,页面规划,内链任务,待办"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65b824e7704244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3.75" hidden="0" customWidth="1"/>
    <x:col min="3" max="3" width="28.75" hidden="0" customWidth="1"/>
    <x:col min="4" max="4" width="27.5" hidden="0" customWidth="1"/>
    <x:col min="5" max="5" width="26.25" hidden="0" customWidth="1"/>
    <x:col min="6" max="6" width="22.5" hidden="0" customWidth="1"/>
    <x:col min="7" max="7" width="22.5" hidden="0" customWidth="1"/>
    <x:col min="8" max="8" width="22.5" hidden="0" customWidth="1"/>
  </x:cols>
  <x:sheetData>
    <x:row r="1">
      <x:c r="A1" s="153" t="str">
        <x:v>AI 复盘 Prompt：让 AI 按月度复盘口径输出结论和动作</x:v>
      </x:c>
      <x:c r="B1" s="153" t="str">
        <x:v>AI 复盘 Prompt：让 AI 按月度复盘口径输出结论和动作</x:v>
      </x:c>
      <x:c r="C1" s="153" t="str">
        <x:v>AI 复盘 Prompt：让 AI 按月度复盘口径输出结论和动作</x:v>
      </x:c>
      <x:c r="D1" s="153" t="str">
        <x:v>AI 复盘 Prompt：让 AI 按月度复盘口径输出结论和动作</x:v>
      </x:c>
      <x:c r="E1" s="153" t="str">
        <x:v>AI 复盘 Prompt：让 AI 按月度复盘口径输出结论和动作</x:v>
      </x:c>
      <x:c r="F1" s="153" t="str">
        <x:v>AI 复盘 Prompt：让 AI 按月度复盘口径输出结论和动作</x:v>
      </x:c>
      <x:c r="G1" s="153" t="str">
        <x:v>AI 复盘 Prompt：让 AI 按月度复盘口径输出结论和动作</x:v>
      </x:c>
      <x:c r="H1" s="153" t="str">
        <x:v>AI 复盘 Prompt：让 AI 按月度复盘口径输出结论和动作</x:v>
      </x:c>
    </x:row>
    <x:row r="2" ht="34.5" customHeight="1">
      <x:c r="A2" s="164" t="str">
        <x:v>把这张表交给 AI 时，它应该先识别数据源和市场是否匹配，再做结论、机会分类、优先级和下月任务，不允许直接把所有词都变成文章。</x:v>
      </x:c>
      <x:c r="B2" s="164" t="str">
        <x:v>把这张表交给 AI 时，它应该先识别数据源和市场是否匹配，再做结论、机会分类、优先级和下月任务，不允许直接把所有词都变成文章。</x:v>
      </x:c>
      <x:c r="C2" s="164" t="str">
        <x:v>把这张表交给 AI 时，它应该先识别数据源和市场是否匹配，再做结论、机会分类、优先级和下月任务，不允许直接把所有词都变成文章。</x:v>
      </x:c>
      <x:c r="D2" s="164" t="str">
        <x:v>把这张表交给 AI 时，它应该先识别数据源和市场是否匹配，再做结论、机会分类、优先级和下月任务，不允许直接把所有词都变成文章。</x:v>
      </x:c>
      <x:c r="E2" s="164" t="str">
        <x:v>把这张表交给 AI 时，它应该先识别数据源和市场是否匹配，再做结论、机会分类、优先级和下月任务，不允许直接把所有词都变成文章。</x:v>
      </x:c>
      <x:c r="F2" s="164" t="str">
        <x:v>把这张表交给 AI 时，它应该先识别数据源和市场是否匹配，再做结论、机会分类、优先级和下月任务，不允许直接把所有词都变成文章。</x:v>
      </x:c>
      <x:c r="G2" s="164" t="str">
        <x:v>把这张表交给 AI 时，它应该先识别数据源和市场是否匹配，再做结论、机会分类、优先级和下月任务，不允许直接把所有词都变成文章。</x:v>
      </x:c>
      <x:c r="H2" s="164" t="str">
        <x:v>把这张表交给 AI 时，它应该先识别数据源和市场是否匹配，再做结论、机会分类、优先级和下月任务，不允许直接把所有词都变成文章。</x:v>
      </x:c>
    </x:row>
    <x:row r="3" ht="34.5" customHeight="1">
      <x:c r="A3" s="164" t="str">
        <x:v>把这张表交给 AI 时，它应该先识别数据源和市场是否匹配，再做结论、机会分类、优先级和下月任务，不允许直接把所有词都变成文章。</x:v>
      </x:c>
      <x:c r="B3" s="164" t="str">
        <x:v>把这张表交给 AI 时，它应该先识别数据源和市场是否匹配，再做结论、机会分类、优先级和下月任务，不允许直接把所有词都变成文章。</x:v>
      </x:c>
      <x:c r="C3" s="164" t="str">
        <x:v>把这张表交给 AI 时，它应该先识别数据源和市场是否匹配，再做结论、机会分类、优先级和下月任务，不允许直接把所有词都变成文章。</x:v>
      </x:c>
      <x:c r="D3" s="164" t="str">
        <x:v>把这张表交给 AI 时，它应该先识别数据源和市场是否匹配，再做结论、机会分类、优先级和下月任务，不允许直接把所有词都变成文章。</x:v>
      </x:c>
      <x:c r="E3" s="164" t="str">
        <x:v>把这张表交给 AI 时，它应该先识别数据源和市场是否匹配，再做结论、机会分类、优先级和下月任务，不允许直接把所有词都变成文章。</x:v>
      </x:c>
      <x:c r="F3" s="164" t="str">
        <x:v>把这张表交给 AI 时，它应该先识别数据源和市场是否匹配，再做结论、机会分类、优先级和下月任务，不允许直接把所有词都变成文章。</x:v>
      </x:c>
      <x:c r="G3" s="164" t="str">
        <x:v>把这张表交给 AI 时，它应该先识别数据源和市场是否匹配，再做结论、机会分类、优先级和下月任务，不允许直接把所有词都变成文章。</x:v>
      </x:c>
      <x:c r="H3" s="164" t="str">
        <x:v>把这张表交给 AI 时，它应该先识别数据源和市场是否匹配，再做结论、机会分类、优先级和下月任务，不允许直接把所有词都变成文章。</x:v>
      </x:c>
    </x:row>
    <x:row r="5" ht="27" customHeight="1">
      <x:c r="A5" s="160" t="str">
        <x:v>模块</x:v>
      </x:c>
      <x:c r="B5" s="160" t="str">
        <x:v>AI要做什么</x:v>
      </x:c>
      <x:c r="C5" s="160" t="str">
        <x:v>输入</x:v>
      </x:c>
      <x:c r="D5" s="160" t="str">
        <x:v>判断标准</x:v>
      </x:c>
      <x:c r="E5" s="160" t="str">
        <x:v>输出</x:v>
      </x:c>
      <x:c r="F5" s="160" t="str">
        <x:v>禁止事项</x:v>
      </x:c>
      <x:c r="G5" s="160" t="str">
        <x:v>适用阶段</x:v>
      </x:c>
      <x:c r="H5" s="160" t="str">
        <x:v>备注</x:v>
      </x:c>
    </x:row>
    <x:row r="6">
      <x:c r="A6" s="157" t="str">
        <x:v>角色设定</x:v>
      </x:c>
      <x:c r="B6" s="157" t="str">
        <x:v>你是 Google SEO 月度复盘和内容增长策略助手</x:v>
      </x:c>
      <x:c r="C6" s="157" t="str">
        <x:v>网站定位、关键词池、文章库存、GSC、排名、GA4、询盘/订单</x:v>
      </x:c>
      <x:c r="D6" s="157" t="str">
        <x:v>先判断数据是否同市场/同语言/同站点</x:v>
      </x:c>
      <x:c r="E6" s="157" t="str">
        <x:v>复盘结论 + Action Plan</x:v>
      </x:c>
      <x:c r="F6" s="157" t="str">
        <x:v>不要直接写文章；不要忽略数据缺口</x:v>
      </x:c>
      <x:c r="G6" s="157" t="str">
        <x:v>全流程</x:v>
      </x:c>
      <x:c r="H6" s="157" t="str">
        <x:v>先问数据是否足够，再输出</x:v>
      </x:c>
    </x:row>
    <x:row r="7">
      <x:c r="A7" s="157" t="str">
        <x:v>需求判断</x:v>
      </x:c>
      <x:c r="B7" s="157" t="str">
        <x:v>用 GSC 判断真实需求是否成立</x:v>
      </x:c>
      <x:c r="C7" s="157" t="str">
        <x:v>query/page/clicks/impressions/ctr/avg position</x:v>
      </x:c>
      <x:c r="D7" s="157" t="str">
        <x:v>曝光和点击是本站真实信号；GSC 均位不是当前排名</x:v>
      </x:c>
      <x:c r="E7" s="157" t="str">
        <x:v>需求成立/不足/待观察</x:v>
      </x:c>
      <x:c r="F7" s="157" t="str">
        <x:v>只看 Semrush 搜索量下结论</x:v>
      </x:c>
      <x:c r="G7" s="157" t="str">
        <x:v>月度复盘</x:v>
      </x:c>
      <x:c r="H7" s="157" t="str"/>
    </x:row>
    <x:row r="8">
      <x:c r="A8" s="157" t="str">
        <x:v>承接判断</x:v>
      </x:c>
      <x:c r="B8" s="157" t="str">
        <x:v>用当前排名和排名 URL 判断页面是否承接正确</x:v>
      </x:c>
      <x:c r="C8" s="157" t="str">
        <x:v>rank, ranking_url, expected_url, URL type</x:v>
      </x:c>
      <x:c r="D8" s="157" t="str">
        <x:v>当前 URL 与预期页面类型是否一致</x:v>
      </x:c>
      <x:c r="E8" s="157" t="str">
        <x:v>URL 匹配/错配/缺页</x:v>
      </x:c>
      <x:c r="F8" s="157" t="str">
        <x:v>把 URL 错配词继续拿去写新文章</x:v>
      </x:c>
      <x:c r="G8" s="157" t="str">
        <x:v>GSC排名校验</x:v>
      </x:c>
      <x:c r="H8" s="157" t="str"/>
    </x:row>
    <x:row r="9">
      <x:c r="A9" s="157" t="str">
        <x:v>行为判断</x:v>
      </x:c>
      <x:c r="B9" s="157" t="str">
        <x:v>用 GA4 判断流量质量</x:v>
      </x:c>
      <x:c r="C9" s="157" t="str">
        <x:v>country/source/landing/users/sessions/engagement/bounce/time</x:v>
      </x:c>
      <x:c r="D9" s="157" t="str">
        <x:v>是否目标国家、停留是否足够、入口页是否匹配</x:v>
      </x:c>
      <x:c r="E9" s="157" t="str">
        <x:v>高质量/低质量/需优化</x:v>
      </x:c>
      <x:c r="F9" s="157" t="str">
        <x:v>只看访问量不看质量</x:v>
      </x:c>
      <x:c r="G9" s="157" t="str">
        <x:v>GA4质量分析</x:v>
      </x:c>
      <x:c r="H9" s="157" t="str"/>
    </x:row>
    <x:row r="10">
      <x:c r="A10" s="157" t="str">
        <x:v>商业判断</x:v>
      </x:c>
      <x:c r="B10" s="157" t="str">
        <x:v>用询盘/订单/加购判断 SEO 商业价值</x:v>
      </x:c>
      <x:c r="C10" s="157" t="str">
        <x:v>lead/order/add_to_cart/value/source/page</x:v>
      </x:c>
      <x:c r="D10" s="157" t="str">
        <x:v>能否追到页面或主题；是否有转化路径</x:v>
      </x:c>
      <x:c r="E10" s="157" t="str">
        <x:v>商业贡献/路径缺口/无法归因</x:v>
      </x:c>
      <x:c r="F10" s="157" t="str">
        <x:v>有流量就判断成功</x:v>
      </x:c>
      <x:c r="G10" s="157" t="str">
        <x:v>月度复盘</x:v>
      </x:c>
      <x:c r="H10" s="157" t="str"/>
    </x:row>
    <x:row r="11">
      <x:c r="A11" s="157" t="str">
        <x:v>机会分类</x:v>
      </x:c>
      <x:c r="B11" s="157" t="str">
        <x:v>把机会分成具体动作</x:v>
      </x:c>
      <x:c r="C11" s="157" t="str">
        <x:v>GSC + 当前排名 + 文章库存 + GA4</x:v>
      </x:c>
      <x:c r="D11" s="157" t="str">
        <x:v>Quick Win / Blog Supporting / Product Page Needed / Internal Link / Update Old Page / Monitor</x:v>
      </x:c>
      <x:c r="E11" s="157" t="str">
        <x:v>机会类型 + P0/P1/P2/P3</x:v>
      </x:c>
      <x:c r="F11" s="157" t="str">
        <x:v>所有词都写文章</x:v>
      </x:c>
      <x:c r="G11" s="157" t="str">
        <x:v>Action Plan</x:v>
      </x:c>
      <x:c r="H11" s="157" t="str"/>
    </x:row>
    <x:row r="12">
      <x:c r="A12" s="157" t="str">
        <x:v>任务回流</x:v>
      </x:c>
      <x:c r="B12" s="157" t="str">
        <x:v>把任务推到正确系统模块</x:v>
      </x:c>
      <x:c r="C12" s="157" t="str">
        <x:v>机会类型、目标站点、目标 URL、现有文章</x:v>
      </x:c>
      <x:c r="D12" s="157" t="str">
        <x:v>新写进生产；旧文进优化；产品页进页面规划；内链进内链任务</x:v>
      </x:c>
      <x:c r="E12" s="157" t="str">
        <x:v>月度ActionPlan</x:v>
      </x:c>
      <x:c r="F12" s="157" t="str">
        <x:v>Product Page Needed 直接写博客</x:v>
      </x:c>
      <x:c r="G12" s="157" t="str">
        <x:v>内容中枢/生产</x:v>
      </x:c>
      <x:c r="H12" s="157" t="str"/>
    </x:row>
    <x:row r="13">
      <x:c r="A13" s="157" t="str">
        <x:v>输出格式</x:v>
      </x:c>
      <x:c r="B13" s="157" t="str">
        <x:v>按表格输出可执行结果</x:v>
      </x:c>
      <x:c r="C13" s="157" t="str">
        <x:v>所有可用数据</x:v>
      </x:c>
      <x:c r="D13" s="157" t="str">
        <x:v>每条任务必须有优先级、动作、目标 URL/站点、复盘指标</x:v>
      </x:c>
      <x:c r="E13" s="157" t="str">
        <x:v>Markdown 总结 + Action Plan 表格</x:v>
      </x:c>
      <x:c r="F13" s="157" t="str">
        <x:v>输出空泛建议</x:v>
      </x:c>
      <x:c r="G13" s="157" t="str">
        <x:v>交付</x:v>
      </x:c>
      <x:c r="H13" s="157" t="str">
        <x:v>可复制到网页端任务池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d9ec39e1872d4af9"/>
  </x:tableParts>
</x:worksheet>
</file>