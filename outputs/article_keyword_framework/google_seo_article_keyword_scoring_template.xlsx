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0ee63f089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3f3598b25cd401e"/>
    <x:sheet xmlns:r="http://schemas.openxmlformats.org/officeDocument/2006/relationships" name="评分规则" sheetId="2" r:id="Rb9b16fcaa5b54d3f"/>
    <x:sheet xmlns:r="http://schemas.openxmlformats.org/officeDocument/2006/relationships" name="文章关键词池" sheetId="3" r:id="R4c56d87b40d148e8"/>
    <x:sheet xmlns:r="http://schemas.openxmlformats.org/officeDocument/2006/relationships" name="内容日历" sheetId="4" r:id="R2f4c84cdf6744c7d"/>
    <x:sheet xmlns:r="http://schemas.openxmlformats.org/officeDocument/2006/relationships" name="文章Brief模板" sheetId="5" r:id="R86a71524cab74a1a"/>
    <x:sheet xmlns:r="http://schemas.openxmlformats.org/officeDocument/2006/relationships" name="仪表盘" sheetId="6" r:id="R14d725972901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0"/>
    <x:numFmt numFmtId="203" formatCode="0.0"/>
    <x:numFmt numFmtId="204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2019"/>
      <x:name val="Carlito"/>
    </x:font>
    <x:font>
      <x:b/>
      <x:sz val="11"/>
      <x:color rgb="FF17201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75E45"/>
      </x:patternFill>
    </x:fill>
    <x:fill>
      <x:patternFill patternType="solid">
        <x:fgColor rgb="FFDDEFE5"/>
      </x:patternFill>
    </x:fill>
    <x:fill>
      <x:patternFill patternType="solid">
        <x:fgColor rgb="FFFFF3D3"/>
      </x:patternFill>
    </x:fill>
    <x:fill>
      <x:patternFill patternType="solid">
        <x:fgColor rgb="FFFBFCF9"/>
      </x:patternFill>
    </x:fill>
  </x:fills>
  <x:borders count="19">
    <x:border/>
    <x:border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bottom style="thin">
        <x:color rgb="FFE6E8E6"/>
      </x:bottom>
    </x:border>
    <x:border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top style="thin">
        <x:color rgb="FFE6E8E6"/>
      </x:top>
      <x:bottom style="thin">
        <x:color rgb="FFE6E8E6"/>
      </x:bottom>
    </x:border>
    <x:border>
      <x:right style="thin">
        <x:color rgb="FFE6E8E6"/>
      </x:right>
      <x:top style="thin">
        <x:color rgb="FFE6E8E6"/>
      </x:top>
    </x:border>
    <x:border>
      <x:left style="thin">
        <x:color rgb="FFE6E8E6"/>
      </x:left>
      <x:right style="thin">
        <x:color rgb="FFE6E8E6"/>
      </x:right>
      <x:top style="thin">
        <x:color rgb="FFE6E8E6"/>
      </x:top>
    </x:border>
    <x:border>
      <x:left style="thin">
        <x:color rgb="FFE6E8E6"/>
      </x:left>
      <x:top style="thin">
        <x:color rgb="FFE6E8E6"/>
      </x:top>
    </x:border>
    <x:border>
      <x:top style="thin">
        <x:color rgb="FFE6E8E6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medium">
        <x:color rgb="FFB7C2BA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medium">
        <x:color rgb="FFB7C2BA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200" fontId="0" fillId="5" borderId="2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5" borderId="5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2" fontId="0" fillId="5" borderId="2" xfId="0" applyNumberFormat="1" applyFont="1" applyFill="1" applyBorder="1" applyAlignment="1">
      <x:alignment vertical="top" wrapText="1"/>
    </x:xf>
    <x:xf numFmtId="202" fontId="0" fillId="5" borderId="5" xfId="0" applyNumberFormat="1" applyFont="1" applyFill="1" applyBorder="1" applyAlignment="1">
      <x:alignment vertical="top" wrapText="1"/>
    </x:xf>
    <x:xf numFmtId="202" fontId="0" fillId="5" borderId="8" xfId="0" applyNumberFormat="1" applyFont="1" applyFill="1" applyBorder="1" applyAlignment="1">
      <x:alignment vertical="top" wrapText="1"/>
    </x:xf>
    <x:xf numFmtId="203" fontId="0" fillId="5" borderId="2" xfId="0" applyNumberFormat="1" applyFont="1" applyFill="1" applyBorder="1" applyAlignment="1">
      <x:alignment vertical="top" wrapText="1"/>
    </x:xf>
    <x:xf numFmtId="203" fontId="0" fillId="5" borderId="5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201" fontId="0" fillId="5" borderId="17" xfId="0" applyNumberFormat="1" applyFont="1" applyFill="1" applyBorder="1" applyAlignment="1">
      <x:alignment vertical="top" wrapText="1"/>
    </x:xf>
    <x:xf numFmtId="202" fontId="0" fillId="5" borderId="17" xfId="0" applyNumberFormat="1" applyFont="1" applyFill="1" applyBorder="1" applyAlignment="1">
      <x:alignment vertical="top" wrapText="1"/>
    </x:xf>
    <x:xf numFmtId="200" fontId="0" fillId="5" borderId="17" xfId="0" applyNumberFormat="1" applyFont="1" applyFill="1" applyBorder="1" applyAlignment="1">
      <x:alignment vertical="top" wrapText="1"/>
    </x:xf>
    <x:xf numFmtId="203" fontId="0" fillId="5" borderId="17" xfId="0" applyNumberFormat="1" applyFont="1" applyFill="1" applyBorder="1" applyAlignment="1">
      <x:alignment vertical="top" wrapText="1"/>
    </x:xf>
    <x:xf numFmtId="0" fontId="3" fillId="3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204" fontId="0" fillId="5" borderId="2" xfId="0" applyNumberFormat="1" applyFont="1" applyFill="1" applyBorder="1" applyAlignment="1">
      <x:alignment vertical="top" wrapText="1"/>
    </x:xf>
    <x:xf numFmtId="204" fontId="0" fillId="5" borderId="5" xfId="0" applyNumberFormat="1" applyFont="1" applyFill="1" applyBorder="1" applyAlignment="1">
      <x:alignment vertical="top" wrapText="1"/>
    </x:xf>
    <x:xf numFmtId="204" fontId="0" fillId="5" borderId="8" xfId="0" applyNumberFormat="1" applyFont="1" applyFill="1" applyBorder="1" applyAlignment="1">
      <x:alignment vertical="top" wrapText="1"/>
    </x:xf>
    <x:xf numFmtId="201" fontId="0" fillId="5" borderId="3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3" fontId="0" fillId="5" borderId="6" xfId="0" applyNumberFormat="1" applyFont="1" applyFill="1" applyBorder="1" applyAlignment="1">
      <x:alignment wrapText="1"/>
    </x:xf>
    <x:xf numFmtId="203" fontId="0" fillId="5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2" borderId="11" xfId="0" applyNumberFormat="1" applyFont="1" applyFill="1" applyBorder="1" applyAlignment="1">
      <x:alignment horizontal="center" vertical="top" wrapText="1"/>
    </x:xf>
    <x:xf numFmtId="0" fontId="4" fillId="2" borderId="12" xfId="0" applyNumberFormat="1" applyFont="1" applyFill="1" applyBorder="1" applyAlignment="1">
      <x:alignment horizontal="center" vertical="top" wrapText="1"/>
    </x:xf>
    <x:xf numFmtId="0" fontId="4" fillId="2" borderId="13" xfId="0" applyNumberFormat="1" applyFont="1" applyFill="1" applyBorder="1" applyAlignment="1">
      <x:alignment horizontal="center" vertical="top" wrapText="1"/>
    </x:xf>
    <x:xf numFmtId="201" fontId="0" fillId="5" borderId="3" xfId="0" applyNumberFormat="1" applyFont="1" applyFill="1" applyBorder="1" applyAlignment="1">
      <x:alignment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3" fontId="0" fillId="5" borderId="6" xfId="0" applyNumberFormat="1" applyFont="1" applyFill="1" applyBorder="1" applyAlignment="1">
      <x:alignment vertical="top" wrapText="1"/>
    </x:xf>
    <x:xf numFmtId="203" fontId="0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75E45"/>
      </x:font>
      <x:fill>
        <x:patternFill patternType="solid">
          <x:bgColor rgb="FFDDEFE5"/>
        </x:patternFill>
      </x:fill>
    </x:dxf>
    <x:dxf>
      <x:font>
        <x:b/>
        <x:color rgb="FFC2410C"/>
      </x:font>
      <x:fill>
        <x:patternFill patternType="solid">
          <x:bgColor rgb="FFFEE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e50768e8841c1" /><Relationship Type="http://schemas.openxmlformats.org/officeDocument/2006/relationships/theme" Target="/xl/theme/theme1.xml" Id="Ref072a0a419e4e83" /><Relationship Type="http://schemas.openxmlformats.org/officeDocument/2006/relationships/sharedStrings" Target="/xl/sharedStrings.xml" Id="R6393207586ce45cd" /><Relationship Type="http://schemas.openxmlformats.org/officeDocument/2006/relationships/worksheet" Target="/xl/worksheets/sheet1.xml" Id="R13f3598b25cd401e" /><Relationship Type="http://schemas.openxmlformats.org/officeDocument/2006/relationships/worksheet" Target="/xl/worksheets/sheet2.xml" Id="Rb9b16fcaa5b54d3f" /><Relationship Type="http://schemas.openxmlformats.org/officeDocument/2006/relationships/worksheet" Target="/xl/worksheets/sheet3.xml" Id="R4c56d87b40d148e8" /><Relationship Type="http://schemas.openxmlformats.org/officeDocument/2006/relationships/worksheet" Target="/xl/worksheets/sheet4.xml" Id="R2f4c84cdf6744c7d" /><Relationship Type="http://schemas.openxmlformats.org/officeDocument/2006/relationships/worksheet" Target="/xl/worksheets/sheet5.xml" Id="R86a71524cab74a1a" /><Relationship Type="http://schemas.openxmlformats.org/officeDocument/2006/relationships/worksheet" Target="/xl/worksheets/sheet6.xml" Id="R14d72597290141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6" hidden="0" customWidth="1"/>
    <x:col min="4" max="4" width="28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98" t="str">
        <x:v>Google SEO 文章关键词评分表</x:v>
      </x:c>
      <x:c r="B1" s="98" t="str">
        <x:v>Google SEO 文章关键词评分表</x:v>
      </x:c>
      <x:c r="C1" s="98" t="str">
        <x:v>Google SEO 文章关键词评分表</x:v>
      </x:c>
      <x:c r="D1" s="98" t="str">
        <x:v>Google SEO 文章关键词评分表</x:v>
      </x:c>
      <x:c r="E1" s="98" t="str">
        <x:v>Google SEO 文章关键词评分表</x:v>
      </x:c>
      <x:c r="F1" s="98" t="str">
        <x:v>Google SEO 文章关键词评分表</x:v>
      </x:c>
      <x:c r="G1" s="98" t="str">
        <x:v>Google SEO 文章关键词评分表</x:v>
      </x:c>
      <x:c r="H1" s="98" t="str">
        <x:v>Google SEO 文章关键词评分表</x:v>
      </x:c>
    </x:row>
    <x:row r="2" ht="34" customHeight="1">
      <x:c r="A2" s="99" t="str">
        <x:v>用途：把 Semrush / GSC / 人工 SERP 判断合在一张表里，筛出真正值得写博客的关键词，并生成文章规划。</x:v>
      </x:c>
      <x:c r="B2" s="99" t="str">
        <x:v>用途：把 Semrush / GSC / 人工 SERP 判断合在一张表里，筛出真正值得写博客的关键词，并生成文章规划。</x:v>
      </x:c>
      <x:c r="C2" s="99" t="str">
        <x:v>用途：把 Semrush / GSC / 人工 SERP 判断合在一张表里，筛出真正值得写博客的关键词，并生成文章规划。</x:v>
      </x:c>
      <x:c r="D2" s="99" t="str">
        <x:v>用途：把 Semrush / GSC / 人工 SERP 判断合在一张表里，筛出真正值得写博客的关键词，并生成文章规划。</x:v>
      </x:c>
      <x:c r="E2" s="99" t="str">
        <x:v>用途：把 Semrush / GSC / 人工 SERP 判断合在一张表里，筛出真正值得写博客的关键词，并生成文章规划。</x:v>
      </x:c>
      <x:c r="F2" s="99" t="str">
        <x:v>用途：把 Semrush / GSC / 人工 SERP 判断合在一张表里，筛出真正值得写博客的关键词，并生成文章规划。</x:v>
      </x:c>
      <x:c r="G2" s="99" t="str">
        <x:v>用途：把 Semrush / GSC / 人工 SERP 判断合在一张表里，筛出真正值得写博客的关键词，并生成文章规划。</x:v>
      </x:c>
      <x:c r="H2" s="99" t="str">
        <x:v>用途：把 Semrush / GSC / 人工 SERP 判断合在一张表里，筛出真正值得写博客的关键词，并生成文章规划。</x:v>
      </x:c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>
      <x:c r="A4" s="101" t="str">
        <x:v>先记住一句话：关键词不是都拿来写文章。先判断页面类型，再决定写博客、分类页、产品页，还是只放到 FAQ/段落里。</x:v>
      </x:c>
      <x:c r="B4" s="101" t="str">
        <x:v>先记住一句话：关键词不是都拿来写文章。先判断页面类型，再决定写博客、分类页、产品页，还是只放到 FAQ/段落里。</x:v>
      </x:c>
      <x:c r="C4" s="101" t="str">
        <x:v>先记住一句话：关键词不是都拿来写文章。先判断页面类型，再决定写博客、分类页、产品页，还是只放到 FAQ/段落里。</x:v>
      </x:c>
      <x:c r="D4" s="101" t="str">
        <x:v>先记住一句话：关键词不是都拿来写文章。先判断页面类型，再决定写博客、分类页、产品页，还是只放到 FAQ/段落里。</x:v>
      </x:c>
      <x:c r="E4" s="101" t="str">
        <x:v>先记住一句话：关键词不是都拿来写文章。先判断页面类型，再决定写博客、分类页、产品页，还是只放到 FAQ/段落里。</x:v>
      </x:c>
      <x:c r="F4" s="101" t="str">
        <x:v>先记住一句话：关键词不是都拿来写文章。先判断页面类型，再决定写博客、分类页、产品页，还是只放到 FAQ/段落里。</x:v>
      </x:c>
      <x:c r="G4" s="101" t="str">
        <x:v>先记住一句话：关键词不是都拿来写文章。先判断页面类型，再决定写博客、分类页、产品页，还是只放到 FAQ/段落里。</x:v>
      </x:c>
      <x:c r="H4" s="101" t="str">
        <x:v>先记住一句话：关键词不是都拿来写文章。先判断页面类型，再决定写博客、分类页、产品页，还是只放到 FAQ/段落里。</x:v>
      </x:c>
    </x:row>
    <x:row r="5">
      <x:c r="A5" s="100"/>
      <x:c r="B5" s="100"/>
      <x:c r="C5" s="100"/>
      <x:c r="D5" s="100"/>
      <x:c r="E5" s="100"/>
      <x:c r="F5" s="100"/>
      <x:c r="G5" s="100"/>
      <x:c r="H5" s="100"/>
    </x:row>
    <x:row r="6">
      <x:c r="A6" s="102" t="str">
        <x:v>步骤</x:v>
      </x:c>
      <x:c r="B6" s="102" t="str">
        <x:v>你要做什么</x:v>
      </x:c>
      <x:c r="C6" s="102" t="str">
        <x:v>判断标准</x:v>
      </x:c>
      <x:c r="D6" s="102" t="str">
        <x:v>输出结果</x:v>
      </x:c>
      <x:c r="E6" s="102" t="str">
        <x:v>适合 2C 商城怎么迁移</x:v>
      </x:c>
      <x:c r="F6" s="102" t="str">
        <x:v>常见错误</x:v>
      </x:c>
      <x:c r="G6" s="102" t="str">
        <x:v>复盘指标</x:v>
      </x:c>
      <x:c r="H6" s="102" t="str">
        <x:v>备注</x:v>
      </x:c>
    </x:row>
    <x:row r="7">
      <x:c r="A7" s="45" t="str">
        <x:v>1. 导入词</x:v>
      </x:c>
      <x:c r="B7" s="34" t="str">
        <x:v>从 Semrush 导出 Keyword、Volume、CPC、KD、Intent</x:v>
      </x:c>
      <x:c r="C7" s="34" t="str">
        <x:v>先不急着删词，保留原始数据</x:v>
      </x:c>
      <x:c r="D7" s="34" t="str">
        <x:v>关键词池</x:v>
      </x:c>
      <x:c r="E7" s="34" t="str">
        <x:v>按产品线/集合页分组，如 silk pillowcase、silk eye mask</x:v>
      </x:c>
      <x:c r="F7" s="34" t="str">
        <x:v>只看搜索量，忽略意图</x:v>
      </x:c>
      <x:c r="G7" s="34" t="str">
        <x:v>词数、主题簇覆盖</x:v>
      </x:c>
      <x:c r="H7" s="35" t="str">
        <x:v>原始数据可粘到「文章关键词池」</x:v>
      </x:c>
    </x:row>
    <x:row r="8">
      <x:c r="A8" s="46" t="str">
        <x:v>2. 看 SERP</x:v>
      </x:c>
      <x:c r="B8" s="37" t="str">
        <x:v>手动搜 Google 前 10 名</x:v>
      </x:c>
      <x:c r="C8" s="37" t="str">
        <x:v>前排是否有 guide、best、vs、how-to、FAQ、list 文章</x:v>
      </x:c>
      <x:c r="D8" s="37" t="str">
        <x:v>SERP文章占比 0-10</x:v>
      </x:c>
      <x:c r="E8" s="37" t="str">
        <x:v>如果前排多是 collection/product，就不要硬写博客</x:v>
      </x:c>
      <x:c r="F8" s="37" t="str">
        <x:v>不看页面类型就写文章</x:v>
      </x:c>
      <x:c r="G8" s="37" t="str">
        <x:v>目标词前排页面类型</x:v>
      </x:c>
      <x:c r="H8" s="38" t="str">
        <x:v>这是最关键的人工校正</x:v>
      </x:c>
    </x:row>
    <x:row r="9">
      <x:c r="A9" s="46" t="str">
        <x:v>3. 分配页面</x:v>
      </x:c>
      <x:c r="B9" s="37" t="str">
        <x:v>给关键词指定父级商业页</x:v>
      </x:c>
      <x:c r="C9" s="37" t="str">
        <x:v>文章必须能支撑一个分类页/商品页/集合页</x:v>
      </x:c>
      <x:c r="D9" s="37" t="str">
        <x:v>父级商业页 + 目标URL</x:v>
      </x:c>
      <x:c r="E9" s="37" t="str">
        <x:v>博客负责解释、比较、教育，商业页负责成交</x:v>
      </x:c>
      <x:c r="F9" s="37" t="str">
        <x:v>博客孤岛，没有内链</x:v>
      </x:c>
      <x:c r="G9" s="37" t="str">
        <x:v>内链点击、商业页排名</x:v>
      </x:c>
      <x:c r="H9" s="38" t="str">
        <x:v>每篇文章至少链接 1 个成交页</x:v>
      </x:c>
    </x:row>
    <x:row r="10">
      <x:c r="A10" s="46" t="str">
        <x:v>4. 打分筛选</x:v>
      </x:c>
      <x:c r="B10" s="37" t="str">
        <x:v>按 7 个维度评分</x:v>
      </x:c>
      <x:c r="C10" s="37" t="str">
        <x:v>总分 &gt;=75 优先写，60-74 排入内容日历</x:v>
      </x:c>
      <x:c r="D10" s="37" t="str">
        <x:v>优先级 P0/P1/P2/P3</x:v>
      </x:c>
      <x:c r="E10" s="37" t="str">
        <x:v>小站先做长尾、商业支撑强、内容能做深的词</x:v>
      </x:c>
      <x:c r="F10" s="37" t="str">
        <x:v>把定义词当高价值文章</x:v>
      </x:c>
      <x:c r="G10" s="37" t="str">
        <x:v>排名、点击、转化辅助</x:v>
      </x:c>
      <x:c r="H10" s="38" t="str">
        <x:v>评分会自动计算</x:v>
      </x:c>
    </x:row>
    <x:row r="11">
      <x:c r="A11" s="46" t="str">
        <x:v>5. 写 Brief</x:v>
      </x:c>
      <x:c r="B11" s="37" t="str">
        <x:v>根据推荐文章类型生成写作提纲</x:v>
      </x:c>
      <x:c r="C11" s="37" t="str">
        <x:v>不要只写定义，要有对比、数据、经验、表格、图片、FAQ</x:v>
      </x:c>
      <x:c r="D11" s="37" t="str">
        <x:v>文章 Brief</x:v>
      </x:c>
      <x:c r="E11" s="37" t="str">
        <x:v>2C 要加入购买场景、材质、尺码、护理、适用人群</x:v>
      </x:c>
      <x:c r="F11" s="37" t="str">
        <x:v>AI 水文、无证据、无 CTA</x:v>
      </x:c>
      <x:c r="G11" s="37" t="str">
        <x:v>阅读时长、跳出、内链点击</x:v>
      </x:c>
      <x:c r="H11" s="38" t="str">
        <x:v>见「文章Brief模板」</x:v>
      </x:c>
    </x:row>
    <x:row r="12">
      <x:c r="A12" s="46" t="str">
        <x:v>6. 发布频率</x:v>
      </x:c>
      <x:c r="B12" s="37" t="str">
        <x:v>按网站阶段发文</x:v>
      </x:c>
      <x:c r="C12" s="37" t="str">
        <x:v>起步 10篇/月，成长 20篇/月，发展约 30篇/月，成熟不超过 5篇/天</x:v>
      </x:c>
      <x:c r="D12" s="37" t="str">
        <x:v>内容日历</x:v>
      </x:c>
      <x:c r="E12" s="37" t="str">
        <x:v>资源少时宁可少发，也要围绕主题簇持续更新</x:v>
      </x:c>
      <x:c r="F12" s="37" t="str">
        <x:v>无节奏日更低质内容</x:v>
      </x:c>
      <x:c r="G12" s="37" t="str">
        <x:v>收录、展现、点击</x:v>
      </x:c>
      <x:c r="H12" s="38" t="str">
        <x:v>来自视频中的发文阶段逻辑</x:v>
      </x:c>
    </x:row>
    <x:row r="13">
      <x:c r="A13" s="47" t="str">
        <x:v>7. 复盘迭代</x:v>
      </x:c>
      <x:c r="B13" s="40" t="str">
        <x:v>用 GSC 看查询、页面、排名</x:v>
      </x:c>
      <x:c r="C13" s="40" t="str">
        <x:v>有展现没点击改标题；有排名没进前 10 补内容/内链；没展现重查意图</x:v>
      </x:c>
      <x:c r="D13" s="40" t="str">
        <x:v>更新任务</x:v>
      </x:c>
      <x:c r="E13" s="40" t="str">
        <x:v>保留能带来辅助成交的内容，合并无价值薄内容</x:v>
      </x:c>
      <x:c r="F13" s="40" t="str">
        <x:v>只发布不复盘</x:v>
      </x:c>
      <x:c r="G13" s="40" t="str">
        <x:v>GSC 点击、展示、平均排名</x:v>
      </x:c>
      <x:c r="H13" s="41" t="str">
        <x:v>每 30-60 天复盘一次</x:v>
      </x:c>
    </x:row>
    <x:row r="14">
      <x:c r="A14" s="100"/>
      <x:c r="B14" s="100"/>
      <x:c r="C14" s="100"/>
      <x:c r="D14" s="100"/>
      <x:c r="E14" s="100"/>
      <x:c r="F14" s="100"/>
      <x:c r="G14" s="100"/>
      <x:c r="H14" s="100"/>
    </x:row>
    <x:row r="15">
      <x:c r="A15" s="103" t="str">
        <x:v>视频里可迁移出来的博客规则</x:v>
      </x:c>
      <x:c r="B15" s="103" t="str">
        <x:v>视频里可迁移出来的博客规则</x:v>
      </x:c>
      <x:c r="C15" s="103" t="str">
        <x:v>视频里可迁移出来的博客规则</x:v>
      </x:c>
      <x:c r="D15" s="103" t="str">
        <x:v>视频里可迁移出来的博客规则</x:v>
      </x:c>
      <x:c r="E15" s="103" t="str">
        <x:v>视频里可迁移出来的博客规则</x:v>
      </x:c>
      <x:c r="F15" s="103" t="str">
        <x:v>视频里可迁移出来的博客规则</x:v>
      </x:c>
      <x:c r="G15" s="103" t="str">
        <x:v>视频里可迁移出来的博客规则</x:v>
      </x:c>
      <x:c r="H15" s="103" t="str">
        <x:v>视频里可迁移出来的博客规则</x:v>
      </x:c>
    </x:row>
    <x:row r="16">
      <x:c r="A16" s="33" t="str">
        <x:v>规则1</x:v>
      </x:c>
      <x:c r="B16" s="34" t="str">
        <x:v>博客不是流量玄学，必须拿到“对应的词”。</x:v>
      </x:c>
      <x:c r="C16" s="34" t="str">
        <x:v>先查 SERP，再写文章。</x:v>
      </x:c>
      <x:c r="D16" s="34" t="str"/>
      <x:c r="E16" s="34" t="str"/>
      <x:c r="F16" s="34" t="str"/>
      <x:c r="G16" s="34" t="str"/>
      <x:c r="H16" s="35" t="str"/>
    </x:row>
    <x:row r="17">
      <x:c r="A17" s="36" t="str">
        <x:v>规则2</x:v>
      </x:c>
      <x:c r="B17" s="37" t="str">
        <x:v>文章要服务核心聚合页/商业页。</x:v>
      </x:c>
      <x:c r="C17" s="37" t="str">
        <x:v>每篇文章要明确链接到哪个分类页、产品页或集合页。</x:v>
      </x:c>
      <x:c r="D17" s="37" t="str"/>
      <x:c r="E17" s="37" t="str"/>
      <x:c r="F17" s="37" t="str"/>
      <x:c r="G17" s="37" t="str"/>
      <x:c r="H17" s="38" t="str"/>
    </x:row>
    <x:row r="18">
      <x:c r="A18" s="36" t="str">
        <x:v>规则3</x:v>
      </x:c>
      <x:c r="B18" s="37" t="str">
        <x:v>不要堆定义。</x:v>
      </x:c>
      <x:c r="C18" s="37" t="str">
        <x:v>AI 时代要补数据、标准、对比、场景、经验、图片和表格。</x:v>
      </x:c>
      <x:c r="D18" s="37" t="str"/>
      <x:c r="E18" s="37" t="str"/>
      <x:c r="F18" s="37" t="str"/>
      <x:c r="G18" s="37" t="str"/>
      <x:c r="H18" s="38" t="str"/>
    </x:row>
    <x:row r="19">
      <x:c r="A19" s="36" t="str">
        <x:v>规则4</x:v>
      </x:c>
      <x:c r="B19" s="37" t="str">
        <x:v>文章页面也可能抢核心词排名。</x:v>
      </x:c>
      <x:c r="C19" s="37" t="str">
        <x:v>如果 Google 更喜欢文章，就让文章排名，再把流量导向商业页。</x:v>
      </x:c>
      <x:c r="D19" s="37" t="str"/>
      <x:c r="E19" s="37" t="str"/>
      <x:c r="F19" s="37" t="str"/>
      <x:c r="G19" s="37" t="str"/>
      <x:c r="H19" s="38" t="str"/>
    </x:row>
    <x:row r="20">
      <x:c r="A20" s="39" t="str">
        <x:v>规则5</x:v>
      </x:c>
      <x:c r="B20" s="40" t="str">
        <x:v>内容规划要按阶段。</x:v>
      </x:c>
      <x:c r="C20" s="40" t="str">
        <x:v>小站先长尾和质量，成长后补核心词矩阵。</x:v>
      </x:c>
      <x:c r="D20" s="40" t="str"/>
      <x:c r="E20" s="40" t="str"/>
      <x:c r="F20" s="40" t="str"/>
      <x:c r="G20" s="40" t="str"/>
      <x:c r="H20" s="41" t="str"/>
    </x:row>
  </x:sheetData>
  <x:mergeCells>
    <x:mergeCell ref="A1:H1"/>
    <x:mergeCell ref="A2:H2"/>
    <x:mergeCell ref="A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6" hidden="0" customWidth="1"/>
    <x:col min="4" max="4" width="32" hidden="0" customWidth="1"/>
    <x:col min="5" max="5" width="34" hidden="0" customWidth="1"/>
    <x:col min="6" max="6" width="26" hidden="0" customWidth="1"/>
    <x:col min="7" max="7" width="26" hidden="0" customWidth="1"/>
  </x:cols>
  <x:sheetData>
    <x:row r="1">
      <x:c r="A1" s="98" t="str">
        <x:v>文章关键词 100 分评分规则</x:v>
      </x:c>
      <x:c r="B1" s="98" t="str">
        <x:v>文章关键词 100 分评分规则</x:v>
      </x:c>
      <x:c r="C1" s="98" t="str">
        <x:v>文章关键词 100 分评分规则</x:v>
      </x:c>
      <x:c r="D1" s="98" t="str">
        <x:v>文章关键词 100 分评分规则</x:v>
      </x:c>
      <x:c r="E1" s="98" t="str">
        <x:v>文章关键词 100 分评分规则</x:v>
      </x:c>
      <x:c r="F1" s="98" t="str">
        <x:v>文章关键词 100 分评分规则</x:v>
      </x:c>
      <x:c r="G1" s="98" t="str">
        <x:v>文章关键词 100 分评分规则</x:v>
      </x:c>
      <x:c r="H1" s="100"/>
    </x:row>
    <x:row r="2" ht="34" customHeight="1">
      <x:c r="A2" s="99" t="str">
        <x:v>分数不是替代判断，而是帮助你稳定筛出“值得单独写文章”的关键词。</x:v>
      </x:c>
      <x:c r="B2" s="99" t="str">
        <x:v>分数不是替代判断，而是帮助你稳定筛出“值得单独写文章”的关键词。</x:v>
      </x:c>
      <x:c r="C2" s="99" t="str">
        <x:v>分数不是替代判断，而是帮助你稳定筛出“值得单独写文章”的关键词。</x:v>
      </x:c>
      <x:c r="D2" s="99" t="str">
        <x:v>分数不是替代判断，而是帮助你稳定筛出“值得单独写文章”的关键词。</x:v>
      </x:c>
      <x:c r="E2" s="99" t="str">
        <x:v>分数不是替代判断，而是帮助你稳定筛出“值得单独写文章”的关键词。</x:v>
      </x:c>
      <x:c r="F2" s="99" t="str">
        <x:v>分数不是替代判断，而是帮助你稳定筛出“值得单独写文章”的关键词。</x:v>
      </x:c>
      <x:c r="G2" s="99" t="str">
        <x:v>分数不是替代判断，而是帮助你稳定筛出“值得单独写文章”的关键词。</x:v>
      </x:c>
      <x:c r="H2" s="99" t="str">
        <x:v>分数不是替代判断，而是帮助你稳定筛出“值得单独写文章”的关键词。</x:v>
      </x:c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>
      <x:c r="A4" s="102" t="str">
        <x:v>维度</x:v>
      </x:c>
      <x:c r="B4" s="102" t="str">
        <x:v>权重</x:v>
      </x:c>
      <x:c r="C4" s="102" t="str">
        <x:v>高分标准</x:v>
      </x:c>
      <x:c r="D4" s="102" t="str">
        <x:v>低分信号</x:v>
      </x:c>
      <x:c r="E4" s="102" t="str">
        <x:v>你怎么判断</x:v>
      </x:c>
      <x:c r="F4" s="102" t="str">
        <x:v>适合写文章的例子</x:v>
      </x:c>
      <x:c r="G4" s="102" t="str">
        <x:v>不适合单独写的例子</x:v>
      </x:c>
      <x:c r="H4" s="100"/>
    </x:row>
    <x:row r="5">
      <x:c r="A5" s="33" t="str">
        <x:v>SERP文章匹配</x:v>
      </x:c>
      <x:c r="B5" s="49" t="n">
        <x:v>20</x:v>
      </x:c>
      <x:c r="C5" s="34" t="str">
        <x:v>Google 前排有大量 guide / best / vs / how-to / list / FAQ</x:v>
      </x:c>
      <x:c r="D5" s="34" t="str">
        <x:v>前排几乎都是商品页、分类页、品牌首页</x:v>
      </x:c>
      <x:c r="E5" s="34" t="str">
        <x:v>搜索关键词，看前 10 个自然结果页面类型</x:v>
      </x:c>
      <x:c r="F5" s="34" t="str">
        <x:v>best silk pillowcase for hair</x:v>
      </x:c>
      <x:c r="G5" s="35" t="str">
        <x:v>silk pillowcase sale</x:v>
      </x:c>
      <x:c r="H5" s="100"/>
    </x:row>
    <x:row r="6">
      <x:c r="A6" s="36" t="str">
        <x:v>商业支撑</x:v>
      </x:c>
      <x:c r="B6" s="50" t="n">
        <x:v>20</x:v>
      </x:c>
      <x:c r="C6" s="37" t="str">
        <x:v>文章能自然导向分类页/商品页/集合页</x:v>
      </x:c>
      <x:c r="D6" s="37" t="str">
        <x:v>与产品弱相关，读完也不会买</x:v>
      </x:c>
      <x:c r="E6" s="37" t="str">
        <x:v>给每个词指定父级商业页</x:v>
      </x:c>
      <x:c r="F6" s="37" t="str">
        <x:v>silk vs satin pillowcase -&gt; silk pillowcase</x:v>
      </x:c>
      <x:c r="G6" s="38" t="str">
        <x:v>history of silk in ancient china</x:v>
      </x:c>
      <x:c r="H6" s="100"/>
    </x:row>
    <x:row r="7">
      <x:c r="A7" s="36" t="str">
        <x:v>需求强度</x:v>
      </x:c>
      <x:c r="B7" s="50" t="n">
        <x:v>15</x:v>
      </x:c>
      <x:c r="C7" s="37" t="str">
        <x:v>有搜索量，CPC 或商业意图不为 0</x:v>
      </x:c>
      <x:c r="D7" s="37" t="str">
        <x:v>无人搜，且没有购买辅助意义</x:v>
      </x:c>
      <x:c r="E7" s="37" t="str">
        <x:v>看 Volume、CPC、GSC 展现</x:v>
      </x:c>
      <x:c r="F7" s="37" t="str">
        <x:v>how to wash silk pillowcase</x:v>
      </x:c>
      <x:c r="G7" s="38" t="str">
        <x:v>random poetic keyword</x:v>
      </x:c>
      <x:c r="H7" s="100"/>
    </x:row>
    <x:row r="8">
      <x:c r="A8" s="36" t="str">
        <x:v>难度机会</x:v>
      </x:c>
      <x:c r="B8" s="50" t="n">
        <x:v>15</x:v>
      </x:c>
      <x:c r="C8" s="37" t="str">
        <x:v>KD 适合当前网站阶段，SERP 有弱内容可超越</x:v>
      </x:c>
      <x:c r="D8" s="37" t="str">
        <x:v>KD 极高且前排都是强站强内容</x:v>
      </x:c>
      <x:c r="E8" s="37" t="str">
        <x:v>看 KD、竞品内容薄弱点、站点权重</x:v>
      </x:c>
      <x:c r="F8" s="37" t="str">
        <x:v>silk pillowcase for curly hair</x:v>
      </x:c>
      <x:c r="G8" s="38" t="str">
        <x:v>best pillow</x:v>
      </x:c>
      <x:c r="H8" s="100"/>
    </x:row>
    <x:row r="9">
      <x:c r="A9" s="36" t="str">
        <x:v>内容深度</x:v>
      </x:c>
      <x:c r="B9" s="50" t="n">
        <x:v>15</x:v>
      </x:c>
      <x:c r="C9" s="37" t="str">
        <x:v>能加入实测、表格、图片、对比、FAQ、经验</x:v>
      </x:c>
      <x:c r="D9" s="37" t="str">
        <x:v>只能写定义，无法做出差异</x:v>
      </x:c>
      <x:c r="E9" s="37" t="str">
        <x:v>能不能列出至少 5 个有价值小节</x:v>
      </x:c>
      <x:c r="F9" s="37" t="str">
        <x:v>silk pillowcase size guide</x:v>
      </x:c>
      <x:c r="G9" s="38" t="str">
        <x:v>what is silk</x:v>
      </x:c>
      <x:c r="H9" s="100"/>
    </x:row>
    <x:row r="10">
      <x:c r="A10" s="36" t="str">
        <x:v>主题内链价值</x:v>
      </x:c>
      <x:c r="B10" s="50" t="n">
        <x:v>10</x:v>
      </x:c>
      <x:c r="C10" s="37" t="str">
        <x:v>能加入主题簇，向上支撑商业页，向下链接相关文章</x:v>
      </x:c>
      <x:c r="D10" s="37" t="str">
        <x:v>孤立文章，无内链关系</x:v>
      </x:c>
      <x:c r="E10" s="37" t="str">
        <x:v>是否属于一个清晰 topic cluster</x:v>
      </x:c>
      <x:c r="F10" s="37" t="str">
        <x:v>silk pillowcase benefits for skin</x:v>
      </x:c>
      <x:c r="G10" s="38" t="str">
        <x:v>unrelated lifestyle topic</x:v>
      </x:c>
      <x:c r="H10" s="100"/>
    </x:row>
    <x:row r="11">
      <x:c r="A11" s="39" t="str">
        <x:v>更新价值</x:v>
      </x:c>
      <x:c r="B11" s="51" t="n">
        <x:v>5</x:v>
      </x:c>
      <x:c r="C11" s="40" t="str">
        <x:v>可以每季度/半年更新，能跟产品、场景、趋势变化</x:v>
      </x:c>
      <x:c r="D11" s="40" t="str">
        <x:v>一次性短答案，长期无更新价值</x:v>
      </x:c>
      <x:c r="E11" s="40" t="str">
        <x:v>是否适合加新案例、新产品、新 FAQ</x:v>
      </x:c>
      <x:c r="F11" s="40" t="str">
        <x:v>best silk pillowcases 2026</x:v>
      </x:c>
      <x:c r="G11" s="41" t="str">
        <x:v>silk definition</x:v>
      </x:c>
      <x:c r="H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</x:row>
    <x:row r="13">
      <x:c r="A13" s="104" t="str">
        <x:v>推荐动作阈值</x:v>
      </x:c>
      <x:c r="B13" s="105" t="str">
        <x:v>推荐动作阈值</x:v>
      </x:c>
      <x:c r="C13" s="105" t="str">
        <x:v>推荐动作阈值</x:v>
      </x:c>
      <x:c r="D13" s="105" t="str">
        <x:v>推荐动作阈值</x:v>
      </x:c>
      <x:c r="E13" s="105" t="str">
        <x:v>推荐动作阈值</x:v>
      </x:c>
      <x:c r="F13" s="105" t="str">
        <x:v>推荐动作阈值</x:v>
      </x:c>
      <x:c r="G13" s="106" t="str">
        <x:v>推荐动作阈值</x:v>
      </x:c>
      <x:c r="H13" s="100"/>
    </x:row>
    <x:row r="14">
      <x:c r="A14" s="102" t="str">
        <x:v>总分</x:v>
      </x:c>
      <x:c r="B14" s="102" t="str">
        <x:v>等级</x:v>
      </x:c>
      <x:c r="C14" s="102" t="str">
        <x:v>动作</x:v>
      </x:c>
      <x:c r="D14" s="102" t="str">
        <x:v>解释</x:v>
      </x:c>
      <x:c r="E14" s="100"/>
      <x:c r="F14" s="100"/>
      <x:c r="G14" s="100"/>
      <x:c r="H14" s="100"/>
    </x:row>
    <x:row r="15">
      <x:c r="A15" s="33" t="n">
        <x:v>75</x:v>
      </x:c>
      <x:c r="B15" s="34" t="str">
        <x:v>P0</x:v>
      </x:c>
      <x:c r="C15" s="34" t="str">
        <x:v>立即写独立文章</x:v>
      </x:c>
      <x:c r="D15" s="35" t="str">
        <x:v>搜索意图适合文章，商业价值明确，内容能做深。</x:v>
      </x:c>
      <x:c r="E15" s="100"/>
      <x:c r="F15" s="100"/>
      <x:c r="G15" s="100"/>
      <x:c r="H15" s="100"/>
    </x:row>
    <x:row r="16">
      <x:c r="A16" s="36" t="n">
        <x:v>60</x:v>
      </x:c>
      <x:c r="B16" s="37" t="str">
        <x:v>P1</x:v>
      </x:c>
      <x:c r="C16" s="37" t="str">
        <x:v>排入本批内容日历</x:v>
      </x:c>
      <x:c r="D16" s="38" t="str">
        <x:v>值得写，但需要人工补 SERP 或内容证据。</x:v>
      </x:c>
      <x:c r="E16" s="100"/>
      <x:c r="F16" s="100"/>
      <x:c r="G16" s="100"/>
      <x:c r="H16" s="100"/>
    </x:row>
    <x:row r="17">
      <x:c r="A17" s="36" t="n">
        <x:v>45</x:v>
      </x:c>
      <x:c r="B17" s="37" t="str">
        <x:v>P2</x:v>
      </x:c>
      <x:c r="C17" s="37" t="str">
        <x:v>先做 FAQ/段落/低优先文章</x:v>
      </x:c>
      <x:c r="D17" s="38" t="str">
        <x:v>可能有价值，但独立文章风险较高。</x:v>
      </x:c>
      <x:c r="E17" s="100"/>
      <x:c r="F17" s="100"/>
      <x:c r="G17" s="100"/>
      <x:c r="H17" s="100"/>
    </x:row>
    <x:row r="18">
      <x:c r="A18" s="39" t="n">
        <x:v>0</x:v>
      </x:c>
      <x:c r="B18" s="40" t="str">
        <x:v>P3</x:v>
      </x:c>
      <x:c r="C18" s="40" t="str">
        <x:v>不单独写</x:v>
      </x:c>
      <x:c r="D18" s="41" t="str">
        <x:v>合并到商业页、FAQ，或暂时放弃。</x:v>
      </x:c>
      <x:c r="E18" s="100"/>
      <x:c r="F18" s="100"/>
      <x:c r="G18" s="100"/>
      <x:c r="H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</x:row>
    <x:row r="20">
      <x:c r="A20" s="104" t="str">
        <x:v>文章类型选择规则</x:v>
      </x:c>
      <x:c r="B20" s="105" t="str">
        <x:v>文章类型选择规则</x:v>
      </x:c>
      <x:c r="C20" s="105" t="str">
        <x:v>文章类型选择规则</x:v>
      </x:c>
      <x:c r="D20" s="105" t="str">
        <x:v>文章类型选择规则</x:v>
      </x:c>
      <x:c r="E20" s="105" t="str">
        <x:v>文章类型选择规则</x:v>
      </x:c>
      <x:c r="F20" s="105" t="str">
        <x:v>文章类型选择规则</x:v>
      </x:c>
      <x:c r="G20" s="106" t="str">
        <x:v>文章类型选择规则</x:v>
      </x:c>
      <x:c r="H20" s="100"/>
    </x:row>
    <x:row r="21">
      <x:c r="A21" s="102" t="str">
        <x:v>SERP/关键词信号</x:v>
      </x:c>
      <x:c r="B21" s="102" t="str">
        <x:v>推荐文章类型</x:v>
      </x:c>
      <x:c r="C21" s="102" t="str">
        <x:v>文章目的</x:v>
      </x:c>
      <x:c r="D21" s="102" t="str">
        <x:v>必须包含</x:v>
      </x:c>
      <x:c r="E21" s="102" t="str">
        <x:v>导向页面</x:v>
      </x:c>
      <x:c r="F21" s="100"/>
      <x:c r="G21" s="100"/>
      <x:c r="H21" s="100"/>
    </x:row>
    <x:row r="22">
      <x:c r="A22" s="33" t="str">
        <x:v>best / top / recommended</x:v>
      </x:c>
      <x:c r="B22" s="34" t="str">
        <x:v>榜单/购买指南</x:v>
      </x:c>
      <x:c r="C22" s="34" t="str">
        <x:v>辅助选择并导向商品</x:v>
      </x:c>
      <x:c r="D22" s="34" t="str">
        <x:v>筛选标准、对比表、推荐人群、CTA</x:v>
      </x:c>
      <x:c r="E22" s="35" t="str">
        <x:v>集合页/分类页/产品页</x:v>
      </x:c>
      <x:c r="F22" s="100"/>
      <x:c r="G22" s="100"/>
      <x:c r="H22" s="100"/>
    </x:row>
    <x:row r="23">
      <x:c r="A23" s="36" t="str">
        <x:v>vs / comparison</x:v>
      </x:c>
      <x:c r="B23" s="37" t="str">
        <x:v>对比文</x:v>
      </x:c>
      <x:c r="C23" s="37" t="str">
        <x:v>帮助用户做决策</x:v>
      </x:c>
      <x:c r="D23" s="37" t="str">
        <x:v>差异表、适用场景、结论、内链</x:v>
      </x:c>
      <x:c r="E23" s="38" t="str">
        <x:v>胜出产品页/分类页</x:v>
      </x:c>
      <x:c r="F23" s="100"/>
      <x:c r="G23" s="100"/>
      <x:c r="H23" s="100"/>
    </x:row>
    <x:row r="24">
      <x:c r="A24" s="36" t="str">
        <x:v>how to / care / clean</x:v>
      </x:c>
      <x:c r="B24" s="37" t="str">
        <x:v>教程文</x:v>
      </x:c>
      <x:c r="C24" s="37" t="str">
        <x:v>解决使用问题并降低顾虑</x:v>
      </x:c>
      <x:c r="D24" s="37" t="str">
        <x:v>步骤、注意事项、图片、FAQ</x:v>
      </x:c>
      <x:c r="E24" s="38" t="str">
        <x:v>相关产品页</x:v>
      </x:c>
      <x:c r="F24" s="100"/>
      <x:c r="G24" s="100"/>
      <x:c r="H24" s="100"/>
    </x:row>
    <x:row r="25">
      <x:c r="A25" s="36" t="str">
        <x:v>benefits / good for</x:v>
      </x:c>
      <x:c r="B25" s="37" t="str">
        <x:v>价值解释文</x:v>
      </x:c>
      <x:c r="C25" s="37" t="str">
        <x:v>教育用户为什么买</x:v>
      </x:c>
      <x:c r="D25" s="37" t="str">
        <x:v>机制解释、证据、适合人群、反例</x:v>
      </x:c>
      <x:c r="E25" s="38" t="str">
        <x:v>品类页/产品页</x:v>
      </x:c>
      <x:c r="F25" s="100"/>
      <x:c r="G25" s="100"/>
      <x:c r="H25" s="100"/>
    </x:row>
    <x:row r="26">
      <x:c r="A26" s="36" t="str">
        <x:v>size / material / standard</x:v>
      </x:c>
      <x:c r="B26" s="37" t="str">
        <x:v>标准/规格文</x:v>
      </x:c>
      <x:c r="C26" s="37" t="str">
        <x:v>帮助用户避免买错</x:v>
      </x:c>
      <x:c r="D26" s="37" t="str">
        <x:v>尺寸表、材质表、适配建议</x:v>
      </x:c>
      <x:c r="E26" s="38" t="str">
        <x:v>分类页/变体页</x:v>
      </x:c>
      <x:c r="F26" s="100"/>
      <x:c r="G26" s="100"/>
      <x:c r="H26" s="100"/>
    </x:row>
    <x:row r="27">
      <x:c r="A27" s="36" t="str">
        <x:v>problem / for + user group</x:v>
      </x:c>
      <x:c r="B27" s="37" t="str">
        <x:v>场景解决方案</x:v>
      </x:c>
      <x:c r="C27" s="37" t="str">
        <x:v>对齐具体人群痛点</x:v>
      </x:c>
      <x:c r="D27" s="37" t="str">
        <x:v>痛点、选购标准、推荐组合</x:v>
      </x:c>
      <x:c r="E27" s="38" t="str">
        <x:v>集合页/产品页</x:v>
      </x:c>
      <x:c r="F27" s="100"/>
      <x:c r="G27" s="100"/>
      <x:c r="H27" s="100"/>
    </x:row>
    <x:row r="28">
      <x:c r="A28" s="36" t="str">
        <x:v>what is / definition</x:v>
      </x:c>
      <x:c r="B28" s="37" t="str">
        <x:v>通常不建议单独写</x:v>
      </x:c>
      <x:c r="C28" s="37" t="str">
        <x:v>除非 SERP 显示有商业机会</x:v>
      </x:c>
      <x:c r="D28" s="37" t="str">
        <x:v>定义外必须有购买决策信息</x:v>
      </x:c>
      <x:c r="E28" s="38" t="str">
        <x:v>FAQ/商业页段落</x:v>
      </x:c>
      <x:c r="F28" s="100"/>
      <x:c r="G28" s="100"/>
      <x:c r="H28" s="100"/>
    </x:row>
    <x:row r="29">
      <x:c r="A29" s="39" t="str">
        <x:v>coupon / sale / buy</x:v>
      </x:c>
      <x:c r="B29" s="40" t="str">
        <x:v>商业页优先</x:v>
      </x:c>
      <x:c r="C29" s="40" t="str">
        <x:v>直接成交</x:v>
      </x:c>
      <x:c r="D29" s="40" t="str">
        <x:v>价格、库存、优惠、评价</x:v>
      </x:c>
      <x:c r="E29" s="41" t="str">
        <x:v>分类页/产品页</x:v>
      </x:c>
      <x:c r="F29" s="100"/>
      <x:c r="G29" s="100"/>
      <x:c r="H29" s="100"/>
    </x:row>
  </x:sheetData>
  <x:mergeCells>
    <x:mergeCell ref="A1:G1"/>
    <x:mergeCell ref="A2:H2"/>
    <x:mergeCell ref="A13:G13"/>
    <x:mergeCell ref="A20:G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8" hidden="0" customWidth="1"/>
    <x:col min="5" max="5" width="11" hidden="0" customWidth="1"/>
    <x:col min="6" max="6" width="10" hidden="0" customWidth="1"/>
    <x:col min="7" max="7" width="9" hidden="0" customWidth="1"/>
    <x:col min="8" max="8" width="14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28" hidden="0" customWidth="1"/>
    <x:col min="21" max="21" width="30" hidden="0" customWidth="1"/>
    <x:col min="22" max="22" width="14" hidden="0" customWidth="1"/>
    <x:col min="23" max="23" width="13" hidden="0" customWidth="1"/>
    <x:col min="24" max="24" width="11" hidden="0" customWidth="1"/>
    <x:col min="25" max="25" width="13" hidden="0" customWidth="1"/>
    <x:col min="26" max="26" width="13" hidden="0" customWidth="1"/>
    <x:col min="27" max="27" width="13" hidden="0" customWidth="1"/>
    <x:col min="28" max="28" width="12" hidden="0" customWidth="1"/>
    <x:col min="29" max="29" width="10" hidden="0" customWidth="1"/>
    <x:col min="30" max="30" width="10" hidden="0" customWidth="1"/>
    <x:col min="31" max="31" width="22" hidden="0" customWidth="1"/>
    <x:col min="32" max="32" width="48" hidden="0" customWidth="1"/>
    <x:col min="33" max="33" width="44" hidden="0" customWidth="1"/>
  </x:cols>
  <x:sheetData>
    <x:row r="1">
      <x:c r="A1" s="107" t="str">
        <x:v>关键词</x:v>
      </x:c>
      <x:c r="B1" s="108" t="str">
        <x:v>中文含义/备注</x:v>
      </x:c>
      <x:c r="C1" s="108" t="str">
        <x:v>父级商业页</x:v>
      </x:c>
      <x:c r="D1" s="108" t="str">
        <x:v>主题簇</x:v>
      </x:c>
      <x:c r="E1" s="108" t="str">
        <x:v>搜索量</x:v>
      </x:c>
      <x:c r="F1" s="108" t="str">
        <x:v>CPC</x:v>
      </x:c>
      <x:c r="G1" s="108" t="str">
        <x:v>KD</x:v>
      </x:c>
      <x:c r="H1" s="108" t="str">
        <x:v>Semrush意图</x:v>
      </x:c>
      <x:c r="I1" s="108" t="str">
        <x:v>SERP文章占比(0-10)</x:v>
      </x:c>
      <x:c r="J1" s="108" t="str">
        <x:v>SERP获胜类型</x:v>
      </x:c>
      <x:c r="K1" s="108" t="str">
        <x:v>推荐文章类型</x:v>
      </x:c>
      <x:c r="L1" s="108" t="str">
        <x:v>产品相关度(1-5)</x:v>
      </x:c>
      <x:c r="M1" s="108" t="str">
        <x:v>转化支撑(1-5)</x:v>
      </x:c>
      <x:c r="N1" s="108" t="str">
        <x:v>独特证据(1-5)</x:v>
      </x:c>
      <x:c r="O1" s="108" t="str">
        <x:v>内容深度(1-5)</x:v>
      </x:c>
      <x:c r="P1" s="108" t="str">
        <x:v>主题簇匹配(1-5)</x:v>
      </x:c>
      <x:c r="Q1" s="108" t="str">
        <x:v>内链机会(1-5)</x:v>
      </x:c>
      <x:c r="R1" s="108" t="str">
        <x:v>更新价值(1-5)</x:v>
      </x:c>
      <x:c r="S1" s="108" t="str">
        <x:v>已有URL</x:v>
      </x:c>
      <x:c r="T1" s="108" t="str">
        <x:v>目标商品/分类URL</x:v>
      </x:c>
      <x:c r="U1" s="108" t="str">
        <x:v>备注</x:v>
      </x:c>
      <x:c r="V1" s="108" t="str">
        <x:v>SERP文章匹配分</x:v>
      </x:c>
      <x:c r="W1" s="108" t="str">
        <x:v>商业支撑分</x:v>
      </x:c>
      <x:c r="X1" s="108" t="str">
        <x:v>需求分</x:v>
      </x:c>
      <x:c r="Y1" s="108" t="str">
        <x:v>难度机会分</x:v>
      </x:c>
      <x:c r="Z1" s="108" t="str">
        <x:v>内容深度分</x:v>
      </x:c>
      <x:c r="AA1" s="108" t="str">
        <x:v>主题内链分</x:v>
      </x:c>
      <x:c r="AB1" s="108" t="str">
        <x:v>更新价值分</x:v>
      </x:c>
      <x:c r="AC1" s="108" t="str">
        <x:v>总分</x:v>
      </x:c>
      <x:c r="AD1" s="108" t="str">
        <x:v>等级</x:v>
      </x:c>
      <x:c r="AE1" s="108" t="str">
        <x:v>推荐动作</x:v>
      </x:c>
      <x:c r="AF1" s="108" t="str">
        <x:v>文章Brief提示</x:v>
      </x:c>
      <x:c r="AG1" s="109" t="str">
        <x:v>风险提示</x:v>
      </x:c>
    </x:row>
    <x:row r="2">
      <x:c r="A2" s="79" t="str">
        <x:v>best silk pillowcase for hair</x:v>
      </x:c>
      <x:c r="B2" s="37" t="str">
        <x:v>适合写购买指南/榜单</x:v>
      </x:c>
      <x:c r="C2" s="37" t="str">
        <x:v>/collections/silk-pillowcases</x:v>
      </x:c>
      <x:c r="D2" s="37" t="str">
        <x:v>silk pillowcase</x:v>
      </x:c>
      <x:c r="E2" s="59" t="n">
        <x:v>2400</x:v>
      </x:c>
      <x:c r="F2" s="62" t="n">
        <x:v>1.8</x:v>
      </x:c>
      <x:c r="G2" s="50" t="n">
        <x:v>38</x:v>
      </x:c>
      <x:c r="H2" s="50" t="str">
        <x:v>Commercial</x:v>
      </x:c>
      <x:c r="I2" s="50" t="n">
        <x:v>8</x:v>
      </x:c>
      <x:c r="J2" s="37" t="str">
        <x:v>博客/榜单</x:v>
      </x:c>
      <x:c r="K2" s="37" t="str">
        <x:v>榜单/购买指南</x:v>
      </x:c>
      <x:c r="L2" s="50" t="n">
        <x:v>5</x:v>
      </x:c>
      <x:c r="M2" s="50" t="n">
        <x:v>5</x:v>
      </x:c>
      <x:c r="N2" s="50" t="n">
        <x:v>4</x:v>
      </x:c>
      <x:c r="O2" s="50" t="n">
        <x:v>5</x:v>
      </x:c>
      <x:c r="P2" s="50" t="n">
        <x:v>5</x:v>
      </x:c>
      <x:c r="Q2" s="50" t="n">
        <x:v>5</x:v>
      </x:c>
      <x:c r="R2" s="50" t="n">
        <x:v>4</x:v>
      </x:c>
      <x:c r="S2" s="37" t="str"/>
      <x:c r="T2" s="37" t="str">
        <x:v>/collections/silk-pillowcases</x:v>
      </x:c>
      <x:c r="U2" s="37" t="str">
        <x:v>可导向多个 SKU</x:v>
      </x:c>
      <x:c r="V2" s="65" t="n">
        <x:f>IF($A2="","",MIN(20,MAX(0,$I2*2)))</x:f>
        <x:v>16</x:v>
      </x:c>
      <x:c r="W2" s="65" t="n">
        <x:f>IF($A2="","",(($L2+$M2)/10)*20)</x:f>
        <x:v>20</x:v>
      </x:c>
      <x:c r="X2" s="65" t="n">
        <x:f>IF($A2="","",IF($E2&gt;=1000,10,IF($E2&gt;=300,8,IF($E2&gt;=100,6,IF($E2&gt;=30,4,IF($E2&gt;0,2,0)))))+IF($F2&gt;=2,5,IF($F2&gt;=1,4,IF($F2&gt;=0.3,3,IF($F2&gt;0,2,0)))))</x:f>
        <x:v>14</x:v>
      </x:c>
      <x:c r="Y2" s="65" t="n">
        <x:f>IF($A2="","",IF($G2&lt;=20,15,IF($G2&lt;=35,12,IF($G2&lt;=50,9,IF($G2&lt;=65,6,IF($G2&lt;=80,3,1))))))</x:f>
        <x:v>9</x:v>
      </x:c>
      <x:c r="Z2" s="65" t="n">
        <x:f>IF($A2="","",(($N2+$O2)/10)*15)</x:f>
        <x:v>13.5</x:v>
      </x:c>
      <x:c r="AA2" s="65" t="n">
        <x:f>IF($A2="","",(($P2+$Q2)/10)*10)</x:f>
        <x:v>10</x:v>
      </x:c>
      <x:c r="AB2" s="65" t="n">
        <x:f>IF($A2="","",$R2)</x:f>
        <x:v>4</x:v>
      </x:c>
      <x:c r="AC2" s="65" t="n">
        <x:f>IF($A2="","",SUM($V2:$AB2))</x:f>
        <x:v>86.5</x:v>
      </x:c>
      <x:c r="AD2" s="71" t="str">
        <x:f>IF($A2="","",IF($AC2&gt;=75,"P0",IF($AC2&gt;=60,"P1",IF($AC2&gt;=45,"P2","P3"))))</x:f>
        <x:v>P0</x:v>
      </x:c>
      <x:c r="AE2" s="71" t="str">
        <x:f>IF($A2="","",IF($AC2&gt;=75,"立即写独立文章",IF($AC2&gt;=60,"排入本批内容日历",IF($AC2&gt;=45,"先做FAQ/段落或低优先文章","不单独写，合并到商业页/FAQ"))))</x:f>
        <x:v>立即写独立文章</x:v>
      </x:c>
      <x:c r="AF2" s="37" t="str">
        <x:f>IF($A2="","",$K2&amp;" | 父级页: "&amp;$C2&amp;" | 目标URL: "&amp;$T2&amp;" | 必补: 竞品结构+原创证据+对比表+FAQ+内链CTA")</x:f>
        <x:v>榜单/购买指南 | 父级页: /collections/silk-pillowcases | 目标URL: /collections/silk-pillowcases | 必补: 竞品结构+原创证据+对比表+FAQ+内链CTA</x:v>
      </x:c>
      <x:c r="AG2" s="80" t="str">
        <x:f>IF($A2="","",IF($I2&lt;4,"SERP不支持文章，优先做商业页/FAQ",IF($L2&lt;3,"产品相关弱，谨慎写",IF($N2&lt;3,"证据不足，容易变AI水文",IF($G2&gt;70,"难度偏高，需要更强外链/权威",IF($Q2&lt;3,"内链弱，先补主题簇","可进入规划"))))))</x:f>
        <x:v>可进入规划</x:v>
      </x:c>
    </x:row>
    <x:row r="3">
      <x:c r="A3" s="79" t="str">
        <x:v>silk pillowcase vs satin</x:v>
      </x:c>
      <x:c r="B3" s="37" t="str">
        <x:v>对比真丝与缎面</x:v>
      </x:c>
      <x:c r="C3" s="37" t="str">
        <x:v>/collections/silk-pillowcases</x:v>
      </x:c>
      <x:c r="D3" s="37" t="str">
        <x:v>silk pillowcase</x:v>
      </x:c>
      <x:c r="E3" s="59" t="n">
        <x:v>1900</x:v>
      </x:c>
      <x:c r="F3" s="62" t="n">
        <x:v>1.2</x:v>
      </x:c>
      <x:c r="G3" s="50" t="n">
        <x:v>32</x:v>
      </x:c>
      <x:c r="H3" s="50" t="str">
        <x:v>Commercial</x:v>
      </x:c>
      <x:c r="I3" s="50" t="n">
        <x:v>9</x:v>
      </x:c>
      <x:c r="J3" s="37" t="str">
        <x:v>博客/对比</x:v>
      </x:c>
      <x:c r="K3" s="37" t="str">
        <x:v>对比文</x:v>
      </x:c>
      <x:c r="L3" s="50" t="n">
        <x:v>5</x:v>
      </x:c>
      <x:c r="M3" s="50" t="n">
        <x:v>4</x:v>
      </x:c>
      <x:c r="N3" s="50" t="n">
        <x:v>4</x:v>
      </x:c>
      <x:c r="O3" s="50" t="n">
        <x:v>5</x:v>
      </x:c>
      <x:c r="P3" s="50" t="n">
        <x:v>5</x:v>
      </x:c>
      <x:c r="Q3" s="50" t="n">
        <x:v>5</x:v>
      </x:c>
      <x:c r="R3" s="50" t="n">
        <x:v>4</x:v>
      </x:c>
      <x:c r="S3" s="37" t="str"/>
      <x:c r="T3" s="37" t="str">
        <x:v>/collections/silk-pillowcases</x:v>
      </x:c>
      <x:c r="U3" s="37" t="str">
        <x:v>强购买决策词</x:v>
      </x:c>
      <x:c r="V3" s="65" t="n">
        <x:f>IF($A3="","",MIN(20,MAX(0,$I3*2)))</x:f>
        <x:v>18</x:v>
      </x:c>
      <x:c r="W3" s="65" t="n">
        <x:f>IF($A3="","",(($L3+$M3)/10)*20)</x:f>
        <x:v>18</x:v>
      </x:c>
      <x:c r="X3" s="65" t="n">
        <x:f>IF($A3="","",IF($E3&gt;=1000,10,IF($E3&gt;=300,8,IF($E3&gt;=100,6,IF($E3&gt;=30,4,IF($E3&gt;0,2,0)))))+IF($F3&gt;=2,5,IF($F3&gt;=1,4,IF($F3&gt;=0.3,3,IF($F3&gt;0,2,0)))))</x:f>
        <x:v>14</x:v>
      </x:c>
      <x:c r="Y3" s="65" t="n">
        <x:f>IF($A3="","",IF($G3&lt;=20,15,IF($G3&lt;=35,12,IF($G3&lt;=50,9,IF($G3&lt;=65,6,IF($G3&lt;=80,3,1))))))</x:f>
        <x:v>12</x:v>
      </x:c>
      <x:c r="Z3" s="65" t="n">
        <x:f>IF($A3="","",(($N3+$O3)/10)*15)</x:f>
        <x:v>13.5</x:v>
      </x:c>
      <x:c r="AA3" s="65" t="n">
        <x:f>IF($A3="","",(($P3+$Q3)/10)*10)</x:f>
        <x:v>10</x:v>
      </x:c>
      <x:c r="AB3" s="65" t="n">
        <x:f>IF($A3="","",$R3)</x:f>
        <x:v>4</x:v>
      </x:c>
      <x:c r="AC3" s="65" t="n">
        <x:f>IF($A3="","",SUM($V3:$AB3))</x:f>
        <x:v>89.5</x:v>
      </x:c>
      <x:c r="AD3" s="71" t="str">
        <x:f>IF($A3="","",IF($AC3&gt;=75,"P0",IF($AC3&gt;=60,"P1",IF($AC3&gt;=45,"P2","P3"))))</x:f>
        <x:v>P0</x:v>
      </x:c>
      <x:c r="AE3" s="71" t="str">
        <x:f>IF($A3="","",IF($AC3&gt;=75,"立即写独立文章",IF($AC3&gt;=60,"排入本批内容日历",IF($AC3&gt;=45,"先做FAQ/段落或低优先文章","不单独写，合并到商业页/FAQ"))))</x:f>
        <x:v>立即写独立文章</x:v>
      </x:c>
      <x:c r="AF3" s="37" t="str">
        <x:f>IF($A3="","",$K3&amp;" | 父级页: "&amp;$C3&amp;" | 目标URL: "&amp;$T3&amp;" | 必补: 竞品结构+原创证据+对比表+FAQ+内链CTA")</x:f>
        <x:v>对比文 | 父级页: /collections/silk-pillowcases | 目标URL: /collections/silk-pillowcases | 必补: 竞品结构+原创证据+对比表+FAQ+内链CTA</x:v>
      </x:c>
      <x:c r="AG3" s="80" t="str">
        <x:f>IF($A3="","",IF($I3&lt;4,"SERP不支持文章，优先做商业页/FAQ",IF($L3&lt;3,"产品相关弱，谨慎写",IF($N3&lt;3,"证据不足，容易变AI水文",IF($G3&gt;70,"难度偏高，需要更强外链/权威",IF($Q3&lt;3,"内链弱，先补主题簇","可进入规划"))))))</x:f>
        <x:v>可进入规划</x:v>
      </x:c>
    </x:row>
    <x:row r="4">
      <x:c r="A4" s="79" t="str">
        <x:v>how to wash silk pillowcase</x:v>
      </x:c>
      <x:c r="B4" s="37" t="str">
        <x:v>护理教程</x:v>
      </x:c>
      <x:c r="C4" s="37" t="str">
        <x:v>/products/mulberry-silk-pillowcase</x:v>
      </x:c>
      <x:c r="D4" s="37" t="str">
        <x:v>silk care</x:v>
      </x:c>
      <x:c r="E4" s="59" t="n">
        <x:v>1600</x:v>
      </x:c>
      <x:c r="F4" s="62" t="n">
        <x:v>0.7</x:v>
      </x:c>
      <x:c r="G4" s="50" t="n">
        <x:v>28</x:v>
      </x:c>
      <x:c r="H4" s="50" t="str">
        <x:v>Informational</x:v>
      </x:c>
      <x:c r="I4" s="50" t="n">
        <x:v>10</x:v>
      </x:c>
      <x:c r="J4" s="37" t="str">
        <x:v>教程/FAQ</x:v>
      </x:c>
      <x:c r="K4" s="37" t="str">
        <x:v>教程文</x:v>
      </x:c>
      <x:c r="L4" s="50" t="n">
        <x:v>4</x:v>
      </x:c>
      <x:c r="M4" s="50" t="n">
        <x:v>3</x:v>
      </x:c>
      <x:c r="N4" s="50" t="n">
        <x:v>5</x:v>
      </x:c>
      <x:c r="O4" s="50" t="n">
        <x:v>5</x:v>
      </x:c>
      <x:c r="P4" s="50" t="n">
        <x:v>4</x:v>
      </x:c>
      <x:c r="Q4" s="50" t="n">
        <x:v>4</x:v>
      </x:c>
      <x:c r="R4" s="50" t="n">
        <x:v>5</x:v>
      </x:c>
      <x:c r="S4" s="37" t="str"/>
      <x:c r="T4" s="37" t="str">
        <x:v>/products/mulberry-silk-pillowcase</x:v>
      </x:c>
      <x:c r="U4" s="37" t="str">
        <x:v>可降低售后疑虑</x:v>
      </x:c>
      <x:c r="V4" s="65" t="n">
        <x:f>IF($A4="","",MIN(20,MAX(0,$I4*2)))</x:f>
        <x:v>20</x:v>
      </x:c>
      <x:c r="W4" s="65" t="n">
        <x:f>IF($A4="","",(($L4+$M4)/10)*20)</x:f>
        <x:v>14</x:v>
      </x:c>
      <x:c r="X4" s="65" t="n">
        <x:f>IF($A4="","",IF($E4&gt;=1000,10,IF($E4&gt;=300,8,IF($E4&gt;=100,6,IF($E4&gt;=30,4,IF($E4&gt;0,2,0)))))+IF($F4&gt;=2,5,IF($F4&gt;=1,4,IF($F4&gt;=0.3,3,IF($F4&gt;0,2,0)))))</x:f>
        <x:v>13</x:v>
      </x:c>
      <x:c r="Y4" s="65" t="n">
        <x:f>IF($A4="","",IF($G4&lt;=20,15,IF($G4&lt;=35,12,IF($G4&lt;=50,9,IF($G4&lt;=65,6,IF($G4&lt;=80,3,1))))))</x:f>
        <x:v>12</x:v>
      </x:c>
      <x:c r="Z4" s="65" t="n">
        <x:f>IF($A4="","",(($N4+$O4)/10)*15)</x:f>
        <x:v>15</x:v>
      </x:c>
      <x:c r="AA4" s="65" t="n">
        <x:f>IF($A4="","",(($P4+$Q4)/10)*10)</x:f>
        <x:v>8</x:v>
      </x:c>
      <x:c r="AB4" s="65" t="n">
        <x:f>IF($A4="","",$R4)</x:f>
        <x:v>5</x:v>
      </x:c>
      <x:c r="AC4" s="65" t="n">
        <x:f>IF($A4="","",SUM($V4:$AB4))</x:f>
        <x:v>87</x:v>
      </x:c>
      <x:c r="AD4" s="71" t="str">
        <x:f>IF($A4="","",IF($AC4&gt;=75,"P0",IF($AC4&gt;=60,"P1",IF($AC4&gt;=45,"P2","P3"))))</x:f>
        <x:v>P0</x:v>
      </x:c>
      <x:c r="AE4" s="71" t="str">
        <x:f>IF($A4="","",IF($AC4&gt;=75,"立即写独立文章",IF($AC4&gt;=60,"排入本批内容日历",IF($AC4&gt;=45,"先做FAQ/段落或低优先文章","不单独写，合并到商业页/FAQ"))))</x:f>
        <x:v>立即写独立文章</x:v>
      </x:c>
      <x:c r="AF4" s="37" t="str">
        <x:f>IF($A4="","",$K4&amp;" | 父级页: "&amp;$C4&amp;" | 目标URL: "&amp;$T4&amp;" | 必补: 竞品结构+原创证据+对比表+FAQ+内链CTA")</x:f>
        <x:v>教程文 | 父级页: /products/mulberry-silk-pillowcase | 目标URL: /products/mulberry-silk-pillowcase | 必补: 竞品结构+原创证据+对比表+FAQ+内链CTA</x:v>
      </x:c>
      <x:c r="AG4" s="80" t="str">
        <x:f>IF($A4="","",IF($I4&lt;4,"SERP不支持文章，优先做商业页/FAQ",IF($L4&lt;3,"产品相关弱，谨慎写",IF($N4&lt;3,"证据不足，容易变AI水文",IF($G4&gt;70,"难度偏高，需要更强外链/权威",IF($Q4&lt;3,"内链弱，先补主题簇","可进入规划"))))))</x:f>
        <x:v>可进入规划</x:v>
      </x:c>
    </x:row>
    <x:row r="5">
      <x:c r="A5" s="79" t="str">
        <x:v>silk pillowcase benefits for skin</x:v>
      </x:c>
      <x:c r="B5" s="37" t="str">
        <x:v>功效解释</x:v>
      </x:c>
      <x:c r="C5" s="37" t="str">
        <x:v>/collections/silk-pillowcases</x:v>
      </x:c>
      <x:c r="D5" s="37" t="str">
        <x:v>silk pillowcase</x:v>
      </x:c>
      <x:c r="E5" s="59" t="n">
        <x:v>880</x:v>
      </x:c>
      <x:c r="F5" s="62" t="n">
        <x:v>1.1</x:v>
      </x:c>
      <x:c r="G5" s="50" t="n">
        <x:v>42</x:v>
      </x:c>
      <x:c r="H5" s="50" t="str">
        <x:v>Informational</x:v>
      </x:c>
      <x:c r="I5" s="50" t="n">
        <x:v>8</x:v>
      </x:c>
      <x:c r="J5" s="37" t="str">
        <x:v>博客/指南</x:v>
      </x:c>
      <x:c r="K5" s="37" t="str">
        <x:v>价值解释文</x:v>
      </x:c>
      <x:c r="L5" s="50" t="n">
        <x:v>5</x:v>
      </x:c>
      <x:c r="M5" s="50" t="n">
        <x:v>4</x:v>
      </x:c>
      <x:c r="N5" s="50" t="n">
        <x:v>3</x:v>
      </x:c>
      <x:c r="O5" s="50" t="n">
        <x:v>4</x:v>
      </x:c>
      <x:c r="P5" s="50" t="n">
        <x:v>5</x:v>
      </x:c>
      <x:c r="Q5" s="50" t="n">
        <x:v>5</x:v>
      </x:c>
      <x:c r="R5" s="50" t="n">
        <x:v>4</x:v>
      </x:c>
      <x:c r="S5" s="37" t="str"/>
      <x:c r="T5" s="37" t="str">
        <x:v>/collections/silk-pillowcases</x:v>
      </x:c>
      <x:c r="U5" s="37" t="str">
        <x:v>需要避免夸大功效</x:v>
      </x:c>
      <x:c r="V5" s="65" t="n">
        <x:f>IF($A5="","",MIN(20,MAX(0,$I5*2)))</x:f>
        <x:v>16</x:v>
      </x:c>
      <x:c r="W5" s="65" t="n">
        <x:f>IF($A5="","",(($L5+$M5)/10)*20)</x:f>
        <x:v>18</x:v>
      </x:c>
      <x:c r="X5" s="65" t="n">
        <x:f>IF($A5="","",IF($E5&gt;=1000,10,IF($E5&gt;=300,8,IF($E5&gt;=100,6,IF($E5&gt;=30,4,IF($E5&gt;0,2,0)))))+IF($F5&gt;=2,5,IF($F5&gt;=1,4,IF($F5&gt;=0.3,3,IF($F5&gt;0,2,0)))))</x:f>
        <x:v>12</x:v>
      </x:c>
      <x:c r="Y5" s="65" t="n">
        <x:f>IF($A5="","",IF($G5&lt;=20,15,IF($G5&lt;=35,12,IF($G5&lt;=50,9,IF($G5&lt;=65,6,IF($G5&lt;=80,3,1))))))</x:f>
        <x:v>9</x:v>
      </x:c>
      <x:c r="Z5" s="65" t="n">
        <x:f>IF($A5="","",(($N5+$O5)/10)*15)</x:f>
        <x:v>10.5</x:v>
      </x:c>
      <x:c r="AA5" s="65" t="n">
        <x:f>IF($A5="","",(($P5+$Q5)/10)*10)</x:f>
        <x:v>10</x:v>
      </x:c>
      <x:c r="AB5" s="65" t="n">
        <x:f>IF($A5="","",$R5)</x:f>
        <x:v>4</x:v>
      </x:c>
      <x:c r="AC5" s="65" t="n">
        <x:f>IF($A5="","",SUM($V5:$AB5))</x:f>
        <x:v>79.5</x:v>
      </x:c>
      <x:c r="AD5" s="71" t="str">
        <x:f>IF($A5="","",IF($AC5&gt;=75,"P0",IF($AC5&gt;=60,"P1",IF($AC5&gt;=45,"P2","P3"))))</x:f>
        <x:v>P0</x:v>
      </x:c>
      <x:c r="AE5" s="71" t="str">
        <x:f>IF($A5="","",IF($AC5&gt;=75,"立即写独立文章",IF($AC5&gt;=60,"排入本批内容日历",IF($AC5&gt;=45,"先做FAQ/段落或低优先文章","不单独写，合并到商业页/FAQ"))))</x:f>
        <x:v>立即写独立文章</x:v>
      </x:c>
      <x:c r="AF5" s="37" t="str">
        <x:f>IF($A5="","",$K5&amp;" | 父级页: "&amp;$C5&amp;" | 目标URL: "&amp;$T5&amp;" | 必补: 竞品结构+原创证据+对比表+FAQ+内链CTA")</x:f>
        <x:v>价值解释文 | 父级页: /collections/silk-pillowcases | 目标URL: /collections/silk-pillowcases | 必补: 竞品结构+原创证据+对比表+FAQ+内链CTA</x:v>
      </x:c>
      <x:c r="AG5" s="80" t="str">
        <x:f>IF($A5="","",IF($I5&lt;4,"SERP不支持文章，优先做商业页/FAQ",IF($L5&lt;3,"产品相关弱，谨慎写",IF($N5&lt;3,"证据不足，容易变AI水文",IF($G5&gt;70,"难度偏高，需要更强外链/权威",IF($Q5&lt;3,"内链弱，先补主题簇","可进入规划"))))))</x:f>
        <x:v>可进入规划</x:v>
      </x:c>
    </x:row>
    <x:row r="6">
      <x:c r="A6" s="79" t="str">
        <x:v>mulberry silk pillowcase benefits</x:v>
      </x:c>
      <x:c r="B6" s="37" t="str">
        <x:v>材质教育</x:v>
      </x:c>
      <x:c r="C6" s="37" t="str">
        <x:v>/collections/mulberry-silk</x:v>
      </x:c>
      <x:c r="D6" s="37" t="str">
        <x:v>mulberry silk</x:v>
      </x:c>
      <x:c r="E6" s="59" t="n">
        <x:v>720</x:v>
      </x:c>
      <x:c r="F6" s="62" t="n">
        <x:v>0.9</x:v>
      </x:c>
      <x:c r="G6" s="50" t="n">
        <x:v>35</x:v>
      </x:c>
      <x:c r="H6" s="50" t="str">
        <x:v>Informational</x:v>
      </x:c>
      <x:c r="I6" s="50" t="n">
        <x:v>8</x:v>
      </x:c>
      <x:c r="J6" s="37" t="str">
        <x:v>博客/指南</x:v>
      </x:c>
      <x:c r="K6" s="37" t="str">
        <x:v>价值解释文</x:v>
      </x:c>
      <x:c r="L6" s="50" t="n">
        <x:v>5</x:v>
      </x:c>
      <x:c r="M6" s="50" t="n">
        <x:v>4</x:v>
      </x:c>
      <x:c r="N6" s="50" t="n">
        <x:v>4</x:v>
      </x:c>
      <x:c r="O6" s="50" t="n">
        <x:v>4</x:v>
      </x:c>
      <x:c r="P6" s="50" t="n">
        <x:v>5</x:v>
      </x:c>
      <x:c r="Q6" s="50" t="n">
        <x:v>5</x:v>
      </x:c>
      <x:c r="R6" s="50" t="n">
        <x:v>4</x:v>
      </x:c>
      <x:c r="S6" s="37" t="str"/>
      <x:c r="T6" s="37" t="str">
        <x:v>/collections/mulberry-silk</x:v>
      </x:c>
      <x:c r="U6" s="37" t="str">
        <x:v>可解释 19/22/25 momme</x:v>
      </x:c>
      <x:c r="V6" s="65" t="n">
        <x:f>IF($A6="","",MIN(20,MAX(0,$I6*2)))</x:f>
        <x:v>16</x:v>
      </x:c>
      <x:c r="W6" s="65" t="n">
        <x:f>IF($A6="","",(($L6+$M6)/10)*20)</x:f>
        <x:v>18</x:v>
      </x:c>
      <x:c r="X6" s="65" t="n">
        <x:f>IF($A6="","",IF($E6&gt;=1000,10,IF($E6&gt;=300,8,IF($E6&gt;=100,6,IF($E6&gt;=30,4,IF($E6&gt;0,2,0)))))+IF($F6&gt;=2,5,IF($F6&gt;=1,4,IF($F6&gt;=0.3,3,IF($F6&gt;0,2,0)))))</x:f>
        <x:v>11</x:v>
      </x:c>
      <x:c r="Y6" s="65" t="n">
        <x:f>IF($A6="","",IF($G6&lt;=20,15,IF($G6&lt;=35,12,IF($G6&lt;=50,9,IF($G6&lt;=65,6,IF($G6&lt;=80,3,1))))))</x:f>
        <x:v>12</x:v>
      </x:c>
      <x:c r="Z6" s="65" t="n">
        <x:f>IF($A6="","",(($N6+$O6)/10)*15)</x:f>
        <x:v>12</x:v>
      </x:c>
      <x:c r="AA6" s="65" t="n">
        <x:f>IF($A6="","",(($P6+$Q6)/10)*10)</x:f>
        <x:v>10</x:v>
      </x:c>
      <x:c r="AB6" s="65" t="n">
        <x:f>IF($A6="","",$R6)</x:f>
        <x:v>4</x:v>
      </x:c>
      <x:c r="AC6" s="65" t="n">
        <x:f>IF($A6="","",SUM($V6:$AB6))</x:f>
        <x:v>83</x:v>
      </x:c>
      <x:c r="AD6" s="71" t="str">
        <x:f>IF($A6="","",IF($AC6&gt;=75,"P0",IF($AC6&gt;=60,"P1",IF($AC6&gt;=45,"P2","P3"))))</x:f>
        <x:v>P0</x:v>
      </x:c>
      <x:c r="AE6" s="71" t="str">
        <x:f>IF($A6="","",IF($AC6&gt;=75,"立即写独立文章",IF($AC6&gt;=60,"排入本批内容日历",IF($AC6&gt;=45,"先做FAQ/段落或低优先文章","不单独写，合并到商业页/FAQ"))))</x:f>
        <x:v>立即写独立文章</x:v>
      </x:c>
      <x:c r="AF6" s="37" t="str">
        <x:f>IF($A6="","",$K6&amp;" | 父级页: "&amp;$C6&amp;" | 目标URL: "&amp;$T6&amp;" | 必补: 竞品结构+原创证据+对比表+FAQ+内链CTA")</x:f>
        <x:v>价值解释文 | 父级页: /collections/mulberry-silk | 目标URL: /collections/mulberry-silk | 必补: 竞品结构+原创证据+对比表+FAQ+内链CTA</x:v>
      </x:c>
      <x:c r="AG6" s="80" t="str">
        <x:f>IF($A6="","",IF($I6&lt;4,"SERP不支持文章，优先做商业页/FAQ",IF($L6&lt;3,"产品相关弱，谨慎写",IF($N6&lt;3,"证据不足，容易变AI水文",IF($G6&gt;70,"难度偏高，需要更强外链/权威",IF($Q6&lt;3,"内链弱，先补主题簇","可进入规划"))))))</x:f>
        <x:v>可进入规划</x:v>
      </x:c>
    </x:row>
    <x:row r="7">
      <x:c r="A7" s="79" t="str">
        <x:v>silk pillowcase for curly hair</x:v>
      </x:c>
      <x:c r="B7" s="37" t="str">
        <x:v>人群场景词</x:v>
      </x:c>
      <x:c r="C7" s="37" t="str">
        <x:v>/collections/silk-pillowcases</x:v>
      </x:c>
      <x:c r="D7" s="37" t="str">
        <x:v>curly hair</x:v>
      </x:c>
      <x:c r="E7" s="59" t="n">
        <x:v>590</x:v>
      </x:c>
      <x:c r="F7" s="62" t="n">
        <x:v>1.4</x:v>
      </x:c>
      <x:c r="G7" s="50" t="n">
        <x:v>31</x:v>
      </x:c>
      <x:c r="H7" s="50" t="str">
        <x:v>Commercial</x:v>
      </x:c>
      <x:c r="I7" s="50" t="n">
        <x:v>8</x:v>
      </x:c>
      <x:c r="J7" s="37" t="str">
        <x:v>博客/场景</x:v>
      </x:c>
      <x:c r="K7" s="37" t="str">
        <x:v>场景解决方案</x:v>
      </x:c>
      <x:c r="L7" s="50" t="n">
        <x:v>5</x:v>
      </x:c>
      <x:c r="M7" s="50" t="n">
        <x:v>5</x:v>
      </x:c>
      <x:c r="N7" s="50" t="n">
        <x:v>4</x:v>
      </x:c>
      <x:c r="O7" s="50" t="n">
        <x:v>5</x:v>
      </x:c>
      <x:c r="P7" s="50" t="n">
        <x:v>5</x:v>
      </x:c>
      <x:c r="Q7" s="50" t="n">
        <x:v>5</x:v>
      </x:c>
      <x:c r="R7" s="50" t="n">
        <x:v>4</x:v>
      </x:c>
      <x:c r="S7" s="37" t="str"/>
      <x:c r="T7" s="37" t="str">
        <x:v>/collections/silk-pillowcases</x:v>
      </x:c>
      <x:c r="U7" s="37" t="str">
        <x:v>可做强转化</x:v>
      </x:c>
      <x:c r="V7" s="65" t="n">
        <x:f>IF($A7="","",MIN(20,MAX(0,$I7*2)))</x:f>
        <x:v>16</x:v>
      </x:c>
      <x:c r="W7" s="65" t="n">
        <x:f>IF($A7="","",(($L7+$M7)/10)*20)</x:f>
        <x:v>20</x:v>
      </x:c>
      <x:c r="X7" s="65" t="n">
        <x:f>IF($A7="","",IF($E7&gt;=1000,10,IF($E7&gt;=300,8,IF($E7&gt;=100,6,IF($E7&gt;=30,4,IF($E7&gt;0,2,0)))))+IF($F7&gt;=2,5,IF($F7&gt;=1,4,IF($F7&gt;=0.3,3,IF($F7&gt;0,2,0)))))</x:f>
        <x:v>12</x:v>
      </x:c>
      <x:c r="Y7" s="65" t="n">
        <x:f>IF($A7="","",IF($G7&lt;=20,15,IF($G7&lt;=35,12,IF($G7&lt;=50,9,IF($G7&lt;=65,6,IF($G7&lt;=80,3,1))))))</x:f>
        <x:v>12</x:v>
      </x:c>
      <x:c r="Z7" s="65" t="n">
        <x:f>IF($A7="","",(($N7+$O7)/10)*15)</x:f>
        <x:v>13.5</x:v>
      </x:c>
      <x:c r="AA7" s="65" t="n">
        <x:f>IF($A7="","",(($P7+$Q7)/10)*10)</x:f>
        <x:v>10</x:v>
      </x:c>
      <x:c r="AB7" s="65" t="n">
        <x:f>IF($A7="","",$R7)</x:f>
        <x:v>4</x:v>
      </x:c>
      <x:c r="AC7" s="65" t="n">
        <x:f>IF($A7="","",SUM($V7:$AB7))</x:f>
        <x:v>87.5</x:v>
      </x:c>
      <x:c r="AD7" s="71" t="str">
        <x:f>IF($A7="","",IF($AC7&gt;=75,"P0",IF($AC7&gt;=60,"P1",IF($AC7&gt;=45,"P2","P3"))))</x:f>
        <x:v>P0</x:v>
      </x:c>
      <x:c r="AE7" s="71" t="str">
        <x:f>IF($A7="","",IF($AC7&gt;=75,"立即写独立文章",IF($AC7&gt;=60,"排入本批内容日历",IF($AC7&gt;=45,"先做FAQ/段落或低优先文章","不单独写，合并到商业页/FAQ"))))</x:f>
        <x:v>立即写独立文章</x:v>
      </x:c>
      <x:c r="AF7" s="37" t="str">
        <x:f>IF($A7="","",$K7&amp;" | 父级页: "&amp;$C7&amp;" | 目标URL: "&amp;$T7&amp;" | 必补: 竞品结构+原创证据+对比表+FAQ+内链CTA")</x:f>
        <x:v>场景解决方案 | 父级页: /collections/silk-pillowcases | 目标URL: /collections/silk-pillowcases | 必补: 竞品结构+原创证据+对比表+FAQ+内链CTA</x:v>
      </x:c>
      <x:c r="AG7" s="80" t="str">
        <x:f>IF($A7="","",IF($I7&lt;4,"SERP不支持文章，优先做商业页/FAQ",IF($L7&lt;3,"产品相关弱，谨慎写",IF($N7&lt;3,"证据不足，容易变AI水文",IF($G7&gt;70,"难度偏高，需要更强外链/权威",IF($Q7&lt;3,"内链弱，先补主题簇","可进入规划"))))))</x:f>
        <x:v>可进入规划</x:v>
      </x:c>
    </x:row>
    <x:row r="8">
      <x:c r="A8" s="79" t="str">
        <x:v>silk pillowcase size guide</x:v>
      </x:c>
      <x:c r="B8" s="37" t="str">
        <x:v>规格选择</x:v>
      </x:c>
      <x:c r="C8" s="37" t="str">
        <x:v>/collections/silk-pillowcases</x:v>
      </x:c>
      <x:c r="D8" s="37" t="str">
        <x:v>size guide</x:v>
      </x:c>
      <x:c r="E8" s="59" t="n">
        <x:v>210</x:v>
      </x:c>
      <x:c r="F8" s="62" t="n">
        <x:v>0.5</x:v>
      </x:c>
      <x:c r="G8" s="50" t="n">
        <x:v>18</x:v>
      </x:c>
      <x:c r="H8" s="50" t="str">
        <x:v>Informational</x:v>
      </x:c>
      <x:c r="I8" s="50" t="n">
        <x:v>7</x:v>
      </x:c>
      <x:c r="J8" s="37" t="str">
        <x:v>指南/规格</x:v>
      </x:c>
      <x:c r="K8" s="37" t="str">
        <x:v>标准/规格文</x:v>
      </x:c>
      <x:c r="L8" s="50" t="n">
        <x:v>5</x:v>
      </x:c>
      <x:c r="M8" s="50" t="n">
        <x:v>4</x:v>
      </x:c>
      <x:c r="N8" s="50" t="n">
        <x:v>5</x:v>
      </x:c>
      <x:c r="O8" s="50" t="n">
        <x:v>4</x:v>
      </x:c>
      <x:c r="P8" s="50" t="n">
        <x:v>4</x:v>
      </x:c>
      <x:c r="Q8" s="50" t="n">
        <x:v>5</x:v>
      </x:c>
      <x:c r="R8" s="50" t="n">
        <x:v>4</x:v>
      </x:c>
      <x:c r="S8" s="37" t="str"/>
      <x:c r="T8" s="37" t="str">
        <x:v>/collections/silk-pillowcases</x:v>
      </x:c>
      <x:c r="U8" s="37" t="str">
        <x:v>表格型内容</x:v>
      </x:c>
      <x:c r="V8" s="65" t="n">
        <x:f>IF($A8="","",MIN(20,MAX(0,$I8*2)))</x:f>
        <x:v>14</x:v>
      </x:c>
      <x:c r="W8" s="65" t="n">
        <x:f>IF($A8="","",(($L8+$M8)/10)*20)</x:f>
        <x:v>18</x:v>
      </x:c>
      <x:c r="X8" s="65" t="n">
        <x:f>IF($A8="","",IF($E8&gt;=1000,10,IF($E8&gt;=300,8,IF($E8&gt;=100,6,IF($E8&gt;=30,4,IF($E8&gt;0,2,0)))))+IF($F8&gt;=2,5,IF($F8&gt;=1,4,IF($F8&gt;=0.3,3,IF($F8&gt;0,2,0)))))</x:f>
        <x:v>9</x:v>
      </x:c>
      <x:c r="Y8" s="65" t="n">
        <x:f>IF($A8="","",IF($G8&lt;=20,15,IF($G8&lt;=35,12,IF($G8&lt;=50,9,IF($G8&lt;=65,6,IF($G8&lt;=80,3,1))))))</x:f>
        <x:v>15</x:v>
      </x:c>
      <x:c r="Z8" s="65" t="n">
        <x:f>IF($A8="","",(($N8+$O8)/10)*15)</x:f>
        <x:v>13.5</x:v>
      </x:c>
      <x:c r="AA8" s="65" t="n">
        <x:f>IF($A8="","",(($P8+$Q8)/10)*10)</x:f>
        <x:v>9</x:v>
      </x:c>
      <x:c r="AB8" s="65" t="n">
        <x:f>IF($A8="","",$R8)</x:f>
        <x:v>4</x:v>
      </x:c>
      <x:c r="AC8" s="65" t="n">
        <x:f>IF($A8="","",SUM($V8:$AB8))</x:f>
        <x:v>82.5</x:v>
      </x:c>
      <x:c r="AD8" s="71" t="str">
        <x:f>IF($A8="","",IF($AC8&gt;=75,"P0",IF($AC8&gt;=60,"P1",IF($AC8&gt;=45,"P2","P3"))))</x:f>
        <x:v>P0</x:v>
      </x:c>
      <x:c r="AE8" s="71" t="str">
        <x:f>IF($A8="","",IF($AC8&gt;=75,"立即写独立文章",IF($AC8&gt;=60,"排入本批内容日历",IF($AC8&gt;=45,"先做FAQ/段落或低优先文章","不单独写，合并到商业页/FAQ"))))</x:f>
        <x:v>立即写独立文章</x:v>
      </x:c>
      <x:c r="AF8" s="37" t="str">
        <x:f>IF($A8="","",$K8&amp;" | 父级页: "&amp;$C8&amp;" | 目标URL: "&amp;$T8&amp;" | 必补: 竞品结构+原创证据+对比表+FAQ+内链CTA")</x:f>
        <x:v>标准/规格文 | 父级页: /collections/silk-pillowcases | 目标URL: /collections/silk-pillowcases | 必补: 竞品结构+原创证据+对比表+FAQ+内链CTA</x:v>
      </x:c>
      <x:c r="AG8" s="80" t="str">
        <x:f>IF($A8="","",IF($I8&lt;4,"SERP不支持文章，优先做商业页/FAQ",IF($L8&lt;3,"产品相关弱，谨慎写",IF($N8&lt;3,"证据不足，容易变AI水文",IF($G8&gt;70,"难度偏高，需要更强外链/权威",IF($Q8&lt;3,"内链弱，先补主题簇","可进入规划"))))))</x:f>
        <x:v>可进入规划</x:v>
      </x:c>
    </x:row>
    <x:row r="9">
      <x:c r="A9" s="79" t="str">
        <x:v>silk eye mask benefits</x:v>
      </x:c>
      <x:c r="B9" s="37" t="str">
        <x:v>眼罩功效</x:v>
      </x:c>
      <x:c r="C9" s="37" t="str">
        <x:v>/collections/silk-eye-masks</x:v>
      </x:c>
      <x:c r="D9" s="37" t="str">
        <x:v>silk eye mask</x:v>
      </x:c>
      <x:c r="E9" s="59" t="n">
        <x:v>480</x:v>
      </x:c>
      <x:c r="F9" s="62" t="n">
        <x:v>0.8</x:v>
      </x:c>
      <x:c r="G9" s="50" t="n">
        <x:v>29</x:v>
      </x:c>
      <x:c r="H9" s="50" t="str">
        <x:v>Informational</x:v>
      </x:c>
      <x:c r="I9" s="50" t="n">
        <x:v>7</x:v>
      </x:c>
      <x:c r="J9" s="37" t="str">
        <x:v>博客/指南</x:v>
      </x:c>
      <x:c r="K9" s="37" t="str">
        <x:v>价值解释文</x:v>
      </x:c>
      <x:c r="L9" s="50" t="n">
        <x:v>5</x:v>
      </x:c>
      <x:c r="M9" s="50" t="n">
        <x:v>4</x:v>
      </x:c>
      <x:c r="N9" s="50" t="n">
        <x:v>4</x:v>
      </x:c>
      <x:c r="O9" s="50" t="n">
        <x:v>4</x:v>
      </x:c>
      <x:c r="P9" s="50" t="n">
        <x:v>4</x:v>
      </x:c>
      <x:c r="Q9" s="50" t="n">
        <x:v>4</x:v>
      </x:c>
      <x:c r="R9" s="50" t="n">
        <x:v>4</x:v>
      </x:c>
      <x:c r="S9" s="37" t="str"/>
      <x:c r="T9" s="37" t="str">
        <x:v>/collections/silk-eye-masks</x:v>
      </x:c>
      <x:c r="U9" s="37" t="str">
        <x:v>可做睡眠场景</x:v>
      </x:c>
      <x:c r="V9" s="65" t="n">
        <x:f>IF($A9="","",MIN(20,MAX(0,$I9*2)))</x:f>
        <x:v>14</x:v>
      </x:c>
      <x:c r="W9" s="65" t="n">
        <x:f>IF($A9="","",(($L9+$M9)/10)*20)</x:f>
        <x:v>18</x:v>
      </x:c>
      <x:c r="X9" s="65" t="n">
        <x:f>IF($A9="","",IF($E9&gt;=1000,10,IF($E9&gt;=300,8,IF($E9&gt;=100,6,IF($E9&gt;=30,4,IF($E9&gt;0,2,0)))))+IF($F9&gt;=2,5,IF($F9&gt;=1,4,IF($F9&gt;=0.3,3,IF($F9&gt;0,2,0)))))</x:f>
        <x:v>11</x:v>
      </x:c>
      <x:c r="Y9" s="65" t="n">
        <x:f>IF($A9="","",IF($G9&lt;=20,15,IF($G9&lt;=35,12,IF($G9&lt;=50,9,IF($G9&lt;=65,6,IF($G9&lt;=80,3,1))))))</x:f>
        <x:v>12</x:v>
      </x:c>
      <x:c r="Z9" s="65" t="n">
        <x:f>IF($A9="","",(($N9+$O9)/10)*15)</x:f>
        <x:v>12</x:v>
      </x:c>
      <x:c r="AA9" s="65" t="n">
        <x:f>IF($A9="","",(($P9+$Q9)/10)*10)</x:f>
        <x:v>8</x:v>
      </x:c>
      <x:c r="AB9" s="65" t="n">
        <x:f>IF($A9="","",$R9)</x:f>
        <x:v>4</x:v>
      </x:c>
      <x:c r="AC9" s="65" t="n">
        <x:f>IF($A9="","",SUM($V9:$AB9))</x:f>
        <x:v>79</x:v>
      </x:c>
      <x:c r="AD9" s="71" t="str">
        <x:f>IF($A9="","",IF($AC9&gt;=75,"P0",IF($AC9&gt;=60,"P1",IF($AC9&gt;=45,"P2","P3"))))</x:f>
        <x:v>P0</x:v>
      </x:c>
      <x:c r="AE9" s="71" t="str">
        <x:f>IF($A9="","",IF($AC9&gt;=75,"立即写独立文章",IF($AC9&gt;=60,"排入本批内容日历",IF($AC9&gt;=45,"先做FAQ/段落或低优先文章","不单独写，合并到商业页/FAQ"))))</x:f>
        <x:v>立即写独立文章</x:v>
      </x:c>
      <x:c r="AF9" s="37" t="str">
        <x:f>IF($A9="","",$K9&amp;" | 父级页: "&amp;$C9&amp;" | 目标URL: "&amp;$T9&amp;" | 必补: 竞品结构+原创证据+对比表+FAQ+内链CTA")</x:f>
        <x:v>价值解释文 | 父级页: /collections/silk-eye-masks | 目标URL: /collections/silk-eye-masks | 必补: 竞品结构+原创证据+对比表+FAQ+内链CTA</x:v>
      </x:c>
      <x:c r="AG9" s="80" t="str">
        <x:f>IF($A9="","",IF($I9&lt;4,"SERP不支持文章，优先做商业页/FAQ",IF($L9&lt;3,"产品相关弱，谨慎写",IF($N9&lt;3,"证据不足，容易变AI水文",IF($G9&gt;70,"难度偏高，需要更强外链/权威",IF($Q9&lt;3,"内链弱，先补主题簇","可进入规划"))))))</x:f>
        <x:v>可进入规划</x:v>
      </x:c>
    </x:row>
    <x:row r="10">
      <x:c r="A10" s="79" t="str">
        <x:v>buy silk pillowcase</x:v>
      </x:c>
      <x:c r="B10" s="37" t="str">
        <x:v>购买词</x:v>
      </x:c>
      <x:c r="C10" s="37" t="str">
        <x:v>/collections/silk-pillowcases</x:v>
      </x:c>
      <x:c r="D10" s="37" t="str">
        <x:v>silk pillowcase</x:v>
      </x:c>
      <x:c r="E10" s="59" t="n">
        <x:v>1300</x:v>
      </x:c>
      <x:c r="F10" s="62" t="n">
        <x:v>2.4</x:v>
      </x:c>
      <x:c r="G10" s="50" t="n">
        <x:v>45</x:v>
      </x:c>
      <x:c r="H10" s="50" t="str">
        <x:v>Transactional</x:v>
      </x:c>
      <x:c r="I10" s="50" t="n">
        <x:v>2</x:v>
      </x:c>
      <x:c r="J10" s="37" t="str">
        <x:v>分类/商品</x:v>
      </x:c>
      <x:c r="K10" s="37" t="str">
        <x:v>商业页优先</x:v>
      </x:c>
      <x:c r="L10" s="50" t="n">
        <x:v>5</x:v>
      </x:c>
      <x:c r="M10" s="50" t="n">
        <x:v>5</x:v>
      </x:c>
      <x:c r="N10" s="50" t="n">
        <x:v>2</x:v>
      </x:c>
      <x:c r="O10" s="50" t="n">
        <x:v>2</x:v>
      </x:c>
      <x:c r="P10" s="50" t="n">
        <x:v>4</x:v>
      </x:c>
      <x:c r="Q10" s="50" t="n">
        <x:v>5</x:v>
      </x:c>
      <x:c r="R10" s="50" t="n">
        <x:v>2</x:v>
      </x:c>
      <x:c r="S10" s="37" t="str"/>
      <x:c r="T10" s="37" t="str">
        <x:v>/collections/silk-pillowcases</x:v>
      </x:c>
      <x:c r="U10" s="37" t="str">
        <x:v>不要单独写博客，做商业页</x:v>
      </x:c>
      <x:c r="V10" s="65" t="n">
        <x:f>IF($A10="","",MIN(20,MAX(0,$I10*2)))</x:f>
        <x:v>4</x:v>
      </x:c>
      <x:c r="W10" s="65" t="n">
        <x:f>IF($A10="","",(($L10+$M10)/10)*20)</x:f>
        <x:v>20</x:v>
      </x:c>
      <x:c r="X10" s="65" t="n">
        <x:f>IF($A10="","",IF($E10&gt;=1000,10,IF($E10&gt;=300,8,IF($E10&gt;=100,6,IF($E10&gt;=30,4,IF($E10&gt;0,2,0)))))+IF($F10&gt;=2,5,IF($F10&gt;=1,4,IF($F10&gt;=0.3,3,IF($F10&gt;0,2,0)))))</x:f>
        <x:v>15</x:v>
      </x:c>
      <x:c r="Y10" s="65" t="n">
        <x:f>IF($A10="","",IF($G10&lt;=20,15,IF($G10&lt;=35,12,IF($G10&lt;=50,9,IF($G10&lt;=65,6,IF($G10&lt;=80,3,1))))))</x:f>
        <x:v>9</x:v>
      </x:c>
      <x:c r="Z10" s="65" t="n">
        <x:f>IF($A10="","",(($N10+$O10)/10)*15)</x:f>
        <x:v>6</x:v>
      </x:c>
      <x:c r="AA10" s="65" t="n">
        <x:f>IF($A10="","",(($P10+$Q10)/10)*10)</x:f>
        <x:v>9</x:v>
      </x:c>
      <x:c r="AB10" s="65" t="n">
        <x:f>IF($A10="","",$R10)</x:f>
        <x:v>2</x:v>
      </x:c>
      <x:c r="AC10" s="65" t="n">
        <x:f>IF($A10="","",SUM($V10:$AB10))</x:f>
        <x:v>65</x:v>
      </x:c>
      <x:c r="AD10" s="71" t="str">
        <x:f>IF($A10="","",IF($AC10&gt;=75,"P0",IF($AC10&gt;=60,"P1",IF($AC10&gt;=45,"P2","P3"))))</x:f>
        <x:v>P1</x:v>
      </x:c>
      <x:c r="AE10" s="71" t="str">
        <x:f>IF($A10="","",IF($AC10&gt;=75,"立即写独立文章",IF($AC10&gt;=60,"排入本批内容日历",IF($AC10&gt;=45,"先做FAQ/段落或低优先文章","不单独写，合并到商业页/FAQ"))))</x:f>
        <x:v>排入本批内容日历</x:v>
      </x:c>
      <x:c r="AF10" s="37" t="str">
        <x:f>IF($A10="","",$K10&amp;" | 父级页: "&amp;$C10&amp;" | 目标URL: "&amp;$T10&amp;" | 必补: 竞品结构+原创证据+对比表+FAQ+内链CTA")</x:f>
        <x:v>商业页优先 | 父级页: /collections/silk-pillowcases | 目标URL: /collections/silk-pillowcases | 必补: 竞品结构+原创证据+对比表+FAQ+内链CTA</x:v>
      </x:c>
      <x:c r="AG10" s="80" t="str">
        <x:f>IF($A10="","",IF($I10&lt;4,"SERP不支持文章，优先做商业页/FAQ",IF($L10&lt;3,"产品相关弱，谨慎写",IF($N10&lt;3,"证据不足，容易变AI水文",IF($G10&gt;70,"难度偏高，需要更强外链/权威",IF($Q10&lt;3,"内链弱，先补主题簇","可进入规划"))))))</x:f>
        <x:v>SERP不支持文章，优先做商业页/FAQ</x:v>
      </x:c>
    </x:row>
    <x:row r="11">
      <x:c r="A11" s="79" t="str">
        <x:v>what is silk</x:v>
      </x:c>
      <x:c r="B11" s="37" t="str">
        <x:v>泛定义词</x:v>
      </x:c>
      <x:c r="C11" s="37" t="str">
        <x:v>/pages/about-silk</x:v>
      </x:c>
      <x:c r="D11" s="37" t="str">
        <x:v>silk basics</x:v>
      </x:c>
      <x:c r="E11" s="59" t="n">
        <x:v>5400</x:v>
      </x:c>
      <x:c r="F11" s="62" t="n">
        <x:v>0.2</x:v>
      </x:c>
      <x:c r="G11" s="50" t="n">
        <x:v>78</x:v>
      </x:c>
      <x:c r="H11" s="50" t="str">
        <x:v>Informational</x:v>
      </x:c>
      <x:c r="I11" s="50" t="n">
        <x:v>5</x:v>
      </x:c>
      <x:c r="J11" s="37" t="str">
        <x:v>百科/大站</x:v>
      </x:c>
      <x:c r="K11" s="37" t="str">
        <x:v>通常不建议单独写</x:v>
      </x:c>
      <x:c r="L11" s="50" t="n">
        <x:v>2</x:v>
      </x:c>
      <x:c r="M11" s="50" t="n">
        <x:v>1</x:v>
      </x:c>
      <x:c r="N11" s="50" t="n">
        <x:v>1</x:v>
      </x:c>
      <x:c r="O11" s="50" t="n">
        <x:v>2</x:v>
      </x:c>
      <x:c r="P11" s="50" t="n">
        <x:v>2</x:v>
      </x:c>
      <x:c r="Q11" s="50" t="n">
        <x:v>1</x:v>
      </x:c>
      <x:c r="R11" s="50" t="n">
        <x:v>2</x:v>
      </x:c>
      <x:c r="S11" s="37" t="str"/>
      <x:c r="T11" s="37" t="str">
        <x:v>/pages/about-silk</x:v>
      </x:c>
      <x:c r="U11" s="37" t="str">
        <x:v>泛词难度高，商业弱</x:v>
      </x:c>
      <x:c r="V11" s="65" t="n">
        <x:f>IF($A11="","",MIN(20,MAX(0,$I11*2)))</x:f>
        <x:v>10</x:v>
      </x:c>
      <x:c r="W11" s="65" t="n">
        <x:f>IF($A11="","",(($L11+$M11)/10)*20)</x:f>
        <x:v>6</x:v>
      </x:c>
      <x:c r="X11" s="65" t="n">
        <x:f>IF($A11="","",IF($E11&gt;=1000,10,IF($E11&gt;=300,8,IF($E11&gt;=100,6,IF($E11&gt;=30,4,IF($E11&gt;0,2,0)))))+IF($F11&gt;=2,5,IF($F11&gt;=1,4,IF($F11&gt;=0.3,3,IF($F11&gt;0,2,0)))))</x:f>
        <x:v>12</x:v>
      </x:c>
      <x:c r="Y11" s="65" t="n">
        <x:f>IF($A11="","",IF($G11&lt;=20,15,IF($G11&lt;=35,12,IF($G11&lt;=50,9,IF($G11&lt;=65,6,IF($G11&lt;=80,3,1))))))</x:f>
        <x:v>3</x:v>
      </x:c>
      <x:c r="Z11" s="65" t="n">
        <x:f>IF($A11="","",(($N11+$O11)/10)*15)</x:f>
        <x:v>4.5</x:v>
      </x:c>
      <x:c r="AA11" s="65" t="n">
        <x:f>IF($A11="","",(($P11+$Q11)/10)*10)</x:f>
        <x:v>3</x:v>
      </x:c>
      <x:c r="AB11" s="65" t="n">
        <x:f>IF($A11="","",$R11)</x:f>
        <x:v>2</x:v>
      </x:c>
      <x:c r="AC11" s="65" t="n">
        <x:f>IF($A11="","",SUM($V11:$AB11))</x:f>
        <x:v>40.5</x:v>
      </x:c>
      <x:c r="AD11" s="71" t="str">
        <x:f>IF($A11="","",IF($AC11&gt;=75,"P0",IF($AC11&gt;=60,"P1",IF($AC11&gt;=45,"P2","P3"))))</x:f>
        <x:v>P3</x:v>
      </x:c>
      <x:c r="AE11" s="71" t="str">
        <x:f>IF($A11="","",IF($AC11&gt;=75,"立即写独立文章",IF($AC11&gt;=60,"排入本批内容日历",IF($AC11&gt;=45,"先做FAQ/段落或低优先文章","不单独写，合并到商业页/FAQ"))))</x:f>
        <x:v>不单独写，合并到商业页/FAQ</x:v>
      </x:c>
      <x:c r="AF11" s="37" t="str">
        <x:f>IF($A11="","",$K11&amp;" | 父级页: "&amp;$C11&amp;" | 目标URL: "&amp;$T11&amp;" | 必补: 竞品结构+原创证据+对比表+FAQ+内链CTA")</x:f>
        <x:v>通常不建议单独写 | 父级页: /pages/about-silk | 目标URL: /pages/about-silk | 必补: 竞品结构+原创证据+对比表+FAQ+内链CTA</x:v>
      </x:c>
      <x:c r="AG11" s="80" t="str">
        <x:f>IF($A11="","",IF($I11&lt;4,"SERP不支持文章，优先做商业页/FAQ",IF($L11&lt;3,"产品相关弱，谨慎写",IF($N11&lt;3,"证据不足，容易变AI水文",IF($G11&gt;70,"难度偏高，需要更强外链/权威",IF($Q11&lt;3,"内链弱，先补主题簇","可进入规划"))))))</x:f>
        <x:v>产品相关弱，谨慎写</x:v>
      </x:c>
    </x:row>
    <x:row r="12">
      <x:c r="A12" s="79"/>
      <x:c r="B12" s="37"/>
      <x:c r="C12" s="37"/>
      <x:c r="D12" s="37"/>
      <x:c r="E12" s="59"/>
      <x:c r="F12" s="62"/>
      <x:c r="G12" s="50"/>
      <x:c r="H12" s="50"/>
      <x:c r="I12" s="50"/>
      <x:c r="J12" s="37"/>
      <x:c r="K12" s="37"/>
      <x:c r="L12" s="50"/>
      <x:c r="M12" s="50"/>
      <x:c r="N12" s="50"/>
      <x:c r="O12" s="50"/>
      <x:c r="P12" s="50"/>
      <x:c r="Q12" s="50"/>
      <x:c r="R12" s="50"/>
      <x:c r="S12" s="37"/>
      <x:c r="T12" s="37"/>
      <x:c r="U12" s="37"/>
      <x:c r="V12" s="65" t="str">
        <x:f>IF($A12="","",MIN(20,MAX(0,$I12*2)))</x:f>
      </x:c>
      <x:c r="W12" s="65" t="str">
        <x:f>IF($A12="","",(($L12+$M12)/10)*20)</x:f>
      </x:c>
      <x:c r="X12" s="65" t="str">
        <x:f>IF($A12="","",IF($E12&gt;=1000,10,IF($E12&gt;=300,8,IF($E12&gt;=100,6,IF($E12&gt;=30,4,IF($E12&gt;0,2,0)))))+IF($F12&gt;=2,5,IF($F12&gt;=1,4,IF($F12&gt;=0.3,3,IF($F12&gt;0,2,0)))))</x:f>
      </x:c>
      <x:c r="Y12" s="65" t="str">
        <x:f>IF($A12="","",IF($G12&lt;=20,15,IF($G12&lt;=35,12,IF($G12&lt;=50,9,IF($G12&lt;=65,6,IF($G12&lt;=80,3,1))))))</x:f>
      </x:c>
      <x:c r="Z12" s="65" t="str">
        <x:f>IF($A12="","",(($N12+$O12)/10)*15)</x:f>
      </x:c>
      <x:c r="AA12" s="65" t="str">
        <x:f>IF($A12="","",(($P12+$Q12)/10)*10)</x:f>
      </x:c>
      <x:c r="AB12" s="65" t="str">
        <x:f>IF($A12="","",$R12)</x:f>
      </x:c>
      <x:c r="AC12" s="65" t="str">
        <x:f>IF($A12="","",SUM($V12:$AB12))</x:f>
      </x:c>
      <x:c r="AD12" s="71" t="str">
        <x:f>IF($A12="","",IF($AC12&gt;=75,"P0",IF($AC12&gt;=60,"P1",IF($AC12&gt;=45,"P2","P3"))))</x:f>
      </x:c>
      <x:c r="AE12" s="71" t="str">
        <x:f>IF($A12="","",IF($AC12&gt;=75,"立即写独立文章",IF($AC12&gt;=60,"排入本批内容日历",IF($AC12&gt;=45,"先做FAQ/段落或低优先文章","不单独写，合并到商业页/FAQ"))))</x:f>
      </x:c>
      <x:c r="AF12" s="37" t="str">
        <x:f>IF($A12="","",$K12&amp;" | 父级页: "&amp;$C12&amp;" | 目标URL: "&amp;$T12&amp;" | 必补: 竞品结构+原创证据+对比表+FAQ+内链CTA")</x:f>
      </x:c>
      <x:c r="AG12" s="80" t="str">
        <x:f>IF($A12="","",IF($I12&lt;4,"SERP不支持文章，优先做商业页/FAQ",IF($L12&lt;3,"产品相关弱，谨慎写",IF($N12&lt;3,"证据不足，容易变AI水文",IF($G12&gt;70,"难度偏高，需要更强外链/权威",IF($Q12&lt;3,"内链弱，先补主题簇","可进入规划"))))))</x:f>
      </x:c>
    </x:row>
    <x:row r="13">
      <x:c r="A13" s="79"/>
      <x:c r="B13" s="37"/>
      <x:c r="C13" s="37"/>
      <x:c r="D13" s="37"/>
      <x:c r="E13" s="59"/>
      <x:c r="F13" s="62"/>
      <x:c r="G13" s="50"/>
      <x:c r="H13" s="50"/>
      <x:c r="I13" s="50"/>
      <x:c r="J13" s="37"/>
      <x:c r="K13" s="37"/>
      <x:c r="L13" s="50"/>
      <x:c r="M13" s="50"/>
      <x:c r="N13" s="50"/>
      <x:c r="O13" s="50"/>
      <x:c r="P13" s="50"/>
      <x:c r="Q13" s="50"/>
      <x:c r="R13" s="50"/>
      <x:c r="S13" s="37"/>
      <x:c r="T13" s="37"/>
      <x:c r="U13" s="37"/>
      <x:c r="V13" s="65" t="str">
        <x:f>IF($A13="","",MIN(20,MAX(0,$I13*2)))</x:f>
      </x:c>
      <x:c r="W13" s="65" t="str">
        <x:f>IF($A13="","",(($L13+$M13)/10)*20)</x:f>
      </x:c>
      <x:c r="X13" s="65" t="str">
        <x:f>IF($A13="","",IF($E13&gt;=1000,10,IF($E13&gt;=300,8,IF($E13&gt;=100,6,IF($E13&gt;=30,4,IF($E13&gt;0,2,0)))))+IF($F13&gt;=2,5,IF($F13&gt;=1,4,IF($F13&gt;=0.3,3,IF($F13&gt;0,2,0)))))</x:f>
      </x:c>
      <x:c r="Y13" s="65" t="str">
        <x:f>IF($A13="","",IF($G13&lt;=20,15,IF($G13&lt;=35,12,IF($G13&lt;=50,9,IF($G13&lt;=65,6,IF($G13&lt;=80,3,1))))))</x:f>
      </x:c>
      <x:c r="Z13" s="65" t="str">
        <x:f>IF($A13="","",(($N13+$O13)/10)*15)</x:f>
      </x:c>
      <x:c r="AA13" s="65" t="str">
        <x:f>IF($A13="","",(($P13+$Q13)/10)*10)</x:f>
      </x:c>
      <x:c r="AB13" s="65" t="str">
        <x:f>IF($A13="","",$R13)</x:f>
      </x:c>
      <x:c r="AC13" s="65" t="str">
        <x:f>IF($A13="","",SUM($V13:$AB13))</x:f>
      </x:c>
      <x:c r="AD13" s="71" t="str">
        <x:f>IF($A13="","",IF($AC13&gt;=75,"P0",IF($AC13&gt;=60,"P1",IF($AC13&gt;=45,"P2","P3"))))</x:f>
      </x:c>
      <x:c r="AE13" s="71" t="str">
        <x:f>IF($A13="","",IF($AC13&gt;=75,"立即写独立文章",IF($AC13&gt;=60,"排入本批内容日历",IF($AC13&gt;=45,"先做FAQ/段落或低优先文章","不单独写，合并到商业页/FAQ"))))</x:f>
      </x:c>
      <x:c r="AF13" s="37" t="str">
        <x:f>IF($A13="","",$K13&amp;" | 父级页: "&amp;$C13&amp;" | 目标URL: "&amp;$T13&amp;" | 必补: 竞品结构+原创证据+对比表+FAQ+内链CTA")</x:f>
      </x:c>
      <x:c r="AG13" s="80" t="str">
        <x:f>IF($A13="","",IF($I13&lt;4,"SERP不支持文章，优先做商业页/FAQ",IF($L13&lt;3,"产品相关弱，谨慎写",IF($N13&lt;3,"证据不足，容易变AI水文",IF($G13&gt;70,"难度偏高，需要更强外链/权威",IF($Q13&lt;3,"内链弱，先补主题簇","可进入规划"))))))</x:f>
      </x:c>
    </x:row>
    <x:row r="14">
      <x:c r="A14" s="79"/>
      <x:c r="B14" s="37"/>
      <x:c r="C14" s="37"/>
      <x:c r="D14" s="37"/>
      <x:c r="E14" s="59"/>
      <x:c r="F14" s="62"/>
      <x:c r="G14" s="50"/>
      <x:c r="H14" s="50"/>
      <x:c r="I14" s="50"/>
      <x:c r="J14" s="37"/>
      <x:c r="K14" s="37"/>
      <x:c r="L14" s="50"/>
      <x:c r="M14" s="50"/>
      <x:c r="N14" s="50"/>
      <x:c r="O14" s="50"/>
      <x:c r="P14" s="50"/>
      <x:c r="Q14" s="50"/>
      <x:c r="R14" s="50"/>
      <x:c r="S14" s="37"/>
      <x:c r="T14" s="37"/>
      <x:c r="U14" s="37"/>
      <x:c r="V14" s="65" t="str">
        <x:f>IF($A14="","",MIN(20,MAX(0,$I14*2)))</x:f>
      </x:c>
      <x:c r="W14" s="65" t="str">
        <x:f>IF($A14="","",(($L14+$M14)/10)*20)</x:f>
      </x:c>
      <x:c r="X14" s="65" t="str">
        <x:f>IF($A14="","",IF($E14&gt;=1000,10,IF($E14&gt;=300,8,IF($E14&gt;=100,6,IF($E14&gt;=30,4,IF($E14&gt;0,2,0)))))+IF($F14&gt;=2,5,IF($F14&gt;=1,4,IF($F14&gt;=0.3,3,IF($F14&gt;0,2,0)))))</x:f>
      </x:c>
      <x:c r="Y14" s="65" t="str">
        <x:f>IF($A14="","",IF($G14&lt;=20,15,IF($G14&lt;=35,12,IF($G14&lt;=50,9,IF($G14&lt;=65,6,IF($G14&lt;=80,3,1))))))</x:f>
      </x:c>
      <x:c r="Z14" s="65" t="str">
        <x:f>IF($A14="","",(($N14+$O14)/10)*15)</x:f>
      </x:c>
      <x:c r="AA14" s="65" t="str">
        <x:f>IF($A14="","",(($P14+$Q14)/10)*10)</x:f>
      </x:c>
      <x:c r="AB14" s="65" t="str">
        <x:f>IF($A14="","",$R14)</x:f>
      </x:c>
      <x:c r="AC14" s="65" t="str">
        <x:f>IF($A14="","",SUM($V14:$AB14))</x:f>
      </x:c>
      <x:c r="AD14" s="71" t="str">
        <x:f>IF($A14="","",IF($AC14&gt;=75,"P0",IF($AC14&gt;=60,"P1",IF($AC14&gt;=45,"P2","P3"))))</x:f>
      </x:c>
      <x:c r="AE14" s="71" t="str">
        <x:f>IF($A14="","",IF($AC14&gt;=75,"立即写独立文章",IF($AC14&gt;=60,"排入本批内容日历",IF($AC14&gt;=45,"先做FAQ/段落或低优先文章","不单独写，合并到商业页/FAQ"))))</x:f>
      </x:c>
      <x:c r="AF14" s="37" t="str">
        <x:f>IF($A14="","",$K14&amp;" | 父级页: "&amp;$C14&amp;" | 目标URL: "&amp;$T14&amp;" | 必补: 竞品结构+原创证据+对比表+FAQ+内链CTA")</x:f>
      </x:c>
      <x:c r="AG14" s="80" t="str">
        <x:f>IF($A14="","",IF($I14&lt;4,"SERP不支持文章，优先做商业页/FAQ",IF($L14&lt;3,"产品相关弱，谨慎写",IF($N14&lt;3,"证据不足，容易变AI水文",IF($G14&gt;70,"难度偏高，需要更强外链/权威",IF($Q14&lt;3,"内链弱，先补主题簇","可进入规划"))))))</x:f>
      </x:c>
    </x:row>
    <x:row r="15">
      <x:c r="A15" s="79"/>
      <x:c r="B15" s="37"/>
      <x:c r="C15" s="37"/>
      <x:c r="D15" s="37"/>
      <x:c r="E15" s="59"/>
      <x:c r="F15" s="62"/>
      <x:c r="G15" s="50"/>
      <x:c r="H15" s="50"/>
      <x:c r="I15" s="50"/>
      <x:c r="J15" s="37"/>
      <x:c r="K15" s="37"/>
      <x:c r="L15" s="50"/>
      <x:c r="M15" s="50"/>
      <x:c r="N15" s="50"/>
      <x:c r="O15" s="50"/>
      <x:c r="P15" s="50"/>
      <x:c r="Q15" s="50"/>
      <x:c r="R15" s="50"/>
      <x:c r="S15" s="37"/>
      <x:c r="T15" s="37"/>
      <x:c r="U15" s="37"/>
      <x:c r="V15" s="65" t="str">
        <x:f>IF($A15="","",MIN(20,MAX(0,$I15*2)))</x:f>
      </x:c>
      <x:c r="W15" s="65" t="str">
        <x:f>IF($A15="","",(($L15+$M15)/10)*20)</x:f>
      </x:c>
      <x:c r="X15" s="65" t="str">
        <x:f>IF($A15="","",IF($E15&gt;=1000,10,IF($E15&gt;=300,8,IF($E15&gt;=100,6,IF($E15&gt;=30,4,IF($E15&gt;0,2,0)))))+IF($F15&gt;=2,5,IF($F15&gt;=1,4,IF($F15&gt;=0.3,3,IF($F15&gt;0,2,0)))))</x:f>
      </x:c>
      <x:c r="Y15" s="65" t="str">
        <x:f>IF($A15="","",IF($G15&lt;=20,15,IF($G15&lt;=35,12,IF($G15&lt;=50,9,IF($G15&lt;=65,6,IF($G15&lt;=80,3,1))))))</x:f>
      </x:c>
      <x:c r="Z15" s="65" t="str">
        <x:f>IF($A15="","",(($N15+$O15)/10)*15)</x:f>
      </x:c>
      <x:c r="AA15" s="65" t="str">
        <x:f>IF($A15="","",(($P15+$Q15)/10)*10)</x:f>
      </x:c>
      <x:c r="AB15" s="65" t="str">
        <x:f>IF($A15="","",$R15)</x:f>
      </x:c>
      <x:c r="AC15" s="65" t="str">
        <x:f>IF($A15="","",SUM($V15:$AB15))</x:f>
      </x:c>
      <x:c r="AD15" s="71" t="str">
        <x:f>IF($A15="","",IF($AC15&gt;=75,"P0",IF($AC15&gt;=60,"P1",IF($AC15&gt;=45,"P2","P3"))))</x:f>
      </x:c>
      <x:c r="AE15" s="71" t="str">
        <x:f>IF($A15="","",IF($AC15&gt;=75,"立即写独立文章",IF($AC15&gt;=60,"排入本批内容日历",IF($AC15&gt;=45,"先做FAQ/段落或低优先文章","不单独写，合并到商业页/FAQ"))))</x:f>
      </x:c>
      <x:c r="AF15" s="37" t="str">
        <x:f>IF($A15="","",$K15&amp;" | 父级页: "&amp;$C15&amp;" | 目标URL: "&amp;$T15&amp;" | 必补: 竞品结构+原创证据+对比表+FAQ+内链CTA")</x:f>
      </x:c>
      <x:c r="AG15" s="80" t="str">
        <x:f>IF($A15="","",IF($I15&lt;4,"SERP不支持文章，优先做商业页/FAQ",IF($L15&lt;3,"产品相关弱，谨慎写",IF($N15&lt;3,"证据不足，容易变AI水文",IF($G15&gt;70,"难度偏高，需要更强外链/权威",IF($Q15&lt;3,"内链弱，先补主题簇","可进入规划"))))))</x:f>
      </x:c>
    </x:row>
    <x:row r="16">
      <x:c r="A16" s="79"/>
      <x:c r="B16" s="37"/>
      <x:c r="C16" s="37"/>
      <x:c r="D16" s="37"/>
      <x:c r="E16" s="59"/>
      <x:c r="F16" s="62"/>
      <x:c r="G16" s="50"/>
      <x:c r="H16" s="50"/>
      <x:c r="I16" s="50"/>
      <x:c r="J16" s="37"/>
      <x:c r="K16" s="37"/>
      <x:c r="L16" s="50"/>
      <x:c r="M16" s="50"/>
      <x:c r="N16" s="50"/>
      <x:c r="O16" s="50"/>
      <x:c r="P16" s="50"/>
      <x:c r="Q16" s="50"/>
      <x:c r="R16" s="50"/>
      <x:c r="S16" s="37"/>
      <x:c r="T16" s="37"/>
      <x:c r="U16" s="37"/>
      <x:c r="V16" s="65" t="str">
        <x:f>IF($A16="","",MIN(20,MAX(0,$I16*2)))</x:f>
      </x:c>
      <x:c r="W16" s="65" t="str">
        <x:f>IF($A16="","",(($L16+$M16)/10)*20)</x:f>
      </x:c>
      <x:c r="X16" s="65" t="str">
        <x:f>IF($A16="","",IF($E16&gt;=1000,10,IF($E16&gt;=300,8,IF($E16&gt;=100,6,IF($E16&gt;=30,4,IF($E16&gt;0,2,0)))))+IF($F16&gt;=2,5,IF($F16&gt;=1,4,IF($F16&gt;=0.3,3,IF($F16&gt;0,2,0)))))</x:f>
      </x:c>
      <x:c r="Y16" s="65" t="str">
        <x:f>IF($A16="","",IF($G16&lt;=20,15,IF($G16&lt;=35,12,IF($G16&lt;=50,9,IF($G16&lt;=65,6,IF($G16&lt;=80,3,1))))))</x:f>
      </x:c>
      <x:c r="Z16" s="65" t="str">
        <x:f>IF($A16="","",(($N16+$O16)/10)*15)</x:f>
      </x:c>
      <x:c r="AA16" s="65" t="str">
        <x:f>IF($A16="","",(($P16+$Q16)/10)*10)</x:f>
      </x:c>
      <x:c r="AB16" s="65" t="str">
        <x:f>IF($A16="","",$R16)</x:f>
      </x:c>
      <x:c r="AC16" s="65" t="str">
        <x:f>IF($A16="","",SUM($V16:$AB16))</x:f>
      </x:c>
      <x:c r="AD16" s="71" t="str">
        <x:f>IF($A16="","",IF($AC16&gt;=75,"P0",IF($AC16&gt;=60,"P1",IF($AC16&gt;=45,"P2","P3"))))</x:f>
      </x:c>
      <x:c r="AE16" s="71" t="str">
        <x:f>IF($A16="","",IF($AC16&gt;=75,"立即写独立文章",IF($AC16&gt;=60,"排入本批内容日历",IF($AC16&gt;=45,"先做FAQ/段落或低优先文章","不单独写，合并到商业页/FAQ"))))</x:f>
      </x:c>
      <x:c r="AF16" s="37" t="str">
        <x:f>IF($A16="","",$K16&amp;" | 父级页: "&amp;$C16&amp;" | 目标URL: "&amp;$T16&amp;" | 必补: 竞品结构+原创证据+对比表+FAQ+内链CTA")</x:f>
      </x:c>
      <x:c r="AG16" s="80" t="str">
        <x:f>IF($A16="","",IF($I16&lt;4,"SERP不支持文章，优先做商业页/FAQ",IF($L16&lt;3,"产品相关弱，谨慎写",IF($N16&lt;3,"证据不足，容易变AI水文",IF($G16&gt;70,"难度偏高，需要更强外链/权威",IF($Q16&lt;3,"内链弱，先补主题簇","可进入规划"))))))</x:f>
      </x:c>
    </x:row>
    <x:row r="17">
      <x:c r="A17" s="79"/>
      <x:c r="B17" s="37"/>
      <x:c r="C17" s="37"/>
      <x:c r="D17" s="37"/>
      <x:c r="E17" s="59"/>
      <x:c r="F17" s="62"/>
      <x:c r="G17" s="50"/>
      <x:c r="H17" s="50"/>
      <x:c r="I17" s="50"/>
      <x:c r="J17" s="37"/>
      <x:c r="K17" s="37"/>
      <x:c r="L17" s="50"/>
      <x:c r="M17" s="50"/>
      <x:c r="N17" s="50"/>
      <x:c r="O17" s="50"/>
      <x:c r="P17" s="50"/>
      <x:c r="Q17" s="50"/>
      <x:c r="R17" s="50"/>
      <x:c r="S17" s="37"/>
      <x:c r="T17" s="37"/>
      <x:c r="U17" s="37"/>
      <x:c r="V17" s="65" t="str">
        <x:f>IF($A17="","",MIN(20,MAX(0,$I17*2)))</x:f>
      </x:c>
      <x:c r="W17" s="65" t="str">
        <x:f>IF($A17="","",(($L17+$M17)/10)*20)</x:f>
      </x:c>
      <x:c r="X17" s="65" t="str">
        <x:f>IF($A17="","",IF($E17&gt;=1000,10,IF($E17&gt;=300,8,IF($E17&gt;=100,6,IF($E17&gt;=30,4,IF($E17&gt;0,2,0)))))+IF($F17&gt;=2,5,IF($F17&gt;=1,4,IF($F17&gt;=0.3,3,IF($F17&gt;0,2,0)))))</x:f>
      </x:c>
      <x:c r="Y17" s="65" t="str">
        <x:f>IF($A17="","",IF($G17&lt;=20,15,IF($G17&lt;=35,12,IF($G17&lt;=50,9,IF($G17&lt;=65,6,IF($G17&lt;=80,3,1))))))</x:f>
      </x:c>
      <x:c r="Z17" s="65" t="str">
        <x:f>IF($A17="","",(($N17+$O17)/10)*15)</x:f>
      </x:c>
      <x:c r="AA17" s="65" t="str">
        <x:f>IF($A17="","",(($P17+$Q17)/10)*10)</x:f>
      </x:c>
      <x:c r="AB17" s="65" t="str">
        <x:f>IF($A17="","",$R17)</x:f>
      </x:c>
      <x:c r="AC17" s="65" t="str">
        <x:f>IF($A17="","",SUM($V17:$AB17))</x:f>
      </x:c>
      <x:c r="AD17" s="71" t="str">
        <x:f>IF($A17="","",IF($AC17&gt;=75,"P0",IF($AC17&gt;=60,"P1",IF($AC17&gt;=45,"P2","P3"))))</x:f>
      </x:c>
      <x:c r="AE17" s="71" t="str">
        <x:f>IF($A17="","",IF($AC17&gt;=75,"立即写独立文章",IF($AC17&gt;=60,"排入本批内容日历",IF($AC17&gt;=45,"先做FAQ/段落或低优先文章","不单独写，合并到商业页/FAQ"))))</x:f>
      </x:c>
      <x:c r="AF17" s="37" t="str">
        <x:f>IF($A17="","",$K17&amp;" | 父级页: "&amp;$C17&amp;" | 目标URL: "&amp;$T17&amp;" | 必补: 竞品结构+原创证据+对比表+FAQ+内链CTA")</x:f>
      </x:c>
      <x:c r="AG17" s="80" t="str">
        <x:f>IF($A17="","",IF($I17&lt;4,"SERP不支持文章，优先做商业页/FAQ",IF($L17&lt;3,"产品相关弱，谨慎写",IF($N17&lt;3,"证据不足，容易变AI水文",IF($G17&gt;70,"难度偏高，需要更强外链/权威",IF($Q17&lt;3,"内链弱，先补主题簇","可进入规划"))))))</x:f>
      </x:c>
    </x:row>
    <x:row r="18">
      <x:c r="A18" s="79"/>
      <x:c r="B18" s="37"/>
      <x:c r="C18" s="37"/>
      <x:c r="D18" s="37"/>
      <x:c r="E18" s="59"/>
      <x:c r="F18" s="62"/>
      <x:c r="G18" s="50"/>
      <x:c r="H18" s="50"/>
      <x:c r="I18" s="50"/>
      <x:c r="J18" s="37"/>
      <x:c r="K18" s="37"/>
      <x:c r="L18" s="50"/>
      <x:c r="M18" s="50"/>
      <x:c r="N18" s="50"/>
      <x:c r="O18" s="50"/>
      <x:c r="P18" s="50"/>
      <x:c r="Q18" s="50"/>
      <x:c r="R18" s="50"/>
      <x:c r="S18" s="37"/>
      <x:c r="T18" s="37"/>
      <x:c r="U18" s="37"/>
      <x:c r="V18" s="65" t="str">
        <x:f>IF($A18="","",MIN(20,MAX(0,$I18*2)))</x:f>
      </x:c>
      <x:c r="W18" s="65" t="str">
        <x:f>IF($A18="","",(($L18+$M18)/10)*20)</x:f>
      </x:c>
      <x:c r="X18" s="65" t="str">
        <x:f>IF($A18="","",IF($E18&gt;=1000,10,IF($E18&gt;=300,8,IF($E18&gt;=100,6,IF($E18&gt;=30,4,IF($E18&gt;0,2,0)))))+IF($F18&gt;=2,5,IF($F18&gt;=1,4,IF($F18&gt;=0.3,3,IF($F18&gt;0,2,0)))))</x:f>
      </x:c>
      <x:c r="Y18" s="65" t="str">
        <x:f>IF($A18="","",IF($G18&lt;=20,15,IF($G18&lt;=35,12,IF($G18&lt;=50,9,IF($G18&lt;=65,6,IF($G18&lt;=80,3,1))))))</x:f>
      </x:c>
      <x:c r="Z18" s="65" t="str">
        <x:f>IF($A18="","",(($N18+$O18)/10)*15)</x:f>
      </x:c>
      <x:c r="AA18" s="65" t="str">
        <x:f>IF($A18="","",(($P18+$Q18)/10)*10)</x:f>
      </x:c>
      <x:c r="AB18" s="65" t="str">
        <x:f>IF($A18="","",$R18)</x:f>
      </x:c>
      <x:c r="AC18" s="65" t="str">
        <x:f>IF($A18="","",SUM($V18:$AB18))</x:f>
      </x:c>
      <x:c r="AD18" s="71" t="str">
        <x:f>IF($A18="","",IF($AC18&gt;=75,"P0",IF($AC18&gt;=60,"P1",IF($AC18&gt;=45,"P2","P3"))))</x:f>
      </x:c>
      <x:c r="AE18" s="71" t="str">
        <x:f>IF($A18="","",IF($AC18&gt;=75,"立即写独立文章",IF($AC18&gt;=60,"排入本批内容日历",IF($AC18&gt;=45,"先做FAQ/段落或低优先文章","不单独写，合并到商业页/FAQ"))))</x:f>
      </x:c>
      <x:c r="AF18" s="37" t="str">
        <x:f>IF($A18="","",$K18&amp;" | 父级页: "&amp;$C18&amp;" | 目标URL: "&amp;$T18&amp;" | 必补: 竞品结构+原创证据+对比表+FAQ+内链CTA")</x:f>
      </x:c>
      <x:c r="AG18" s="80" t="str">
        <x:f>IF($A18="","",IF($I18&lt;4,"SERP不支持文章，优先做商业页/FAQ",IF($L18&lt;3,"产品相关弱，谨慎写",IF($N18&lt;3,"证据不足，容易变AI水文",IF($G18&gt;70,"难度偏高，需要更强外链/权威",IF($Q18&lt;3,"内链弱，先补主题簇","可进入规划"))))))</x:f>
      </x:c>
    </x:row>
    <x:row r="19">
      <x:c r="A19" s="79"/>
      <x:c r="B19" s="37"/>
      <x:c r="C19" s="37"/>
      <x:c r="D19" s="37"/>
      <x:c r="E19" s="59"/>
      <x:c r="F19" s="62"/>
      <x:c r="G19" s="50"/>
      <x:c r="H19" s="50"/>
      <x:c r="I19" s="50"/>
      <x:c r="J19" s="37"/>
      <x:c r="K19" s="37"/>
      <x:c r="L19" s="50"/>
      <x:c r="M19" s="50"/>
      <x:c r="N19" s="50"/>
      <x:c r="O19" s="50"/>
      <x:c r="P19" s="50"/>
      <x:c r="Q19" s="50"/>
      <x:c r="R19" s="50"/>
      <x:c r="S19" s="37"/>
      <x:c r="T19" s="37"/>
      <x:c r="U19" s="37"/>
      <x:c r="V19" s="65" t="str">
        <x:f>IF($A19="","",MIN(20,MAX(0,$I19*2)))</x:f>
      </x:c>
      <x:c r="W19" s="65" t="str">
        <x:f>IF($A19="","",(($L19+$M19)/10)*20)</x:f>
      </x:c>
      <x:c r="X19" s="65" t="str">
        <x:f>IF($A19="","",IF($E19&gt;=1000,10,IF($E19&gt;=300,8,IF($E19&gt;=100,6,IF($E19&gt;=30,4,IF($E19&gt;0,2,0)))))+IF($F19&gt;=2,5,IF($F19&gt;=1,4,IF($F19&gt;=0.3,3,IF($F19&gt;0,2,0)))))</x:f>
      </x:c>
      <x:c r="Y19" s="65" t="str">
        <x:f>IF($A19="","",IF($G19&lt;=20,15,IF($G19&lt;=35,12,IF($G19&lt;=50,9,IF($G19&lt;=65,6,IF($G19&lt;=80,3,1))))))</x:f>
      </x:c>
      <x:c r="Z19" s="65" t="str">
        <x:f>IF($A19="","",(($N19+$O19)/10)*15)</x:f>
      </x:c>
      <x:c r="AA19" s="65" t="str">
        <x:f>IF($A19="","",(($P19+$Q19)/10)*10)</x:f>
      </x:c>
      <x:c r="AB19" s="65" t="str">
        <x:f>IF($A19="","",$R19)</x:f>
      </x:c>
      <x:c r="AC19" s="65" t="str">
        <x:f>IF($A19="","",SUM($V19:$AB19))</x:f>
      </x:c>
      <x:c r="AD19" s="71" t="str">
        <x:f>IF($A19="","",IF($AC19&gt;=75,"P0",IF($AC19&gt;=60,"P1",IF($AC19&gt;=45,"P2","P3"))))</x:f>
      </x:c>
      <x:c r="AE19" s="71" t="str">
        <x:f>IF($A19="","",IF($AC19&gt;=75,"立即写独立文章",IF($AC19&gt;=60,"排入本批内容日历",IF($AC19&gt;=45,"先做FAQ/段落或低优先文章","不单独写，合并到商业页/FAQ"))))</x:f>
      </x:c>
      <x:c r="AF19" s="37" t="str">
        <x:f>IF($A19="","",$K19&amp;" | 父级页: "&amp;$C19&amp;" | 目标URL: "&amp;$T19&amp;" | 必补: 竞品结构+原创证据+对比表+FAQ+内链CTA")</x:f>
      </x:c>
      <x:c r="AG19" s="80" t="str">
        <x:f>IF($A19="","",IF($I19&lt;4,"SERP不支持文章，优先做商业页/FAQ",IF($L19&lt;3,"产品相关弱，谨慎写",IF($N19&lt;3,"证据不足，容易变AI水文",IF($G19&gt;70,"难度偏高，需要更强外链/权威",IF($Q19&lt;3,"内链弱，先补主题簇","可进入规划"))))))</x:f>
      </x:c>
    </x:row>
    <x:row r="20">
      <x:c r="A20" s="79"/>
      <x:c r="B20" s="37"/>
      <x:c r="C20" s="37"/>
      <x:c r="D20" s="37"/>
      <x:c r="E20" s="59"/>
      <x:c r="F20" s="62"/>
      <x:c r="G20" s="50"/>
      <x:c r="H20" s="50"/>
      <x:c r="I20" s="50"/>
      <x:c r="J20" s="37"/>
      <x:c r="K20" s="37"/>
      <x:c r="L20" s="50"/>
      <x:c r="M20" s="50"/>
      <x:c r="N20" s="50"/>
      <x:c r="O20" s="50"/>
      <x:c r="P20" s="50"/>
      <x:c r="Q20" s="50"/>
      <x:c r="R20" s="50"/>
      <x:c r="S20" s="37"/>
      <x:c r="T20" s="37"/>
      <x:c r="U20" s="37"/>
      <x:c r="V20" s="65" t="str">
        <x:f>IF($A20="","",MIN(20,MAX(0,$I20*2)))</x:f>
      </x:c>
      <x:c r="W20" s="65" t="str">
        <x:f>IF($A20="","",(($L20+$M20)/10)*20)</x:f>
      </x:c>
      <x:c r="X20" s="65" t="str">
        <x:f>IF($A20="","",IF($E20&gt;=1000,10,IF($E20&gt;=300,8,IF($E20&gt;=100,6,IF($E20&gt;=30,4,IF($E20&gt;0,2,0)))))+IF($F20&gt;=2,5,IF($F20&gt;=1,4,IF($F20&gt;=0.3,3,IF($F20&gt;0,2,0)))))</x:f>
      </x:c>
      <x:c r="Y20" s="65" t="str">
        <x:f>IF($A20="","",IF($G20&lt;=20,15,IF($G20&lt;=35,12,IF($G20&lt;=50,9,IF($G20&lt;=65,6,IF($G20&lt;=80,3,1))))))</x:f>
      </x:c>
      <x:c r="Z20" s="65" t="str">
        <x:f>IF($A20="","",(($N20+$O20)/10)*15)</x:f>
      </x:c>
      <x:c r="AA20" s="65" t="str">
        <x:f>IF($A20="","",(($P20+$Q20)/10)*10)</x:f>
      </x:c>
      <x:c r="AB20" s="65" t="str">
        <x:f>IF($A20="","",$R20)</x:f>
      </x:c>
      <x:c r="AC20" s="65" t="str">
        <x:f>IF($A20="","",SUM($V20:$AB20))</x:f>
      </x:c>
      <x:c r="AD20" s="71" t="str">
        <x:f>IF($A20="","",IF($AC20&gt;=75,"P0",IF($AC20&gt;=60,"P1",IF($AC20&gt;=45,"P2","P3"))))</x:f>
      </x:c>
      <x:c r="AE20" s="71" t="str">
        <x:f>IF($A20="","",IF($AC20&gt;=75,"立即写独立文章",IF($AC20&gt;=60,"排入本批内容日历",IF($AC20&gt;=45,"先做FAQ/段落或低优先文章","不单独写，合并到商业页/FAQ"))))</x:f>
      </x:c>
      <x:c r="AF20" s="37" t="str">
        <x:f>IF($A20="","",$K20&amp;" | 父级页: "&amp;$C20&amp;" | 目标URL: "&amp;$T20&amp;" | 必补: 竞品结构+原创证据+对比表+FAQ+内链CTA")</x:f>
      </x:c>
      <x:c r="AG20" s="80" t="str">
        <x:f>IF($A20="","",IF($I20&lt;4,"SERP不支持文章，优先做商业页/FAQ",IF($L20&lt;3,"产品相关弱，谨慎写",IF($N20&lt;3,"证据不足，容易变AI水文",IF($G20&gt;70,"难度偏高，需要更强外链/权威",IF($Q20&lt;3,"内链弱，先补主题簇","可进入规划"))))))</x:f>
      </x:c>
    </x:row>
    <x:row r="21">
      <x:c r="A21" s="79"/>
      <x:c r="B21" s="37"/>
      <x:c r="C21" s="37"/>
      <x:c r="D21" s="37"/>
      <x:c r="E21" s="59"/>
      <x:c r="F21" s="62"/>
      <x:c r="G21" s="50"/>
      <x:c r="H21" s="50"/>
      <x:c r="I21" s="50"/>
      <x:c r="J21" s="37"/>
      <x:c r="K21" s="37"/>
      <x:c r="L21" s="50"/>
      <x:c r="M21" s="50"/>
      <x:c r="N21" s="50"/>
      <x:c r="O21" s="50"/>
      <x:c r="P21" s="50"/>
      <x:c r="Q21" s="50"/>
      <x:c r="R21" s="50"/>
      <x:c r="S21" s="37"/>
      <x:c r="T21" s="37"/>
      <x:c r="U21" s="37"/>
      <x:c r="V21" s="65" t="str">
        <x:f>IF($A21="","",MIN(20,MAX(0,$I21*2)))</x:f>
      </x:c>
      <x:c r="W21" s="65" t="str">
        <x:f>IF($A21="","",(($L21+$M21)/10)*20)</x:f>
      </x:c>
      <x:c r="X21" s="65" t="str">
        <x:f>IF($A21="","",IF($E21&gt;=1000,10,IF($E21&gt;=300,8,IF($E21&gt;=100,6,IF($E21&gt;=30,4,IF($E21&gt;0,2,0)))))+IF($F21&gt;=2,5,IF($F21&gt;=1,4,IF($F21&gt;=0.3,3,IF($F21&gt;0,2,0)))))</x:f>
      </x:c>
      <x:c r="Y21" s="65" t="str">
        <x:f>IF($A21="","",IF($G21&lt;=20,15,IF($G21&lt;=35,12,IF($G21&lt;=50,9,IF($G21&lt;=65,6,IF($G21&lt;=80,3,1))))))</x:f>
      </x:c>
      <x:c r="Z21" s="65" t="str">
        <x:f>IF($A21="","",(($N21+$O21)/10)*15)</x:f>
      </x:c>
      <x:c r="AA21" s="65" t="str">
        <x:f>IF($A21="","",(($P21+$Q21)/10)*10)</x:f>
      </x:c>
      <x:c r="AB21" s="65" t="str">
        <x:f>IF($A21="","",$R21)</x:f>
      </x:c>
      <x:c r="AC21" s="65" t="str">
        <x:f>IF($A21="","",SUM($V21:$AB21))</x:f>
      </x:c>
      <x:c r="AD21" s="71" t="str">
        <x:f>IF($A21="","",IF($AC21&gt;=75,"P0",IF($AC21&gt;=60,"P1",IF($AC21&gt;=45,"P2","P3"))))</x:f>
      </x:c>
      <x:c r="AE21" s="71" t="str">
        <x:f>IF($A21="","",IF($AC21&gt;=75,"立即写独立文章",IF($AC21&gt;=60,"排入本批内容日历",IF($AC21&gt;=45,"先做FAQ/段落或低优先文章","不单独写，合并到商业页/FAQ"))))</x:f>
      </x:c>
      <x:c r="AF21" s="37" t="str">
        <x:f>IF($A21="","",$K21&amp;" | 父级页: "&amp;$C21&amp;" | 目标URL: "&amp;$T21&amp;" | 必补: 竞品结构+原创证据+对比表+FAQ+内链CTA")</x:f>
      </x:c>
      <x:c r="AG21" s="80" t="str">
        <x:f>IF($A21="","",IF($I21&lt;4,"SERP不支持文章，优先做商业页/FAQ",IF($L21&lt;3,"产品相关弱，谨慎写",IF($N21&lt;3,"证据不足，容易变AI水文",IF($G21&gt;70,"难度偏高，需要更强外链/权威",IF($Q21&lt;3,"内链弱，先补主题簇","可进入规划"))))))</x:f>
      </x:c>
    </x:row>
    <x:row r="22">
      <x:c r="A22" s="79"/>
      <x:c r="B22" s="37"/>
      <x:c r="C22" s="37"/>
      <x:c r="D22" s="37"/>
      <x:c r="E22" s="59"/>
      <x:c r="F22" s="62"/>
      <x:c r="G22" s="50"/>
      <x:c r="H22" s="50"/>
      <x:c r="I22" s="50"/>
      <x:c r="J22" s="37"/>
      <x:c r="K22" s="37"/>
      <x:c r="L22" s="50"/>
      <x:c r="M22" s="50"/>
      <x:c r="N22" s="50"/>
      <x:c r="O22" s="50"/>
      <x:c r="P22" s="50"/>
      <x:c r="Q22" s="50"/>
      <x:c r="R22" s="50"/>
      <x:c r="S22" s="37"/>
      <x:c r="T22" s="37"/>
      <x:c r="U22" s="37"/>
      <x:c r="V22" s="65" t="str">
        <x:f>IF($A22="","",MIN(20,MAX(0,$I22*2)))</x:f>
      </x:c>
      <x:c r="W22" s="65" t="str">
        <x:f>IF($A22="","",(($L22+$M22)/10)*20)</x:f>
      </x:c>
      <x:c r="X22" s="65" t="str">
        <x:f>IF($A22="","",IF($E22&gt;=1000,10,IF($E22&gt;=300,8,IF($E22&gt;=100,6,IF($E22&gt;=30,4,IF($E22&gt;0,2,0)))))+IF($F22&gt;=2,5,IF($F22&gt;=1,4,IF($F22&gt;=0.3,3,IF($F22&gt;0,2,0)))))</x:f>
      </x:c>
      <x:c r="Y22" s="65" t="str">
        <x:f>IF($A22="","",IF($G22&lt;=20,15,IF($G22&lt;=35,12,IF($G22&lt;=50,9,IF($G22&lt;=65,6,IF($G22&lt;=80,3,1))))))</x:f>
      </x:c>
      <x:c r="Z22" s="65" t="str">
        <x:f>IF($A22="","",(($N22+$O22)/10)*15)</x:f>
      </x:c>
      <x:c r="AA22" s="65" t="str">
        <x:f>IF($A22="","",(($P22+$Q22)/10)*10)</x:f>
      </x:c>
      <x:c r="AB22" s="65" t="str">
        <x:f>IF($A22="","",$R22)</x:f>
      </x:c>
      <x:c r="AC22" s="65" t="str">
        <x:f>IF($A22="","",SUM($V22:$AB22))</x:f>
      </x:c>
      <x:c r="AD22" s="71" t="str">
        <x:f>IF($A22="","",IF($AC22&gt;=75,"P0",IF($AC22&gt;=60,"P1",IF($AC22&gt;=45,"P2","P3"))))</x:f>
      </x:c>
      <x:c r="AE22" s="71" t="str">
        <x:f>IF($A22="","",IF($AC22&gt;=75,"立即写独立文章",IF($AC22&gt;=60,"排入本批内容日历",IF($AC22&gt;=45,"先做FAQ/段落或低优先文章","不单独写，合并到商业页/FAQ"))))</x:f>
      </x:c>
      <x:c r="AF22" s="37" t="str">
        <x:f>IF($A22="","",$K22&amp;" | 父级页: "&amp;$C22&amp;" | 目标URL: "&amp;$T22&amp;" | 必补: 竞品结构+原创证据+对比表+FAQ+内链CTA")</x:f>
      </x:c>
      <x:c r="AG22" s="80" t="str">
        <x:f>IF($A22="","",IF($I22&lt;4,"SERP不支持文章，优先做商业页/FAQ",IF($L22&lt;3,"产品相关弱，谨慎写",IF($N22&lt;3,"证据不足，容易变AI水文",IF($G22&gt;70,"难度偏高，需要更强外链/权威",IF($Q22&lt;3,"内链弱，先补主题簇","可进入规划"))))))</x:f>
      </x:c>
    </x:row>
    <x:row r="23">
      <x:c r="A23" s="79"/>
      <x:c r="B23" s="37"/>
      <x:c r="C23" s="37"/>
      <x:c r="D23" s="37"/>
      <x:c r="E23" s="59"/>
      <x:c r="F23" s="62"/>
      <x:c r="G23" s="50"/>
      <x:c r="H23" s="50"/>
      <x:c r="I23" s="50"/>
      <x:c r="J23" s="37"/>
      <x:c r="K23" s="37"/>
      <x:c r="L23" s="50"/>
      <x:c r="M23" s="50"/>
      <x:c r="N23" s="50"/>
      <x:c r="O23" s="50"/>
      <x:c r="P23" s="50"/>
      <x:c r="Q23" s="50"/>
      <x:c r="R23" s="50"/>
      <x:c r="S23" s="37"/>
      <x:c r="T23" s="37"/>
      <x:c r="U23" s="37"/>
      <x:c r="V23" s="65" t="str">
        <x:f>IF($A23="","",MIN(20,MAX(0,$I23*2)))</x:f>
      </x:c>
      <x:c r="W23" s="65" t="str">
        <x:f>IF($A23="","",(($L23+$M23)/10)*20)</x:f>
      </x:c>
      <x:c r="X23" s="65" t="str">
        <x:f>IF($A23="","",IF($E23&gt;=1000,10,IF($E23&gt;=300,8,IF($E23&gt;=100,6,IF($E23&gt;=30,4,IF($E23&gt;0,2,0)))))+IF($F23&gt;=2,5,IF($F23&gt;=1,4,IF($F23&gt;=0.3,3,IF($F23&gt;0,2,0)))))</x:f>
      </x:c>
      <x:c r="Y23" s="65" t="str">
        <x:f>IF($A23="","",IF($G23&lt;=20,15,IF($G23&lt;=35,12,IF($G23&lt;=50,9,IF($G23&lt;=65,6,IF($G23&lt;=80,3,1))))))</x:f>
      </x:c>
      <x:c r="Z23" s="65" t="str">
        <x:f>IF($A23="","",(($N23+$O23)/10)*15)</x:f>
      </x:c>
      <x:c r="AA23" s="65" t="str">
        <x:f>IF($A23="","",(($P23+$Q23)/10)*10)</x:f>
      </x:c>
      <x:c r="AB23" s="65" t="str">
        <x:f>IF($A23="","",$R23)</x:f>
      </x:c>
      <x:c r="AC23" s="65" t="str">
        <x:f>IF($A23="","",SUM($V23:$AB23))</x:f>
      </x:c>
      <x:c r="AD23" s="71" t="str">
        <x:f>IF($A23="","",IF($AC23&gt;=75,"P0",IF($AC23&gt;=60,"P1",IF($AC23&gt;=45,"P2","P3"))))</x:f>
      </x:c>
      <x:c r="AE23" s="71" t="str">
        <x:f>IF($A23="","",IF($AC23&gt;=75,"立即写独立文章",IF($AC23&gt;=60,"排入本批内容日历",IF($AC23&gt;=45,"先做FAQ/段落或低优先文章","不单独写，合并到商业页/FAQ"))))</x:f>
      </x:c>
      <x:c r="AF23" s="37" t="str">
        <x:f>IF($A23="","",$K23&amp;" | 父级页: "&amp;$C23&amp;" | 目标URL: "&amp;$T23&amp;" | 必补: 竞品结构+原创证据+对比表+FAQ+内链CTA")</x:f>
      </x:c>
      <x:c r="AG23" s="80" t="str">
        <x:f>IF($A23="","",IF($I23&lt;4,"SERP不支持文章，优先做商业页/FAQ",IF($L23&lt;3,"产品相关弱，谨慎写",IF($N23&lt;3,"证据不足，容易变AI水文",IF($G23&gt;70,"难度偏高，需要更强外链/权威",IF($Q23&lt;3,"内链弱，先补主题簇","可进入规划"))))))</x:f>
      </x:c>
    </x:row>
    <x:row r="24">
      <x:c r="A24" s="79"/>
      <x:c r="B24" s="37"/>
      <x:c r="C24" s="37"/>
      <x:c r="D24" s="37"/>
      <x:c r="E24" s="59"/>
      <x:c r="F24" s="62"/>
      <x:c r="G24" s="50"/>
      <x:c r="H24" s="50"/>
      <x:c r="I24" s="50"/>
      <x:c r="J24" s="37"/>
      <x:c r="K24" s="37"/>
      <x:c r="L24" s="50"/>
      <x:c r="M24" s="50"/>
      <x:c r="N24" s="50"/>
      <x:c r="O24" s="50"/>
      <x:c r="P24" s="50"/>
      <x:c r="Q24" s="50"/>
      <x:c r="R24" s="50"/>
      <x:c r="S24" s="37"/>
      <x:c r="T24" s="37"/>
      <x:c r="U24" s="37"/>
      <x:c r="V24" s="65" t="str">
        <x:f>IF($A24="","",MIN(20,MAX(0,$I24*2)))</x:f>
      </x:c>
      <x:c r="W24" s="65" t="str">
        <x:f>IF($A24="","",(($L24+$M24)/10)*20)</x:f>
      </x:c>
      <x:c r="X24" s="65" t="str">
        <x:f>IF($A24="","",IF($E24&gt;=1000,10,IF($E24&gt;=300,8,IF($E24&gt;=100,6,IF($E24&gt;=30,4,IF($E24&gt;0,2,0)))))+IF($F24&gt;=2,5,IF($F24&gt;=1,4,IF($F24&gt;=0.3,3,IF($F24&gt;0,2,0)))))</x:f>
      </x:c>
      <x:c r="Y24" s="65" t="str">
        <x:f>IF($A24="","",IF($G24&lt;=20,15,IF($G24&lt;=35,12,IF($G24&lt;=50,9,IF($G24&lt;=65,6,IF($G24&lt;=80,3,1))))))</x:f>
      </x:c>
      <x:c r="Z24" s="65" t="str">
        <x:f>IF($A24="","",(($N24+$O24)/10)*15)</x:f>
      </x:c>
      <x:c r="AA24" s="65" t="str">
        <x:f>IF($A24="","",(($P24+$Q24)/10)*10)</x:f>
      </x:c>
      <x:c r="AB24" s="65" t="str">
        <x:f>IF($A24="","",$R24)</x:f>
      </x:c>
      <x:c r="AC24" s="65" t="str">
        <x:f>IF($A24="","",SUM($V24:$AB24))</x:f>
      </x:c>
      <x:c r="AD24" s="71" t="str">
        <x:f>IF($A24="","",IF($AC24&gt;=75,"P0",IF($AC24&gt;=60,"P1",IF($AC24&gt;=45,"P2","P3"))))</x:f>
      </x:c>
      <x:c r="AE24" s="71" t="str">
        <x:f>IF($A24="","",IF($AC24&gt;=75,"立即写独立文章",IF($AC24&gt;=60,"排入本批内容日历",IF($AC24&gt;=45,"先做FAQ/段落或低优先文章","不单独写，合并到商业页/FAQ"))))</x:f>
      </x:c>
      <x:c r="AF24" s="37" t="str">
        <x:f>IF($A24="","",$K24&amp;" | 父级页: "&amp;$C24&amp;" | 目标URL: "&amp;$T24&amp;" | 必补: 竞品结构+原创证据+对比表+FAQ+内链CTA")</x:f>
      </x:c>
      <x:c r="AG24" s="80" t="str">
        <x:f>IF($A24="","",IF($I24&lt;4,"SERP不支持文章，优先做商业页/FAQ",IF($L24&lt;3,"产品相关弱，谨慎写",IF($N24&lt;3,"证据不足，容易变AI水文",IF($G24&gt;70,"难度偏高，需要更强外链/权威",IF($Q24&lt;3,"内链弱，先补主题簇","可进入规划"))))))</x:f>
      </x:c>
    </x:row>
    <x:row r="25">
      <x:c r="A25" s="79"/>
      <x:c r="B25" s="37"/>
      <x:c r="C25" s="37"/>
      <x:c r="D25" s="37"/>
      <x:c r="E25" s="59"/>
      <x:c r="F25" s="62"/>
      <x:c r="G25" s="50"/>
      <x:c r="H25" s="50"/>
      <x:c r="I25" s="50"/>
      <x:c r="J25" s="37"/>
      <x:c r="K25" s="37"/>
      <x:c r="L25" s="50"/>
      <x:c r="M25" s="50"/>
      <x:c r="N25" s="50"/>
      <x:c r="O25" s="50"/>
      <x:c r="P25" s="50"/>
      <x:c r="Q25" s="50"/>
      <x:c r="R25" s="50"/>
      <x:c r="S25" s="37"/>
      <x:c r="T25" s="37"/>
      <x:c r="U25" s="37"/>
      <x:c r="V25" s="65" t="str">
        <x:f>IF($A25="","",MIN(20,MAX(0,$I25*2)))</x:f>
      </x:c>
      <x:c r="W25" s="65" t="str">
        <x:f>IF($A25="","",(($L25+$M25)/10)*20)</x:f>
      </x:c>
      <x:c r="X25" s="65" t="str">
        <x:f>IF($A25="","",IF($E25&gt;=1000,10,IF($E25&gt;=300,8,IF($E25&gt;=100,6,IF($E25&gt;=30,4,IF($E25&gt;0,2,0)))))+IF($F25&gt;=2,5,IF($F25&gt;=1,4,IF($F25&gt;=0.3,3,IF($F25&gt;0,2,0)))))</x:f>
      </x:c>
      <x:c r="Y25" s="65" t="str">
        <x:f>IF($A25="","",IF($G25&lt;=20,15,IF($G25&lt;=35,12,IF($G25&lt;=50,9,IF($G25&lt;=65,6,IF($G25&lt;=80,3,1))))))</x:f>
      </x:c>
      <x:c r="Z25" s="65" t="str">
        <x:f>IF($A25="","",(($N25+$O25)/10)*15)</x:f>
      </x:c>
      <x:c r="AA25" s="65" t="str">
        <x:f>IF($A25="","",(($P25+$Q25)/10)*10)</x:f>
      </x:c>
      <x:c r="AB25" s="65" t="str">
        <x:f>IF($A25="","",$R25)</x:f>
      </x:c>
      <x:c r="AC25" s="65" t="str">
        <x:f>IF($A25="","",SUM($V25:$AB25))</x:f>
      </x:c>
      <x:c r="AD25" s="71" t="str">
        <x:f>IF($A25="","",IF($AC25&gt;=75,"P0",IF($AC25&gt;=60,"P1",IF($AC25&gt;=45,"P2","P3"))))</x:f>
      </x:c>
      <x:c r="AE25" s="71" t="str">
        <x:f>IF($A25="","",IF($AC25&gt;=75,"立即写独立文章",IF($AC25&gt;=60,"排入本批内容日历",IF($AC25&gt;=45,"先做FAQ/段落或低优先文章","不单独写，合并到商业页/FAQ"))))</x:f>
      </x:c>
      <x:c r="AF25" s="37" t="str">
        <x:f>IF($A25="","",$K25&amp;" | 父级页: "&amp;$C25&amp;" | 目标URL: "&amp;$T25&amp;" | 必补: 竞品结构+原创证据+对比表+FAQ+内链CTA")</x:f>
      </x:c>
      <x:c r="AG25" s="80" t="str">
        <x:f>IF($A25="","",IF($I25&lt;4,"SERP不支持文章，优先做商业页/FAQ",IF($L25&lt;3,"产品相关弱，谨慎写",IF($N25&lt;3,"证据不足，容易变AI水文",IF($G25&gt;70,"难度偏高，需要更强外链/权威",IF($Q25&lt;3,"内链弱，先补主题簇","可进入规划"))))))</x:f>
      </x:c>
    </x:row>
    <x:row r="26">
      <x:c r="A26" s="79"/>
      <x:c r="B26" s="37"/>
      <x:c r="C26" s="37"/>
      <x:c r="D26" s="37"/>
      <x:c r="E26" s="59"/>
      <x:c r="F26" s="62"/>
      <x:c r="G26" s="50"/>
      <x:c r="H26" s="50"/>
      <x:c r="I26" s="50"/>
      <x:c r="J26" s="37"/>
      <x:c r="K26" s="37"/>
      <x:c r="L26" s="50"/>
      <x:c r="M26" s="50"/>
      <x:c r="N26" s="50"/>
      <x:c r="O26" s="50"/>
      <x:c r="P26" s="50"/>
      <x:c r="Q26" s="50"/>
      <x:c r="R26" s="50"/>
      <x:c r="S26" s="37"/>
      <x:c r="T26" s="37"/>
      <x:c r="U26" s="37"/>
      <x:c r="V26" s="65" t="str">
        <x:f>IF($A26="","",MIN(20,MAX(0,$I26*2)))</x:f>
      </x:c>
      <x:c r="W26" s="65" t="str">
        <x:f>IF($A26="","",(($L26+$M26)/10)*20)</x:f>
      </x:c>
      <x:c r="X26" s="65" t="str">
        <x:f>IF($A26="","",IF($E26&gt;=1000,10,IF($E26&gt;=300,8,IF($E26&gt;=100,6,IF($E26&gt;=30,4,IF($E26&gt;0,2,0)))))+IF($F26&gt;=2,5,IF($F26&gt;=1,4,IF($F26&gt;=0.3,3,IF($F26&gt;0,2,0)))))</x:f>
      </x:c>
      <x:c r="Y26" s="65" t="str">
        <x:f>IF($A26="","",IF($G26&lt;=20,15,IF($G26&lt;=35,12,IF($G26&lt;=50,9,IF($G26&lt;=65,6,IF($G26&lt;=80,3,1))))))</x:f>
      </x:c>
      <x:c r="Z26" s="65" t="str">
        <x:f>IF($A26="","",(($N26+$O26)/10)*15)</x:f>
      </x:c>
      <x:c r="AA26" s="65" t="str">
        <x:f>IF($A26="","",(($P26+$Q26)/10)*10)</x:f>
      </x:c>
      <x:c r="AB26" s="65" t="str">
        <x:f>IF($A26="","",$R26)</x:f>
      </x:c>
      <x:c r="AC26" s="65" t="str">
        <x:f>IF($A26="","",SUM($V26:$AB26))</x:f>
      </x:c>
      <x:c r="AD26" s="71" t="str">
        <x:f>IF($A26="","",IF($AC26&gt;=75,"P0",IF($AC26&gt;=60,"P1",IF($AC26&gt;=45,"P2","P3"))))</x:f>
      </x:c>
      <x:c r="AE26" s="71" t="str">
        <x:f>IF($A26="","",IF($AC26&gt;=75,"立即写独立文章",IF($AC26&gt;=60,"排入本批内容日历",IF($AC26&gt;=45,"先做FAQ/段落或低优先文章","不单独写，合并到商业页/FAQ"))))</x:f>
      </x:c>
      <x:c r="AF26" s="37" t="str">
        <x:f>IF($A26="","",$K26&amp;" | 父级页: "&amp;$C26&amp;" | 目标URL: "&amp;$T26&amp;" | 必补: 竞品结构+原创证据+对比表+FAQ+内链CTA")</x:f>
      </x:c>
      <x:c r="AG26" s="80" t="str">
        <x:f>IF($A26="","",IF($I26&lt;4,"SERP不支持文章，优先做商业页/FAQ",IF($L26&lt;3,"产品相关弱，谨慎写",IF($N26&lt;3,"证据不足，容易变AI水文",IF($G26&gt;70,"难度偏高，需要更强外链/权威",IF($Q26&lt;3,"内链弱，先补主题簇","可进入规划"))))))</x:f>
      </x:c>
    </x:row>
    <x:row r="27">
      <x:c r="A27" s="79"/>
      <x:c r="B27" s="37"/>
      <x:c r="C27" s="37"/>
      <x:c r="D27" s="37"/>
      <x:c r="E27" s="59"/>
      <x:c r="F27" s="62"/>
      <x:c r="G27" s="50"/>
      <x:c r="H27" s="50"/>
      <x:c r="I27" s="50"/>
      <x:c r="J27" s="37"/>
      <x:c r="K27" s="37"/>
      <x:c r="L27" s="50"/>
      <x:c r="M27" s="50"/>
      <x:c r="N27" s="50"/>
      <x:c r="O27" s="50"/>
      <x:c r="P27" s="50"/>
      <x:c r="Q27" s="50"/>
      <x:c r="R27" s="50"/>
      <x:c r="S27" s="37"/>
      <x:c r="T27" s="37"/>
      <x:c r="U27" s="37"/>
      <x:c r="V27" s="65" t="str">
        <x:f>IF($A27="","",MIN(20,MAX(0,$I27*2)))</x:f>
      </x:c>
      <x:c r="W27" s="65" t="str">
        <x:f>IF($A27="","",(($L27+$M27)/10)*20)</x:f>
      </x:c>
      <x:c r="X27" s="65" t="str">
        <x:f>IF($A27="","",IF($E27&gt;=1000,10,IF($E27&gt;=300,8,IF($E27&gt;=100,6,IF($E27&gt;=30,4,IF($E27&gt;0,2,0)))))+IF($F27&gt;=2,5,IF($F27&gt;=1,4,IF($F27&gt;=0.3,3,IF($F27&gt;0,2,0)))))</x:f>
      </x:c>
      <x:c r="Y27" s="65" t="str">
        <x:f>IF($A27="","",IF($G27&lt;=20,15,IF($G27&lt;=35,12,IF($G27&lt;=50,9,IF($G27&lt;=65,6,IF($G27&lt;=80,3,1))))))</x:f>
      </x:c>
      <x:c r="Z27" s="65" t="str">
        <x:f>IF($A27="","",(($N27+$O27)/10)*15)</x:f>
      </x:c>
      <x:c r="AA27" s="65" t="str">
        <x:f>IF($A27="","",(($P27+$Q27)/10)*10)</x:f>
      </x:c>
      <x:c r="AB27" s="65" t="str">
        <x:f>IF($A27="","",$R27)</x:f>
      </x:c>
      <x:c r="AC27" s="65" t="str">
        <x:f>IF($A27="","",SUM($V27:$AB27))</x:f>
      </x:c>
      <x:c r="AD27" s="71" t="str">
        <x:f>IF($A27="","",IF($AC27&gt;=75,"P0",IF($AC27&gt;=60,"P1",IF($AC27&gt;=45,"P2","P3"))))</x:f>
      </x:c>
      <x:c r="AE27" s="71" t="str">
        <x:f>IF($A27="","",IF($AC27&gt;=75,"立即写独立文章",IF($AC27&gt;=60,"排入本批内容日历",IF($AC27&gt;=45,"先做FAQ/段落或低优先文章","不单独写，合并到商业页/FAQ"))))</x:f>
      </x:c>
      <x:c r="AF27" s="37" t="str">
        <x:f>IF($A27="","",$K27&amp;" | 父级页: "&amp;$C27&amp;" | 目标URL: "&amp;$T27&amp;" | 必补: 竞品结构+原创证据+对比表+FAQ+内链CTA")</x:f>
      </x:c>
      <x:c r="AG27" s="80" t="str">
        <x:f>IF($A27="","",IF($I27&lt;4,"SERP不支持文章，优先做商业页/FAQ",IF($L27&lt;3,"产品相关弱，谨慎写",IF($N27&lt;3,"证据不足，容易变AI水文",IF($G27&gt;70,"难度偏高，需要更强外链/权威",IF($Q27&lt;3,"内链弱，先补主题簇","可进入规划"))))))</x:f>
      </x:c>
    </x:row>
    <x:row r="28">
      <x:c r="A28" s="79"/>
      <x:c r="B28" s="37"/>
      <x:c r="C28" s="37"/>
      <x:c r="D28" s="37"/>
      <x:c r="E28" s="59"/>
      <x:c r="F28" s="62"/>
      <x:c r="G28" s="50"/>
      <x:c r="H28" s="50"/>
      <x:c r="I28" s="50"/>
      <x:c r="J28" s="37"/>
      <x:c r="K28" s="37"/>
      <x:c r="L28" s="50"/>
      <x:c r="M28" s="50"/>
      <x:c r="N28" s="50"/>
      <x:c r="O28" s="50"/>
      <x:c r="P28" s="50"/>
      <x:c r="Q28" s="50"/>
      <x:c r="R28" s="50"/>
      <x:c r="S28" s="37"/>
      <x:c r="T28" s="37"/>
      <x:c r="U28" s="37"/>
      <x:c r="V28" s="65" t="str">
        <x:f>IF($A28="","",MIN(20,MAX(0,$I28*2)))</x:f>
      </x:c>
      <x:c r="W28" s="65" t="str">
        <x:f>IF($A28="","",(($L28+$M28)/10)*20)</x:f>
      </x:c>
      <x:c r="X28" s="65" t="str">
        <x:f>IF($A28="","",IF($E28&gt;=1000,10,IF($E28&gt;=300,8,IF($E28&gt;=100,6,IF($E28&gt;=30,4,IF($E28&gt;0,2,0)))))+IF($F28&gt;=2,5,IF($F28&gt;=1,4,IF($F28&gt;=0.3,3,IF($F28&gt;0,2,0)))))</x:f>
      </x:c>
      <x:c r="Y28" s="65" t="str">
        <x:f>IF($A28="","",IF($G28&lt;=20,15,IF($G28&lt;=35,12,IF($G28&lt;=50,9,IF($G28&lt;=65,6,IF($G28&lt;=80,3,1))))))</x:f>
      </x:c>
      <x:c r="Z28" s="65" t="str">
        <x:f>IF($A28="","",(($N28+$O28)/10)*15)</x:f>
      </x:c>
      <x:c r="AA28" s="65" t="str">
        <x:f>IF($A28="","",(($P28+$Q28)/10)*10)</x:f>
      </x:c>
      <x:c r="AB28" s="65" t="str">
        <x:f>IF($A28="","",$R28)</x:f>
      </x:c>
      <x:c r="AC28" s="65" t="str">
        <x:f>IF($A28="","",SUM($V28:$AB28))</x:f>
      </x:c>
      <x:c r="AD28" s="71" t="str">
        <x:f>IF($A28="","",IF($AC28&gt;=75,"P0",IF($AC28&gt;=60,"P1",IF($AC28&gt;=45,"P2","P3"))))</x:f>
      </x:c>
      <x:c r="AE28" s="71" t="str">
        <x:f>IF($A28="","",IF($AC28&gt;=75,"立即写独立文章",IF($AC28&gt;=60,"排入本批内容日历",IF($AC28&gt;=45,"先做FAQ/段落或低优先文章","不单独写，合并到商业页/FAQ"))))</x:f>
      </x:c>
      <x:c r="AF28" s="37" t="str">
        <x:f>IF($A28="","",$K28&amp;" | 父级页: "&amp;$C28&amp;" | 目标URL: "&amp;$T28&amp;" | 必补: 竞品结构+原创证据+对比表+FAQ+内链CTA")</x:f>
      </x:c>
      <x:c r="AG28" s="80" t="str">
        <x:f>IF($A28="","",IF($I28&lt;4,"SERP不支持文章，优先做商业页/FAQ",IF($L28&lt;3,"产品相关弱，谨慎写",IF($N28&lt;3,"证据不足，容易变AI水文",IF($G28&gt;70,"难度偏高，需要更强外链/权威",IF($Q28&lt;3,"内链弱，先补主题簇","可进入规划"))))))</x:f>
      </x:c>
    </x:row>
    <x:row r="29">
      <x:c r="A29" s="79"/>
      <x:c r="B29" s="37"/>
      <x:c r="C29" s="37"/>
      <x:c r="D29" s="37"/>
      <x:c r="E29" s="59"/>
      <x:c r="F29" s="62"/>
      <x:c r="G29" s="50"/>
      <x:c r="H29" s="50"/>
      <x:c r="I29" s="50"/>
      <x:c r="J29" s="37"/>
      <x:c r="K29" s="37"/>
      <x:c r="L29" s="50"/>
      <x:c r="M29" s="50"/>
      <x:c r="N29" s="50"/>
      <x:c r="O29" s="50"/>
      <x:c r="P29" s="50"/>
      <x:c r="Q29" s="50"/>
      <x:c r="R29" s="50"/>
      <x:c r="S29" s="37"/>
      <x:c r="T29" s="37"/>
      <x:c r="U29" s="37"/>
      <x:c r="V29" s="65" t="str">
        <x:f>IF($A29="","",MIN(20,MAX(0,$I29*2)))</x:f>
      </x:c>
      <x:c r="W29" s="65" t="str">
        <x:f>IF($A29="","",(($L29+$M29)/10)*20)</x:f>
      </x:c>
      <x:c r="X29" s="65" t="str">
        <x:f>IF($A29="","",IF($E29&gt;=1000,10,IF($E29&gt;=300,8,IF($E29&gt;=100,6,IF($E29&gt;=30,4,IF($E29&gt;0,2,0)))))+IF($F29&gt;=2,5,IF($F29&gt;=1,4,IF($F29&gt;=0.3,3,IF($F29&gt;0,2,0)))))</x:f>
      </x:c>
      <x:c r="Y29" s="65" t="str">
        <x:f>IF($A29="","",IF($G29&lt;=20,15,IF($G29&lt;=35,12,IF($G29&lt;=50,9,IF($G29&lt;=65,6,IF($G29&lt;=80,3,1))))))</x:f>
      </x:c>
      <x:c r="Z29" s="65" t="str">
        <x:f>IF($A29="","",(($N29+$O29)/10)*15)</x:f>
      </x:c>
      <x:c r="AA29" s="65" t="str">
        <x:f>IF($A29="","",(($P29+$Q29)/10)*10)</x:f>
      </x:c>
      <x:c r="AB29" s="65" t="str">
        <x:f>IF($A29="","",$R29)</x:f>
      </x:c>
      <x:c r="AC29" s="65" t="str">
        <x:f>IF($A29="","",SUM($V29:$AB29))</x:f>
      </x:c>
      <x:c r="AD29" s="71" t="str">
        <x:f>IF($A29="","",IF($AC29&gt;=75,"P0",IF($AC29&gt;=60,"P1",IF($AC29&gt;=45,"P2","P3"))))</x:f>
      </x:c>
      <x:c r="AE29" s="71" t="str">
        <x:f>IF($A29="","",IF($AC29&gt;=75,"立即写独立文章",IF($AC29&gt;=60,"排入本批内容日历",IF($AC29&gt;=45,"先做FAQ/段落或低优先文章","不单独写，合并到商业页/FAQ"))))</x:f>
      </x:c>
      <x:c r="AF29" s="37" t="str">
        <x:f>IF($A29="","",$K29&amp;" | 父级页: "&amp;$C29&amp;" | 目标URL: "&amp;$T29&amp;" | 必补: 竞品结构+原创证据+对比表+FAQ+内链CTA")</x:f>
      </x:c>
      <x:c r="AG29" s="80" t="str">
        <x:f>IF($A29="","",IF($I29&lt;4,"SERP不支持文章，优先做商业页/FAQ",IF($L29&lt;3,"产品相关弱，谨慎写",IF($N29&lt;3,"证据不足，容易变AI水文",IF($G29&gt;70,"难度偏高，需要更强外链/权威",IF($Q29&lt;3,"内链弱，先补主题簇","可进入规划"))))))</x:f>
      </x:c>
    </x:row>
    <x:row r="30">
      <x:c r="A30" s="79"/>
      <x:c r="B30" s="37"/>
      <x:c r="C30" s="37"/>
      <x:c r="D30" s="37"/>
      <x:c r="E30" s="59"/>
      <x:c r="F30" s="62"/>
      <x:c r="G30" s="50"/>
      <x:c r="H30" s="50"/>
      <x:c r="I30" s="50"/>
      <x:c r="J30" s="37"/>
      <x:c r="K30" s="37"/>
      <x:c r="L30" s="50"/>
      <x:c r="M30" s="50"/>
      <x:c r="N30" s="50"/>
      <x:c r="O30" s="50"/>
      <x:c r="P30" s="50"/>
      <x:c r="Q30" s="50"/>
      <x:c r="R30" s="50"/>
      <x:c r="S30" s="37"/>
      <x:c r="T30" s="37"/>
      <x:c r="U30" s="37"/>
      <x:c r="V30" s="65" t="str">
        <x:f>IF($A30="","",MIN(20,MAX(0,$I30*2)))</x:f>
      </x:c>
      <x:c r="W30" s="65" t="str">
        <x:f>IF($A30="","",(($L30+$M30)/10)*20)</x:f>
      </x:c>
      <x:c r="X30" s="65" t="str">
        <x:f>IF($A30="","",IF($E30&gt;=1000,10,IF($E30&gt;=300,8,IF($E30&gt;=100,6,IF($E30&gt;=30,4,IF($E30&gt;0,2,0)))))+IF($F30&gt;=2,5,IF($F30&gt;=1,4,IF($F30&gt;=0.3,3,IF($F30&gt;0,2,0)))))</x:f>
      </x:c>
      <x:c r="Y30" s="65" t="str">
        <x:f>IF($A30="","",IF($G30&lt;=20,15,IF($G30&lt;=35,12,IF($G30&lt;=50,9,IF($G30&lt;=65,6,IF($G30&lt;=80,3,1))))))</x:f>
      </x:c>
      <x:c r="Z30" s="65" t="str">
        <x:f>IF($A30="","",(($N30+$O30)/10)*15)</x:f>
      </x:c>
      <x:c r="AA30" s="65" t="str">
        <x:f>IF($A30="","",(($P30+$Q30)/10)*10)</x:f>
      </x:c>
      <x:c r="AB30" s="65" t="str">
        <x:f>IF($A30="","",$R30)</x:f>
      </x:c>
      <x:c r="AC30" s="65" t="str">
        <x:f>IF($A30="","",SUM($V30:$AB30))</x:f>
      </x:c>
      <x:c r="AD30" s="71" t="str">
        <x:f>IF($A30="","",IF($AC30&gt;=75,"P0",IF($AC30&gt;=60,"P1",IF($AC30&gt;=45,"P2","P3"))))</x:f>
      </x:c>
      <x:c r="AE30" s="71" t="str">
        <x:f>IF($A30="","",IF($AC30&gt;=75,"立即写独立文章",IF($AC30&gt;=60,"排入本批内容日历",IF($AC30&gt;=45,"先做FAQ/段落或低优先文章","不单独写，合并到商业页/FAQ"))))</x:f>
      </x:c>
      <x:c r="AF30" s="37" t="str">
        <x:f>IF($A30="","",$K30&amp;" | 父级页: "&amp;$C30&amp;" | 目标URL: "&amp;$T30&amp;" | 必补: 竞品结构+原创证据+对比表+FAQ+内链CTA")</x:f>
      </x:c>
      <x:c r="AG30" s="80" t="str">
        <x:f>IF($A30="","",IF($I30&lt;4,"SERP不支持文章，优先做商业页/FAQ",IF($L30&lt;3,"产品相关弱，谨慎写",IF($N30&lt;3,"证据不足，容易变AI水文",IF($G30&gt;70,"难度偏高，需要更强外链/权威",IF($Q30&lt;3,"内链弱，先补主题簇","可进入规划"))))))</x:f>
      </x:c>
    </x:row>
    <x:row r="31">
      <x:c r="A31" s="79"/>
      <x:c r="B31" s="37"/>
      <x:c r="C31" s="37"/>
      <x:c r="D31" s="37"/>
      <x:c r="E31" s="59"/>
      <x:c r="F31" s="62"/>
      <x:c r="G31" s="50"/>
      <x:c r="H31" s="50"/>
      <x:c r="I31" s="50"/>
      <x:c r="J31" s="37"/>
      <x:c r="K31" s="37"/>
      <x:c r="L31" s="50"/>
      <x:c r="M31" s="50"/>
      <x:c r="N31" s="50"/>
      <x:c r="O31" s="50"/>
      <x:c r="P31" s="50"/>
      <x:c r="Q31" s="50"/>
      <x:c r="R31" s="50"/>
      <x:c r="S31" s="37"/>
      <x:c r="T31" s="37"/>
      <x:c r="U31" s="37"/>
      <x:c r="V31" s="65" t="str">
        <x:f>IF($A31="","",MIN(20,MAX(0,$I31*2)))</x:f>
      </x:c>
      <x:c r="W31" s="65" t="str">
        <x:f>IF($A31="","",(($L31+$M31)/10)*20)</x:f>
      </x:c>
      <x:c r="X31" s="65" t="str">
        <x:f>IF($A31="","",IF($E31&gt;=1000,10,IF($E31&gt;=300,8,IF($E31&gt;=100,6,IF($E31&gt;=30,4,IF($E31&gt;0,2,0)))))+IF($F31&gt;=2,5,IF($F31&gt;=1,4,IF($F31&gt;=0.3,3,IF($F31&gt;0,2,0)))))</x:f>
      </x:c>
      <x:c r="Y31" s="65" t="str">
        <x:f>IF($A31="","",IF($G31&lt;=20,15,IF($G31&lt;=35,12,IF($G31&lt;=50,9,IF($G31&lt;=65,6,IF($G31&lt;=80,3,1))))))</x:f>
      </x:c>
      <x:c r="Z31" s="65" t="str">
        <x:f>IF($A31="","",(($N31+$O31)/10)*15)</x:f>
      </x:c>
      <x:c r="AA31" s="65" t="str">
        <x:f>IF($A31="","",(($P31+$Q31)/10)*10)</x:f>
      </x:c>
      <x:c r="AB31" s="65" t="str">
        <x:f>IF($A31="","",$R31)</x:f>
      </x:c>
      <x:c r="AC31" s="65" t="str">
        <x:f>IF($A31="","",SUM($V31:$AB31))</x:f>
      </x:c>
      <x:c r="AD31" s="71" t="str">
        <x:f>IF($A31="","",IF($AC31&gt;=75,"P0",IF($AC31&gt;=60,"P1",IF($AC31&gt;=45,"P2","P3"))))</x:f>
      </x:c>
      <x:c r="AE31" s="71" t="str">
        <x:f>IF($A31="","",IF($AC31&gt;=75,"立即写独立文章",IF($AC31&gt;=60,"排入本批内容日历",IF($AC31&gt;=45,"先做FAQ/段落或低优先文章","不单独写，合并到商业页/FAQ"))))</x:f>
      </x:c>
      <x:c r="AF31" s="37" t="str">
        <x:f>IF($A31="","",$K31&amp;" | 父级页: "&amp;$C31&amp;" | 目标URL: "&amp;$T31&amp;" | 必补: 竞品结构+原创证据+对比表+FAQ+内链CTA")</x:f>
      </x:c>
      <x:c r="AG31" s="80" t="str">
        <x:f>IF($A31="","",IF($I31&lt;4,"SERP不支持文章，优先做商业页/FAQ",IF($L31&lt;3,"产品相关弱，谨慎写",IF($N31&lt;3,"证据不足，容易变AI水文",IF($G31&gt;70,"难度偏高，需要更强外链/权威",IF($Q31&lt;3,"内链弱，先补主题簇","可进入规划"))))))</x:f>
      </x:c>
    </x:row>
    <x:row r="32">
      <x:c r="A32" s="79"/>
      <x:c r="B32" s="37"/>
      <x:c r="C32" s="37"/>
      <x:c r="D32" s="37"/>
      <x:c r="E32" s="59"/>
      <x:c r="F32" s="62"/>
      <x:c r="G32" s="50"/>
      <x:c r="H32" s="50"/>
      <x:c r="I32" s="50"/>
      <x:c r="J32" s="37"/>
      <x:c r="K32" s="37"/>
      <x:c r="L32" s="50"/>
      <x:c r="M32" s="50"/>
      <x:c r="N32" s="50"/>
      <x:c r="O32" s="50"/>
      <x:c r="P32" s="50"/>
      <x:c r="Q32" s="50"/>
      <x:c r="R32" s="50"/>
      <x:c r="S32" s="37"/>
      <x:c r="T32" s="37"/>
      <x:c r="U32" s="37"/>
      <x:c r="V32" s="65" t="str">
        <x:f>IF($A32="","",MIN(20,MAX(0,$I32*2)))</x:f>
      </x:c>
      <x:c r="W32" s="65" t="str">
        <x:f>IF($A32="","",(($L32+$M32)/10)*20)</x:f>
      </x:c>
      <x:c r="X32" s="65" t="str">
        <x:f>IF($A32="","",IF($E32&gt;=1000,10,IF($E32&gt;=300,8,IF($E32&gt;=100,6,IF($E32&gt;=30,4,IF($E32&gt;0,2,0)))))+IF($F32&gt;=2,5,IF($F32&gt;=1,4,IF($F32&gt;=0.3,3,IF($F32&gt;0,2,0)))))</x:f>
      </x:c>
      <x:c r="Y32" s="65" t="str">
        <x:f>IF($A32="","",IF($G32&lt;=20,15,IF($G32&lt;=35,12,IF($G32&lt;=50,9,IF($G32&lt;=65,6,IF($G32&lt;=80,3,1))))))</x:f>
      </x:c>
      <x:c r="Z32" s="65" t="str">
        <x:f>IF($A32="","",(($N32+$O32)/10)*15)</x:f>
      </x:c>
      <x:c r="AA32" s="65" t="str">
        <x:f>IF($A32="","",(($P32+$Q32)/10)*10)</x:f>
      </x:c>
      <x:c r="AB32" s="65" t="str">
        <x:f>IF($A32="","",$R32)</x:f>
      </x:c>
      <x:c r="AC32" s="65" t="str">
        <x:f>IF($A32="","",SUM($V32:$AB32))</x:f>
      </x:c>
      <x:c r="AD32" s="71" t="str">
        <x:f>IF($A32="","",IF($AC32&gt;=75,"P0",IF($AC32&gt;=60,"P1",IF($AC32&gt;=45,"P2","P3"))))</x:f>
      </x:c>
      <x:c r="AE32" s="71" t="str">
        <x:f>IF($A32="","",IF($AC32&gt;=75,"立即写独立文章",IF($AC32&gt;=60,"排入本批内容日历",IF($AC32&gt;=45,"先做FAQ/段落或低优先文章","不单独写，合并到商业页/FAQ"))))</x:f>
      </x:c>
      <x:c r="AF32" s="37" t="str">
        <x:f>IF($A32="","",$K32&amp;" | 父级页: "&amp;$C32&amp;" | 目标URL: "&amp;$T32&amp;" | 必补: 竞品结构+原创证据+对比表+FAQ+内链CTA")</x:f>
      </x:c>
      <x:c r="AG32" s="80" t="str">
        <x:f>IF($A32="","",IF($I32&lt;4,"SERP不支持文章，优先做商业页/FAQ",IF($L32&lt;3,"产品相关弱，谨慎写",IF($N32&lt;3,"证据不足，容易变AI水文",IF($G32&gt;70,"难度偏高，需要更强外链/权威",IF($Q32&lt;3,"内链弱，先补主题簇","可进入规划"))))))</x:f>
      </x:c>
    </x:row>
    <x:row r="33">
      <x:c r="A33" s="79"/>
      <x:c r="B33" s="37"/>
      <x:c r="C33" s="37"/>
      <x:c r="D33" s="37"/>
      <x:c r="E33" s="59"/>
      <x:c r="F33" s="62"/>
      <x:c r="G33" s="50"/>
      <x:c r="H33" s="50"/>
      <x:c r="I33" s="50"/>
      <x:c r="J33" s="37"/>
      <x:c r="K33" s="37"/>
      <x:c r="L33" s="50"/>
      <x:c r="M33" s="50"/>
      <x:c r="N33" s="50"/>
      <x:c r="O33" s="50"/>
      <x:c r="P33" s="50"/>
      <x:c r="Q33" s="50"/>
      <x:c r="R33" s="50"/>
      <x:c r="S33" s="37"/>
      <x:c r="T33" s="37"/>
      <x:c r="U33" s="37"/>
      <x:c r="V33" s="65" t="str">
        <x:f>IF($A33="","",MIN(20,MAX(0,$I33*2)))</x:f>
      </x:c>
      <x:c r="W33" s="65" t="str">
        <x:f>IF($A33="","",(($L33+$M33)/10)*20)</x:f>
      </x:c>
      <x:c r="X33" s="65" t="str">
        <x:f>IF($A33="","",IF($E33&gt;=1000,10,IF($E33&gt;=300,8,IF($E33&gt;=100,6,IF($E33&gt;=30,4,IF($E33&gt;0,2,0)))))+IF($F33&gt;=2,5,IF($F33&gt;=1,4,IF($F33&gt;=0.3,3,IF($F33&gt;0,2,0)))))</x:f>
      </x:c>
      <x:c r="Y33" s="65" t="str">
        <x:f>IF($A33="","",IF($G33&lt;=20,15,IF($G33&lt;=35,12,IF($G33&lt;=50,9,IF($G33&lt;=65,6,IF($G33&lt;=80,3,1))))))</x:f>
      </x:c>
      <x:c r="Z33" s="65" t="str">
        <x:f>IF($A33="","",(($N33+$O33)/10)*15)</x:f>
      </x:c>
      <x:c r="AA33" s="65" t="str">
        <x:f>IF($A33="","",(($P33+$Q33)/10)*10)</x:f>
      </x:c>
      <x:c r="AB33" s="65" t="str">
        <x:f>IF($A33="","",$R33)</x:f>
      </x:c>
      <x:c r="AC33" s="65" t="str">
        <x:f>IF($A33="","",SUM($V33:$AB33))</x:f>
      </x:c>
      <x:c r="AD33" s="71" t="str">
        <x:f>IF($A33="","",IF($AC33&gt;=75,"P0",IF($AC33&gt;=60,"P1",IF($AC33&gt;=45,"P2","P3"))))</x:f>
      </x:c>
      <x:c r="AE33" s="71" t="str">
        <x:f>IF($A33="","",IF($AC33&gt;=75,"立即写独立文章",IF($AC33&gt;=60,"排入本批内容日历",IF($AC33&gt;=45,"先做FAQ/段落或低优先文章","不单独写，合并到商业页/FAQ"))))</x:f>
      </x:c>
      <x:c r="AF33" s="37" t="str">
        <x:f>IF($A33="","",$K33&amp;" | 父级页: "&amp;$C33&amp;" | 目标URL: "&amp;$T33&amp;" | 必补: 竞品结构+原创证据+对比表+FAQ+内链CTA")</x:f>
      </x:c>
      <x:c r="AG33" s="80" t="str">
        <x:f>IF($A33="","",IF($I33&lt;4,"SERP不支持文章，优先做商业页/FAQ",IF($L33&lt;3,"产品相关弱，谨慎写",IF($N33&lt;3,"证据不足，容易变AI水文",IF($G33&gt;70,"难度偏高，需要更强外链/权威",IF($Q33&lt;3,"内链弱，先补主题簇","可进入规划"))))))</x:f>
      </x:c>
    </x:row>
    <x:row r="34">
      <x:c r="A34" s="79"/>
      <x:c r="B34" s="37"/>
      <x:c r="C34" s="37"/>
      <x:c r="D34" s="37"/>
      <x:c r="E34" s="59"/>
      <x:c r="F34" s="62"/>
      <x:c r="G34" s="50"/>
      <x:c r="H34" s="50"/>
      <x:c r="I34" s="50"/>
      <x:c r="J34" s="37"/>
      <x:c r="K34" s="37"/>
      <x:c r="L34" s="50"/>
      <x:c r="M34" s="50"/>
      <x:c r="N34" s="50"/>
      <x:c r="O34" s="50"/>
      <x:c r="P34" s="50"/>
      <x:c r="Q34" s="50"/>
      <x:c r="R34" s="50"/>
      <x:c r="S34" s="37"/>
      <x:c r="T34" s="37"/>
      <x:c r="U34" s="37"/>
      <x:c r="V34" s="65" t="str">
        <x:f>IF($A34="","",MIN(20,MAX(0,$I34*2)))</x:f>
      </x:c>
      <x:c r="W34" s="65" t="str">
        <x:f>IF($A34="","",(($L34+$M34)/10)*20)</x:f>
      </x:c>
      <x:c r="X34" s="65" t="str">
        <x:f>IF($A34="","",IF($E34&gt;=1000,10,IF($E34&gt;=300,8,IF($E34&gt;=100,6,IF($E34&gt;=30,4,IF($E34&gt;0,2,0)))))+IF($F34&gt;=2,5,IF($F34&gt;=1,4,IF($F34&gt;=0.3,3,IF($F34&gt;0,2,0)))))</x:f>
      </x:c>
      <x:c r="Y34" s="65" t="str">
        <x:f>IF($A34="","",IF($G34&lt;=20,15,IF($G34&lt;=35,12,IF($G34&lt;=50,9,IF($G34&lt;=65,6,IF($G34&lt;=80,3,1))))))</x:f>
      </x:c>
      <x:c r="Z34" s="65" t="str">
        <x:f>IF($A34="","",(($N34+$O34)/10)*15)</x:f>
      </x:c>
      <x:c r="AA34" s="65" t="str">
        <x:f>IF($A34="","",(($P34+$Q34)/10)*10)</x:f>
      </x:c>
      <x:c r="AB34" s="65" t="str">
        <x:f>IF($A34="","",$R34)</x:f>
      </x:c>
      <x:c r="AC34" s="65" t="str">
        <x:f>IF($A34="","",SUM($V34:$AB34))</x:f>
      </x:c>
      <x:c r="AD34" s="71" t="str">
        <x:f>IF($A34="","",IF($AC34&gt;=75,"P0",IF($AC34&gt;=60,"P1",IF($AC34&gt;=45,"P2","P3"))))</x:f>
      </x:c>
      <x:c r="AE34" s="71" t="str">
        <x:f>IF($A34="","",IF($AC34&gt;=75,"立即写独立文章",IF($AC34&gt;=60,"排入本批内容日历",IF($AC34&gt;=45,"先做FAQ/段落或低优先文章","不单独写，合并到商业页/FAQ"))))</x:f>
      </x:c>
      <x:c r="AF34" s="37" t="str">
        <x:f>IF($A34="","",$K34&amp;" | 父级页: "&amp;$C34&amp;" | 目标URL: "&amp;$T34&amp;" | 必补: 竞品结构+原创证据+对比表+FAQ+内链CTA")</x:f>
      </x:c>
      <x:c r="AG34" s="80" t="str">
        <x:f>IF($A34="","",IF($I34&lt;4,"SERP不支持文章，优先做商业页/FAQ",IF($L34&lt;3,"产品相关弱，谨慎写",IF($N34&lt;3,"证据不足，容易变AI水文",IF($G34&gt;70,"难度偏高，需要更强外链/权威",IF($Q34&lt;3,"内链弱，先补主题簇","可进入规划"))))))</x:f>
      </x:c>
    </x:row>
    <x:row r="35">
      <x:c r="A35" s="79"/>
      <x:c r="B35" s="37"/>
      <x:c r="C35" s="37"/>
      <x:c r="D35" s="37"/>
      <x:c r="E35" s="59"/>
      <x:c r="F35" s="62"/>
      <x:c r="G35" s="50"/>
      <x:c r="H35" s="50"/>
      <x:c r="I35" s="50"/>
      <x:c r="J35" s="37"/>
      <x:c r="K35" s="37"/>
      <x:c r="L35" s="50"/>
      <x:c r="M35" s="50"/>
      <x:c r="N35" s="50"/>
      <x:c r="O35" s="50"/>
      <x:c r="P35" s="50"/>
      <x:c r="Q35" s="50"/>
      <x:c r="R35" s="50"/>
      <x:c r="S35" s="37"/>
      <x:c r="T35" s="37"/>
      <x:c r="U35" s="37"/>
      <x:c r="V35" s="65" t="str">
        <x:f>IF($A35="","",MIN(20,MAX(0,$I35*2)))</x:f>
      </x:c>
      <x:c r="W35" s="65" t="str">
        <x:f>IF($A35="","",(($L35+$M35)/10)*20)</x:f>
      </x:c>
      <x:c r="X35" s="65" t="str">
        <x:f>IF($A35="","",IF($E35&gt;=1000,10,IF($E35&gt;=300,8,IF($E35&gt;=100,6,IF($E35&gt;=30,4,IF($E35&gt;0,2,0)))))+IF($F35&gt;=2,5,IF($F35&gt;=1,4,IF($F35&gt;=0.3,3,IF($F35&gt;0,2,0)))))</x:f>
      </x:c>
      <x:c r="Y35" s="65" t="str">
        <x:f>IF($A35="","",IF($G35&lt;=20,15,IF($G35&lt;=35,12,IF($G35&lt;=50,9,IF($G35&lt;=65,6,IF($G35&lt;=80,3,1))))))</x:f>
      </x:c>
      <x:c r="Z35" s="65" t="str">
        <x:f>IF($A35="","",(($N35+$O35)/10)*15)</x:f>
      </x:c>
      <x:c r="AA35" s="65" t="str">
        <x:f>IF($A35="","",(($P35+$Q35)/10)*10)</x:f>
      </x:c>
      <x:c r="AB35" s="65" t="str">
        <x:f>IF($A35="","",$R35)</x:f>
      </x:c>
      <x:c r="AC35" s="65" t="str">
        <x:f>IF($A35="","",SUM($V35:$AB35))</x:f>
      </x:c>
      <x:c r="AD35" s="71" t="str">
        <x:f>IF($A35="","",IF($AC35&gt;=75,"P0",IF($AC35&gt;=60,"P1",IF($AC35&gt;=45,"P2","P3"))))</x:f>
      </x:c>
      <x:c r="AE35" s="71" t="str">
        <x:f>IF($A35="","",IF($AC35&gt;=75,"立即写独立文章",IF($AC35&gt;=60,"排入本批内容日历",IF($AC35&gt;=45,"先做FAQ/段落或低优先文章","不单独写，合并到商业页/FAQ"))))</x:f>
      </x:c>
      <x:c r="AF35" s="37" t="str">
        <x:f>IF($A35="","",$K35&amp;" | 父级页: "&amp;$C35&amp;" | 目标URL: "&amp;$T35&amp;" | 必补: 竞品结构+原创证据+对比表+FAQ+内链CTA")</x:f>
      </x:c>
      <x:c r="AG35" s="80" t="str">
        <x:f>IF($A35="","",IF($I35&lt;4,"SERP不支持文章，优先做商业页/FAQ",IF($L35&lt;3,"产品相关弱，谨慎写",IF($N35&lt;3,"证据不足，容易变AI水文",IF($G35&gt;70,"难度偏高，需要更强外链/权威",IF($Q35&lt;3,"内链弱，先补主题簇","可进入规划"))))))</x:f>
      </x:c>
    </x:row>
    <x:row r="36">
      <x:c r="A36" s="79"/>
      <x:c r="B36" s="37"/>
      <x:c r="C36" s="37"/>
      <x:c r="D36" s="37"/>
      <x:c r="E36" s="59"/>
      <x:c r="F36" s="62"/>
      <x:c r="G36" s="50"/>
      <x:c r="H36" s="50"/>
      <x:c r="I36" s="50"/>
      <x:c r="J36" s="37"/>
      <x:c r="K36" s="37"/>
      <x:c r="L36" s="50"/>
      <x:c r="M36" s="50"/>
      <x:c r="N36" s="50"/>
      <x:c r="O36" s="50"/>
      <x:c r="P36" s="50"/>
      <x:c r="Q36" s="50"/>
      <x:c r="R36" s="50"/>
      <x:c r="S36" s="37"/>
      <x:c r="T36" s="37"/>
      <x:c r="U36" s="37"/>
      <x:c r="V36" s="65" t="str">
        <x:f>IF($A36="","",MIN(20,MAX(0,$I36*2)))</x:f>
      </x:c>
      <x:c r="W36" s="65" t="str">
        <x:f>IF($A36="","",(($L36+$M36)/10)*20)</x:f>
      </x:c>
      <x:c r="X36" s="65" t="str">
        <x:f>IF($A36="","",IF($E36&gt;=1000,10,IF($E36&gt;=300,8,IF($E36&gt;=100,6,IF($E36&gt;=30,4,IF($E36&gt;0,2,0)))))+IF($F36&gt;=2,5,IF($F36&gt;=1,4,IF($F36&gt;=0.3,3,IF($F36&gt;0,2,0)))))</x:f>
      </x:c>
      <x:c r="Y36" s="65" t="str">
        <x:f>IF($A36="","",IF($G36&lt;=20,15,IF($G36&lt;=35,12,IF($G36&lt;=50,9,IF($G36&lt;=65,6,IF($G36&lt;=80,3,1))))))</x:f>
      </x:c>
      <x:c r="Z36" s="65" t="str">
        <x:f>IF($A36="","",(($N36+$O36)/10)*15)</x:f>
      </x:c>
      <x:c r="AA36" s="65" t="str">
        <x:f>IF($A36="","",(($P36+$Q36)/10)*10)</x:f>
      </x:c>
      <x:c r="AB36" s="65" t="str">
        <x:f>IF($A36="","",$R36)</x:f>
      </x:c>
      <x:c r="AC36" s="65" t="str">
        <x:f>IF($A36="","",SUM($V36:$AB36))</x:f>
      </x:c>
      <x:c r="AD36" s="71" t="str">
        <x:f>IF($A36="","",IF($AC36&gt;=75,"P0",IF($AC36&gt;=60,"P1",IF($AC36&gt;=45,"P2","P3"))))</x:f>
      </x:c>
      <x:c r="AE36" s="71" t="str">
        <x:f>IF($A36="","",IF($AC36&gt;=75,"立即写独立文章",IF($AC36&gt;=60,"排入本批内容日历",IF($AC36&gt;=45,"先做FAQ/段落或低优先文章","不单独写，合并到商业页/FAQ"))))</x:f>
      </x:c>
      <x:c r="AF36" s="37" t="str">
        <x:f>IF($A36="","",$K36&amp;" | 父级页: "&amp;$C36&amp;" | 目标URL: "&amp;$T36&amp;" | 必补: 竞品结构+原创证据+对比表+FAQ+内链CTA")</x:f>
      </x:c>
      <x:c r="AG36" s="80" t="str">
        <x:f>IF($A36="","",IF($I36&lt;4,"SERP不支持文章，优先做商业页/FAQ",IF($L36&lt;3,"产品相关弱，谨慎写",IF($N36&lt;3,"证据不足，容易变AI水文",IF($G36&gt;70,"难度偏高，需要更强外链/权威",IF($Q36&lt;3,"内链弱，先补主题簇","可进入规划"))))))</x:f>
      </x:c>
    </x:row>
    <x:row r="37">
      <x:c r="A37" s="79"/>
      <x:c r="B37" s="37"/>
      <x:c r="C37" s="37"/>
      <x:c r="D37" s="37"/>
      <x:c r="E37" s="59"/>
      <x:c r="F37" s="62"/>
      <x:c r="G37" s="50"/>
      <x:c r="H37" s="50"/>
      <x:c r="I37" s="50"/>
      <x:c r="J37" s="37"/>
      <x:c r="K37" s="37"/>
      <x:c r="L37" s="50"/>
      <x:c r="M37" s="50"/>
      <x:c r="N37" s="50"/>
      <x:c r="O37" s="50"/>
      <x:c r="P37" s="50"/>
      <x:c r="Q37" s="50"/>
      <x:c r="R37" s="50"/>
      <x:c r="S37" s="37"/>
      <x:c r="T37" s="37"/>
      <x:c r="U37" s="37"/>
      <x:c r="V37" s="65" t="str">
        <x:f>IF($A37="","",MIN(20,MAX(0,$I37*2)))</x:f>
      </x:c>
      <x:c r="W37" s="65" t="str">
        <x:f>IF($A37="","",(($L37+$M37)/10)*20)</x:f>
      </x:c>
      <x:c r="X37" s="65" t="str">
        <x:f>IF($A37="","",IF($E37&gt;=1000,10,IF($E37&gt;=300,8,IF($E37&gt;=100,6,IF($E37&gt;=30,4,IF($E37&gt;0,2,0)))))+IF($F37&gt;=2,5,IF($F37&gt;=1,4,IF($F37&gt;=0.3,3,IF($F37&gt;0,2,0)))))</x:f>
      </x:c>
      <x:c r="Y37" s="65" t="str">
        <x:f>IF($A37="","",IF($G37&lt;=20,15,IF($G37&lt;=35,12,IF($G37&lt;=50,9,IF($G37&lt;=65,6,IF($G37&lt;=80,3,1))))))</x:f>
      </x:c>
      <x:c r="Z37" s="65" t="str">
        <x:f>IF($A37="","",(($N37+$O37)/10)*15)</x:f>
      </x:c>
      <x:c r="AA37" s="65" t="str">
        <x:f>IF($A37="","",(($P37+$Q37)/10)*10)</x:f>
      </x:c>
      <x:c r="AB37" s="65" t="str">
        <x:f>IF($A37="","",$R37)</x:f>
      </x:c>
      <x:c r="AC37" s="65" t="str">
        <x:f>IF($A37="","",SUM($V37:$AB37))</x:f>
      </x:c>
      <x:c r="AD37" s="71" t="str">
        <x:f>IF($A37="","",IF($AC37&gt;=75,"P0",IF($AC37&gt;=60,"P1",IF($AC37&gt;=45,"P2","P3"))))</x:f>
      </x:c>
      <x:c r="AE37" s="71" t="str">
        <x:f>IF($A37="","",IF($AC37&gt;=75,"立即写独立文章",IF($AC37&gt;=60,"排入本批内容日历",IF($AC37&gt;=45,"先做FAQ/段落或低优先文章","不单独写，合并到商业页/FAQ"))))</x:f>
      </x:c>
      <x:c r="AF37" s="37" t="str">
        <x:f>IF($A37="","",$K37&amp;" | 父级页: "&amp;$C37&amp;" | 目标URL: "&amp;$T37&amp;" | 必补: 竞品结构+原创证据+对比表+FAQ+内链CTA")</x:f>
      </x:c>
      <x:c r="AG37" s="80" t="str">
        <x:f>IF($A37="","",IF($I37&lt;4,"SERP不支持文章，优先做商业页/FAQ",IF($L37&lt;3,"产品相关弱，谨慎写",IF($N37&lt;3,"证据不足，容易变AI水文",IF($G37&gt;70,"难度偏高，需要更强外链/权威",IF($Q37&lt;3,"内链弱，先补主题簇","可进入规划"))))))</x:f>
      </x:c>
    </x:row>
    <x:row r="38">
      <x:c r="A38" s="79"/>
      <x:c r="B38" s="37"/>
      <x:c r="C38" s="37"/>
      <x:c r="D38" s="37"/>
      <x:c r="E38" s="59"/>
      <x:c r="F38" s="62"/>
      <x:c r="G38" s="50"/>
      <x:c r="H38" s="50"/>
      <x:c r="I38" s="50"/>
      <x:c r="J38" s="37"/>
      <x:c r="K38" s="37"/>
      <x:c r="L38" s="50"/>
      <x:c r="M38" s="50"/>
      <x:c r="N38" s="50"/>
      <x:c r="O38" s="50"/>
      <x:c r="P38" s="50"/>
      <x:c r="Q38" s="50"/>
      <x:c r="R38" s="50"/>
      <x:c r="S38" s="37"/>
      <x:c r="T38" s="37"/>
      <x:c r="U38" s="37"/>
      <x:c r="V38" s="65" t="str">
        <x:f>IF($A38="","",MIN(20,MAX(0,$I38*2)))</x:f>
      </x:c>
      <x:c r="W38" s="65" t="str">
        <x:f>IF($A38="","",(($L38+$M38)/10)*20)</x:f>
      </x:c>
      <x:c r="X38" s="65" t="str">
        <x:f>IF($A38="","",IF($E38&gt;=1000,10,IF($E38&gt;=300,8,IF($E38&gt;=100,6,IF($E38&gt;=30,4,IF($E38&gt;0,2,0)))))+IF($F38&gt;=2,5,IF($F38&gt;=1,4,IF($F38&gt;=0.3,3,IF($F38&gt;0,2,0)))))</x:f>
      </x:c>
      <x:c r="Y38" s="65" t="str">
        <x:f>IF($A38="","",IF($G38&lt;=20,15,IF($G38&lt;=35,12,IF($G38&lt;=50,9,IF($G38&lt;=65,6,IF($G38&lt;=80,3,1))))))</x:f>
      </x:c>
      <x:c r="Z38" s="65" t="str">
        <x:f>IF($A38="","",(($N38+$O38)/10)*15)</x:f>
      </x:c>
      <x:c r="AA38" s="65" t="str">
        <x:f>IF($A38="","",(($P38+$Q38)/10)*10)</x:f>
      </x:c>
      <x:c r="AB38" s="65" t="str">
        <x:f>IF($A38="","",$R38)</x:f>
      </x:c>
      <x:c r="AC38" s="65" t="str">
        <x:f>IF($A38="","",SUM($V38:$AB38))</x:f>
      </x:c>
      <x:c r="AD38" s="71" t="str">
        <x:f>IF($A38="","",IF($AC38&gt;=75,"P0",IF($AC38&gt;=60,"P1",IF($AC38&gt;=45,"P2","P3"))))</x:f>
      </x:c>
      <x:c r="AE38" s="71" t="str">
        <x:f>IF($A38="","",IF($AC38&gt;=75,"立即写独立文章",IF($AC38&gt;=60,"排入本批内容日历",IF($AC38&gt;=45,"先做FAQ/段落或低优先文章","不单独写，合并到商业页/FAQ"))))</x:f>
      </x:c>
      <x:c r="AF38" s="37" t="str">
        <x:f>IF($A38="","",$K38&amp;" | 父级页: "&amp;$C38&amp;" | 目标URL: "&amp;$T38&amp;" | 必补: 竞品结构+原创证据+对比表+FAQ+内链CTA")</x:f>
      </x:c>
      <x:c r="AG38" s="80" t="str">
        <x:f>IF($A38="","",IF($I38&lt;4,"SERP不支持文章，优先做商业页/FAQ",IF($L38&lt;3,"产品相关弱，谨慎写",IF($N38&lt;3,"证据不足，容易变AI水文",IF($G38&gt;70,"难度偏高，需要更强外链/权威",IF($Q38&lt;3,"内链弱，先补主题簇","可进入规划"))))))</x:f>
      </x:c>
    </x:row>
    <x:row r="39">
      <x:c r="A39" s="79"/>
      <x:c r="B39" s="37"/>
      <x:c r="C39" s="37"/>
      <x:c r="D39" s="37"/>
      <x:c r="E39" s="59"/>
      <x:c r="F39" s="62"/>
      <x:c r="G39" s="50"/>
      <x:c r="H39" s="50"/>
      <x:c r="I39" s="50"/>
      <x:c r="J39" s="37"/>
      <x:c r="K39" s="37"/>
      <x:c r="L39" s="50"/>
      <x:c r="M39" s="50"/>
      <x:c r="N39" s="50"/>
      <x:c r="O39" s="50"/>
      <x:c r="P39" s="50"/>
      <x:c r="Q39" s="50"/>
      <x:c r="R39" s="50"/>
      <x:c r="S39" s="37"/>
      <x:c r="T39" s="37"/>
      <x:c r="U39" s="37"/>
      <x:c r="V39" s="65" t="str">
        <x:f>IF($A39="","",MIN(20,MAX(0,$I39*2)))</x:f>
      </x:c>
      <x:c r="W39" s="65" t="str">
        <x:f>IF($A39="","",(($L39+$M39)/10)*20)</x:f>
      </x:c>
      <x:c r="X39" s="65" t="str">
        <x:f>IF($A39="","",IF($E39&gt;=1000,10,IF($E39&gt;=300,8,IF($E39&gt;=100,6,IF($E39&gt;=30,4,IF($E39&gt;0,2,0)))))+IF($F39&gt;=2,5,IF($F39&gt;=1,4,IF($F39&gt;=0.3,3,IF($F39&gt;0,2,0)))))</x:f>
      </x:c>
      <x:c r="Y39" s="65" t="str">
        <x:f>IF($A39="","",IF($G39&lt;=20,15,IF($G39&lt;=35,12,IF($G39&lt;=50,9,IF($G39&lt;=65,6,IF($G39&lt;=80,3,1))))))</x:f>
      </x:c>
      <x:c r="Z39" s="65" t="str">
        <x:f>IF($A39="","",(($N39+$O39)/10)*15)</x:f>
      </x:c>
      <x:c r="AA39" s="65" t="str">
        <x:f>IF($A39="","",(($P39+$Q39)/10)*10)</x:f>
      </x:c>
      <x:c r="AB39" s="65" t="str">
        <x:f>IF($A39="","",$R39)</x:f>
      </x:c>
      <x:c r="AC39" s="65" t="str">
        <x:f>IF($A39="","",SUM($V39:$AB39))</x:f>
      </x:c>
      <x:c r="AD39" s="71" t="str">
        <x:f>IF($A39="","",IF($AC39&gt;=75,"P0",IF($AC39&gt;=60,"P1",IF($AC39&gt;=45,"P2","P3"))))</x:f>
      </x:c>
      <x:c r="AE39" s="71" t="str">
        <x:f>IF($A39="","",IF($AC39&gt;=75,"立即写独立文章",IF($AC39&gt;=60,"排入本批内容日历",IF($AC39&gt;=45,"先做FAQ/段落或低优先文章","不单独写，合并到商业页/FAQ"))))</x:f>
      </x:c>
      <x:c r="AF39" s="37" t="str">
        <x:f>IF($A39="","",$K39&amp;" | 父级页: "&amp;$C39&amp;" | 目标URL: "&amp;$T39&amp;" | 必补: 竞品结构+原创证据+对比表+FAQ+内链CTA")</x:f>
      </x:c>
      <x:c r="AG39" s="80" t="str">
        <x:f>IF($A39="","",IF($I39&lt;4,"SERP不支持文章，优先做商业页/FAQ",IF($L39&lt;3,"产品相关弱，谨慎写",IF($N39&lt;3,"证据不足，容易变AI水文",IF($G39&gt;70,"难度偏高，需要更强外链/权威",IF($Q39&lt;3,"内链弱，先补主题簇","可进入规划"))))))</x:f>
      </x:c>
    </x:row>
    <x:row r="40">
      <x:c r="A40" s="79"/>
      <x:c r="B40" s="37"/>
      <x:c r="C40" s="37"/>
      <x:c r="D40" s="37"/>
      <x:c r="E40" s="59"/>
      <x:c r="F40" s="62"/>
      <x:c r="G40" s="50"/>
      <x:c r="H40" s="50"/>
      <x:c r="I40" s="50"/>
      <x:c r="J40" s="37"/>
      <x:c r="K40" s="37"/>
      <x:c r="L40" s="50"/>
      <x:c r="M40" s="50"/>
      <x:c r="N40" s="50"/>
      <x:c r="O40" s="50"/>
      <x:c r="P40" s="50"/>
      <x:c r="Q40" s="50"/>
      <x:c r="R40" s="50"/>
      <x:c r="S40" s="37"/>
      <x:c r="T40" s="37"/>
      <x:c r="U40" s="37"/>
      <x:c r="V40" s="65" t="str">
        <x:f>IF($A40="","",MIN(20,MAX(0,$I40*2)))</x:f>
      </x:c>
      <x:c r="W40" s="65" t="str">
        <x:f>IF($A40="","",(($L40+$M40)/10)*20)</x:f>
      </x:c>
      <x:c r="X40" s="65" t="str">
        <x:f>IF($A40="","",IF($E40&gt;=1000,10,IF($E40&gt;=300,8,IF($E40&gt;=100,6,IF($E40&gt;=30,4,IF($E40&gt;0,2,0)))))+IF($F40&gt;=2,5,IF($F40&gt;=1,4,IF($F40&gt;=0.3,3,IF($F40&gt;0,2,0)))))</x:f>
      </x:c>
      <x:c r="Y40" s="65" t="str">
        <x:f>IF($A40="","",IF($G40&lt;=20,15,IF($G40&lt;=35,12,IF($G40&lt;=50,9,IF($G40&lt;=65,6,IF($G40&lt;=80,3,1))))))</x:f>
      </x:c>
      <x:c r="Z40" s="65" t="str">
        <x:f>IF($A40="","",(($N40+$O40)/10)*15)</x:f>
      </x:c>
      <x:c r="AA40" s="65" t="str">
        <x:f>IF($A40="","",(($P40+$Q40)/10)*10)</x:f>
      </x:c>
      <x:c r="AB40" s="65" t="str">
        <x:f>IF($A40="","",$R40)</x:f>
      </x:c>
      <x:c r="AC40" s="65" t="str">
        <x:f>IF($A40="","",SUM($V40:$AB40))</x:f>
      </x:c>
      <x:c r="AD40" s="71" t="str">
        <x:f>IF($A40="","",IF($AC40&gt;=75,"P0",IF($AC40&gt;=60,"P1",IF($AC40&gt;=45,"P2","P3"))))</x:f>
      </x:c>
      <x:c r="AE40" s="71" t="str">
        <x:f>IF($A40="","",IF($AC40&gt;=75,"立即写独立文章",IF($AC40&gt;=60,"排入本批内容日历",IF($AC40&gt;=45,"先做FAQ/段落或低优先文章","不单独写，合并到商业页/FAQ"))))</x:f>
      </x:c>
      <x:c r="AF40" s="37" t="str">
        <x:f>IF($A40="","",$K40&amp;" | 父级页: "&amp;$C40&amp;" | 目标URL: "&amp;$T40&amp;" | 必补: 竞品结构+原创证据+对比表+FAQ+内链CTA")</x:f>
      </x:c>
      <x:c r="AG40" s="80" t="str">
        <x:f>IF($A40="","",IF($I40&lt;4,"SERP不支持文章，优先做商业页/FAQ",IF($L40&lt;3,"产品相关弱，谨慎写",IF($N40&lt;3,"证据不足，容易变AI水文",IF($G40&gt;70,"难度偏高，需要更强外链/权威",IF($Q40&lt;3,"内链弱，先补主题簇","可进入规划"))))))</x:f>
      </x:c>
    </x:row>
    <x:row r="41">
      <x:c r="A41" s="79"/>
      <x:c r="B41" s="37"/>
      <x:c r="C41" s="37"/>
      <x:c r="D41" s="37"/>
      <x:c r="E41" s="59"/>
      <x:c r="F41" s="62"/>
      <x:c r="G41" s="50"/>
      <x:c r="H41" s="50"/>
      <x:c r="I41" s="50"/>
      <x:c r="J41" s="37"/>
      <x:c r="K41" s="37"/>
      <x:c r="L41" s="50"/>
      <x:c r="M41" s="50"/>
      <x:c r="N41" s="50"/>
      <x:c r="O41" s="50"/>
      <x:c r="P41" s="50"/>
      <x:c r="Q41" s="50"/>
      <x:c r="R41" s="50"/>
      <x:c r="S41" s="37"/>
      <x:c r="T41" s="37"/>
      <x:c r="U41" s="37"/>
      <x:c r="V41" s="65" t="str">
        <x:f>IF($A41="","",MIN(20,MAX(0,$I41*2)))</x:f>
      </x:c>
      <x:c r="W41" s="65" t="str">
        <x:f>IF($A41="","",(($L41+$M41)/10)*20)</x:f>
      </x:c>
      <x:c r="X41" s="65" t="str">
        <x:f>IF($A41="","",IF($E41&gt;=1000,10,IF($E41&gt;=300,8,IF($E41&gt;=100,6,IF($E41&gt;=30,4,IF($E41&gt;0,2,0)))))+IF($F41&gt;=2,5,IF($F41&gt;=1,4,IF($F41&gt;=0.3,3,IF($F41&gt;0,2,0)))))</x:f>
      </x:c>
      <x:c r="Y41" s="65" t="str">
        <x:f>IF($A41="","",IF($G41&lt;=20,15,IF($G41&lt;=35,12,IF($G41&lt;=50,9,IF($G41&lt;=65,6,IF($G41&lt;=80,3,1))))))</x:f>
      </x:c>
      <x:c r="Z41" s="65" t="str">
        <x:f>IF($A41="","",(($N41+$O41)/10)*15)</x:f>
      </x:c>
      <x:c r="AA41" s="65" t="str">
        <x:f>IF($A41="","",(($P41+$Q41)/10)*10)</x:f>
      </x:c>
      <x:c r="AB41" s="65" t="str">
        <x:f>IF($A41="","",$R41)</x:f>
      </x:c>
      <x:c r="AC41" s="65" t="str">
        <x:f>IF($A41="","",SUM($V41:$AB41))</x:f>
      </x:c>
      <x:c r="AD41" s="71" t="str">
        <x:f>IF($A41="","",IF($AC41&gt;=75,"P0",IF($AC41&gt;=60,"P1",IF($AC41&gt;=45,"P2","P3"))))</x:f>
      </x:c>
      <x:c r="AE41" s="71" t="str">
        <x:f>IF($A41="","",IF($AC41&gt;=75,"立即写独立文章",IF($AC41&gt;=60,"排入本批内容日历",IF($AC41&gt;=45,"先做FAQ/段落或低优先文章","不单独写，合并到商业页/FAQ"))))</x:f>
      </x:c>
      <x:c r="AF41" s="37" t="str">
        <x:f>IF($A41="","",$K41&amp;" | 父级页: "&amp;$C41&amp;" | 目标URL: "&amp;$T41&amp;" | 必补: 竞品结构+原创证据+对比表+FAQ+内链CTA")</x:f>
      </x:c>
      <x:c r="AG41" s="80" t="str">
        <x:f>IF($A41="","",IF($I41&lt;4,"SERP不支持文章，优先做商业页/FAQ",IF($L41&lt;3,"产品相关弱，谨慎写",IF($N41&lt;3,"证据不足，容易变AI水文",IF($G41&gt;70,"难度偏高，需要更强外链/权威",IF($Q41&lt;3,"内链弱，先补主题簇","可进入规划"))))))</x:f>
      </x:c>
    </x:row>
    <x:row r="42">
      <x:c r="A42" s="79"/>
      <x:c r="B42" s="37"/>
      <x:c r="C42" s="37"/>
      <x:c r="D42" s="37"/>
      <x:c r="E42" s="59"/>
      <x:c r="F42" s="62"/>
      <x:c r="G42" s="50"/>
      <x:c r="H42" s="50"/>
      <x:c r="I42" s="50"/>
      <x:c r="J42" s="37"/>
      <x:c r="K42" s="37"/>
      <x:c r="L42" s="50"/>
      <x:c r="M42" s="50"/>
      <x:c r="N42" s="50"/>
      <x:c r="O42" s="50"/>
      <x:c r="P42" s="50"/>
      <x:c r="Q42" s="50"/>
      <x:c r="R42" s="50"/>
      <x:c r="S42" s="37"/>
      <x:c r="T42" s="37"/>
      <x:c r="U42" s="37"/>
      <x:c r="V42" s="65" t="str">
        <x:f>IF($A42="","",MIN(20,MAX(0,$I42*2)))</x:f>
      </x:c>
      <x:c r="W42" s="65" t="str">
        <x:f>IF($A42="","",(($L42+$M42)/10)*20)</x:f>
      </x:c>
      <x:c r="X42" s="65" t="str">
        <x:f>IF($A42="","",IF($E42&gt;=1000,10,IF($E42&gt;=300,8,IF($E42&gt;=100,6,IF($E42&gt;=30,4,IF($E42&gt;0,2,0)))))+IF($F42&gt;=2,5,IF($F42&gt;=1,4,IF($F42&gt;=0.3,3,IF($F42&gt;0,2,0)))))</x:f>
      </x:c>
      <x:c r="Y42" s="65" t="str">
        <x:f>IF($A42="","",IF($G42&lt;=20,15,IF($G42&lt;=35,12,IF($G42&lt;=50,9,IF($G42&lt;=65,6,IF($G42&lt;=80,3,1))))))</x:f>
      </x:c>
      <x:c r="Z42" s="65" t="str">
        <x:f>IF($A42="","",(($N42+$O42)/10)*15)</x:f>
      </x:c>
      <x:c r="AA42" s="65" t="str">
        <x:f>IF($A42="","",(($P42+$Q42)/10)*10)</x:f>
      </x:c>
      <x:c r="AB42" s="65" t="str">
        <x:f>IF($A42="","",$R42)</x:f>
      </x:c>
      <x:c r="AC42" s="65" t="str">
        <x:f>IF($A42="","",SUM($V42:$AB42))</x:f>
      </x:c>
      <x:c r="AD42" s="71" t="str">
        <x:f>IF($A42="","",IF($AC42&gt;=75,"P0",IF($AC42&gt;=60,"P1",IF($AC42&gt;=45,"P2","P3"))))</x:f>
      </x:c>
      <x:c r="AE42" s="71" t="str">
        <x:f>IF($A42="","",IF($AC42&gt;=75,"立即写独立文章",IF($AC42&gt;=60,"排入本批内容日历",IF($AC42&gt;=45,"先做FAQ/段落或低优先文章","不单独写，合并到商业页/FAQ"))))</x:f>
      </x:c>
      <x:c r="AF42" s="37" t="str">
        <x:f>IF($A42="","",$K42&amp;" | 父级页: "&amp;$C42&amp;" | 目标URL: "&amp;$T42&amp;" | 必补: 竞品结构+原创证据+对比表+FAQ+内链CTA")</x:f>
      </x:c>
      <x:c r="AG42" s="80" t="str">
        <x:f>IF($A42="","",IF($I42&lt;4,"SERP不支持文章，优先做商业页/FAQ",IF($L42&lt;3,"产品相关弱，谨慎写",IF($N42&lt;3,"证据不足，容易变AI水文",IF($G42&gt;70,"难度偏高，需要更强外链/权威",IF($Q42&lt;3,"内链弱，先补主题簇","可进入规划"))))))</x:f>
      </x:c>
    </x:row>
    <x:row r="43">
      <x:c r="A43" s="79"/>
      <x:c r="B43" s="37"/>
      <x:c r="C43" s="37"/>
      <x:c r="D43" s="37"/>
      <x:c r="E43" s="59"/>
      <x:c r="F43" s="62"/>
      <x:c r="G43" s="50"/>
      <x:c r="H43" s="50"/>
      <x:c r="I43" s="50"/>
      <x:c r="J43" s="37"/>
      <x:c r="K43" s="37"/>
      <x:c r="L43" s="50"/>
      <x:c r="M43" s="50"/>
      <x:c r="N43" s="50"/>
      <x:c r="O43" s="50"/>
      <x:c r="P43" s="50"/>
      <x:c r="Q43" s="50"/>
      <x:c r="R43" s="50"/>
      <x:c r="S43" s="37"/>
      <x:c r="T43" s="37"/>
      <x:c r="U43" s="37"/>
      <x:c r="V43" s="65" t="str">
        <x:f>IF($A43="","",MIN(20,MAX(0,$I43*2)))</x:f>
      </x:c>
      <x:c r="W43" s="65" t="str">
        <x:f>IF($A43="","",(($L43+$M43)/10)*20)</x:f>
      </x:c>
      <x:c r="X43" s="65" t="str">
        <x:f>IF($A43="","",IF($E43&gt;=1000,10,IF($E43&gt;=300,8,IF($E43&gt;=100,6,IF($E43&gt;=30,4,IF($E43&gt;0,2,0)))))+IF($F43&gt;=2,5,IF($F43&gt;=1,4,IF($F43&gt;=0.3,3,IF($F43&gt;0,2,0)))))</x:f>
      </x:c>
      <x:c r="Y43" s="65" t="str">
        <x:f>IF($A43="","",IF($G43&lt;=20,15,IF($G43&lt;=35,12,IF($G43&lt;=50,9,IF($G43&lt;=65,6,IF($G43&lt;=80,3,1))))))</x:f>
      </x:c>
      <x:c r="Z43" s="65" t="str">
        <x:f>IF($A43="","",(($N43+$O43)/10)*15)</x:f>
      </x:c>
      <x:c r="AA43" s="65" t="str">
        <x:f>IF($A43="","",(($P43+$Q43)/10)*10)</x:f>
      </x:c>
      <x:c r="AB43" s="65" t="str">
        <x:f>IF($A43="","",$R43)</x:f>
      </x:c>
      <x:c r="AC43" s="65" t="str">
        <x:f>IF($A43="","",SUM($V43:$AB43))</x:f>
      </x:c>
      <x:c r="AD43" s="71" t="str">
        <x:f>IF($A43="","",IF($AC43&gt;=75,"P0",IF($AC43&gt;=60,"P1",IF($AC43&gt;=45,"P2","P3"))))</x:f>
      </x:c>
      <x:c r="AE43" s="71" t="str">
        <x:f>IF($A43="","",IF($AC43&gt;=75,"立即写独立文章",IF($AC43&gt;=60,"排入本批内容日历",IF($AC43&gt;=45,"先做FAQ/段落或低优先文章","不单独写，合并到商业页/FAQ"))))</x:f>
      </x:c>
      <x:c r="AF43" s="37" t="str">
        <x:f>IF($A43="","",$K43&amp;" | 父级页: "&amp;$C43&amp;" | 目标URL: "&amp;$T43&amp;" | 必补: 竞品结构+原创证据+对比表+FAQ+内链CTA")</x:f>
      </x:c>
      <x:c r="AG43" s="80" t="str">
        <x:f>IF($A43="","",IF($I43&lt;4,"SERP不支持文章，优先做商业页/FAQ",IF($L43&lt;3,"产品相关弱，谨慎写",IF($N43&lt;3,"证据不足，容易变AI水文",IF($G43&gt;70,"难度偏高，需要更强外链/权威",IF($Q43&lt;3,"内链弱，先补主题簇","可进入规划"))))))</x:f>
      </x:c>
    </x:row>
    <x:row r="44">
      <x:c r="A44" s="79"/>
      <x:c r="B44" s="37"/>
      <x:c r="C44" s="37"/>
      <x:c r="D44" s="37"/>
      <x:c r="E44" s="59"/>
      <x:c r="F44" s="62"/>
      <x:c r="G44" s="50"/>
      <x:c r="H44" s="50"/>
      <x:c r="I44" s="50"/>
      <x:c r="J44" s="37"/>
      <x:c r="K44" s="37"/>
      <x:c r="L44" s="50"/>
      <x:c r="M44" s="50"/>
      <x:c r="N44" s="50"/>
      <x:c r="O44" s="50"/>
      <x:c r="P44" s="50"/>
      <x:c r="Q44" s="50"/>
      <x:c r="R44" s="50"/>
      <x:c r="S44" s="37"/>
      <x:c r="T44" s="37"/>
      <x:c r="U44" s="37"/>
      <x:c r="V44" s="65" t="str">
        <x:f>IF($A44="","",MIN(20,MAX(0,$I44*2)))</x:f>
      </x:c>
      <x:c r="W44" s="65" t="str">
        <x:f>IF($A44="","",(($L44+$M44)/10)*20)</x:f>
      </x:c>
      <x:c r="X44" s="65" t="str">
        <x:f>IF($A44="","",IF($E44&gt;=1000,10,IF($E44&gt;=300,8,IF($E44&gt;=100,6,IF($E44&gt;=30,4,IF($E44&gt;0,2,0)))))+IF($F44&gt;=2,5,IF($F44&gt;=1,4,IF($F44&gt;=0.3,3,IF($F44&gt;0,2,0)))))</x:f>
      </x:c>
      <x:c r="Y44" s="65" t="str">
        <x:f>IF($A44="","",IF($G44&lt;=20,15,IF($G44&lt;=35,12,IF($G44&lt;=50,9,IF($G44&lt;=65,6,IF($G44&lt;=80,3,1))))))</x:f>
      </x:c>
      <x:c r="Z44" s="65" t="str">
        <x:f>IF($A44="","",(($N44+$O44)/10)*15)</x:f>
      </x:c>
      <x:c r="AA44" s="65" t="str">
        <x:f>IF($A44="","",(($P44+$Q44)/10)*10)</x:f>
      </x:c>
      <x:c r="AB44" s="65" t="str">
        <x:f>IF($A44="","",$R44)</x:f>
      </x:c>
      <x:c r="AC44" s="65" t="str">
        <x:f>IF($A44="","",SUM($V44:$AB44))</x:f>
      </x:c>
      <x:c r="AD44" s="71" t="str">
        <x:f>IF($A44="","",IF($AC44&gt;=75,"P0",IF($AC44&gt;=60,"P1",IF($AC44&gt;=45,"P2","P3"))))</x:f>
      </x:c>
      <x:c r="AE44" s="71" t="str">
        <x:f>IF($A44="","",IF($AC44&gt;=75,"立即写独立文章",IF($AC44&gt;=60,"排入本批内容日历",IF($AC44&gt;=45,"先做FAQ/段落或低优先文章","不单独写，合并到商业页/FAQ"))))</x:f>
      </x:c>
      <x:c r="AF44" s="37" t="str">
        <x:f>IF($A44="","",$K44&amp;" | 父级页: "&amp;$C44&amp;" | 目标URL: "&amp;$T44&amp;" | 必补: 竞品结构+原创证据+对比表+FAQ+内链CTA")</x:f>
      </x:c>
      <x:c r="AG44" s="80" t="str">
        <x:f>IF($A44="","",IF($I44&lt;4,"SERP不支持文章，优先做商业页/FAQ",IF($L44&lt;3,"产品相关弱，谨慎写",IF($N44&lt;3,"证据不足，容易变AI水文",IF($G44&gt;70,"难度偏高，需要更强外链/权威",IF($Q44&lt;3,"内链弱，先补主题簇","可进入规划"))))))</x:f>
      </x:c>
    </x:row>
    <x:row r="45">
      <x:c r="A45" s="79"/>
      <x:c r="B45" s="37"/>
      <x:c r="C45" s="37"/>
      <x:c r="D45" s="37"/>
      <x:c r="E45" s="59"/>
      <x:c r="F45" s="62"/>
      <x:c r="G45" s="50"/>
      <x:c r="H45" s="50"/>
      <x:c r="I45" s="50"/>
      <x:c r="J45" s="37"/>
      <x:c r="K45" s="37"/>
      <x:c r="L45" s="50"/>
      <x:c r="M45" s="50"/>
      <x:c r="N45" s="50"/>
      <x:c r="O45" s="50"/>
      <x:c r="P45" s="50"/>
      <x:c r="Q45" s="50"/>
      <x:c r="R45" s="50"/>
      <x:c r="S45" s="37"/>
      <x:c r="T45" s="37"/>
      <x:c r="U45" s="37"/>
      <x:c r="V45" s="65" t="str">
        <x:f>IF($A45="","",MIN(20,MAX(0,$I45*2)))</x:f>
      </x:c>
      <x:c r="W45" s="65" t="str">
        <x:f>IF($A45="","",(($L45+$M45)/10)*20)</x:f>
      </x:c>
      <x:c r="X45" s="65" t="str">
        <x:f>IF($A45="","",IF($E45&gt;=1000,10,IF($E45&gt;=300,8,IF($E45&gt;=100,6,IF($E45&gt;=30,4,IF($E45&gt;0,2,0)))))+IF($F45&gt;=2,5,IF($F45&gt;=1,4,IF($F45&gt;=0.3,3,IF($F45&gt;0,2,0)))))</x:f>
      </x:c>
      <x:c r="Y45" s="65" t="str">
        <x:f>IF($A45="","",IF($G45&lt;=20,15,IF($G45&lt;=35,12,IF($G45&lt;=50,9,IF($G45&lt;=65,6,IF($G45&lt;=80,3,1))))))</x:f>
      </x:c>
      <x:c r="Z45" s="65" t="str">
        <x:f>IF($A45="","",(($N45+$O45)/10)*15)</x:f>
      </x:c>
      <x:c r="AA45" s="65" t="str">
        <x:f>IF($A45="","",(($P45+$Q45)/10)*10)</x:f>
      </x:c>
      <x:c r="AB45" s="65" t="str">
        <x:f>IF($A45="","",$R45)</x:f>
      </x:c>
      <x:c r="AC45" s="65" t="str">
        <x:f>IF($A45="","",SUM($V45:$AB45))</x:f>
      </x:c>
      <x:c r="AD45" s="71" t="str">
        <x:f>IF($A45="","",IF($AC45&gt;=75,"P0",IF($AC45&gt;=60,"P1",IF($AC45&gt;=45,"P2","P3"))))</x:f>
      </x:c>
      <x:c r="AE45" s="71" t="str">
        <x:f>IF($A45="","",IF($AC45&gt;=75,"立即写独立文章",IF($AC45&gt;=60,"排入本批内容日历",IF($AC45&gt;=45,"先做FAQ/段落或低优先文章","不单独写，合并到商业页/FAQ"))))</x:f>
      </x:c>
      <x:c r="AF45" s="37" t="str">
        <x:f>IF($A45="","",$K45&amp;" | 父级页: "&amp;$C45&amp;" | 目标URL: "&amp;$T45&amp;" | 必补: 竞品结构+原创证据+对比表+FAQ+内链CTA")</x:f>
      </x:c>
      <x:c r="AG45" s="80" t="str">
        <x:f>IF($A45="","",IF($I45&lt;4,"SERP不支持文章，优先做商业页/FAQ",IF($L45&lt;3,"产品相关弱，谨慎写",IF($N45&lt;3,"证据不足，容易变AI水文",IF($G45&gt;70,"难度偏高，需要更强外链/权威",IF($Q45&lt;3,"内链弱，先补主题簇","可进入规划"))))))</x:f>
      </x:c>
    </x:row>
    <x:row r="46">
      <x:c r="A46" s="79"/>
      <x:c r="B46" s="37"/>
      <x:c r="C46" s="37"/>
      <x:c r="D46" s="37"/>
      <x:c r="E46" s="59"/>
      <x:c r="F46" s="62"/>
      <x:c r="G46" s="50"/>
      <x:c r="H46" s="50"/>
      <x:c r="I46" s="50"/>
      <x:c r="J46" s="37"/>
      <x:c r="K46" s="37"/>
      <x:c r="L46" s="50"/>
      <x:c r="M46" s="50"/>
      <x:c r="N46" s="50"/>
      <x:c r="O46" s="50"/>
      <x:c r="P46" s="50"/>
      <x:c r="Q46" s="50"/>
      <x:c r="R46" s="50"/>
      <x:c r="S46" s="37"/>
      <x:c r="T46" s="37"/>
      <x:c r="U46" s="37"/>
      <x:c r="V46" s="65" t="str">
        <x:f>IF($A46="","",MIN(20,MAX(0,$I46*2)))</x:f>
      </x:c>
      <x:c r="W46" s="65" t="str">
        <x:f>IF($A46="","",(($L46+$M46)/10)*20)</x:f>
      </x:c>
      <x:c r="X46" s="65" t="str">
        <x:f>IF($A46="","",IF($E46&gt;=1000,10,IF($E46&gt;=300,8,IF($E46&gt;=100,6,IF($E46&gt;=30,4,IF($E46&gt;0,2,0)))))+IF($F46&gt;=2,5,IF($F46&gt;=1,4,IF($F46&gt;=0.3,3,IF($F46&gt;0,2,0)))))</x:f>
      </x:c>
      <x:c r="Y46" s="65" t="str">
        <x:f>IF($A46="","",IF($G46&lt;=20,15,IF($G46&lt;=35,12,IF($G46&lt;=50,9,IF($G46&lt;=65,6,IF($G46&lt;=80,3,1))))))</x:f>
      </x:c>
      <x:c r="Z46" s="65" t="str">
        <x:f>IF($A46="","",(($N46+$O46)/10)*15)</x:f>
      </x:c>
      <x:c r="AA46" s="65" t="str">
        <x:f>IF($A46="","",(($P46+$Q46)/10)*10)</x:f>
      </x:c>
      <x:c r="AB46" s="65" t="str">
        <x:f>IF($A46="","",$R46)</x:f>
      </x:c>
      <x:c r="AC46" s="65" t="str">
        <x:f>IF($A46="","",SUM($V46:$AB46))</x:f>
      </x:c>
      <x:c r="AD46" s="71" t="str">
        <x:f>IF($A46="","",IF($AC46&gt;=75,"P0",IF($AC46&gt;=60,"P1",IF($AC46&gt;=45,"P2","P3"))))</x:f>
      </x:c>
      <x:c r="AE46" s="71" t="str">
        <x:f>IF($A46="","",IF($AC46&gt;=75,"立即写独立文章",IF($AC46&gt;=60,"排入本批内容日历",IF($AC46&gt;=45,"先做FAQ/段落或低优先文章","不单独写，合并到商业页/FAQ"))))</x:f>
      </x:c>
      <x:c r="AF46" s="37" t="str">
        <x:f>IF($A46="","",$K46&amp;" | 父级页: "&amp;$C46&amp;" | 目标URL: "&amp;$T46&amp;" | 必补: 竞品结构+原创证据+对比表+FAQ+内链CTA")</x:f>
      </x:c>
      <x:c r="AG46" s="80" t="str">
        <x:f>IF($A46="","",IF($I46&lt;4,"SERP不支持文章，优先做商业页/FAQ",IF($L46&lt;3,"产品相关弱，谨慎写",IF($N46&lt;3,"证据不足，容易变AI水文",IF($G46&gt;70,"难度偏高，需要更强外链/权威",IF($Q46&lt;3,"内链弱，先补主题簇","可进入规划"))))))</x:f>
      </x:c>
    </x:row>
    <x:row r="47">
      <x:c r="A47" s="79"/>
      <x:c r="B47" s="37"/>
      <x:c r="C47" s="37"/>
      <x:c r="D47" s="37"/>
      <x:c r="E47" s="59"/>
      <x:c r="F47" s="62"/>
      <x:c r="G47" s="50"/>
      <x:c r="H47" s="50"/>
      <x:c r="I47" s="50"/>
      <x:c r="J47" s="37"/>
      <x:c r="K47" s="37"/>
      <x:c r="L47" s="50"/>
      <x:c r="M47" s="50"/>
      <x:c r="N47" s="50"/>
      <x:c r="O47" s="50"/>
      <x:c r="P47" s="50"/>
      <x:c r="Q47" s="50"/>
      <x:c r="R47" s="50"/>
      <x:c r="S47" s="37"/>
      <x:c r="T47" s="37"/>
      <x:c r="U47" s="37"/>
      <x:c r="V47" s="65" t="str">
        <x:f>IF($A47="","",MIN(20,MAX(0,$I47*2)))</x:f>
      </x:c>
      <x:c r="W47" s="65" t="str">
        <x:f>IF($A47="","",(($L47+$M47)/10)*20)</x:f>
      </x:c>
      <x:c r="X47" s="65" t="str">
        <x:f>IF($A47="","",IF($E47&gt;=1000,10,IF($E47&gt;=300,8,IF($E47&gt;=100,6,IF($E47&gt;=30,4,IF($E47&gt;0,2,0)))))+IF($F47&gt;=2,5,IF($F47&gt;=1,4,IF($F47&gt;=0.3,3,IF($F47&gt;0,2,0)))))</x:f>
      </x:c>
      <x:c r="Y47" s="65" t="str">
        <x:f>IF($A47="","",IF($G47&lt;=20,15,IF($G47&lt;=35,12,IF($G47&lt;=50,9,IF($G47&lt;=65,6,IF($G47&lt;=80,3,1))))))</x:f>
      </x:c>
      <x:c r="Z47" s="65" t="str">
        <x:f>IF($A47="","",(($N47+$O47)/10)*15)</x:f>
      </x:c>
      <x:c r="AA47" s="65" t="str">
        <x:f>IF($A47="","",(($P47+$Q47)/10)*10)</x:f>
      </x:c>
      <x:c r="AB47" s="65" t="str">
        <x:f>IF($A47="","",$R47)</x:f>
      </x:c>
      <x:c r="AC47" s="65" t="str">
        <x:f>IF($A47="","",SUM($V47:$AB47))</x:f>
      </x:c>
      <x:c r="AD47" s="71" t="str">
        <x:f>IF($A47="","",IF($AC47&gt;=75,"P0",IF($AC47&gt;=60,"P1",IF($AC47&gt;=45,"P2","P3"))))</x:f>
      </x:c>
      <x:c r="AE47" s="71" t="str">
        <x:f>IF($A47="","",IF($AC47&gt;=75,"立即写独立文章",IF($AC47&gt;=60,"排入本批内容日历",IF($AC47&gt;=45,"先做FAQ/段落或低优先文章","不单独写，合并到商业页/FAQ"))))</x:f>
      </x:c>
      <x:c r="AF47" s="37" t="str">
        <x:f>IF($A47="","",$K47&amp;" | 父级页: "&amp;$C47&amp;" | 目标URL: "&amp;$T47&amp;" | 必补: 竞品结构+原创证据+对比表+FAQ+内链CTA")</x:f>
      </x:c>
      <x:c r="AG47" s="80" t="str">
        <x:f>IF($A47="","",IF($I47&lt;4,"SERP不支持文章，优先做商业页/FAQ",IF($L47&lt;3,"产品相关弱，谨慎写",IF($N47&lt;3,"证据不足，容易变AI水文",IF($G47&gt;70,"难度偏高，需要更强外链/权威",IF($Q47&lt;3,"内链弱，先补主题簇","可进入规划"))))))</x:f>
      </x:c>
    </x:row>
    <x:row r="48">
      <x:c r="A48" s="79"/>
      <x:c r="B48" s="37"/>
      <x:c r="C48" s="37"/>
      <x:c r="D48" s="37"/>
      <x:c r="E48" s="59"/>
      <x:c r="F48" s="62"/>
      <x:c r="G48" s="50"/>
      <x:c r="H48" s="50"/>
      <x:c r="I48" s="50"/>
      <x:c r="J48" s="37"/>
      <x:c r="K48" s="37"/>
      <x:c r="L48" s="50"/>
      <x:c r="M48" s="50"/>
      <x:c r="N48" s="50"/>
      <x:c r="O48" s="50"/>
      <x:c r="P48" s="50"/>
      <x:c r="Q48" s="50"/>
      <x:c r="R48" s="50"/>
      <x:c r="S48" s="37"/>
      <x:c r="T48" s="37"/>
      <x:c r="U48" s="37"/>
      <x:c r="V48" s="65" t="str">
        <x:f>IF($A48="","",MIN(20,MAX(0,$I48*2)))</x:f>
      </x:c>
      <x:c r="W48" s="65" t="str">
        <x:f>IF($A48="","",(($L48+$M48)/10)*20)</x:f>
      </x:c>
      <x:c r="X48" s="65" t="str">
        <x:f>IF($A48="","",IF($E48&gt;=1000,10,IF($E48&gt;=300,8,IF($E48&gt;=100,6,IF($E48&gt;=30,4,IF($E48&gt;0,2,0)))))+IF($F48&gt;=2,5,IF($F48&gt;=1,4,IF($F48&gt;=0.3,3,IF($F48&gt;0,2,0)))))</x:f>
      </x:c>
      <x:c r="Y48" s="65" t="str">
        <x:f>IF($A48="","",IF($G48&lt;=20,15,IF($G48&lt;=35,12,IF($G48&lt;=50,9,IF($G48&lt;=65,6,IF($G48&lt;=80,3,1))))))</x:f>
      </x:c>
      <x:c r="Z48" s="65" t="str">
        <x:f>IF($A48="","",(($N48+$O48)/10)*15)</x:f>
      </x:c>
      <x:c r="AA48" s="65" t="str">
        <x:f>IF($A48="","",(($P48+$Q48)/10)*10)</x:f>
      </x:c>
      <x:c r="AB48" s="65" t="str">
        <x:f>IF($A48="","",$R48)</x:f>
      </x:c>
      <x:c r="AC48" s="65" t="str">
        <x:f>IF($A48="","",SUM($V48:$AB48))</x:f>
      </x:c>
      <x:c r="AD48" s="71" t="str">
        <x:f>IF($A48="","",IF($AC48&gt;=75,"P0",IF($AC48&gt;=60,"P1",IF($AC48&gt;=45,"P2","P3"))))</x:f>
      </x:c>
      <x:c r="AE48" s="71" t="str">
        <x:f>IF($A48="","",IF($AC48&gt;=75,"立即写独立文章",IF($AC48&gt;=60,"排入本批内容日历",IF($AC48&gt;=45,"先做FAQ/段落或低优先文章","不单独写，合并到商业页/FAQ"))))</x:f>
      </x:c>
      <x:c r="AF48" s="37" t="str">
        <x:f>IF($A48="","",$K48&amp;" | 父级页: "&amp;$C48&amp;" | 目标URL: "&amp;$T48&amp;" | 必补: 竞品结构+原创证据+对比表+FAQ+内链CTA")</x:f>
      </x:c>
      <x:c r="AG48" s="80" t="str">
        <x:f>IF($A48="","",IF($I48&lt;4,"SERP不支持文章，优先做商业页/FAQ",IF($L48&lt;3,"产品相关弱，谨慎写",IF($N48&lt;3,"证据不足，容易变AI水文",IF($G48&gt;70,"难度偏高，需要更强外链/权威",IF($Q48&lt;3,"内链弱，先补主题簇","可进入规划"))))))</x:f>
      </x:c>
    </x:row>
    <x:row r="49">
      <x:c r="A49" s="79"/>
      <x:c r="B49" s="37"/>
      <x:c r="C49" s="37"/>
      <x:c r="D49" s="37"/>
      <x:c r="E49" s="59"/>
      <x:c r="F49" s="62"/>
      <x:c r="G49" s="50"/>
      <x:c r="H49" s="50"/>
      <x:c r="I49" s="50"/>
      <x:c r="J49" s="37"/>
      <x:c r="K49" s="37"/>
      <x:c r="L49" s="50"/>
      <x:c r="M49" s="50"/>
      <x:c r="N49" s="50"/>
      <x:c r="O49" s="50"/>
      <x:c r="P49" s="50"/>
      <x:c r="Q49" s="50"/>
      <x:c r="R49" s="50"/>
      <x:c r="S49" s="37"/>
      <x:c r="T49" s="37"/>
      <x:c r="U49" s="37"/>
      <x:c r="V49" s="65" t="str">
        <x:f>IF($A49="","",MIN(20,MAX(0,$I49*2)))</x:f>
      </x:c>
      <x:c r="W49" s="65" t="str">
        <x:f>IF($A49="","",(($L49+$M49)/10)*20)</x:f>
      </x:c>
      <x:c r="X49" s="65" t="str">
        <x:f>IF($A49="","",IF($E49&gt;=1000,10,IF($E49&gt;=300,8,IF($E49&gt;=100,6,IF($E49&gt;=30,4,IF($E49&gt;0,2,0)))))+IF($F49&gt;=2,5,IF($F49&gt;=1,4,IF($F49&gt;=0.3,3,IF($F49&gt;0,2,0)))))</x:f>
      </x:c>
      <x:c r="Y49" s="65" t="str">
        <x:f>IF($A49="","",IF($G49&lt;=20,15,IF($G49&lt;=35,12,IF($G49&lt;=50,9,IF($G49&lt;=65,6,IF($G49&lt;=80,3,1))))))</x:f>
      </x:c>
      <x:c r="Z49" s="65" t="str">
        <x:f>IF($A49="","",(($N49+$O49)/10)*15)</x:f>
      </x:c>
      <x:c r="AA49" s="65" t="str">
        <x:f>IF($A49="","",(($P49+$Q49)/10)*10)</x:f>
      </x:c>
      <x:c r="AB49" s="65" t="str">
        <x:f>IF($A49="","",$R49)</x:f>
      </x:c>
      <x:c r="AC49" s="65" t="str">
        <x:f>IF($A49="","",SUM($V49:$AB49))</x:f>
      </x:c>
      <x:c r="AD49" s="71" t="str">
        <x:f>IF($A49="","",IF($AC49&gt;=75,"P0",IF($AC49&gt;=60,"P1",IF($AC49&gt;=45,"P2","P3"))))</x:f>
      </x:c>
      <x:c r="AE49" s="71" t="str">
        <x:f>IF($A49="","",IF($AC49&gt;=75,"立即写独立文章",IF($AC49&gt;=60,"排入本批内容日历",IF($AC49&gt;=45,"先做FAQ/段落或低优先文章","不单独写，合并到商业页/FAQ"))))</x:f>
      </x:c>
      <x:c r="AF49" s="37" t="str">
        <x:f>IF($A49="","",$K49&amp;" | 父级页: "&amp;$C49&amp;" | 目标URL: "&amp;$T49&amp;" | 必补: 竞品结构+原创证据+对比表+FAQ+内链CTA")</x:f>
      </x:c>
      <x:c r="AG49" s="80" t="str">
        <x:f>IF($A49="","",IF($I49&lt;4,"SERP不支持文章，优先做商业页/FAQ",IF($L49&lt;3,"产品相关弱，谨慎写",IF($N49&lt;3,"证据不足，容易变AI水文",IF($G49&gt;70,"难度偏高，需要更强外链/权威",IF($Q49&lt;3,"内链弱，先补主题簇","可进入规划"))))))</x:f>
      </x:c>
    </x:row>
    <x:row r="50">
      <x:c r="A50" s="79"/>
      <x:c r="B50" s="37"/>
      <x:c r="C50" s="37"/>
      <x:c r="D50" s="37"/>
      <x:c r="E50" s="59"/>
      <x:c r="F50" s="62"/>
      <x:c r="G50" s="50"/>
      <x:c r="H50" s="50"/>
      <x:c r="I50" s="50"/>
      <x:c r="J50" s="37"/>
      <x:c r="K50" s="37"/>
      <x:c r="L50" s="50"/>
      <x:c r="M50" s="50"/>
      <x:c r="N50" s="50"/>
      <x:c r="O50" s="50"/>
      <x:c r="P50" s="50"/>
      <x:c r="Q50" s="50"/>
      <x:c r="R50" s="50"/>
      <x:c r="S50" s="37"/>
      <x:c r="T50" s="37"/>
      <x:c r="U50" s="37"/>
      <x:c r="V50" s="65" t="str">
        <x:f>IF($A50="","",MIN(20,MAX(0,$I50*2)))</x:f>
      </x:c>
      <x:c r="W50" s="65" t="str">
        <x:f>IF($A50="","",(($L50+$M50)/10)*20)</x:f>
      </x:c>
      <x:c r="X50" s="65" t="str">
        <x:f>IF($A50="","",IF($E50&gt;=1000,10,IF($E50&gt;=300,8,IF($E50&gt;=100,6,IF($E50&gt;=30,4,IF($E50&gt;0,2,0)))))+IF($F50&gt;=2,5,IF($F50&gt;=1,4,IF($F50&gt;=0.3,3,IF($F50&gt;0,2,0)))))</x:f>
      </x:c>
      <x:c r="Y50" s="65" t="str">
        <x:f>IF($A50="","",IF($G50&lt;=20,15,IF($G50&lt;=35,12,IF($G50&lt;=50,9,IF($G50&lt;=65,6,IF($G50&lt;=80,3,1))))))</x:f>
      </x:c>
      <x:c r="Z50" s="65" t="str">
        <x:f>IF($A50="","",(($N50+$O50)/10)*15)</x:f>
      </x:c>
      <x:c r="AA50" s="65" t="str">
        <x:f>IF($A50="","",(($P50+$Q50)/10)*10)</x:f>
      </x:c>
      <x:c r="AB50" s="65" t="str">
        <x:f>IF($A50="","",$R50)</x:f>
      </x:c>
      <x:c r="AC50" s="65" t="str">
        <x:f>IF($A50="","",SUM($V50:$AB50))</x:f>
      </x:c>
      <x:c r="AD50" s="71" t="str">
        <x:f>IF($A50="","",IF($AC50&gt;=75,"P0",IF($AC50&gt;=60,"P1",IF($AC50&gt;=45,"P2","P3"))))</x:f>
      </x:c>
      <x:c r="AE50" s="71" t="str">
        <x:f>IF($A50="","",IF($AC50&gt;=75,"立即写独立文章",IF($AC50&gt;=60,"排入本批内容日历",IF($AC50&gt;=45,"先做FAQ/段落或低优先文章","不单独写，合并到商业页/FAQ"))))</x:f>
      </x:c>
      <x:c r="AF50" s="37" t="str">
        <x:f>IF($A50="","",$K50&amp;" | 父级页: "&amp;$C50&amp;" | 目标URL: "&amp;$T50&amp;" | 必补: 竞品结构+原创证据+对比表+FAQ+内链CTA")</x:f>
      </x:c>
      <x:c r="AG50" s="80" t="str">
        <x:f>IF($A50="","",IF($I50&lt;4,"SERP不支持文章，优先做商业页/FAQ",IF($L50&lt;3,"产品相关弱，谨慎写",IF($N50&lt;3,"证据不足，容易变AI水文",IF($G50&gt;70,"难度偏高，需要更强外链/权威",IF($Q50&lt;3,"内链弱，先补主题簇","可进入规划"))))))</x:f>
      </x:c>
    </x:row>
    <x:row r="51">
      <x:c r="A51" s="79"/>
      <x:c r="B51" s="37"/>
      <x:c r="C51" s="37"/>
      <x:c r="D51" s="37"/>
      <x:c r="E51" s="59"/>
      <x:c r="F51" s="62"/>
      <x:c r="G51" s="50"/>
      <x:c r="H51" s="50"/>
      <x:c r="I51" s="50"/>
      <x:c r="J51" s="37"/>
      <x:c r="K51" s="37"/>
      <x:c r="L51" s="50"/>
      <x:c r="M51" s="50"/>
      <x:c r="N51" s="50"/>
      <x:c r="O51" s="50"/>
      <x:c r="P51" s="50"/>
      <x:c r="Q51" s="50"/>
      <x:c r="R51" s="50"/>
      <x:c r="S51" s="37"/>
      <x:c r="T51" s="37"/>
      <x:c r="U51" s="37"/>
      <x:c r="V51" s="65" t="str">
        <x:f>IF($A51="","",MIN(20,MAX(0,$I51*2)))</x:f>
      </x:c>
      <x:c r="W51" s="65" t="str">
        <x:f>IF($A51="","",(($L51+$M51)/10)*20)</x:f>
      </x:c>
      <x:c r="X51" s="65" t="str">
        <x:f>IF($A51="","",IF($E51&gt;=1000,10,IF($E51&gt;=300,8,IF($E51&gt;=100,6,IF($E51&gt;=30,4,IF($E51&gt;0,2,0)))))+IF($F51&gt;=2,5,IF($F51&gt;=1,4,IF($F51&gt;=0.3,3,IF($F51&gt;0,2,0)))))</x:f>
      </x:c>
      <x:c r="Y51" s="65" t="str">
        <x:f>IF($A51="","",IF($G51&lt;=20,15,IF($G51&lt;=35,12,IF($G51&lt;=50,9,IF($G51&lt;=65,6,IF($G51&lt;=80,3,1))))))</x:f>
      </x:c>
      <x:c r="Z51" s="65" t="str">
        <x:f>IF($A51="","",(($N51+$O51)/10)*15)</x:f>
      </x:c>
      <x:c r="AA51" s="65" t="str">
        <x:f>IF($A51="","",(($P51+$Q51)/10)*10)</x:f>
      </x:c>
      <x:c r="AB51" s="65" t="str">
        <x:f>IF($A51="","",$R51)</x:f>
      </x:c>
      <x:c r="AC51" s="65" t="str">
        <x:f>IF($A51="","",SUM($V51:$AB51))</x:f>
      </x:c>
      <x:c r="AD51" s="71" t="str">
        <x:f>IF($A51="","",IF($AC51&gt;=75,"P0",IF($AC51&gt;=60,"P1",IF($AC51&gt;=45,"P2","P3"))))</x:f>
      </x:c>
      <x:c r="AE51" s="71" t="str">
        <x:f>IF($A51="","",IF($AC51&gt;=75,"立即写独立文章",IF($AC51&gt;=60,"排入本批内容日历",IF($AC51&gt;=45,"先做FAQ/段落或低优先文章","不单独写，合并到商业页/FAQ"))))</x:f>
      </x:c>
      <x:c r="AF51" s="37" t="str">
        <x:f>IF($A51="","",$K51&amp;" | 父级页: "&amp;$C51&amp;" | 目标URL: "&amp;$T51&amp;" | 必补: 竞品结构+原创证据+对比表+FAQ+内链CTA")</x:f>
      </x:c>
      <x:c r="AG51" s="80" t="str">
        <x:f>IF($A51="","",IF($I51&lt;4,"SERP不支持文章，优先做商业页/FAQ",IF($L51&lt;3,"产品相关弱，谨慎写",IF($N51&lt;3,"证据不足，容易变AI水文",IF($G51&gt;70,"难度偏高，需要更强外链/权威",IF($Q51&lt;3,"内链弱，先补主题簇","可进入规划"))))))</x:f>
      </x:c>
    </x:row>
    <x:row r="52">
      <x:c r="A52" s="79"/>
      <x:c r="B52" s="37"/>
      <x:c r="C52" s="37"/>
      <x:c r="D52" s="37"/>
      <x:c r="E52" s="59"/>
      <x:c r="F52" s="62"/>
      <x:c r="G52" s="50"/>
      <x:c r="H52" s="50"/>
      <x:c r="I52" s="50"/>
      <x:c r="J52" s="37"/>
      <x:c r="K52" s="37"/>
      <x:c r="L52" s="50"/>
      <x:c r="M52" s="50"/>
      <x:c r="N52" s="50"/>
      <x:c r="O52" s="50"/>
      <x:c r="P52" s="50"/>
      <x:c r="Q52" s="50"/>
      <x:c r="R52" s="50"/>
      <x:c r="S52" s="37"/>
      <x:c r="T52" s="37"/>
      <x:c r="U52" s="37"/>
      <x:c r="V52" s="65" t="str">
        <x:f>IF($A52="","",MIN(20,MAX(0,$I52*2)))</x:f>
      </x:c>
      <x:c r="W52" s="65" t="str">
        <x:f>IF($A52="","",(($L52+$M52)/10)*20)</x:f>
      </x:c>
      <x:c r="X52" s="65" t="str">
        <x:f>IF($A52="","",IF($E52&gt;=1000,10,IF($E52&gt;=300,8,IF($E52&gt;=100,6,IF($E52&gt;=30,4,IF($E52&gt;0,2,0)))))+IF($F52&gt;=2,5,IF($F52&gt;=1,4,IF($F52&gt;=0.3,3,IF($F52&gt;0,2,0)))))</x:f>
      </x:c>
      <x:c r="Y52" s="65" t="str">
        <x:f>IF($A52="","",IF($G52&lt;=20,15,IF($G52&lt;=35,12,IF($G52&lt;=50,9,IF($G52&lt;=65,6,IF($G52&lt;=80,3,1))))))</x:f>
      </x:c>
      <x:c r="Z52" s="65" t="str">
        <x:f>IF($A52="","",(($N52+$O52)/10)*15)</x:f>
      </x:c>
      <x:c r="AA52" s="65" t="str">
        <x:f>IF($A52="","",(($P52+$Q52)/10)*10)</x:f>
      </x:c>
      <x:c r="AB52" s="65" t="str">
        <x:f>IF($A52="","",$R52)</x:f>
      </x:c>
      <x:c r="AC52" s="65" t="str">
        <x:f>IF($A52="","",SUM($V52:$AB52))</x:f>
      </x:c>
      <x:c r="AD52" s="71" t="str">
        <x:f>IF($A52="","",IF($AC52&gt;=75,"P0",IF($AC52&gt;=60,"P1",IF($AC52&gt;=45,"P2","P3"))))</x:f>
      </x:c>
      <x:c r="AE52" s="71" t="str">
        <x:f>IF($A52="","",IF($AC52&gt;=75,"立即写独立文章",IF($AC52&gt;=60,"排入本批内容日历",IF($AC52&gt;=45,"先做FAQ/段落或低优先文章","不单独写，合并到商业页/FAQ"))))</x:f>
      </x:c>
      <x:c r="AF52" s="37" t="str">
        <x:f>IF($A52="","",$K52&amp;" | 父级页: "&amp;$C52&amp;" | 目标URL: "&amp;$T52&amp;" | 必补: 竞品结构+原创证据+对比表+FAQ+内链CTA")</x:f>
      </x:c>
      <x:c r="AG52" s="80" t="str">
        <x:f>IF($A52="","",IF($I52&lt;4,"SERP不支持文章，优先做商业页/FAQ",IF($L52&lt;3,"产品相关弱，谨慎写",IF($N52&lt;3,"证据不足，容易变AI水文",IF($G52&gt;70,"难度偏高，需要更强外链/权威",IF($Q52&lt;3,"内链弱，先补主题簇","可进入规划"))))))</x:f>
      </x:c>
    </x:row>
    <x:row r="53">
      <x:c r="A53" s="79"/>
      <x:c r="B53" s="37"/>
      <x:c r="C53" s="37"/>
      <x:c r="D53" s="37"/>
      <x:c r="E53" s="59"/>
      <x:c r="F53" s="62"/>
      <x:c r="G53" s="50"/>
      <x:c r="H53" s="50"/>
      <x:c r="I53" s="50"/>
      <x:c r="J53" s="37"/>
      <x:c r="K53" s="37"/>
      <x:c r="L53" s="50"/>
      <x:c r="M53" s="50"/>
      <x:c r="N53" s="50"/>
      <x:c r="O53" s="50"/>
      <x:c r="P53" s="50"/>
      <x:c r="Q53" s="50"/>
      <x:c r="R53" s="50"/>
      <x:c r="S53" s="37"/>
      <x:c r="T53" s="37"/>
      <x:c r="U53" s="37"/>
      <x:c r="V53" s="65" t="str">
        <x:f>IF($A53="","",MIN(20,MAX(0,$I53*2)))</x:f>
      </x:c>
      <x:c r="W53" s="65" t="str">
        <x:f>IF($A53="","",(($L53+$M53)/10)*20)</x:f>
      </x:c>
      <x:c r="X53" s="65" t="str">
        <x:f>IF($A53="","",IF($E53&gt;=1000,10,IF($E53&gt;=300,8,IF($E53&gt;=100,6,IF($E53&gt;=30,4,IF($E53&gt;0,2,0)))))+IF($F53&gt;=2,5,IF($F53&gt;=1,4,IF($F53&gt;=0.3,3,IF($F53&gt;0,2,0)))))</x:f>
      </x:c>
      <x:c r="Y53" s="65" t="str">
        <x:f>IF($A53="","",IF($G53&lt;=20,15,IF($G53&lt;=35,12,IF($G53&lt;=50,9,IF($G53&lt;=65,6,IF($G53&lt;=80,3,1))))))</x:f>
      </x:c>
      <x:c r="Z53" s="65" t="str">
        <x:f>IF($A53="","",(($N53+$O53)/10)*15)</x:f>
      </x:c>
      <x:c r="AA53" s="65" t="str">
        <x:f>IF($A53="","",(($P53+$Q53)/10)*10)</x:f>
      </x:c>
      <x:c r="AB53" s="65" t="str">
        <x:f>IF($A53="","",$R53)</x:f>
      </x:c>
      <x:c r="AC53" s="65" t="str">
        <x:f>IF($A53="","",SUM($V53:$AB53))</x:f>
      </x:c>
      <x:c r="AD53" s="71" t="str">
        <x:f>IF($A53="","",IF($AC53&gt;=75,"P0",IF($AC53&gt;=60,"P1",IF($AC53&gt;=45,"P2","P3"))))</x:f>
      </x:c>
      <x:c r="AE53" s="71" t="str">
        <x:f>IF($A53="","",IF($AC53&gt;=75,"立即写独立文章",IF($AC53&gt;=60,"排入本批内容日历",IF($AC53&gt;=45,"先做FAQ/段落或低优先文章","不单独写，合并到商业页/FAQ"))))</x:f>
      </x:c>
      <x:c r="AF53" s="37" t="str">
        <x:f>IF($A53="","",$K53&amp;" | 父级页: "&amp;$C53&amp;" | 目标URL: "&amp;$T53&amp;" | 必补: 竞品结构+原创证据+对比表+FAQ+内链CTA")</x:f>
      </x:c>
      <x:c r="AG53" s="80" t="str">
        <x:f>IF($A53="","",IF($I53&lt;4,"SERP不支持文章，优先做商业页/FAQ",IF($L53&lt;3,"产品相关弱，谨慎写",IF($N53&lt;3,"证据不足，容易变AI水文",IF($G53&gt;70,"难度偏高，需要更强外链/权威",IF($Q53&lt;3,"内链弱，先补主题簇","可进入规划"))))))</x:f>
      </x:c>
    </x:row>
    <x:row r="54">
      <x:c r="A54" s="79"/>
      <x:c r="B54" s="37"/>
      <x:c r="C54" s="37"/>
      <x:c r="D54" s="37"/>
      <x:c r="E54" s="59"/>
      <x:c r="F54" s="62"/>
      <x:c r="G54" s="50"/>
      <x:c r="H54" s="50"/>
      <x:c r="I54" s="50"/>
      <x:c r="J54" s="37"/>
      <x:c r="K54" s="37"/>
      <x:c r="L54" s="50"/>
      <x:c r="M54" s="50"/>
      <x:c r="N54" s="50"/>
      <x:c r="O54" s="50"/>
      <x:c r="P54" s="50"/>
      <x:c r="Q54" s="50"/>
      <x:c r="R54" s="50"/>
      <x:c r="S54" s="37"/>
      <x:c r="T54" s="37"/>
      <x:c r="U54" s="37"/>
      <x:c r="V54" s="65" t="str">
        <x:f>IF($A54="","",MIN(20,MAX(0,$I54*2)))</x:f>
      </x:c>
      <x:c r="W54" s="65" t="str">
        <x:f>IF($A54="","",(($L54+$M54)/10)*20)</x:f>
      </x:c>
      <x:c r="X54" s="65" t="str">
        <x:f>IF($A54="","",IF($E54&gt;=1000,10,IF($E54&gt;=300,8,IF($E54&gt;=100,6,IF($E54&gt;=30,4,IF($E54&gt;0,2,0)))))+IF($F54&gt;=2,5,IF($F54&gt;=1,4,IF($F54&gt;=0.3,3,IF($F54&gt;0,2,0)))))</x:f>
      </x:c>
      <x:c r="Y54" s="65" t="str">
        <x:f>IF($A54="","",IF($G54&lt;=20,15,IF($G54&lt;=35,12,IF($G54&lt;=50,9,IF($G54&lt;=65,6,IF($G54&lt;=80,3,1))))))</x:f>
      </x:c>
      <x:c r="Z54" s="65" t="str">
        <x:f>IF($A54="","",(($N54+$O54)/10)*15)</x:f>
      </x:c>
      <x:c r="AA54" s="65" t="str">
        <x:f>IF($A54="","",(($P54+$Q54)/10)*10)</x:f>
      </x:c>
      <x:c r="AB54" s="65" t="str">
        <x:f>IF($A54="","",$R54)</x:f>
      </x:c>
      <x:c r="AC54" s="65" t="str">
        <x:f>IF($A54="","",SUM($V54:$AB54))</x:f>
      </x:c>
      <x:c r="AD54" s="71" t="str">
        <x:f>IF($A54="","",IF($AC54&gt;=75,"P0",IF($AC54&gt;=60,"P1",IF($AC54&gt;=45,"P2","P3"))))</x:f>
      </x:c>
      <x:c r="AE54" s="71" t="str">
        <x:f>IF($A54="","",IF($AC54&gt;=75,"立即写独立文章",IF($AC54&gt;=60,"排入本批内容日历",IF($AC54&gt;=45,"先做FAQ/段落或低优先文章","不单独写，合并到商业页/FAQ"))))</x:f>
      </x:c>
      <x:c r="AF54" s="37" t="str">
        <x:f>IF($A54="","",$K54&amp;" | 父级页: "&amp;$C54&amp;" | 目标URL: "&amp;$T54&amp;" | 必补: 竞品结构+原创证据+对比表+FAQ+内链CTA")</x:f>
      </x:c>
      <x:c r="AG54" s="80" t="str">
        <x:f>IF($A54="","",IF($I54&lt;4,"SERP不支持文章，优先做商业页/FAQ",IF($L54&lt;3,"产品相关弱，谨慎写",IF($N54&lt;3,"证据不足，容易变AI水文",IF($G54&gt;70,"难度偏高，需要更强外链/权威",IF($Q54&lt;3,"内链弱，先补主题簇","可进入规划"))))))</x:f>
      </x:c>
    </x:row>
    <x:row r="55">
      <x:c r="A55" s="79"/>
      <x:c r="B55" s="37"/>
      <x:c r="C55" s="37"/>
      <x:c r="D55" s="37"/>
      <x:c r="E55" s="59"/>
      <x:c r="F55" s="62"/>
      <x:c r="G55" s="50"/>
      <x:c r="H55" s="50"/>
      <x:c r="I55" s="50"/>
      <x:c r="J55" s="37"/>
      <x:c r="K55" s="37"/>
      <x:c r="L55" s="50"/>
      <x:c r="M55" s="50"/>
      <x:c r="N55" s="50"/>
      <x:c r="O55" s="50"/>
      <x:c r="P55" s="50"/>
      <x:c r="Q55" s="50"/>
      <x:c r="R55" s="50"/>
      <x:c r="S55" s="37"/>
      <x:c r="T55" s="37"/>
      <x:c r="U55" s="37"/>
      <x:c r="V55" s="65" t="str">
        <x:f>IF($A55="","",MIN(20,MAX(0,$I55*2)))</x:f>
      </x:c>
      <x:c r="W55" s="65" t="str">
        <x:f>IF($A55="","",(($L55+$M55)/10)*20)</x:f>
      </x:c>
      <x:c r="X55" s="65" t="str">
        <x:f>IF($A55="","",IF($E55&gt;=1000,10,IF($E55&gt;=300,8,IF($E55&gt;=100,6,IF($E55&gt;=30,4,IF($E55&gt;0,2,0)))))+IF($F55&gt;=2,5,IF($F55&gt;=1,4,IF($F55&gt;=0.3,3,IF($F55&gt;0,2,0)))))</x:f>
      </x:c>
      <x:c r="Y55" s="65" t="str">
        <x:f>IF($A55="","",IF($G55&lt;=20,15,IF($G55&lt;=35,12,IF($G55&lt;=50,9,IF($G55&lt;=65,6,IF($G55&lt;=80,3,1))))))</x:f>
      </x:c>
      <x:c r="Z55" s="65" t="str">
        <x:f>IF($A55="","",(($N55+$O55)/10)*15)</x:f>
      </x:c>
      <x:c r="AA55" s="65" t="str">
        <x:f>IF($A55="","",(($P55+$Q55)/10)*10)</x:f>
      </x:c>
      <x:c r="AB55" s="65" t="str">
        <x:f>IF($A55="","",$R55)</x:f>
      </x:c>
      <x:c r="AC55" s="65" t="str">
        <x:f>IF($A55="","",SUM($V55:$AB55))</x:f>
      </x:c>
      <x:c r="AD55" s="71" t="str">
        <x:f>IF($A55="","",IF($AC55&gt;=75,"P0",IF($AC55&gt;=60,"P1",IF($AC55&gt;=45,"P2","P3"))))</x:f>
      </x:c>
      <x:c r="AE55" s="71" t="str">
        <x:f>IF($A55="","",IF($AC55&gt;=75,"立即写独立文章",IF($AC55&gt;=60,"排入本批内容日历",IF($AC55&gt;=45,"先做FAQ/段落或低优先文章","不单独写，合并到商业页/FAQ"))))</x:f>
      </x:c>
      <x:c r="AF55" s="37" t="str">
        <x:f>IF($A55="","",$K55&amp;" | 父级页: "&amp;$C55&amp;" | 目标URL: "&amp;$T55&amp;" | 必补: 竞品结构+原创证据+对比表+FAQ+内链CTA")</x:f>
      </x:c>
      <x:c r="AG55" s="80" t="str">
        <x:f>IF($A55="","",IF($I55&lt;4,"SERP不支持文章，优先做商业页/FAQ",IF($L55&lt;3,"产品相关弱，谨慎写",IF($N55&lt;3,"证据不足，容易变AI水文",IF($G55&gt;70,"难度偏高，需要更强外链/权威",IF($Q55&lt;3,"内链弱，先补主题簇","可进入规划"))))))</x:f>
      </x:c>
    </x:row>
    <x:row r="56">
      <x:c r="A56" s="79"/>
      <x:c r="B56" s="37"/>
      <x:c r="C56" s="37"/>
      <x:c r="D56" s="37"/>
      <x:c r="E56" s="59"/>
      <x:c r="F56" s="62"/>
      <x:c r="G56" s="50"/>
      <x:c r="H56" s="50"/>
      <x:c r="I56" s="50"/>
      <x:c r="J56" s="37"/>
      <x:c r="K56" s="37"/>
      <x:c r="L56" s="50"/>
      <x:c r="M56" s="50"/>
      <x:c r="N56" s="50"/>
      <x:c r="O56" s="50"/>
      <x:c r="P56" s="50"/>
      <x:c r="Q56" s="50"/>
      <x:c r="R56" s="50"/>
      <x:c r="S56" s="37"/>
      <x:c r="T56" s="37"/>
      <x:c r="U56" s="37"/>
      <x:c r="V56" s="65" t="str">
        <x:f>IF($A56="","",MIN(20,MAX(0,$I56*2)))</x:f>
      </x:c>
      <x:c r="W56" s="65" t="str">
        <x:f>IF($A56="","",(($L56+$M56)/10)*20)</x:f>
      </x:c>
      <x:c r="X56" s="65" t="str">
        <x:f>IF($A56="","",IF($E56&gt;=1000,10,IF($E56&gt;=300,8,IF($E56&gt;=100,6,IF($E56&gt;=30,4,IF($E56&gt;0,2,0)))))+IF($F56&gt;=2,5,IF($F56&gt;=1,4,IF($F56&gt;=0.3,3,IF($F56&gt;0,2,0)))))</x:f>
      </x:c>
      <x:c r="Y56" s="65" t="str">
        <x:f>IF($A56="","",IF($G56&lt;=20,15,IF($G56&lt;=35,12,IF($G56&lt;=50,9,IF($G56&lt;=65,6,IF($G56&lt;=80,3,1))))))</x:f>
      </x:c>
      <x:c r="Z56" s="65" t="str">
        <x:f>IF($A56="","",(($N56+$O56)/10)*15)</x:f>
      </x:c>
      <x:c r="AA56" s="65" t="str">
        <x:f>IF($A56="","",(($P56+$Q56)/10)*10)</x:f>
      </x:c>
      <x:c r="AB56" s="65" t="str">
        <x:f>IF($A56="","",$R56)</x:f>
      </x:c>
      <x:c r="AC56" s="65" t="str">
        <x:f>IF($A56="","",SUM($V56:$AB56))</x:f>
      </x:c>
      <x:c r="AD56" s="71" t="str">
        <x:f>IF($A56="","",IF($AC56&gt;=75,"P0",IF($AC56&gt;=60,"P1",IF($AC56&gt;=45,"P2","P3"))))</x:f>
      </x:c>
      <x:c r="AE56" s="71" t="str">
        <x:f>IF($A56="","",IF($AC56&gt;=75,"立即写独立文章",IF($AC56&gt;=60,"排入本批内容日历",IF($AC56&gt;=45,"先做FAQ/段落或低优先文章","不单独写，合并到商业页/FAQ"))))</x:f>
      </x:c>
      <x:c r="AF56" s="37" t="str">
        <x:f>IF($A56="","",$K56&amp;" | 父级页: "&amp;$C56&amp;" | 目标URL: "&amp;$T56&amp;" | 必补: 竞品结构+原创证据+对比表+FAQ+内链CTA")</x:f>
      </x:c>
      <x:c r="AG56" s="80" t="str">
        <x:f>IF($A56="","",IF($I56&lt;4,"SERP不支持文章，优先做商业页/FAQ",IF($L56&lt;3,"产品相关弱，谨慎写",IF($N56&lt;3,"证据不足，容易变AI水文",IF($G56&gt;70,"难度偏高，需要更强外链/权威",IF($Q56&lt;3,"内链弱，先补主题簇","可进入规划"))))))</x:f>
      </x:c>
    </x:row>
    <x:row r="57">
      <x:c r="A57" s="79"/>
      <x:c r="B57" s="37"/>
      <x:c r="C57" s="37"/>
      <x:c r="D57" s="37"/>
      <x:c r="E57" s="59"/>
      <x:c r="F57" s="62"/>
      <x:c r="G57" s="50"/>
      <x:c r="H57" s="50"/>
      <x:c r="I57" s="50"/>
      <x:c r="J57" s="37"/>
      <x:c r="K57" s="37"/>
      <x:c r="L57" s="50"/>
      <x:c r="M57" s="50"/>
      <x:c r="N57" s="50"/>
      <x:c r="O57" s="50"/>
      <x:c r="P57" s="50"/>
      <x:c r="Q57" s="50"/>
      <x:c r="R57" s="50"/>
      <x:c r="S57" s="37"/>
      <x:c r="T57" s="37"/>
      <x:c r="U57" s="37"/>
      <x:c r="V57" s="65" t="str">
        <x:f>IF($A57="","",MIN(20,MAX(0,$I57*2)))</x:f>
      </x:c>
      <x:c r="W57" s="65" t="str">
        <x:f>IF($A57="","",(($L57+$M57)/10)*20)</x:f>
      </x:c>
      <x:c r="X57" s="65" t="str">
        <x:f>IF($A57="","",IF($E57&gt;=1000,10,IF($E57&gt;=300,8,IF($E57&gt;=100,6,IF($E57&gt;=30,4,IF($E57&gt;0,2,0)))))+IF($F57&gt;=2,5,IF($F57&gt;=1,4,IF($F57&gt;=0.3,3,IF($F57&gt;0,2,0)))))</x:f>
      </x:c>
      <x:c r="Y57" s="65" t="str">
        <x:f>IF($A57="","",IF($G57&lt;=20,15,IF($G57&lt;=35,12,IF($G57&lt;=50,9,IF($G57&lt;=65,6,IF($G57&lt;=80,3,1))))))</x:f>
      </x:c>
      <x:c r="Z57" s="65" t="str">
        <x:f>IF($A57="","",(($N57+$O57)/10)*15)</x:f>
      </x:c>
      <x:c r="AA57" s="65" t="str">
        <x:f>IF($A57="","",(($P57+$Q57)/10)*10)</x:f>
      </x:c>
      <x:c r="AB57" s="65" t="str">
        <x:f>IF($A57="","",$R57)</x:f>
      </x:c>
      <x:c r="AC57" s="65" t="str">
        <x:f>IF($A57="","",SUM($V57:$AB57))</x:f>
      </x:c>
      <x:c r="AD57" s="71" t="str">
        <x:f>IF($A57="","",IF($AC57&gt;=75,"P0",IF($AC57&gt;=60,"P1",IF($AC57&gt;=45,"P2","P3"))))</x:f>
      </x:c>
      <x:c r="AE57" s="71" t="str">
        <x:f>IF($A57="","",IF($AC57&gt;=75,"立即写独立文章",IF($AC57&gt;=60,"排入本批内容日历",IF($AC57&gt;=45,"先做FAQ/段落或低优先文章","不单独写，合并到商业页/FAQ"))))</x:f>
      </x:c>
      <x:c r="AF57" s="37" t="str">
        <x:f>IF($A57="","",$K57&amp;" | 父级页: "&amp;$C57&amp;" | 目标URL: "&amp;$T57&amp;" | 必补: 竞品结构+原创证据+对比表+FAQ+内链CTA")</x:f>
      </x:c>
      <x:c r="AG57" s="80" t="str">
        <x:f>IF($A57="","",IF($I57&lt;4,"SERP不支持文章，优先做商业页/FAQ",IF($L57&lt;3,"产品相关弱，谨慎写",IF($N57&lt;3,"证据不足，容易变AI水文",IF($G57&gt;70,"难度偏高，需要更强外链/权威",IF($Q57&lt;3,"内链弱，先补主题簇","可进入规划"))))))</x:f>
      </x:c>
    </x:row>
    <x:row r="58">
      <x:c r="A58" s="79"/>
      <x:c r="B58" s="37"/>
      <x:c r="C58" s="37"/>
      <x:c r="D58" s="37"/>
      <x:c r="E58" s="59"/>
      <x:c r="F58" s="62"/>
      <x:c r="G58" s="50"/>
      <x:c r="H58" s="50"/>
      <x:c r="I58" s="50"/>
      <x:c r="J58" s="37"/>
      <x:c r="K58" s="37"/>
      <x:c r="L58" s="50"/>
      <x:c r="M58" s="50"/>
      <x:c r="N58" s="50"/>
      <x:c r="O58" s="50"/>
      <x:c r="P58" s="50"/>
      <x:c r="Q58" s="50"/>
      <x:c r="R58" s="50"/>
      <x:c r="S58" s="37"/>
      <x:c r="T58" s="37"/>
      <x:c r="U58" s="37"/>
      <x:c r="V58" s="65" t="str">
        <x:f>IF($A58="","",MIN(20,MAX(0,$I58*2)))</x:f>
      </x:c>
      <x:c r="W58" s="65" t="str">
        <x:f>IF($A58="","",(($L58+$M58)/10)*20)</x:f>
      </x:c>
      <x:c r="X58" s="65" t="str">
        <x:f>IF($A58="","",IF($E58&gt;=1000,10,IF($E58&gt;=300,8,IF($E58&gt;=100,6,IF($E58&gt;=30,4,IF($E58&gt;0,2,0)))))+IF($F58&gt;=2,5,IF($F58&gt;=1,4,IF($F58&gt;=0.3,3,IF($F58&gt;0,2,0)))))</x:f>
      </x:c>
      <x:c r="Y58" s="65" t="str">
        <x:f>IF($A58="","",IF($G58&lt;=20,15,IF($G58&lt;=35,12,IF($G58&lt;=50,9,IF($G58&lt;=65,6,IF($G58&lt;=80,3,1))))))</x:f>
      </x:c>
      <x:c r="Z58" s="65" t="str">
        <x:f>IF($A58="","",(($N58+$O58)/10)*15)</x:f>
      </x:c>
      <x:c r="AA58" s="65" t="str">
        <x:f>IF($A58="","",(($P58+$Q58)/10)*10)</x:f>
      </x:c>
      <x:c r="AB58" s="65" t="str">
        <x:f>IF($A58="","",$R58)</x:f>
      </x:c>
      <x:c r="AC58" s="65" t="str">
        <x:f>IF($A58="","",SUM($V58:$AB58))</x:f>
      </x:c>
      <x:c r="AD58" s="71" t="str">
        <x:f>IF($A58="","",IF($AC58&gt;=75,"P0",IF($AC58&gt;=60,"P1",IF($AC58&gt;=45,"P2","P3"))))</x:f>
      </x:c>
      <x:c r="AE58" s="71" t="str">
        <x:f>IF($A58="","",IF($AC58&gt;=75,"立即写独立文章",IF($AC58&gt;=60,"排入本批内容日历",IF($AC58&gt;=45,"先做FAQ/段落或低优先文章","不单独写，合并到商业页/FAQ"))))</x:f>
      </x:c>
      <x:c r="AF58" s="37" t="str">
        <x:f>IF($A58="","",$K58&amp;" | 父级页: "&amp;$C58&amp;" | 目标URL: "&amp;$T58&amp;" | 必补: 竞品结构+原创证据+对比表+FAQ+内链CTA")</x:f>
      </x:c>
      <x:c r="AG58" s="80" t="str">
        <x:f>IF($A58="","",IF($I58&lt;4,"SERP不支持文章，优先做商业页/FAQ",IF($L58&lt;3,"产品相关弱，谨慎写",IF($N58&lt;3,"证据不足，容易变AI水文",IF($G58&gt;70,"难度偏高，需要更强外链/权威",IF($Q58&lt;3,"内链弱，先补主题簇","可进入规划"))))))</x:f>
      </x:c>
    </x:row>
    <x:row r="59">
      <x:c r="A59" s="79"/>
      <x:c r="B59" s="37"/>
      <x:c r="C59" s="37"/>
      <x:c r="D59" s="37"/>
      <x:c r="E59" s="59"/>
      <x:c r="F59" s="62"/>
      <x:c r="G59" s="50"/>
      <x:c r="H59" s="50"/>
      <x:c r="I59" s="50"/>
      <x:c r="J59" s="37"/>
      <x:c r="K59" s="37"/>
      <x:c r="L59" s="50"/>
      <x:c r="M59" s="50"/>
      <x:c r="N59" s="50"/>
      <x:c r="O59" s="50"/>
      <x:c r="P59" s="50"/>
      <x:c r="Q59" s="50"/>
      <x:c r="R59" s="50"/>
      <x:c r="S59" s="37"/>
      <x:c r="T59" s="37"/>
      <x:c r="U59" s="37"/>
      <x:c r="V59" s="65" t="str">
        <x:f>IF($A59="","",MIN(20,MAX(0,$I59*2)))</x:f>
      </x:c>
      <x:c r="W59" s="65" t="str">
        <x:f>IF($A59="","",(($L59+$M59)/10)*20)</x:f>
      </x:c>
      <x:c r="X59" s="65" t="str">
        <x:f>IF($A59="","",IF($E59&gt;=1000,10,IF($E59&gt;=300,8,IF($E59&gt;=100,6,IF($E59&gt;=30,4,IF($E59&gt;0,2,0)))))+IF($F59&gt;=2,5,IF($F59&gt;=1,4,IF($F59&gt;=0.3,3,IF($F59&gt;0,2,0)))))</x:f>
      </x:c>
      <x:c r="Y59" s="65" t="str">
        <x:f>IF($A59="","",IF($G59&lt;=20,15,IF($G59&lt;=35,12,IF($G59&lt;=50,9,IF($G59&lt;=65,6,IF($G59&lt;=80,3,1))))))</x:f>
      </x:c>
      <x:c r="Z59" s="65" t="str">
        <x:f>IF($A59="","",(($N59+$O59)/10)*15)</x:f>
      </x:c>
      <x:c r="AA59" s="65" t="str">
        <x:f>IF($A59="","",(($P59+$Q59)/10)*10)</x:f>
      </x:c>
      <x:c r="AB59" s="65" t="str">
        <x:f>IF($A59="","",$R59)</x:f>
      </x:c>
      <x:c r="AC59" s="65" t="str">
        <x:f>IF($A59="","",SUM($V59:$AB59))</x:f>
      </x:c>
      <x:c r="AD59" s="71" t="str">
        <x:f>IF($A59="","",IF($AC59&gt;=75,"P0",IF($AC59&gt;=60,"P1",IF($AC59&gt;=45,"P2","P3"))))</x:f>
      </x:c>
      <x:c r="AE59" s="71" t="str">
        <x:f>IF($A59="","",IF($AC59&gt;=75,"立即写独立文章",IF($AC59&gt;=60,"排入本批内容日历",IF($AC59&gt;=45,"先做FAQ/段落或低优先文章","不单独写，合并到商业页/FAQ"))))</x:f>
      </x:c>
      <x:c r="AF59" s="37" t="str">
        <x:f>IF($A59="","",$K59&amp;" | 父级页: "&amp;$C59&amp;" | 目标URL: "&amp;$T59&amp;" | 必补: 竞品结构+原创证据+对比表+FAQ+内链CTA")</x:f>
      </x:c>
      <x:c r="AG59" s="80" t="str">
        <x:f>IF($A59="","",IF($I59&lt;4,"SERP不支持文章，优先做商业页/FAQ",IF($L59&lt;3,"产品相关弱，谨慎写",IF($N59&lt;3,"证据不足，容易变AI水文",IF($G59&gt;70,"难度偏高，需要更强外链/权威",IF($Q59&lt;3,"内链弱，先补主题簇","可进入规划"))))))</x:f>
      </x:c>
    </x:row>
    <x:row r="60">
      <x:c r="A60" s="79"/>
      <x:c r="B60" s="37"/>
      <x:c r="C60" s="37"/>
      <x:c r="D60" s="37"/>
      <x:c r="E60" s="59"/>
      <x:c r="F60" s="62"/>
      <x:c r="G60" s="50"/>
      <x:c r="H60" s="50"/>
      <x:c r="I60" s="50"/>
      <x:c r="J60" s="37"/>
      <x:c r="K60" s="37"/>
      <x:c r="L60" s="50"/>
      <x:c r="M60" s="50"/>
      <x:c r="N60" s="50"/>
      <x:c r="O60" s="50"/>
      <x:c r="P60" s="50"/>
      <x:c r="Q60" s="50"/>
      <x:c r="R60" s="50"/>
      <x:c r="S60" s="37"/>
      <x:c r="T60" s="37"/>
      <x:c r="U60" s="37"/>
      <x:c r="V60" s="65" t="str">
        <x:f>IF($A60="","",MIN(20,MAX(0,$I60*2)))</x:f>
      </x:c>
      <x:c r="W60" s="65" t="str">
        <x:f>IF($A60="","",(($L60+$M60)/10)*20)</x:f>
      </x:c>
      <x:c r="X60" s="65" t="str">
        <x:f>IF($A60="","",IF($E60&gt;=1000,10,IF($E60&gt;=300,8,IF($E60&gt;=100,6,IF($E60&gt;=30,4,IF($E60&gt;0,2,0)))))+IF($F60&gt;=2,5,IF($F60&gt;=1,4,IF($F60&gt;=0.3,3,IF($F60&gt;0,2,0)))))</x:f>
      </x:c>
      <x:c r="Y60" s="65" t="str">
        <x:f>IF($A60="","",IF($G60&lt;=20,15,IF($G60&lt;=35,12,IF($G60&lt;=50,9,IF($G60&lt;=65,6,IF($G60&lt;=80,3,1))))))</x:f>
      </x:c>
      <x:c r="Z60" s="65" t="str">
        <x:f>IF($A60="","",(($N60+$O60)/10)*15)</x:f>
      </x:c>
      <x:c r="AA60" s="65" t="str">
        <x:f>IF($A60="","",(($P60+$Q60)/10)*10)</x:f>
      </x:c>
      <x:c r="AB60" s="65" t="str">
        <x:f>IF($A60="","",$R60)</x:f>
      </x:c>
      <x:c r="AC60" s="65" t="str">
        <x:f>IF($A60="","",SUM($V60:$AB60))</x:f>
      </x:c>
      <x:c r="AD60" s="71" t="str">
        <x:f>IF($A60="","",IF($AC60&gt;=75,"P0",IF($AC60&gt;=60,"P1",IF($AC60&gt;=45,"P2","P3"))))</x:f>
      </x:c>
      <x:c r="AE60" s="71" t="str">
        <x:f>IF($A60="","",IF($AC60&gt;=75,"立即写独立文章",IF($AC60&gt;=60,"排入本批内容日历",IF($AC60&gt;=45,"先做FAQ/段落或低优先文章","不单独写，合并到商业页/FAQ"))))</x:f>
      </x:c>
      <x:c r="AF60" s="37" t="str">
        <x:f>IF($A60="","",$K60&amp;" | 父级页: "&amp;$C60&amp;" | 目标URL: "&amp;$T60&amp;" | 必补: 竞品结构+原创证据+对比表+FAQ+内链CTA")</x:f>
      </x:c>
      <x:c r="AG60" s="80" t="str">
        <x:f>IF($A60="","",IF($I60&lt;4,"SERP不支持文章，优先做商业页/FAQ",IF($L60&lt;3,"产品相关弱，谨慎写",IF($N60&lt;3,"证据不足，容易变AI水文",IF($G60&gt;70,"难度偏高，需要更强外链/权威",IF($Q60&lt;3,"内链弱，先补主题簇","可进入规划"))))))</x:f>
      </x:c>
    </x:row>
    <x:row r="61">
      <x:c r="A61" s="79"/>
      <x:c r="B61" s="37"/>
      <x:c r="C61" s="37"/>
      <x:c r="D61" s="37"/>
      <x:c r="E61" s="59"/>
      <x:c r="F61" s="62"/>
      <x:c r="G61" s="50"/>
      <x:c r="H61" s="50"/>
      <x:c r="I61" s="50"/>
      <x:c r="J61" s="37"/>
      <x:c r="K61" s="37"/>
      <x:c r="L61" s="50"/>
      <x:c r="M61" s="50"/>
      <x:c r="N61" s="50"/>
      <x:c r="O61" s="50"/>
      <x:c r="P61" s="50"/>
      <x:c r="Q61" s="50"/>
      <x:c r="R61" s="50"/>
      <x:c r="S61" s="37"/>
      <x:c r="T61" s="37"/>
      <x:c r="U61" s="37"/>
      <x:c r="V61" s="65" t="str">
        <x:f>IF($A61="","",MIN(20,MAX(0,$I61*2)))</x:f>
      </x:c>
      <x:c r="W61" s="65" t="str">
        <x:f>IF($A61="","",(($L61+$M61)/10)*20)</x:f>
      </x:c>
      <x:c r="X61" s="65" t="str">
        <x:f>IF($A61="","",IF($E61&gt;=1000,10,IF($E61&gt;=300,8,IF($E61&gt;=100,6,IF($E61&gt;=30,4,IF($E61&gt;0,2,0)))))+IF($F61&gt;=2,5,IF($F61&gt;=1,4,IF($F61&gt;=0.3,3,IF($F61&gt;0,2,0)))))</x:f>
      </x:c>
      <x:c r="Y61" s="65" t="str">
        <x:f>IF($A61="","",IF($G61&lt;=20,15,IF($G61&lt;=35,12,IF($G61&lt;=50,9,IF($G61&lt;=65,6,IF($G61&lt;=80,3,1))))))</x:f>
      </x:c>
      <x:c r="Z61" s="65" t="str">
        <x:f>IF($A61="","",(($N61+$O61)/10)*15)</x:f>
      </x:c>
      <x:c r="AA61" s="65" t="str">
        <x:f>IF($A61="","",(($P61+$Q61)/10)*10)</x:f>
      </x:c>
      <x:c r="AB61" s="65" t="str">
        <x:f>IF($A61="","",$R61)</x:f>
      </x:c>
      <x:c r="AC61" s="65" t="str">
        <x:f>IF($A61="","",SUM($V61:$AB61))</x:f>
      </x:c>
      <x:c r="AD61" s="71" t="str">
        <x:f>IF($A61="","",IF($AC61&gt;=75,"P0",IF($AC61&gt;=60,"P1",IF($AC61&gt;=45,"P2","P3"))))</x:f>
      </x:c>
      <x:c r="AE61" s="71" t="str">
        <x:f>IF($A61="","",IF($AC61&gt;=75,"立即写独立文章",IF($AC61&gt;=60,"排入本批内容日历",IF($AC61&gt;=45,"先做FAQ/段落或低优先文章","不单独写，合并到商业页/FAQ"))))</x:f>
      </x:c>
      <x:c r="AF61" s="37" t="str">
        <x:f>IF($A61="","",$K61&amp;" | 父级页: "&amp;$C61&amp;" | 目标URL: "&amp;$T61&amp;" | 必补: 竞品结构+原创证据+对比表+FAQ+内链CTA")</x:f>
      </x:c>
      <x:c r="AG61" s="80" t="str">
        <x:f>IF($A61="","",IF($I61&lt;4,"SERP不支持文章，优先做商业页/FAQ",IF($L61&lt;3,"产品相关弱，谨慎写",IF($N61&lt;3,"证据不足，容易变AI水文",IF($G61&gt;70,"难度偏高，需要更强外链/权威",IF($Q61&lt;3,"内链弱，先补主题簇","可进入规划"))))))</x:f>
      </x:c>
    </x:row>
    <x:row r="62">
      <x:c r="A62" s="79"/>
      <x:c r="B62" s="37"/>
      <x:c r="C62" s="37"/>
      <x:c r="D62" s="37"/>
      <x:c r="E62" s="59"/>
      <x:c r="F62" s="62"/>
      <x:c r="G62" s="50"/>
      <x:c r="H62" s="50"/>
      <x:c r="I62" s="50"/>
      <x:c r="J62" s="37"/>
      <x:c r="K62" s="37"/>
      <x:c r="L62" s="50"/>
      <x:c r="M62" s="50"/>
      <x:c r="N62" s="50"/>
      <x:c r="O62" s="50"/>
      <x:c r="P62" s="50"/>
      <x:c r="Q62" s="50"/>
      <x:c r="R62" s="50"/>
      <x:c r="S62" s="37"/>
      <x:c r="T62" s="37"/>
      <x:c r="U62" s="37"/>
      <x:c r="V62" s="65" t="str">
        <x:f>IF($A62="","",MIN(20,MAX(0,$I62*2)))</x:f>
      </x:c>
      <x:c r="W62" s="65" t="str">
        <x:f>IF($A62="","",(($L62+$M62)/10)*20)</x:f>
      </x:c>
      <x:c r="X62" s="65" t="str">
        <x:f>IF($A62="","",IF($E62&gt;=1000,10,IF($E62&gt;=300,8,IF($E62&gt;=100,6,IF($E62&gt;=30,4,IF($E62&gt;0,2,0)))))+IF($F62&gt;=2,5,IF($F62&gt;=1,4,IF($F62&gt;=0.3,3,IF($F62&gt;0,2,0)))))</x:f>
      </x:c>
      <x:c r="Y62" s="65" t="str">
        <x:f>IF($A62="","",IF($G62&lt;=20,15,IF($G62&lt;=35,12,IF($G62&lt;=50,9,IF($G62&lt;=65,6,IF($G62&lt;=80,3,1))))))</x:f>
      </x:c>
      <x:c r="Z62" s="65" t="str">
        <x:f>IF($A62="","",(($N62+$O62)/10)*15)</x:f>
      </x:c>
      <x:c r="AA62" s="65" t="str">
        <x:f>IF($A62="","",(($P62+$Q62)/10)*10)</x:f>
      </x:c>
      <x:c r="AB62" s="65" t="str">
        <x:f>IF($A62="","",$R62)</x:f>
      </x:c>
      <x:c r="AC62" s="65" t="str">
        <x:f>IF($A62="","",SUM($V62:$AB62))</x:f>
      </x:c>
      <x:c r="AD62" s="71" t="str">
        <x:f>IF($A62="","",IF($AC62&gt;=75,"P0",IF($AC62&gt;=60,"P1",IF($AC62&gt;=45,"P2","P3"))))</x:f>
      </x:c>
      <x:c r="AE62" s="71" t="str">
        <x:f>IF($A62="","",IF($AC62&gt;=75,"立即写独立文章",IF($AC62&gt;=60,"排入本批内容日历",IF($AC62&gt;=45,"先做FAQ/段落或低优先文章","不单独写，合并到商业页/FAQ"))))</x:f>
      </x:c>
      <x:c r="AF62" s="37" t="str">
        <x:f>IF($A62="","",$K62&amp;" | 父级页: "&amp;$C62&amp;" | 目标URL: "&amp;$T62&amp;" | 必补: 竞品结构+原创证据+对比表+FAQ+内链CTA")</x:f>
      </x:c>
      <x:c r="AG62" s="80" t="str">
        <x:f>IF($A62="","",IF($I62&lt;4,"SERP不支持文章，优先做商业页/FAQ",IF($L62&lt;3,"产品相关弱，谨慎写",IF($N62&lt;3,"证据不足，容易变AI水文",IF($G62&gt;70,"难度偏高，需要更强外链/权威",IF($Q62&lt;3,"内链弱，先补主题簇","可进入规划"))))))</x:f>
      </x:c>
    </x:row>
    <x:row r="63">
      <x:c r="A63" s="79"/>
      <x:c r="B63" s="37"/>
      <x:c r="C63" s="37"/>
      <x:c r="D63" s="37"/>
      <x:c r="E63" s="59"/>
      <x:c r="F63" s="62"/>
      <x:c r="G63" s="50"/>
      <x:c r="H63" s="50"/>
      <x:c r="I63" s="50"/>
      <x:c r="J63" s="37"/>
      <x:c r="K63" s="37"/>
      <x:c r="L63" s="50"/>
      <x:c r="M63" s="50"/>
      <x:c r="N63" s="50"/>
      <x:c r="O63" s="50"/>
      <x:c r="P63" s="50"/>
      <x:c r="Q63" s="50"/>
      <x:c r="R63" s="50"/>
      <x:c r="S63" s="37"/>
      <x:c r="T63" s="37"/>
      <x:c r="U63" s="37"/>
      <x:c r="V63" s="65" t="str">
        <x:f>IF($A63="","",MIN(20,MAX(0,$I63*2)))</x:f>
      </x:c>
      <x:c r="W63" s="65" t="str">
        <x:f>IF($A63="","",(($L63+$M63)/10)*20)</x:f>
      </x:c>
      <x:c r="X63" s="65" t="str">
        <x:f>IF($A63="","",IF($E63&gt;=1000,10,IF($E63&gt;=300,8,IF($E63&gt;=100,6,IF($E63&gt;=30,4,IF($E63&gt;0,2,0)))))+IF($F63&gt;=2,5,IF($F63&gt;=1,4,IF($F63&gt;=0.3,3,IF($F63&gt;0,2,0)))))</x:f>
      </x:c>
      <x:c r="Y63" s="65" t="str">
        <x:f>IF($A63="","",IF($G63&lt;=20,15,IF($G63&lt;=35,12,IF($G63&lt;=50,9,IF($G63&lt;=65,6,IF($G63&lt;=80,3,1))))))</x:f>
      </x:c>
      <x:c r="Z63" s="65" t="str">
        <x:f>IF($A63="","",(($N63+$O63)/10)*15)</x:f>
      </x:c>
      <x:c r="AA63" s="65" t="str">
        <x:f>IF($A63="","",(($P63+$Q63)/10)*10)</x:f>
      </x:c>
      <x:c r="AB63" s="65" t="str">
        <x:f>IF($A63="","",$R63)</x:f>
      </x:c>
      <x:c r="AC63" s="65" t="str">
        <x:f>IF($A63="","",SUM($V63:$AB63))</x:f>
      </x:c>
      <x:c r="AD63" s="71" t="str">
        <x:f>IF($A63="","",IF($AC63&gt;=75,"P0",IF($AC63&gt;=60,"P1",IF($AC63&gt;=45,"P2","P3"))))</x:f>
      </x:c>
      <x:c r="AE63" s="71" t="str">
        <x:f>IF($A63="","",IF($AC63&gt;=75,"立即写独立文章",IF($AC63&gt;=60,"排入本批内容日历",IF($AC63&gt;=45,"先做FAQ/段落或低优先文章","不单独写，合并到商业页/FAQ"))))</x:f>
      </x:c>
      <x:c r="AF63" s="37" t="str">
        <x:f>IF($A63="","",$K63&amp;" | 父级页: "&amp;$C63&amp;" | 目标URL: "&amp;$T63&amp;" | 必补: 竞品结构+原创证据+对比表+FAQ+内链CTA")</x:f>
      </x:c>
      <x:c r="AG63" s="80" t="str">
        <x:f>IF($A63="","",IF($I63&lt;4,"SERP不支持文章，优先做商业页/FAQ",IF($L63&lt;3,"产品相关弱，谨慎写",IF($N63&lt;3,"证据不足，容易变AI水文",IF($G63&gt;70,"难度偏高，需要更强外链/权威",IF($Q63&lt;3,"内链弱，先补主题簇","可进入规划"))))))</x:f>
      </x:c>
    </x:row>
    <x:row r="64">
      <x:c r="A64" s="79"/>
      <x:c r="B64" s="37"/>
      <x:c r="C64" s="37"/>
      <x:c r="D64" s="37"/>
      <x:c r="E64" s="59"/>
      <x:c r="F64" s="62"/>
      <x:c r="G64" s="50"/>
      <x:c r="H64" s="50"/>
      <x:c r="I64" s="50"/>
      <x:c r="J64" s="37"/>
      <x:c r="K64" s="37"/>
      <x:c r="L64" s="50"/>
      <x:c r="M64" s="50"/>
      <x:c r="N64" s="50"/>
      <x:c r="O64" s="50"/>
      <x:c r="P64" s="50"/>
      <x:c r="Q64" s="50"/>
      <x:c r="R64" s="50"/>
      <x:c r="S64" s="37"/>
      <x:c r="T64" s="37"/>
      <x:c r="U64" s="37"/>
      <x:c r="V64" s="65" t="str">
        <x:f>IF($A64="","",MIN(20,MAX(0,$I64*2)))</x:f>
      </x:c>
      <x:c r="W64" s="65" t="str">
        <x:f>IF($A64="","",(($L64+$M64)/10)*20)</x:f>
      </x:c>
      <x:c r="X64" s="65" t="str">
        <x:f>IF($A64="","",IF($E64&gt;=1000,10,IF($E64&gt;=300,8,IF($E64&gt;=100,6,IF($E64&gt;=30,4,IF($E64&gt;0,2,0)))))+IF($F64&gt;=2,5,IF($F64&gt;=1,4,IF($F64&gt;=0.3,3,IF($F64&gt;0,2,0)))))</x:f>
      </x:c>
      <x:c r="Y64" s="65" t="str">
        <x:f>IF($A64="","",IF($G64&lt;=20,15,IF($G64&lt;=35,12,IF($G64&lt;=50,9,IF($G64&lt;=65,6,IF($G64&lt;=80,3,1))))))</x:f>
      </x:c>
      <x:c r="Z64" s="65" t="str">
        <x:f>IF($A64="","",(($N64+$O64)/10)*15)</x:f>
      </x:c>
      <x:c r="AA64" s="65" t="str">
        <x:f>IF($A64="","",(($P64+$Q64)/10)*10)</x:f>
      </x:c>
      <x:c r="AB64" s="65" t="str">
        <x:f>IF($A64="","",$R64)</x:f>
      </x:c>
      <x:c r="AC64" s="65" t="str">
        <x:f>IF($A64="","",SUM($V64:$AB64))</x:f>
      </x:c>
      <x:c r="AD64" s="71" t="str">
        <x:f>IF($A64="","",IF($AC64&gt;=75,"P0",IF($AC64&gt;=60,"P1",IF($AC64&gt;=45,"P2","P3"))))</x:f>
      </x:c>
      <x:c r="AE64" s="71" t="str">
        <x:f>IF($A64="","",IF($AC64&gt;=75,"立即写独立文章",IF($AC64&gt;=60,"排入本批内容日历",IF($AC64&gt;=45,"先做FAQ/段落或低优先文章","不单独写，合并到商业页/FAQ"))))</x:f>
      </x:c>
      <x:c r="AF64" s="37" t="str">
        <x:f>IF($A64="","",$K64&amp;" | 父级页: "&amp;$C64&amp;" | 目标URL: "&amp;$T64&amp;" | 必补: 竞品结构+原创证据+对比表+FAQ+内链CTA")</x:f>
      </x:c>
      <x:c r="AG64" s="80" t="str">
        <x:f>IF($A64="","",IF($I64&lt;4,"SERP不支持文章，优先做商业页/FAQ",IF($L64&lt;3,"产品相关弱，谨慎写",IF($N64&lt;3,"证据不足，容易变AI水文",IF($G64&gt;70,"难度偏高，需要更强外链/权威",IF($Q64&lt;3,"内链弱，先补主题簇","可进入规划"))))))</x:f>
      </x:c>
    </x:row>
    <x:row r="65">
      <x:c r="A65" s="79"/>
      <x:c r="B65" s="37"/>
      <x:c r="C65" s="37"/>
      <x:c r="D65" s="37"/>
      <x:c r="E65" s="59"/>
      <x:c r="F65" s="62"/>
      <x:c r="G65" s="50"/>
      <x:c r="H65" s="50"/>
      <x:c r="I65" s="50"/>
      <x:c r="J65" s="37"/>
      <x:c r="K65" s="37"/>
      <x:c r="L65" s="50"/>
      <x:c r="M65" s="50"/>
      <x:c r="N65" s="50"/>
      <x:c r="O65" s="50"/>
      <x:c r="P65" s="50"/>
      <x:c r="Q65" s="50"/>
      <x:c r="R65" s="50"/>
      <x:c r="S65" s="37"/>
      <x:c r="T65" s="37"/>
      <x:c r="U65" s="37"/>
      <x:c r="V65" s="65" t="str">
        <x:f>IF($A65="","",MIN(20,MAX(0,$I65*2)))</x:f>
      </x:c>
      <x:c r="W65" s="65" t="str">
        <x:f>IF($A65="","",(($L65+$M65)/10)*20)</x:f>
      </x:c>
      <x:c r="X65" s="65" t="str">
        <x:f>IF($A65="","",IF($E65&gt;=1000,10,IF($E65&gt;=300,8,IF($E65&gt;=100,6,IF($E65&gt;=30,4,IF($E65&gt;0,2,0)))))+IF($F65&gt;=2,5,IF($F65&gt;=1,4,IF($F65&gt;=0.3,3,IF($F65&gt;0,2,0)))))</x:f>
      </x:c>
      <x:c r="Y65" s="65" t="str">
        <x:f>IF($A65="","",IF($G65&lt;=20,15,IF($G65&lt;=35,12,IF($G65&lt;=50,9,IF($G65&lt;=65,6,IF($G65&lt;=80,3,1))))))</x:f>
      </x:c>
      <x:c r="Z65" s="65" t="str">
        <x:f>IF($A65="","",(($N65+$O65)/10)*15)</x:f>
      </x:c>
      <x:c r="AA65" s="65" t="str">
        <x:f>IF($A65="","",(($P65+$Q65)/10)*10)</x:f>
      </x:c>
      <x:c r="AB65" s="65" t="str">
        <x:f>IF($A65="","",$R65)</x:f>
      </x:c>
      <x:c r="AC65" s="65" t="str">
        <x:f>IF($A65="","",SUM($V65:$AB65))</x:f>
      </x:c>
      <x:c r="AD65" s="71" t="str">
        <x:f>IF($A65="","",IF($AC65&gt;=75,"P0",IF($AC65&gt;=60,"P1",IF($AC65&gt;=45,"P2","P3"))))</x:f>
      </x:c>
      <x:c r="AE65" s="71" t="str">
        <x:f>IF($A65="","",IF($AC65&gt;=75,"立即写独立文章",IF($AC65&gt;=60,"排入本批内容日历",IF($AC65&gt;=45,"先做FAQ/段落或低优先文章","不单独写，合并到商业页/FAQ"))))</x:f>
      </x:c>
      <x:c r="AF65" s="37" t="str">
        <x:f>IF($A65="","",$K65&amp;" | 父级页: "&amp;$C65&amp;" | 目标URL: "&amp;$T65&amp;" | 必补: 竞品结构+原创证据+对比表+FAQ+内链CTA")</x:f>
      </x:c>
      <x:c r="AG65" s="80" t="str">
        <x:f>IF($A65="","",IF($I65&lt;4,"SERP不支持文章，优先做商业页/FAQ",IF($L65&lt;3,"产品相关弱，谨慎写",IF($N65&lt;3,"证据不足，容易变AI水文",IF($G65&gt;70,"难度偏高，需要更强外链/权威",IF($Q65&lt;3,"内链弱，先补主题簇","可进入规划"))))))</x:f>
      </x:c>
    </x:row>
    <x:row r="66">
      <x:c r="A66" s="79"/>
      <x:c r="B66" s="37"/>
      <x:c r="C66" s="37"/>
      <x:c r="D66" s="37"/>
      <x:c r="E66" s="59"/>
      <x:c r="F66" s="62"/>
      <x:c r="G66" s="50"/>
      <x:c r="H66" s="50"/>
      <x:c r="I66" s="50"/>
      <x:c r="J66" s="37"/>
      <x:c r="K66" s="37"/>
      <x:c r="L66" s="50"/>
      <x:c r="M66" s="50"/>
      <x:c r="N66" s="50"/>
      <x:c r="O66" s="50"/>
      <x:c r="P66" s="50"/>
      <x:c r="Q66" s="50"/>
      <x:c r="R66" s="50"/>
      <x:c r="S66" s="37"/>
      <x:c r="T66" s="37"/>
      <x:c r="U66" s="37"/>
      <x:c r="V66" s="65" t="str">
        <x:f>IF($A66="","",MIN(20,MAX(0,$I66*2)))</x:f>
      </x:c>
      <x:c r="W66" s="65" t="str">
        <x:f>IF($A66="","",(($L66+$M66)/10)*20)</x:f>
      </x:c>
      <x:c r="X66" s="65" t="str">
        <x:f>IF($A66="","",IF($E66&gt;=1000,10,IF($E66&gt;=300,8,IF($E66&gt;=100,6,IF($E66&gt;=30,4,IF($E66&gt;0,2,0)))))+IF($F66&gt;=2,5,IF($F66&gt;=1,4,IF($F66&gt;=0.3,3,IF($F66&gt;0,2,0)))))</x:f>
      </x:c>
      <x:c r="Y66" s="65" t="str">
        <x:f>IF($A66="","",IF($G66&lt;=20,15,IF($G66&lt;=35,12,IF($G66&lt;=50,9,IF($G66&lt;=65,6,IF($G66&lt;=80,3,1))))))</x:f>
      </x:c>
      <x:c r="Z66" s="65" t="str">
        <x:f>IF($A66="","",(($N66+$O66)/10)*15)</x:f>
      </x:c>
      <x:c r="AA66" s="65" t="str">
        <x:f>IF($A66="","",(($P66+$Q66)/10)*10)</x:f>
      </x:c>
      <x:c r="AB66" s="65" t="str">
        <x:f>IF($A66="","",$R66)</x:f>
      </x:c>
      <x:c r="AC66" s="65" t="str">
        <x:f>IF($A66="","",SUM($V66:$AB66))</x:f>
      </x:c>
      <x:c r="AD66" s="71" t="str">
        <x:f>IF($A66="","",IF($AC66&gt;=75,"P0",IF($AC66&gt;=60,"P1",IF($AC66&gt;=45,"P2","P3"))))</x:f>
      </x:c>
      <x:c r="AE66" s="71" t="str">
        <x:f>IF($A66="","",IF($AC66&gt;=75,"立即写独立文章",IF($AC66&gt;=60,"排入本批内容日历",IF($AC66&gt;=45,"先做FAQ/段落或低优先文章","不单独写，合并到商业页/FAQ"))))</x:f>
      </x:c>
      <x:c r="AF66" s="37" t="str">
        <x:f>IF($A66="","",$K66&amp;" | 父级页: "&amp;$C66&amp;" | 目标URL: "&amp;$T66&amp;" | 必补: 竞品结构+原创证据+对比表+FAQ+内链CTA")</x:f>
      </x:c>
      <x:c r="AG66" s="80" t="str">
        <x:f>IF($A66="","",IF($I66&lt;4,"SERP不支持文章，优先做商业页/FAQ",IF($L66&lt;3,"产品相关弱，谨慎写",IF($N66&lt;3,"证据不足，容易变AI水文",IF($G66&gt;70,"难度偏高，需要更强外链/权威",IF($Q66&lt;3,"内链弱，先补主题簇","可进入规划"))))))</x:f>
      </x:c>
    </x:row>
    <x:row r="67">
      <x:c r="A67" s="79"/>
      <x:c r="B67" s="37"/>
      <x:c r="C67" s="37"/>
      <x:c r="D67" s="37"/>
      <x:c r="E67" s="59"/>
      <x:c r="F67" s="62"/>
      <x:c r="G67" s="50"/>
      <x:c r="H67" s="50"/>
      <x:c r="I67" s="50"/>
      <x:c r="J67" s="37"/>
      <x:c r="K67" s="37"/>
      <x:c r="L67" s="50"/>
      <x:c r="M67" s="50"/>
      <x:c r="N67" s="50"/>
      <x:c r="O67" s="50"/>
      <x:c r="P67" s="50"/>
      <x:c r="Q67" s="50"/>
      <x:c r="R67" s="50"/>
      <x:c r="S67" s="37"/>
      <x:c r="T67" s="37"/>
      <x:c r="U67" s="37"/>
      <x:c r="V67" s="65" t="str">
        <x:f>IF($A67="","",MIN(20,MAX(0,$I67*2)))</x:f>
      </x:c>
      <x:c r="W67" s="65" t="str">
        <x:f>IF($A67="","",(($L67+$M67)/10)*20)</x:f>
      </x:c>
      <x:c r="X67" s="65" t="str">
        <x:f>IF($A67="","",IF($E67&gt;=1000,10,IF($E67&gt;=300,8,IF($E67&gt;=100,6,IF($E67&gt;=30,4,IF($E67&gt;0,2,0)))))+IF($F67&gt;=2,5,IF($F67&gt;=1,4,IF($F67&gt;=0.3,3,IF($F67&gt;0,2,0)))))</x:f>
      </x:c>
      <x:c r="Y67" s="65" t="str">
        <x:f>IF($A67="","",IF($G67&lt;=20,15,IF($G67&lt;=35,12,IF($G67&lt;=50,9,IF($G67&lt;=65,6,IF($G67&lt;=80,3,1))))))</x:f>
      </x:c>
      <x:c r="Z67" s="65" t="str">
        <x:f>IF($A67="","",(($N67+$O67)/10)*15)</x:f>
      </x:c>
      <x:c r="AA67" s="65" t="str">
        <x:f>IF($A67="","",(($P67+$Q67)/10)*10)</x:f>
      </x:c>
      <x:c r="AB67" s="65" t="str">
        <x:f>IF($A67="","",$R67)</x:f>
      </x:c>
      <x:c r="AC67" s="65" t="str">
        <x:f>IF($A67="","",SUM($V67:$AB67))</x:f>
      </x:c>
      <x:c r="AD67" s="71" t="str">
        <x:f>IF($A67="","",IF($AC67&gt;=75,"P0",IF($AC67&gt;=60,"P1",IF($AC67&gt;=45,"P2","P3"))))</x:f>
      </x:c>
      <x:c r="AE67" s="71" t="str">
        <x:f>IF($A67="","",IF($AC67&gt;=75,"立即写独立文章",IF($AC67&gt;=60,"排入本批内容日历",IF($AC67&gt;=45,"先做FAQ/段落或低优先文章","不单独写，合并到商业页/FAQ"))))</x:f>
      </x:c>
      <x:c r="AF67" s="37" t="str">
        <x:f>IF($A67="","",$K67&amp;" | 父级页: "&amp;$C67&amp;" | 目标URL: "&amp;$T67&amp;" | 必补: 竞品结构+原创证据+对比表+FAQ+内链CTA")</x:f>
      </x:c>
      <x:c r="AG67" s="80" t="str">
        <x:f>IF($A67="","",IF($I67&lt;4,"SERP不支持文章，优先做商业页/FAQ",IF($L67&lt;3,"产品相关弱，谨慎写",IF($N67&lt;3,"证据不足，容易变AI水文",IF($G67&gt;70,"难度偏高，需要更强外链/权威",IF($Q67&lt;3,"内链弱，先补主题簇","可进入规划"))))))</x:f>
      </x:c>
    </x:row>
    <x:row r="68">
      <x:c r="A68" s="79"/>
      <x:c r="B68" s="37"/>
      <x:c r="C68" s="37"/>
      <x:c r="D68" s="37"/>
      <x:c r="E68" s="59"/>
      <x:c r="F68" s="62"/>
      <x:c r="G68" s="50"/>
      <x:c r="H68" s="50"/>
      <x:c r="I68" s="50"/>
      <x:c r="J68" s="37"/>
      <x:c r="K68" s="37"/>
      <x:c r="L68" s="50"/>
      <x:c r="M68" s="50"/>
      <x:c r="N68" s="50"/>
      <x:c r="O68" s="50"/>
      <x:c r="P68" s="50"/>
      <x:c r="Q68" s="50"/>
      <x:c r="R68" s="50"/>
      <x:c r="S68" s="37"/>
      <x:c r="T68" s="37"/>
      <x:c r="U68" s="37"/>
      <x:c r="V68" s="65" t="str">
        <x:f>IF($A68="","",MIN(20,MAX(0,$I68*2)))</x:f>
      </x:c>
      <x:c r="W68" s="65" t="str">
        <x:f>IF($A68="","",(($L68+$M68)/10)*20)</x:f>
      </x:c>
      <x:c r="X68" s="65" t="str">
        <x:f>IF($A68="","",IF($E68&gt;=1000,10,IF($E68&gt;=300,8,IF($E68&gt;=100,6,IF($E68&gt;=30,4,IF($E68&gt;0,2,0)))))+IF($F68&gt;=2,5,IF($F68&gt;=1,4,IF($F68&gt;=0.3,3,IF($F68&gt;0,2,0)))))</x:f>
      </x:c>
      <x:c r="Y68" s="65" t="str">
        <x:f>IF($A68="","",IF($G68&lt;=20,15,IF($G68&lt;=35,12,IF($G68&lt;=50,9,IF($G68&lt;=65,6,IF($G68&lt;=80,3,1))))))</x:f>
      </x:c>
      <x:c r="Z68" s="65" t="str">
        <x:f>IF($A68="","",(($N68+$O68)/10)*15)</x:f>
      </x:c>
      <x:c r="AA68" s="65" t="str">
        <x:f>IF($A68="","",(($P68+$Q68)/10)*10)</x:f>
      </x:c>
      <x:c r="AB68" s="65" t="str">
        <x:f>IF($A68="","",$R68)</x:f>
      </x:c>
      <x:c r="AC68" s="65" t="str">
        <x:f>IF($A68="","",SUM($V68:$AB68))</x:f>
      </x:c>
      <x:c r="AD68" s="71" t="str">
        <x:f>IF($A68="","",IF($AC68&gt;=75,"P0",IF($AC68&gt;=60,"P1",IF($AC68&gt;=45,"P2","P3"))))</x:f>
      </x:c>
      <x:c r="AE68" s="71" t="str">
        <x:f>IF($A68="","",IF($AC68&gt;=75,"立即写独立文章",IF($AC68&gt;=60,"排入本批内容日历",IF($AC68&gt;=45,"先做FAQ/段落或低优先文章","不单独写，合并到商业页/FAQ"))))</x:f>
      </x:c>
      <x:c r="AF68" s="37" t="str">
        <x:f>IF($A68="","",$K68&amp;" | 父级页: "&amp;$C68&amp;" | 目标URL: "&amp;$T68&amp;" | 必补: 竞品结构+原创证据+对比表+FAQ+内链CTA")</x:f>
      </x:c>
      <x:c r="AG68" s="80" t="str">
        <x:f>IF($A68="","",IF($I68&lt;4,"SERP不支持文章，优先做商业页/FAQ",IF($L68&lt;3,"产品相关弱，谨慎写",IF($N68&lt;3,"证据不足，容易变AI水文",IF($G68&gt;70,"难度偏高，需要更强外链/权威",IF($Q68&lt;3,"内链弱，先补主题簇","可进入规划"))))))</x:f>
      </x:c>
    </x:row>
    <x:row r="69">
      <x:c r="A69" s="79"/>
      <x:c r="B69" s="37"/>
      <x:c r="C69" s="37"/>
      <x:c r="D69" s="37"/>
      <x:c r="E69" s="59"/>
      <x:c r="F69" s="62"/>
      <x:c r="G69" s="50"/>
      <x:c r="H69" s="50"/>
      <x:c r="I69" s="50"/>
      <x:c r="J69" s="37"/>
      <x:c r="K69" s="37"/>
      <x:c r="L69" s="50"/>
      <x:c r="M69" s="50"/>
      <x:c r="N69" s="50"/>
      <x:c r="O69" s="50"/>
      <x:c r="P69" s="50"/>
      <x:c r="Q69" s="50"/>
      <x:c r="R69" s="50"/>
      <x:c r="S69" s="37"/>
      <x:c r="T69" s="37"/>
      <x:c r="U69" s="37"/>
      <x:c r="V69" s="65" t="str">
        <x:f>IF($A69="","",MIN(20,MAX(0,$I69*2)))</x:f>
      </x:c>
      <x:c r="W69" s="65" t="str">
        <x:f>IF($A69="","",(($L69+$M69)/10)*20)</x:f>
      </x:c>
      <x:c r="X69" s="65" t="str">
        <x:f>IF($A69="","",IF($E69&gt;=1000,10,IF($E69&gt;=300,8,IF($E69&gt;=100,6,IF($E69&gt;=30,4,IF($E69&gt;0,2,0)))))+IF($F69&gt;=2,5,IF($F69&gt;=1,4,IF($F69&gt;=0.3,3,IF($F69&gt;0,2,0)))))</x:f>
      </x:c>
      <x:c r="Y69" s="65" t="str">
        <x:f>IF($A69="","",IF($G69&lt;=20,15,IF($G69&lt;=35,12,IF($G69&lt;=50,9,IF($G69&lt;=65,6,IF($G69&lt;=80,3,1))))))</x:f>
      </x:c>
      <x:c r="Z69" s="65" t="str">
        <x:f>IF($A69="","",(($N69+$O69)/10)*15)</x:f>
      </x:c>
      <x:c r="AA69" s="65" t="str">
        <x:f>IF($A69="","",(($P69+$Q69)/10)*10)</x:f>
      </x:c>
      <x:c r="AB69" s="65" t="str">
        <x:f>IF($A69="","",$R69)</x:f>
      </x:c>
      <x:c r="AC69" s="65" t="str">
        <x:f>IF($A69="","",SUM($V69:$AB69))</x:f>
      </x:c>
      <x:c r="AD69" s="71" t="str">
        <x:f>IF($A69="","",IF($AC69&gt;=75,"P0",IF($AC69&gt;=60,"P1",IF($AC69&gt;=45,"P2","P3"))))</x:f>
      </x:c>
      <x:c r="AE69" s="71" t="str">
        <x:f>IF($A69="","",IF($AC69&gt;=75,"立即写独立文章",IF($AC69&gt;=60,"排入本批内容日历",IF($AC69&gt;=45,"先做FAQ/段落或低优先文章","不单独写，合并到商业页/FAQ"))))</x:f>
      </x:c>
      <x:c r="AF69" s="37" t="str">
        <x:f>IF($A69="","",$K69&amp;" | 父级页: "&amp;$C69&amp;" | 目标URL: "&amp;$T69&amp;" | 必补: 竞品结构+原创证据+对比表+FAQ+内链CTA")</x:f>
      </x:c>
      <x:c r="AG69" s="80" t="str">
        <x:f>IF($A69="","",IF($I69&lt;4,"SERP不支持文章，优先做商业页/FAQ",IF($L69&lt;3,"产品相关弱，谨慎写",IF($N69&lt;3,"证据不足，容易变AI水文",IF($G69&gt;70,"难度偏高，需要更强外链/权威",IF($Q69&lt;3,"内链弱，先补主题簇","可进入规划"))))))</x:f>
      </x:c>
    </x:row>
    <x:row r="70">
      <x:c r="A70" s="79"/>
      <x:c r="B70" s="37"/>
      <x:c r="C70" s="37"/>
      <x:c r="D70" s="37"/>
      <x:c r="E70" s="59"/>
      <x:c r="F70" s="62"/>
      <x:c r="G70" s="50"/>
      <x:c r="H70" s="50"/>
      <x:c r="I70" s="50"/>
      <x:c r="J70" s="37"/>
      <x:c r="K70" s="37"/>
      <x:c r="L70" s="50"/>
      <x:c r="M70" s="50"/>
      <x:c r="N70" s="50"/>
      <x:c r="O70" s="50"/>
      <x:c r="P70" s="50"/>
      <x:c r="Q70" s="50"/>
      <x:c r="R70" s="50"/>
      <x:c r="S70" s="37"/>
      <x:c r="T70" s="37"/>
      <x:c r="U70" s="37"/>
      <x:c r="V70" s="65" t="str">
        <x:f>IF($A70="","",MIN(20,MAX(0,$I70*2)))</x:f>
      </x:c>
      <x:c r="W70" s="65" t="str">
        <x:f>IF($A70="","",(($L70+$M70)/10)*20)</x:f>
      </x:c>
      <x:c r="X70" s="65" t="str">
        <x:f>IF($A70="","",IF($E70&gt;=1000,10,IF($E70&gt;=300,8,IF($E70&gt;=100,6,IF($E70&gt;=30,4,IF($E70&gt;0,2,0)))))+IF($F70&gt;=2,5,IF($F70&gt;=1,4,IF($F70&gt;=0.3,3,IF($F70&gt;0,2,0)))))</x:f>
      </x:c>
      <x:c r="Y70" s="65" t="str">
        <x:f>IF($A70="","",IF($G70&lt;=20,15,IF($G70&lt;=35,12,IF($G70&lt;=50,9,IF($G70&lt;=65,6,IF($G70&lt;=80,3,1))))))</x:f>
      </x:c>
      <x:c r="Z70" s="65" t="str">
        <x:f>IF($A70="","",(($N70+$O70)/10)*15)</x:f>
      </x:c>
      <x:c r="AA70" s="65" t="str">
        <x:f>IF($A70="","",(($P70+$Q70)/10)*10)</x:f>
      </x:c>
      <x:c r="AB70" s="65" t="str">
        <x:f>IF($A70="","",$R70)</x:f>
      </x:c>
      <x:c r="AC70" s="65" t="str">
        <x:f>IF($A70="","",SUM($V70:$AB70))</x:f>
      </x:c>
      <x:c r="AD70" s="71" t="str">
        <x:f>IF($A70="","",IF($AC70&gt;=75,"P0",IF($AC70&gt;=60,"P1",IF($AC70&gt;=45,"P2","P3"))))</x:f>
      </x:c>
      <x:c r="AE70" s="71" t="str">
        <x:f>IF($A70="","",IF($AC70&gt;=75,"立即写独立文章",IF($AC70&gt;=60,"排入本批内容日历",IF($AC70&gt;=45,"先做FAQ/段落或低优先文章","不单独写，合并到商业页/FAQ"))))</x:f>
      </x:c>
      <x:c r="AF70" s="37" t="str">
        <x:f>IF($A70="","",$K70&amp;" | 父级页: "&amp;$C70&amp;" | 目标URL: "&amp;$T70&amp;" | 必补: 竞品结构+原创证据+对比表+FAQ+内链CTA")</x:f>
      </x:c>
      <x:c r="AG70" s="80" t="str">
        <x:f>IF($A70="","",IF($I70&lt;4,"SERP不支持文章，优先做商业页/FAQ",IF($L70&lt;3,"产品相关弱，谨慎写",IF($N70&lt;3,"证据不足，容易变AI水文",IF($G70&gt;70,"难度偏高，需要更强外链/权威",IF($Q70&lt;3,"内链弱，先补主题簇","可进入规划"))))))</x:f>
      </x:c>
    </x:row>
    <x:row r="71">
      <x:c r="A71" s="79"/>
      <x:c r="B71" s="37"/>
      <x:c r="C71" s="37"/>
      <x:c r="D71" s="37"/>
      <x:c r="E71" s="59"/>
      <x:c r="F71" s="62"/>
      <x:c r="G71" s="50"/>
      <x:c r="H71" s="50"/>
      <x:c r="I71" s="50"/>
      <x:c r="J71" s="37"/>
      <x:c r="K71" s="37"/>
      <x:c r="L71" s="50"/>
      <x:c r="M71" s="50"/>
      <x:c r="N71" s="50"/>
      <x:c r="O71" s="50"/>
      <x:c r="P71" s="50"/>
      <x:c r="Q71" s="50"/>
      <x:c r="R71" s="50"/>
      <x:c r="S71" s="37"/>
      <x:c r="T71" s="37"/>
      <x:c r="U71" s="37"/>
      <x:c r="V71" s="65" t="str">
        <x:f>IF($A71="","",MIN(20,MAX(0,$I71*2)))</x:f>
      </x:c>
      <x:c r="W71" s="65" t="str">
        <x:f>IF($A71="","",(($L71+$M71)/10)*20)</x:f>
      </x:c>
      <x:c r="X71" s="65" t="str">
        <x:f>IF($A71="","",IF($E71&gt;=1000,10,IF($E71&gt;=300,8,IF($E71&gt;=100,6,IF($E71&gt;=30,4,IF($E71&gt;0,2,0)))))+IF($F71&gt;=2,5,IF($F71&gt;=1,4,IF($F71&gt;=0.3,3,IF($F71&gt;0,2,0)))))</x:f>
      </x:c>
      <x:c r="Y71" s="65" t="str">
        <x:f>IF($A71="","",IF($G71&lt;=20,15,IF($G71&lt;=35,12,IF($G71&lt;=50,9,IF($G71&lt;=65,6,IF($G71&lt;=80,3,1))))))</x:f>
      </x:c>
      <x:c r="Z71" s="65" t="str">
        <x:f>IF($A71="","",(($N71+$O71)/10)*15)</x:f>
      </x:c>
      <x:c r="AA71" s="65" t="str">
        <x:f>IF($A71="","",(($P71+$Q71)/10)*10)</x:f>
      </x:c>
      <x:c r="AB71" s="65" t="str">
        <x:f>IF($A71="","",$R71)</x:f>
      </x:c>
      <x:c r="AC71" s="65" t="str">
        <x:f>IF($A71="","",SUM($V71:$AB71))</x:f>
      </x:c>
      <x:c r="AD71" s="71" t="str">
        <x:f>IF($A71="","",IF($AC71&gt;=75,"P0",IF($AC71&gt;=60,"P1",IF($AC71&gt;=45,"P2","P3"))))</x:f>
      </x:c>
      <x:c r="AE71" s="71" t="str">
        <x:f>IF($A71="","",IF($AC71&gt;=75,"立即写独立文章",IF($AC71&gt;=60,"排入本批内容日历",IF($AC71&gt;=45,"先做FAQ/段落或低优先文章","不单独写，合并到商业页/FAQ"))))</x:f>
      </x:c>
      <x:c r="AF71" s="37" t="str">
        <x:f>IF($A71="","",$K71&amp;" | 父级页: "&amp;$C71&amp;" | 目标URL: "&amp;$T71&amp;" | 必补: 竞品结构+原创证据+对比表+FAQ+内链CTA")</x:f>
      </x:c>
      <x:c r="AG71" s="80" t="str">
        <x:f>IF($A71="","",IF($I71&lt;4,"SERP不支持文章，优先做商业页/FAQ",IF($L71&lt;3,"产品相关弱，谨慎写",IF($N71&lt;3,"证据不足，容易变AI水文",IF($G71&gt;70,"难度偏高，需要更强外链/权威",IF($Q71&lt;3,"内链弱，先补主题簇","可进入规划"))))))</x:f>
      </x:c>
    </x:row>
    <x:row r="72">
      <x:c r="A72" s="79"/>
      <x:c r="B72" s="37"/>
      <x:c r="C72" s="37"/>
      <x:c r="D72" s="37"/>
      <x:c r="E72" s="59"/>
      <x:c r="F72" s="62"/>
      <x:c r="G72" s="50"/>
      <x:c r="H72" s="50"/>
      <x:c r="I72" s="50"/>
      <x:c r="J72" s="37"/>
      <x:c r="K72" s="37"/>
      <x:c r="L72" s="50"/>
      <x:c r="M72" s="50"/>
      <x:c r="N72" s="50"/>
      <x:c r="O72" s="50"/>
      <x:c r="P72" s="50"/>
      <x:c r="Q72" s="50"/>
      <x:c r="R72" s="50"/>
      <x:c r="S72" s="37"/>
      <x:c r="T72" s="37"/>
      <x:c r="U72" s="37"/>
      <x:c r="V72" s="65" t="str">
        <x:f>IF($A72="","",MIN(20,MAX(0,$I72*2)))</x:f>
      </x:c>
      <x:c r="W72" s="65" t="str">
        <x:f>IF($A72="","",(($L72+$M72)/10)*20)</x:f>
      </x:c>
      <x:c r="X72" s="65" t="str">
        <x:f>IF($A72="","",IF($E72&gt;=1000,10,IF($E72&gt;=300,8,IF($E72&gt;=100,6,IF($E72&gt;=30,4,IF($E72&gt;0,2,0)))))+IF($F72&gt;=2,5,IF($F72&gt;=1,4,IF($F72&gt;=0.3,3,IF($F72&gt;0,2,0)))))</x:f>
      </x:c>
      <x:c r="Y72" s="65" t="str">
        <x:f>IF($A72="","",IF($G72&lt;=20,15,IF($G72&lt;=35,12,IF($G72&lt;=50,9,IF($G72&lt;=65,6,IF($G72&lt;=80,3,1))))))</x:f>
      </x:c>
      <x:c r="Z72" s="65" t="str">
        <x:f>IF($A72="","",(($N72+$O72)/10)*15)</x:f>
      </x:c>
      <x:c r="AA72" s="65" t="str">
        <x:f>IF($A72="","",(($P72+$Q72)/10)*10)</x:f>
      </x:c>
      <x:c r="AB72" s="65" t="str">
        <x:f>IF($A72="","",$R72)</x:f>
      </x:c>
      <x:c r="AC72" s="65" t="str">
        <x:f>IF($A72="","",SUM($V72:$AB72))</x:f>
      </x:c>
      <x:c r="AD72" s="71" t="str">
        <x:f>IF($A72="","",IF($AC72&gt;=75,"P0",IF($AC72&gt;=60,"P1",IF($AC72&gt;=45,"P2","P3"))))</x:f>
      </x:c>
      <x:c r="AE72" s="71" t="str">
        <x:f>IF($A72="","",IF($AC72&gt;=75,"立即写独立文章",IF($AC72&gt;=60,"排入本批内容日历",IF($AC72&gt;=45,"先做FAQ/段落或低优先文章","不单独写，合并到商业页/FAQ"))))</x:f>
      </x:c>
      <x:c r="AF72" s="37" t="str">
        <x:f>IF($A72="","",$K72&amp;" | 父级页: "&amp;$C72&amp;" | 目标URL: "&amp;$T72&amp;" | 必补: 竞品结构+原创证据+对比表+FAQ+内链CTA")</x:f>
      </x:c>
      <x:c r="AG72" s="80" t="str">
        <x:f>IF($A72="","",IF($I72&lt;4,"SERP不支持文章，优先做商业页/FAQ",IF($L72&lt;3,"产品相关弱，谨慎写",IF($N72&lt;3,"证据不足，容易变AI水文",IF($G72&gt;70,"难度偏高，需要更强外链/权威",IF($Q72&lt;3,"内链弱，先补主题簇","可进入规划"))))))</x:f>
      </x:c>
    </x:row>
    <x:row r="73">
      <x:c r="A73" s="79"/>
      <x:c r="B73" s="37"/>
      <x:c r="C73" s="37"/>
      <x:c r="D73" s="37"/>
      <x:c r="E73" s="59"/>
      <x:c r="F73" s="62"/>
      <x:c r="G73" s="50"/>
      <x:c r="H73" s="50"/>
      <x:c r="I73" s="50"/>
      <x:c r="J73" s="37"/>
      <x:c r="K73" s="37"/>
      <x:c r="L73" s="50"/>
      <x:c r="M73" s="50"/>
      <x:c r="N73" s="50"/>
      <x:c r="O73" s="50"/>
      <x:c r="P73" s="50"/>
      <x:c r="Q73" s="50"/>
      <x:c r="R73" s="50"/>
      <x:c r="S73" s="37"/>
      <x:c r="T73" s="37"/>
      <x:c r="U73" s="37"/>
      <x:c r="V73" s="65" t="str">
        <x:f>IF($A73="","",MIN(20,MAX(0,$I73*2)))</x:f>
      </x:c>
      <x:c r="W73" s="65" t="str">
        <x:f>IF($A73="","",(($L73+$M73)/10)*20)</x:f>
      </x:c>
      <x:c r="X73" s="65" t="str">
        <x:f>IF($A73="","",IF($E73&gt;=1000,10,IF($E73&gt;=300,8,IF($E73&gt;=100,6,IF($E73&gt;=30,4,IF($E73&gt;0,2,0)))))+IF($F73&gt;=2,5,IF($F73&gt;=1,4,IF($F73&gt;=0.3,3,IF($F73&gt;0,2,0)))))</x:f>
      </x:c>
      <x:c r="Y73" s="65" t="str">
        <x:f>IF($A73="","",IF($G73&lt;=20,15,IF($G73&lt;=35,12,IF($G73&lt;=50,9,IF($G73&lt;=65,6,IF($G73&lt;=80,3,1))))))</x:f>
      </x:c>
      <x:c r="Z73" s="65" t="str">
        <x:f>IF($A73="","",(($N73+$O73)/10)*15)</x:f>
      </x:c>
      <x:c r="AA73" s="65" t="str">
        <x:f>IF($A73="","",(($P73+$Q73)/10)*10)</x:f>
      </x:c>
      <x:c r="AB73" s="65" t="str">
        <x:f>IF($A73="","",$R73)</x:f>
      </x:c>
      <x:c r="AC73" s="65" t="str">
        <x:f>IF($A73="","",SUM($V73:$AB73))</x:f>
      </x:c>
      <x:c r="AD73" s="71" t="str">
        <x:f>IF($A73="","",IF($AC73&gt;=75,"P0",IF($AC73&gt;=60,"P1",IF($AC73&gt;=45,"P2","P3"))))</x:f>
      </x:c>
      <x:c r="AE73" s="71" t="str">
        <x:f>IF($A73="","",IF($AC73&gt;=75,"立即写独立文章",IF($AC73&gt;=60,"排入本批内容日历",IF($AC73&gt;=45,"先做FAQ/段落或低优先文章","不单独写，合并到商业页/FAQ"))))</x:f>
      </x:c>
      <x:c r="AF73" s="37" t="str">
        <x:f>IF($A73="","",$K73&amp;" | 父级页: "&amp;$C73&amp;" | 目标URL: "&amp;$T73&amp;" | 必补: 竞品结构+原创证据+对比表+FAQ+内链CTA")</x:f>
      </x:c>
      <x:c r="AG73" s="80" t="str">
        <x:f>IF($A73="","",IF($I73&lt;4,"SERP不支持文章，优先做商业页/FAQ",IF($L73&lt;3,"产品相关弱，谨慎写",IF($N73&lt;3,"证据不足，容易变AI水文",IF($G73&gt;70,"难度偏高，需要更强外链/权威",IF($Q73&lt;3,"内链弱，先补主题簇","可进入规划"))))))</x:f>
      </x:c>
    </x:row>
    <x:row r="74">
      <x:c r="A74" s="79"/>
      <x:c r="B74" s="37"/>
      <x:c r="C74" s="37"/>
      <x:c r="D74" s="37"/>
      <x:c r="E74" s="59"/>
      <x:c r="F74" s="62"/>
      <x:c r="G74" s="50"/>
      <x:c r="H74" s="50"/>
      <x:c r="I74" s="50"/>
      <x:c r="J74" s="37"/>
      <x:c r="K74" s="37"/>
      <x:c r="L74" s="50"/>
      <x:c r="M74" s="50"/>
      <x:c r="N74" s="50"/>
      <x:c r="O74" s="50"/>
      <x:c r="P74" s="50"/>
      <x:c r="Q74" s="50"/>
      <x:c r="R74" s="50"/>
      <x:c r="S74" s="37"/>
      <x:c r="T74" s="37"/>
      <x:c r="U74" s="37"/>
      <x:c r="V74" s="65" t="str">
        <x:f>IF($A74="","",MIN(20,MAX(0,$I74*2)))</x:f>
      </x:c>
      <x:c r="W74" s="65" t="str">
        <x:f>IF($A74="","",(($L74+$M74)/10)*20)</x:f>
      </x:c>
      <x:c r="X74" s="65" t="str">
        <x:f>IF($A74="","",IF($E74&gt;=1000,10,IF($E74&gt;=300,8,IF($E74&gt;=100,6,IF($E74&gt;=30,4,IF($E74&gt;0,2,0)))))+IF($F74&gt;=2,5,IF($F74&gt;=1,4,IF($F74&gt;=0.3,3,IF($F74&gt;0,2,0)))))</x:f>
      </x:c>
      <x:c r="Y74" s="65" t="str">
        <x:f>IF($A74="","",IF($G74&lt;=20,15,IF($G74&lt;=35,12,IF($G74&lt;=50,9,IF($G74&lt;=65,6,IF($G74&lt;=80,3,1))))))</x:f>
      </x:c>
      <x:c r="Z74" s="65" t="str">
        <x:f>IF($A74="","",(($N74+$O74)/10)*15)</x:f>
      </x:c>
      <x:c r="AA74" s="65" t="str">
        <x:f>IF($A74="","",(($P74+$Q74)/10)*10)</x:f>
      </x:c>
      <x:c r="AB74" s="65" t="str">
        <x:f>IF($A74="","",$R74)</x:f>
      </x:c>
      <x:c r="AC74" s="65" t="str">
        <x:f>IF($A74="","",SUM($V74:$AB74))</x:f>
      </x:c>
      <x:c r="AD74" s="71" t="str">
        <x:f>IF($A74="","",IF($AC74&gt;=75,"P0",IF($AC74&gt;=60,"P1",IF($AC74&gt;=45,"P2","P3"))))</x:f>
      </x:c>
      <x:c r="AE74" s="71" t="str">
        <x:f>IF($A74="","",IF($AC74&gt;=75,"立即写独立文章",IF($AC74&gt;=60,"排入本批内容日历",IF($AC74&gt;=45,"先做FAQ/段落或低优先文章","不单独写，合并到商业页/FAQ"))))</x:f>
      </x:c>
      <x:c r="AF74" s="37" t="str">
        <x:f>IF($A74="","",$K74&amp;" | 父级页: "&amp;$C74&amp;" | 目标URL: "&amp;$T74&amp;" | 必补: 竞品结构+原创证据+对比表+FAQ+内链CTA")</x:f>
      </x:c>
      <x:c r="AG74" s="80" t="str">
        <x:f>IF($A74="","",IF($I74&lt;4,"SERP不支持文章，优先做商业页/FAQ",IF($L74&lt;3,"产品相关弱，谨慎写",IF($N74&lt;3,"证据不足，容易变AI水文",IF($G74&gt;70,"难度偏高，需要更强外链/权威",IF($Q74&lt;3,"内链弱，先补主题簇","可进入规划"))))))</x:f>
      </x:c>
    </x:row>
    <x:row r="75">
      <x:c r="A75" s="79"/>
      <x:c r="B75" s="37"/>
      <x:c r="C75" s="37"/>
      <x:c r="D75" s="37"/>
      <x:c r="E75" s="59"/>
      <x:c r="F75" s="62"/>
      <x:c r="G75" s="50"/>
      <x:c r="H75" s="50"/>
      <x:c r="I75" s="50"/>
      <x:c r="J75" s="37"/>
      <x:c r="K75" s="37"/>
      <x:c r="L75" s="50"/>
      <x:c r="M75" s="50"/>
      <x:c r="N75" s="50"/>
      <x:c r="O75" s="50"/>
      <x:c r="P75" s="50"/>
      <x:c r="Q75" s="50"/>
      <x:c r="R75" s="50"/>
      <x:c r="S75" s="37"/>
      <x:c r="T75" s="37"/>
      <x:c r="U75" s="37"/>
      <x:c r="V75" s="65" t="str">
        <x:f>IF($A75="","",MIN(20,MAX(0,$I75*2)))</x:f>
      </x:c>
      <x:c r="W75" s="65" t="str">
        <x:f>IF($A75="","",(($L75+$M75)/10)*20)</x:f>
      </x:c>
      <x:c r="X75" s="65" t="str">
        <x:f>IF($A75="","",IF($E75&gt;=1000,10,IF($E75&gt;=300,8,IF($E75&gt;=100,6,IF($E75&gt;=30,4,IF($E75&gt;0,2,0)))))+IF($F75&gt;=2,5,IF($F75&gt;=1,4,IF($F75&gt;=0.3,3,IF($F75&gt;0,2,0)))))</x:f>
      </x:c>
      <x:c r="Y75" s="65" t="str">
        <x:f>IF($A75="","",IF($G75&lt;=20,15,IF($G75&lt;=35,12,IF($G75&lt;=50,9,IF($G75&lt;=65,6,IF($G75&lt;=80,3,1))))))</x:f>
      </x:c>
      <x:c r="Z75" s="65" t="str">
        <x:f>IF($A75="","",(($N75+$O75)/10)*15)</x:f>
      </x:c>
      <x:c r="AA75" s="65" t="str">
        <x:f>IF($A75="","",(($P75+$Q75)/10)*10)</x:f>
      </x:c>
      <x:c r="AB75" s="65" t="str">
        <x:f>IF($A75="","",$R75)</x:f>
      </x:c>
      <x:c r="AC75" s="65" t="str">
        <x:f>IF($A75="","",SUM($V75:$AB75))</x:f>
      </x:c>
      <x:c r="AD75" s="71" t="str">
        <x:f>IF($A75="","",IF($AC75&gt;=75,"P0",IF($AC75&gt;=60,"P1",IF($AC75&gt;=45,"P2","P3"))))</x:f>
      </x:c>
      <x:c r="AE75" s="71" t="str">
        <x:f>IF($A75="","",IF($AC75&gt;=75,"立即写独立文章",IF($AC75&gt;=60,"排入本批内容日历",IF($AC75&gt;=45,"先做FAQ/段落或低优先文章","不单独写，合并到商业页/FAQ"))))</x:f>
      </x:c>
      <x:c r="AF75" s="37" t="str">
        <x:f>IF($A75="","",$K75&amp;" | 父级页: "&amp;$C75&amp;" | 目标URL: "&amp;$T75&amp;" | 必补: 竞品结构+原创证据+对比表+FAQ+内链CTA")</x:f>
      </x:c>
      <x:c r="AG75" s="80" t="str">
        <x:f>IF($A75="","",IF($I75&lt;4,"SERP不支持文章，优先做商业页/FAQ",IF($L75&lt;3,"产品相关弱，谨慎写",IF($N75&lt;3,"证据不足，容易变AI水文",IF($G75&gt;70,"难度偏高，需要更强外链/权威",IF($Q75&lt;3,"内链弱，先补主题簇","可进入规划"))))))</x:f>
      </x:c>
    </x:row>
    <x:row r="76">
      <x:c r="A76" s="79"/>
      <x:c r="B76" s="37"/>
      <x:c r="C76" s="37"/>
      <x:c r="D76" s="37"/>
      <x:c r="E76" s="59"/>
      <x:c r="F76" s="62"/>
      <x:c r="G76" s="50"/>
      <x:c r="H76" s="50"/>
      <x:c r="I76" s="50"/>
      <x:c r="J76" s="37"/>
      <x:c r="K76" s="37"/>
      <x:c r="L76" s="50"/>
      <x:c r="M76" s="50"/>
      <x:c r="N76" s="50"/>
      <x:c r="O76" s="50"/>
      <x:c r="P76" s="50"/>
      <x:c r="Q76" s="50"/>
      <x:c r="R76" s="50"/>
      <x:c r="S76" s="37"/>
      <x:c r="T76" s="37"/>
      <x:c r="U76" s="37"/>
      <x:c r="V76" s="65" t="str">
        <x:f>IF($A76="","",MIN(20,MAX(0,$I76*2)))</x:f>
      </x:c>
      <x:c r="W76" s="65" t="str">
        <x:f>IF($A76="","",(($L76+$M76)/10)*20)</x:f>
      </x:c>
      <x:c r="X76" s="65" t="str">
        <x:f>IF($A76="","",IF($E76&gt;=1000,10,IF($E76&gt;=300,8,IF($E76&gt;=100,6,IF($E76&gt;=30,4,IF($E76&gt;0,2,0)))))+IF($F76&gt;=2,5,IF($F76&gt;=1,4,IF($F76&gt;=0.3,3,IF($F76&gt;0,2,0)))))</x:f>
      </x:c>
      <x:c r="Y76" s="65" t="str">
        <x:f>IF($A76="","",IF($G76&lt;=20,15,IF($G76&lt;=35,12,IF($G76&lt;=50,9,IF($G76&lt;=65,6,IF($G76&lt;=80,3,1))))))</x:f>
      </x:c>
      <x:c r="Z76" s="65" t="str">
        <x:f>IF($A76="","",(($N76+$O76)/10)*15)</x:f>
      </x:c>
      <x:c r="AA76" s="65" t="str">
        <x:f>IF($A76="","",(($P76+$Q76)/10)*10)</x:f>
      </x:c>
      <x:c r="AB76" s="65" t="str">
        <x:f>IF($A76="","",$R76)</x:f>
      </x:c>
      <x:c r="AC76" s="65" t="str">
        <x:f>IF($A76="","",SUM($V76:$AB76))</x:f>
      </x:c>
      <x:c r="AD76" s="71" t="str">
        <x:f>IF($A76="","",IF($AC76&gt;=75,"P0",IF($AC76&gt;=60,"P1",IF($AC76&gt;=45,"P2","P3"))))</x:f>
      </x:c>
      <x:c r="AE76" s="71" t="str">
        <x:f>IF($A76="","",IF($AC76&gt;=75,"立即写独立文章",IF($AC76&gt;=60,"排入本批内容日历",IF($AC76&gt;=45,"先做FAQ/段落或低优先文章","不单独写，合并到商业页/FAQ"))))</x:f>
      </x:c>
      <x:c r="AF76" s="37" t="str">
        <x:f>IF($A76="","",$K76&amp;" | 父级页: "&amp;$C76&amp;" | 目标URL: "&amp;$T76&amp;" | 必补: 竞品结构+原创证据+对比表+FAQ+内链CTA")</x:f>
      </x:c>
      <x:c r="AG76" s="80" t="str">
        <x:f>IF($A76="","",IF($I76&lt;4,"SERP不支持文章，优先做商业页/FAQ",IF($L76&lt;3,"产品相关弱，谨慎写",IF($N76&lt;3,"证据不足，容易变AI水文",IF($G76&gt;70,"难度偏高，需要更强外链/权威",IF($Q76&lt;3,"内链弱，先补主题簇","可进入规划"))))))</x:f>
      </x:c>
    </x:row>
    <x:row r="77">
      <x:c r="A77" s="79"/>
      <x:c r="B77" s="37"/>
      <x:c r="C77" s="37"/>
      <x:c r="D77" s="37"/>
      <x:c r="E77" s="59"/>
      <x:c r="F77" s="62"/>
      <x:c r="G77" s="50"/>
      <x:c r="H77" s="50"/>
      <x:c r="I77" s="50"/>
      <x:c r="J77" s="37"/>
      <x:c r="K77" s="37"/>
      <x:c r="L77" s="50"/>
      <x:c r="M77" s="50"/>
      <x:c r="N77" s="50"/>
      <x:c r="O77" s="50"/>
      <x:c r="P77" s="50"/>
      <x:c r="Q77" s="50"/>
      <x:c r="R77" s="50"/>
      <x:c r="S77" s="37"/>
      <x:c r="T77" s="37"/>
      <x:c r="U77" s="37"/>
      <x:c r="V77" s="65" t="str">
        <x:f>IF($A77="","",MIN(20,MAX(0,$I77*2)))</x:f>
      </x:c>
      <x:c r="W77" s="65" t="str">
        <x:f>IF($A77="","",(($L77+$M77)/10)*20)</x:f>
      </x:c>
      <x:c r="X77" s="65" t="str">
        <x:f>IF($A77="","",IF($E77&gt;=1000,10,IF($E77&gt;=300,8,IF($E77&gt;=100,6,IF($E77&gt;=30,4,IF($E77&gt;0,2,0)))))+IF($F77&gt;=2,5,IF($F77&gt;=1,4,IF($F77&gt;=0.3,3,IF($F77&gt;0,2,0)))))</x:f>
      </x:c>
      <x:c r="Y77" s="65" t="str">
        <x:f>IF($A77="","",IF($G77&lt;=20,15,IF($G77&lt;=35,12,IF($G77&lt;=50,9,IF($G77&lt;=65,6,IF($G77&lt;=80,3,1))))))</x:f>
      </x:c>
      <x:c r="Z77" s="65" t="str">
        <x:f>IF($A77="","",(($N77+$O77)/10)*15)</x:f>
      </x:c>
      <x:c r="AA77" s="65" t="str">
        <x:f>IF($A77="","",(($P77+$Q77)/10)*10)</x:f>
      </x:c>
      <x:c r="AB77" s="65" t="str">
        <x:f>IF($A77="","",$R77)</x:f>
      </x:c>
      <x:c r="AC77" s="65" t="str">
        <x:f>IF($A77="","",SUM($V77:$AB77))</x:f>
      </x:c>
      <x:c r="AD77" s="71" t="str">
        <x:f>IF($A77="","",IF($AC77&gt;=75,"P0",IF($AC77&gt;=60,"P1",IF($AC77&gt;=45,"P2","P3"))))</x:f>
      </x:c>
      <x:c r="AE77" s="71" t="str">
        <x:f>IF($A77="","",IF($AC77&gt;=75,"立即写独立文章",IF($AC77&gt;=60,"排入本批内容日历",IF($AC77&gt;=45,"先做FAQ/段落或低优先文章","不单独写，合并到商业页/FAQ"))))</x:f>
      </x:c>
      <x:c r="AF77" s="37" t="str">
        <x:f>IF($A77="","",$K77&amp;" | 父级页: "&amp;$C77&amp;" | 目标URL: "&amp;$T77&amp;" | 必补: 竞品结构+原创证据+对比表+FAQ+内链CTA")</x:f>
      </x:c>
      <x:c r="AG77" s="80" t="str">
        <x:f>IF($A77="","",IF($I77&lt;4,"SERP不支持文章，优先做商业页/FAQ",IF($L77&lt;3,"产品相关弱，谨慎写",IF($N77&lt;3,"证据不足，容易变AI水文",IF($G77&gt;70,"难度偏高，需要更强外链/权威",IF($Q77&lt;3,"内链弱，先补主题簇","可进入规划"))))))</x:f>
      </x:c>
    </x:row>
    <x:row r="78">
      <x:c r="A78" s="79"/>
      <x:c r="B78" s="37"/>
      <x:c r="C78" s="37"/>
      <x:c r="D78" s="37"/>
      <x:c r="E78" s="59"/>
      <x:c r="F78" s="62"/>
      <x:c r="G78" s="50"/>
      <x:c r="H78" s="50"/>
      <x:c r="I78" s="50"/>
      <x:c r="J78" s="37"/>
      <x:c r="K78" s="37"/>
      <x:c r="L78" s="50"/>
      <x:c r="M78" s="50"/>
      <x:c r="N78" s="50"/>
      <x:c r="O78" s="50"/>
      <x:c r="P78" s="50"/>
      <x:c r="Q78" s="50"/>
      <x:c r="R78" s="50"/>
      <x:c r="S78" s="37"/>
      <x:c r="T78" s="37"/>
      <x:c r="U78" s="37"/>
      <x:c r="V78" s="65" t="str">
        <x:f>IF($A78="","",MIN(20,MAX(0,$I78*2)))</x:f>
      </x:c>
      <x:c r="W78" s="65" t="str">
        <x:f>IF($A78="","",(($L78+$M78)/10)*20)</x:f>
      </x:c>
      <x:c r="X78" s="65" t="str">
        <x:f>IF($A78="","",IF($E78&gt;=1000,10,IF($E78&gt;=300,8,IF($E78&gt;=100,6,IF($E78&gt;=30,4,IF($E78&gt;0,2,0)))))+IF($F78&gt;=2,5,IF($F78&gt;=1,4,IF($F78&gt;=0.3,3,IF($F78&gt;0,2,0)))))</x:f>
      </x:c>
      <x:c r="Y78" s="65" t="str">
        <x:f>IF($A78="","",IF($G78&lt;=20,15,IF($G78&lt;=35,12,IF($G78&lt;=50,9,IF($G78&lt;=65,6,IF($G78&lt;=80,3,1))))))</x:f>
      </x:c>
      <x:c r="Z78" s="65" t="str">
        <x:f>IF($A78="","",(($N78+$O78)/10)*15)</x:f>
      </x:c>
      <x:c r="AA78" s="65" t="str">
        <x:f>IF($A78="","",(($P78+$Q78)/10)*10)</x:f>
      </x:c>
      <x:c r="AB78" s="65" t="str">
        <x:f>IF($A78="","",$R78)</x:f>
      </x:c>
      <x:c r="AC78" s="65" t="str">
        <x:f>IF($A78="","",SUM($V78:$AB78))</x:f>
      </x:c>
      <x:c r="AD78" s="71" t="str">
        <x:f>IF($A78="","",IF($AC78&gt;=75,"P0",IF($AC78&gt;=60,"P1",IF($AC78&gt;=45,"P2","P3"))))</x:f>
      </x:c>
      <x:c r="AE78" s="71" t="str">
        <x:f>IF($A78="","",IF($AC78&gt;=75,"立即写独立文章",IF($AC78&gt;=60,"排入本批内容日历",IF($AC78&gt;=45,"先做FAQ/段落或低优先文章","不单独写，合并到商业页/FAQ"))))</x:f>
      </x:c>
      <x:c r="AF78" s="37" t="str">
        <x:f>IF($A78="","",$K78&amp;" | 父级页: "&amp;$C78&amp;" | 目标URL: "&amp;$T78&amp;" | 必补: 竞品结构+原创证据+对比表+FAQ+内链CTA")</x:f>
      </x:c>
      <x:c r="AG78" s="80" t="str">
        <x:f>IF($A78="","",IF($I78&lt;4,"SERP不支持文章，优先做商业页/FAQ",IF($L78&lt;3,"产品相关弱，谨慎写",IF($N78&lt;3,"证据不足，容易变AI水文",IF($G78&gt;70,"难度偏高，需要更强外链/权威",IF($Q78&lt;3,"内链弱，先补主题簇","可进入规划"))))))</x:f>
      </x:c>
    </x:row>
    <x:row r="79">
      <x:c r="A79" s="79"/>
      <x:c r="B79" s="37"/>
      <x:c r="C79" s="37"/>
      <x:c r="D79" s="37"/>
      <x:c r="E79" s="59"/>
      <x:c r="F79" s="62"/>
      <x:c r="G79" s="50"/>
      <x:c r="H79" s="50"/>
      <x:c r="I79" s="50"/>
      <x:c r="J79" s="37"/>
      <x:c r="K79" s="37"/>
      <x:c r="L79" s="50"/>
      <x:c r="M79" s="50"/>
      <x:c r="N79" s="50"/>
      <x:c r="O79" s="50"/>
      <x:c r="P79" s="50"/>
      <x:c r="Q79" s="50"/>
      <x:c r="R79" s="50"/>
      <x:c r="S79" s="37"/>
      <x:c r="T79" s="37"/>
      <x:c r="U79" s="37"/>
      <x:c r="V79" s="65" t="str">
        <x:f>IF($A79="","",MIN(20,MAX(0,$I79*2)))</x:f>
      </x:c>
      <x:c r="W79" s="65" t="str">
        <x:f>IF($A79="","",(($L79+$M79)/10)*20)</x:f>
      </x:c>
      <x:c r="X79" s="65" t="str">
        <x:f>IF($A79="","",IF($E79&gt;=1000,10,IF($E79&gt;=300,8,IF($E79&gt;=100,6,IF($E79&gt;=30,4,IF($E79&gt;0,2,0)))))+IF($F79&gt;=2,5,IF($F79&gt;=1,4,IF($F79&gt;=0.3,3,IF($F79&gt;0,2,0)))))</x:f>
      </x:c>
      <x:c r="Y79" s="65" t="str">
        <x:f>IF($A79="","",IF($G79&lt;=20,15,IF($G79&lt;=35,12,IF($G79&lt;=50,9,IF($G79&lt;=65,6,IF($G79&lt;=80,3,1))))))</x:f>
      </x:c>
      <x:c r="Z79" s="65" t="str">
        <x:f>IF($A79="","",(($N79+$O79)/10)*15)</x:f>
      </x:c>
      <x:c r="AA79" s="65" t="str">
        <x:f>IF($A79="","",(($P79+$Q79)/10)*10)</x:f>
      </x:c>
      <x:c r="AB79" s="65" t="str">
        <x:f>IF($A79="","",$R79)</x:f>
      </x:c>
      <x:c r="AC79" s="65" t="str">
        <x:f>IF($A79="","",SUM($V79:$AB79))</x:f>
      </x:c>
      <x:c r="AD79" s="71" t="str">
        <x:f>IF($A79="","",IF($AC79&gt;=75,"P0",IF($AC79&gt;=60,"P1",IF($AC79&gt;=45,"P2","P3"))))</x:f>
      </x:c>
      <x:c r="AE79" s="71" t="str">
        <x:f>IF($A79="","",IF($AC79&gt;=75,"立即写独立文章",IF($AC79&gt;=60,"排入本批内容日历",IF($AC79&gt;=45,"先做FAQ/段落或低优先文章","不单独写，合并到商业页/FAQ"))))</x:f>
      </x:c>
      <x:c r="AF79" s="37" t="str">
        <x:f>IF($A79="","",$K79&amp;" | 父级页: "&amp;$C79&amp;" | 目标URL: "&amp;$T79&amp;" | 必补: 竞品结构+原创证据+对比表+FAQ+内链CTA")</x:f>
      </x:c>
      <x:c r="AG79" s="80" t="str">
        <x:f>IF($A79="","",IF($I79&lt;4,"SERP不支持文章，优先做商业页/FAQ",IF($L79&lt;3,"产品相关弱，谨慎写",IF($N79&lt;3,"证据不足，容易变AI水文",IF($G79&gt;70,"难度偏高，需要更强外链/权威",IF($Q79&lt;3,"内链弱，先补主题簇","可进入规划"))))))</x:f>
      </x:c>
    </x:row>
    <x:row r="80">
      <x:c r="A80" s="79"/>
      <x:c r="B80" s="37"/>
      <x:c r="C80" s="37"/>
      <x:c r="D80" s="37"/>
      <x:c r="E80" s="59"/>
      <x:c r="F80" s="62"/>
      <x:c r="G80" s="50"/>
      <x:c r="H80" s="50"/>
      <x:c r="I80" s="50"/>
      <x:c r="J80" s="37"/>
      <x:c r="K80" s="37"/>
      <x:c r="L80" s="50"/>
      <x:c r="M80" s="50"/>
      <x:c r="N80" s="50"/>
      <x:c r="O80" s="50"/>
      <x:c r="P80" s="50"/>
      <x:c r="Q80" s="50"/>
      <x:c r="R80" s="50"/>
      <x:c r="S80" s="37"/>
      <x:c r="T80" s="37"/>
      <x:c r="U80" s="37"/>
      <x:c r="V80" s="65" t="str">
        <x:f>IF($A80="","",MIN(20,MAX(0,$I80*2)))</x:f>
      </x:c>
      <x:c r="W80" s="65" t="str">
        <x:f>IF($A80="","",(($L80+$M80)/10)*20)</x:f>
      </x:c>
      <x:c r="X80" s="65" t="str">
        <x:f>IF($A80="","",IF($E80&gt;=1000,10,IF($E80&gt;=300,8,IF($E80&gt;=100,6,IF($E80&gt;=30,4,IF($E80&gt;0,2,0)))))+IF($F80&gt;=2,5,IF($F80&gt;=1,4,IF($F80&gt;=0.3,3,IF($F80&gt;0,2,0)))))</x:f>
      </x:c>
      <x:c r="Y80" s="65" t="str">
        <x:f>IF($A80="","",IF($G80&lt;=20,15,IF($G80&lt;=35,12,IF($G80&lt;=50,9,IF($G80&lt;=65,6,IF($G80&lt;=80,3,1))))))</x:f>
      </x:c>
      <x:c r="Z80" s="65" t="str">
        <x:f>IF($A80="","",(($N80+$O80)/10)*15)</x:f>
      </x:c>
      <x:c r="AA80" s="65" t="str">
        <x:f>IF($A80="","",(($P80+$Q80)/10)*10)</x:f>
      </x:c>
      <x:c r="AB80" s="65" t="str">
        <x:f>IF($A80="","",$R80)</x:f>
      </x:c>
      <x:c r="AC80" s="65" t="str">
        <x:f>IF($A80="","",SUM($V80:$AB80))</x:f>
      </x:c>
      <x:c r="AD80" s="71" t="str">
        <x:f>IF($A80="","",IF($AC80&gt;=75,"P0",IF($AC80&gt;=60,"P1",IF($AC80&gt;=45,"P2","P3"))))</x:f>
      </x:c>
      <x:c r="AE80" s="71" t="str">
        <x:f>IF($A80="","",IF($AC80&gt;=75,"立即写独立文章",IF($AC80&gt;=60,"排入本批内容日历",IF($AC80&gt;=45,"先做FAQ/段落或低优先文章","不单独写，合并到商业页/FAQ"))))</x:f>
      </x:c>
      <x:c r="AF80" s="37" t="str">
        <x:f>IF($A80="","",$K80&amp;" | 父级页: "&amp;$C80&amp;" | 目标URL: "&amp;$T80&amp;" | 必补: 竞品结构+原创证据+对比表+FAQ+内链CTA")</x:f>
      </x:c>
      <x:c r="AG80" s="80" t="str">
        <x:f>IF($A80="","",IF($I80&lt;4,"SERP不支持文章，优先做商业页/FAQ",IF($L80&lt;3,"产品相关弱，谨慎写",IF($N80&lt;3,"证据不足，容易变AI水文",IF($G80&gt;70,"难度偏高，需要更强外链/权威",IF($Q80&lt;3,"内链弱，先补主题簇","可进入规划"))))))</x:f>
      </x:c>
    </x:row>
    <x:row r="81">
      <x:c r="A81" s="79"/>
      <x:c r="B81" s="37"/>
      <x:c r="C81" s="37"/>
      <x:c r="D81" s="37"/>
      <x:c r="E81" s="59"/>
      <x:c r="F81" s="62"/>
      <x:c r="G81" s="50"/>
      <x:c r="H81" s="50"/>
      <x:c r="I81" s="50"/>
      <x:c r="J81" s="37"/>
      <x:c r="K81" s="37"/>
      <x:c r="L81" s="50"/>
      <x:c r="M81" s="50"/>
      <x:c r="N81" s="50"/>
      <x:c r="O81" s="50"/>
      <x:c r="P81" s="50"/>
      <x:c r="Q81" s="50"/>
      <x:c r="R81" s="50"/>
      <x:c r="S81" s="37"/>
      <x:c r="T81" s="37"/>
      <x:c r="U81" s="37"/>
      <x:c r="V81" s="65" t="str">
        <x:f>IF($A81="","",MIN(20,MAX(0,$I81*2)))</x:f>
      </x:c>
      <x:c r="W81" s="65" t="str">
        <x:f>IF($A81="","",(($L81+$M81)/10)*20)</x:f>
      </x:c>
      <x:c r="X81" s="65" t="str">
        <x:f>IF($A81="","",IF($E81&gt;=1000,10,IF($E81&gt;=300,8,IF($E81&gt;=100,6,IF($E81&gt;=30,4,IF($E81&gt;0,2,0)))))+IF($F81&gt;=2,5,IF($F81&gt;=1,4,IF($F81&gt;=0.3,3,IF($F81&gt;0,2,0)))))</x:f>
      </x:c>
      <x:c r="Y81" s="65" t="str">
        <x:f>IF($A81="","",IF($G81&lt;=20,15,IF($G81&lt;=35,12,IF($G81&lt;=50,9,IF($G81&lt;=65,6,IF($G81&lt;=80,3,1))))))</x:f>
      </x:c>
      <x:c r="Z81" s="65" t="str">
        <x:f>IF($A81="","",(($N81+$O81)/10)*15)</x:f>
      </x:c>
      <x:c r="AA81" s="65" t="str">
        <x:f>IF($A81="","",(($P81+$Q81)/10)*10)</x:f>
      </x:c>
      <x:c r="AB81" s="65" t="str">
        <x:f>IF($A81="","",$R81)</x:f>
      </x:c>
      <x:c r="AC81" s="65" t="str">
        <x:f>IF($A81="","",SUM($V81:$AB81))</x:f>
      </x:c>
      <x:c r="AD81" s="71" t="str">
        <x:f>IF($A81="","",IF($AC81&gt;=75,"P0",IF($AC81&gt;=60,"P1",IF($AC81&gt;=45,"P2","P3"))))</x:f>
      </x:c>
      <x:c r="AE81" s="71" t="str">
        <x:f>IF($A81="","",IF($AC81&gt;=75,"立即写独立文章",IF($AC81&gt;=60,"排入本批内容日历",IF($AC81&gt;=45,"先做FAQ/段落或低优先文章","不单独写，合并到商业页/FAQ"))))</x:f>
      </x:c>
      <x:c r="AF81" s="37" t="str">
        <x:f>IF($A81="","",$K81&amp;" | 父级页: "&amp;$C81&amp;" | 目标URL: "&amp;$T81&amp;" | 必补: 竞品结构+原创证据+对比表+FAQ+内链CTA")</x:f>
      </x:c>
      <x:c r="AG81" s="80" t="str">
        <x:f>IF($A81="","",IF($I81&lt;4,"SERP不支持文章，优先做商业页/FAQ",IF($L81&lt;3,"产品相关弱，谨慎写",IF($N81&lt;3,"证据不足，容易变AI水文",IF($G81&gt;70,"难度偏高，需要更强外链/权威",IF($Q81&lt;3,"内链弱，先补主题簇","可进入规划"))))))</x:f>
      </x:c>
    </x:row>
    <x:row r="82">
      <x:c r="A82" s="79"/>
      <x:c r="B82" s="37"/>
      <x:c r="C82" s="37"/>
      <x:c r="D82" s="37"/>
      <x:c r="E82" s="59"/>
      <x:c r="F82" s="62"/>
      <x:c r="G82" s="50"/>
      <x:c r="H82" s="50"/>
      <x:c r="I82" s="50"/>
      <x:c r="J82" s="37"/>
      <x:c r="K82" s="37"/>
      <x:c r="L82" s="50"/>
      <x:c r="M82" s="50"/>
      <x:c r="N82" s="50"/>
      <x:c r="O82" s="50"/>
      <x:c r="P82" s="50"/>
      <x:c r="Q82" s="50"/>
      <x:c r="R82" s="50"/>
      <x:c r="S82" s="37"/>
      <x:c r="T82" s="37"/>
      <x:c r="U82" s="37"/>
      <x:c r="V82" s="65" t="str">
        <x:f>IF($A82="","",MIN(20,MAX(0,$I82*2)))</x:f>
      </x:c>
      <x:c r="W82" s="65" t="str">
        <x:f>IF($A82="","",(($L82+$M82)/10)*20)</x:f>
      </x:c>
      <x:c r="X82" s="65" t="str">
        <x:f>IF($A82="","",IF($E82&gt;=1000,10,IF($E82&gt;=300,8,IF($E82&gt;=100,6,IF($E82&gt;=30,4,IF($E82&gt;0,2,0)))))+IF($F82&gt;=2,5,IF($F82&gt;=1,4,IF($F82&gt;=0.3,3,IF($F82&gt;0,2,0)))))</x:f>
      </x:c>
      <x:c r="Y82" s="65" t="str">
        <x:f>IF($A82="","",IF($G82&lt;=20,15,IF($G82&lt;=35,12,IF($G82&lt;=50,9,IF($G82&lt;=65,6,IF($G82&lt;=80,3,1))))))</x:f>
      </x:c>
      <x:c r="Z82" s="65" t="str">
        <x:f>IF($A82="","",(($N82+$O82)/10)*15)</x:f>
      </x:c>
      <x:c r="AA82" s="65" t="str">
        <x:f>IF($A82="","",(($P82+$Q82)/10)*10)</x:f>
      </x:c>
      <x:c r="AB82" s="65" t="str">
        <x:f>IF($A82="","",$R82)</x:f>
      </x:c>
      <x:c r="AC82" s="65" t="str">
        <x:f>IF($A82="","",SUM($V82:$AB82))</x:f>
      </x:c>
      <x:c r="AD82" s="71" t="str">
        <x:f>IF($A82="","",IF($AC82&gt;=75,"P0",IF($AC82&gt;=60,"P1",IF($AC82&gt;=45,"P2","P3"))))</x:f>
      </x:c>
      <x:c r="AE82" s="71" t="str">
        <x:f>IF($A82="","",IF($AC82&gt;=75,"立即写独立文章",IF($AC82&gt;=60,"排入本批内容日历",IF($AC82&gt;=45,"先做FAQ/段落或低优先文章","不单独写，合并到商业页/FAQ"))))</x:f>
      </x:c>
      <x:c r="AF82" s="37" t="str">
        <x:f>IF($A82="","",$K82&amp;" | 父级页: "&amp;$C82&amp;" | 目标URL: "&amp;$T82&amp;" | 必补: 竞品结构+原创证据+对比表+FAQ+内链CTA")</x:f>
      </x:c>
      <x:c r="AG82" s="80" t="str">
        <x:f>IF($A82="","",IF($I82&lt;4,"SERP不支持文章，优先做商业页/FAQ",IF($L82&lt;3,"产品相关弱，谨慎写",IF($N82&lt;3,"证据不足，容易变AI水文",IF($G82&gt;70,"难度偏高，需要更强外链/权威",IF($Q82&lt;3,"内链弱，先补主题簇","可进入规划"))))))</x:f>
      </x:c>
    </x:row>
    <x:row r="83">
      <x:c r="A83" s="79"/>
      <x:c r="B83" s="37"/>
      <x:c r="C83" s="37"/>
      <x:c r="D83" s="37"/>
      <x:c r="E83" s="59"/>
      <x:c r="F83" s="62"/>
      <x:c r="G83" s="50"/>
      <x:c r="H83" s="50"/>
      <x:c r="I83" s="50"/>
      <x:c r="J83" s="37"/>
      <x:c r="K83" s="37"/>
      <x:c r="L83" s="50"/>
      <x:c r="M83" s="50"/>
      <x:c r="N83" s="50"/>
      <x:c r="O83" s="50"/>
      <x:c r="P83" s="50"/>
      <x:c r="Q83" s="50"/>
      <x:c r="R83" s="50"/>
      <x:c r="S83" s="37"/>
      <x:c r="T83" s="37"/>
      <x:c r="U83" s="37"/>
      <x:c r="V83" s="65" t="str">
        <x:f>IF($A83="","",MIN(20,MAX(0,$I83*2)))</x:f>
      </x:c>
      <x:c r="W83" s="65" t="str">
        <x:f>IF($A83="","",(($L83+$M83)/10)*20)</x:f>
      </x:c>
      <x:c r="X83" s="65" t="str">
        <x:f>IF($A83="","",IF($E83&gt;=1000,10,IF($E83&gt;=300,8,IF($E83&gt;=100,6,IF($E83&gt;=30,4,IF($E83&gt;0,2,0)))))+IF($F83&gt;=2,5,IF($F83&gt;=1,4,IF($F83&gt;=0.3,3,IF($F83&gt;0,2,0)))))</x:f>
      </x:c>
      <x:c r="Y83" s="65" t="str">
        <x:f>IF($A83="","",IF($G83&lt;=20,15,IF($G83&lt;=35,12,IF($G83&lt;=50,9,IF($G83&lt;=65,6,IF($G83&lt;=80,3,1))))))</x:f>
      </x:c>
      <x:c r="Z83" s="65" t="str">
        <x:f>IF($A83="","",(($N83+$O83)/10)*15)</x:f>
      </x:c>
      <x:c r="AA83" s="65" t="str">
        <x:f>IF($A83="","",(($P83+$Q83)/10)*10)</x:f>
      </x:c>
      <x:c r="AB83" s="65" t="str">
        <x:f>IF($A83="","",$R83)</x:f>
      </x:c>
      <x:c r="AC83" s="65" t="str">
        <x:f>IF($A83="","",SUM($V83:$AB83))</x:f>
      </x:c>
      <x:c r="AD83" s="71" t="str">
        <x:f>IF($A83="","",IF($AC83&gt;=75,"P0",IF($AC83&gt;=60,"P1",IF($AC83&gt;=45,"P2","P3"))))</x:f>
      </x:c>
      <x:c r="AE83" s="71" t="str">
        <x:f>IF($A83="","",IF($AC83&gt;=75,"立即写独立文章",IF($AC83&gt;=60,"排入本批内容日历",IF($AC83&gt;=45,"先做FAQ/段落或低优先文章","不单独写，合并到商业页/FAQ"))))</x:f>
      </x:c>
      <x:c r="AF83" s="37" t="str">
        <x:f>IF($A83="","",$K83&amp;" | 父级页: "&amp;$C83&amp;" | 目标URL: "&amp;$T83&amp;" | 必补: 竞品结构+原创证据+对比表+FAQ+内链CTA")</x:f>
      </x:c>
      <x:c r="AG83" s="80" t="str">
        <x:f>IF($A83="","",IF($I83&lt;4,"SERP不支持文章，优先做商业页/FAQ",IF($L83&lt;3,"产品相关弱，谨慎写",IF($N83&lt;3,"证据不足，容易变AI水文",IF($G83&gt;70,"难度偏高，需要更强外链/权威",IF($Q83&lt;3,"内链弱，先补主题簇","可进入规划"))))))</x:f>
      </x:c>
    </x:row>
    <x:row r="84">
      <x:c r="A84" s="79"/>
      <x:c r="B84" s="37"/>
      <x:c r="C84" s="37"/>
      <x:c r="D84" s="37"/>
      <x:c r="E84" s="59"/>
      <x:c r="F84" s="62"/>
      <x:c r="G84" s="50"/>
      <x:c r="H84" s="50"/>
      <x:c r="I84" s="50"/>
      <x:c r="J84" s="37"/>
      <x:c r="K84" s="37"/>
      <x:c r="L84" s="50"/>
      <x:c r="M84" s="50"/>
      <x:c r="N84" s="50"/>
      <x:c r="O84" s="50"/>
      <x:c r="P84" s="50"/>
      <x:c r="Q84" s="50"/>
      <x:c r="R84" s="50"/>
      <x:c r="S84" s="37"/>
      <x:c r="T84" s="37"/>
      <x:c r="U84" s="37"/>
      <x:c r="V84" s="65" t="str">
        <x:f>IF($A84="","",MIN(20,MAX(0,$I84*2)))</x:f>
      </x:c>
      <x:c r="W84" s="65" t="str">
        <x:f>IF($A84="","",(($L84+$M84)/10)*20)</x:f>
      </x:c>
      <x:c r="X84" s="65" t="str">
        <x:f>IF($A84="","",IF($E84&gt;=1000,10,IF($E84&gt;=300,8,IF($E84&gt;=100,6,IF($E84&gt;=30,4,IF($E84&gt;0,2,0)))))+IF($F84&gt;=2,5,IF($F84&gt;=1,4,IF($F84&gt;=0.3,3,IF($F84&gt;0,2,0)))))</x:f>
      </x:c>
      <x:c r="Y84" s="65" t="str">
        <x:f>IF($A84="","",IF($G84&lt;=20,15,IF($G84&lt;=35,12,IF($G84&lt;=50,9,IF($G84&lt;=65,6,IF($G84&lt;=80,3,1))))))</x:f>
      </x:c>
      <x:c r="Z84" s="65" t="str">
        <x:f>IF($A84="","",(($N84+$O84)/10)*15)</x:f>
      </x:c>
      <x:c r="AA84" s="65" t="str">
        <x:f>IF($A84="","",(($P84+$Q84)/10)*10)</x:f>
      </x:c>
      <x:c r="AB84" s="65" t="str">
        <x:f>IF($A84="","",$R84)</x:f>
      </x:c>
      <x:c r="AC84" s="65" t="str">
        <x:f>IF($A84="","",SUM($V84:$AB84))</x:f>
      </x:c>
      <x:c r="AD84" s="71" t="str">
        <x:f>IF($A84="","",IF($AC84&gt;=75,"P0",IF($AC84&gt;=60,"P1",IF($AC84&gt;=45,"P2","P3"))))</x:f>
      </x:c>
      <x:c r="AE84" s="71" t="str">
        <x:f>IF($A84="","",IF($AC84&gt;=75,"立即写独立文章",IF($AC84&gt;=60,"排入本批内容日历",IF($AC84&gt;=45,"先做FAQ/段落或低优先文章","不单独写，合并到商业页/FAQ"))))</x:f>
      </x:c>
      <x:c r="AF84" s="37" t="str">
        <x:f>IF($A84="","",$K84&amp;" | 父级页: "&amp;$C84&amp;" | 目标URL: "&amp;$T84&amp;" | 必补: 竞品结构+原创证据+对比表+FAQ+内链CTA")</x:f>
      </x:c>
      <x:c r="AG84" s="80" t="str">
        <x:f>IF($A84="","",IF($I84&lt;4,"SERP不支持文章，优先做商业页/FAQ",IF($L84&lt;3,"产品相关弱，谨慎写",IF($N84&lt;3,"证据不足，容易变AI水文",IF($G84&gt;70,"难度偏高，需要更强外链/权威",IF($Q84&lt;3,"内链弱，先补主题簇","可进入规划"))))))</x:f>
      </x:c>
    </x:row>
    <x:row r="85">
      <x:c r="A85" s="79"/>
      <x:c r="B85" s="37"/>
      <x:c r="C85" s="37"/>
      <x:c r="D85" s="37"/>
      <x:c r="E85" s="59"/>
      <x:c r="F85" s="62"/>
      <x:c r="G85" s="50"/>
      <x:c r="H85" s="50"/>
      <x:c r="I85" s="50"/>
      <x:c r="J85" s="37"/>
      <x:c r="K85" s="37"/>
      <x:c r="L85" s="50"/>
      <x:c r="M85" s="50"/>
      <x:c r="N85" s="50"/>
      <x:c r="O85" s="50"/>
      <x:c r="P85" s="50"/>
      <x:c r="Q85" s="50"/>
      <x:c r="R85" s="50"/>
      <x:c r="S85" s="37"/>
      <x:c r="T85" s="37"/>
      <x:c r="U85" s="37"/>
      <x:c r="V85" s="65" t="str">
        <x:f>IF($A85="","",MIN(20,MAX(0,$I85*2)))</x:f>
      </x:c>
      <x:c r="W85" s="65" t="str">
        <x:f>IF($A85="","",(($L85+$M85)/10)*20)</x:f>
      </x:c>
      <x:c r="X85" s="65" t="str">
        <x:f>IF($A85="","",IF($E85&gt;=1000,10,IF($E85&gt;=300,8,IF($E85&gt;=100,6,IF($E85&gt;=30,4,IF($E85&gt;0,2,0)))))+IF($F85&gt;=2,5,IF($F85&gt;=1,4,IF($F85&gt;=0.3,3,IF($F85&gt;0,2,0)))))</x:f>
      </x:c>
      <x:c r="Y85" s="65" t="str">
        <x:f>IF($A85="","",IF($G85&lt;=20,15,IF($G85&lt;=35,12,IF($G85&lt;=50,9,IF($G85&lt;=65,6,IF($G85&lt;=80,3,1))))))</x:f>
      </x:c>
      <x:c r="Z85" s="65" t="str">
        <x:f>IF($A85="","",(($N85+$O85)/10)*15)</x:f>
      </x:c>
      <x:c r="AA85" s="65" t="str">
        <x:f>IF($A85="","",(($P85+$Q85)/10)*10)</x:f>
      </x:c>
      <x:c r="AB85" s="65" t="str">
        <x:f>IF($A85="","",$R85)</x:f>
      </x:c>
      <x:c r="AC85" s="65" t="str">
        <x:f>IF($A85="","",SUM($V85:$AB85))</x:f>
      </x:c>
      <x:c r="AD85" s="71" t="str">
        <x:f>IF($A85="","",IF($AC85&gt;=75,"P0",IF($AC85&gt;=60,"P1",IF($AC85&gt;=45,"P2","P3"))))</x:f>
      </x:c>
      <x:c r="AE85" s="71" t="str">
        <x:f>IF($A85="","",IF($AC85&gt;=75,"立即写独立文章",IF($AC85&gt;=60,"排入本批内容日历",IF($AC85&gt;=45,"先做FAQ/段落或低优先文章","不单独写，合并到商业页/FAQ"))))</x:f>
      </x:c>
      <x:c r="AF85" s="37" t="str">
        <x:f>IF($A85="","",$K85&amp;" | 父级页: "&amp;$C85&amp;" | 目标URL: "&amp;$T85&amp;" | 必补: 竞品结构+原创证据+对比表+FAQ+内链CTA")</x:f>
      </x:c>
      <x:c r="AG85" s="80" t="str">
        <x:f>IF($A85="","",IF($I85&lt;4,"SERP不支持文章，优先做商业页/FAQ",IF($L85&lt;3,"产品相关弱，谨慎写",IF($N85&lt;3,"证据不足，容易变AI水文",IF($G85&gt;70,"难度偏高，需要更强外链/权威",IF($Q85&lt;3,"内链弱，先补主题簇","可进入规划"))))))</x:f>
      </x:c>
    </x:row>
    <x:row r="86">
      <x:c r="A86" s="79"/>
      <x:c r="B86" s="37"/>
      <x:c r="C86" s="37"/>
      <x:c r="D86" s="37"/>
      <x:c r="E86" s="59"/>
      <x:c r="F86" s="62"/>
      <x:c r="G86" s="50"/>
      <x:c r="H86" s="50"/>
      <x:c r="I86" s="50"/>
      <x:c r="J86" s="37"/>
      <x:c r="K86" s="37"/>
      <x:c r="L86" s="50"/>
      <x:c r="M86" s="50"/>
      <x:c r="N86" s="50"/>
      <x:c r="O86" s="50"/>
      <x:c r="P86" s="50"/>
      <x:c r="Q86" s="50"/>
      <x:c r="R86" s="50"/>
      <x:c r="S86" s="37"/>
      <x:c r="T86" s="37"/>
      <x:c r="U86" s="37"/>
      <x:c r="V86" s="65" t="str">
        <x:f>IF($A86="","",MIN(20,MAX(0,$I86*2)))</x:f>
      </x:c>
      <x:c r="W86" s="65" t="str">
        <x:f>IF($A86="","",(($L86+$M86)/10)*20)</x:f>
      </x:c>
      <x:c r="X86" s="65" t="str">
        <x:f>IF($A86="","",IF($E86&gt;=1000,10,IF($E86&gt;=300,8,IF($E86&gt;=100,6,IF($E86&gt;=30,4,IF($E86&gt;0,2,0)))))+IF($F86&gt;=2,5,IF($F86&gt;=1,4,IF($F86&gt;=0.3,3,IF($F86&gt;0,2,0)))))</x:f>
      </x:c>
      <x:c r="Y86" s="65" t="str">
        <x:f>IF($A86="","",IF($G86&lt;=20,15,IF($G86&lt;=35,12,IF($G86&lt;=50,9,IF($G86&lt;=65,6,IF($G86&lt;=80,3,1))))))</x:f>
      </x:c>
      <x:c r="Z86" s="65" t="str">
        <x:f>IF($A86="","",(($N86+$O86)/10)*15)</x:f>
      </x:c>
      <x:c r="AA86" s="65" t="str">
        <x:f>IF($A86="","",(($P86+$Q86)/10)*10)</x:f>
      </x:c>
      <x:c r="AB86" s="65" t="str">
        <x:f>IF($A86="","",$R86)</x:f>
      </x:c>
      <x:c r="AC86" s="65" t="str">
        <x:f>IF($A86="","",SUM($V86:$AB86))</x:f>
      </x:c>
      <x:c r="AD86" s="71" t="str">
        <x:f>IF($A86="","",IF($AC86&gt;=75,"P0",IF($AC86&gt;=60,"P1",IF($AC86&gt;=45,"P2","P3"))))</x:f>
      </x:c>
      <x:c r="AE86" s="71" t="str">
        <x:f>IF($A86="","",IF($AC86&gt;=75,"立即写独立文章",IF($AC86&gt;=60,"排入本批内容日历",IF($AC86&gt;=45,"先做FAQ/段落或低优先文章","不单独写，合并到商业页/FAQ"))))</x:f>
      </x:c>
      <x:c r="AF86" s="37" t="str">
        <x:f>IF($A86="","",$K86&amp;" | 父级页: "&amp;$C86&amp;" | 目标URL: "&amp;$T86&amp;" | 必补: 竞品结构+原创证据+对比表+FAQ+内链CTA")</x:f>
      </x:c>
      <x:c r="AG86" s="80" t="str">
        <x:f>IF($A86="","",IF($I86&lt;4,"SERP不支持文章，优先做商业页/FAQ",IF($L86&lt;3,"产品相关弱，谨慎写",IF($N86&lt;3,"证据不足，容易变AI水文",IF($G86&gt;70,"难度偏高，需要更强外链/权威",IF($Q86&lt;3,"内链弱，先补主题簇","可进入规划"))))))</x:f>
      </x:c>
    </x:row>
    <x:row r="87">
      <x:c r="A87" s="79"/>
      <x:c r="B87" s="37"/>
      <x:c r="C87" s="37"/>
      <x:c r="D87" s="37"/>
      <x:c r="E87" s="59"/>
      <x:c r="F87" s="62"/>
      <x:c r="G87" s="50"/>
      <x:c r="H87" s="50"/>
      <x:c r="I87" s="50"/>
      <x:c r="J87" s="37"/>
      <x:c r="K87" s="37"/>
      <x:c r="L87" s="50"/>
      <x:c r="M87" s="50"/>
      <x:c r="N87" s="50"/>
      <x:c r="O87" s="50"/>
      <x:c r="P87" s="50"/>
      <x:c r="Q87" s="50"/>
      <x:c r="R87" s="50"/>
      <x:c r="S87" s="37"/>
      <x:c r="T87" s="37"/>
      <x:c r="U87" s="37"/>
      <x:c r="V87" s="65" t="str">
        <x:f>IF($A87="","",MIN(20,MAX(0,$I87*2)))</x:f>
      </x:c>
      <x:c r="W87" s="65" t="str">
        <x:f>IF($A87="","",(($L87+$M87)/10)*20)</x:f>
      </x:c>
      <x:c r="X87" s="65" t="str">
        <x:f>IF($A87="","",IF($E87&gt;=1000,10,IF($E87&gt;=300,8,IF($E87&gt;=100,6,IF($E87&gt;=30,4,IF($E87&gt;0,2,0)))))+IF($F87&gt;=2,5,IF($F87&gt;=1,4,IF($F87&gt;=0.3,3,IF($F87&gt;0,2,0)))))</x:f>
      </x:c>
      <x:c r="Y87" s="65" t="str">
        <x:f>IF($A87="","",IF($G87&lt;=20,15,IF($G87&lt;=35,12,IF($G87&lt;=50,9,IF($G87&lt;=65,6,IF($G87&lt;=80,3,1))))))</x:f>
      </x:c>
      <x:c r="Z87" s="65" t="str">
        <x:f>IF($A87="","",(($N87+$O87)/10)*15)</x:f>
      </x:c>
      <x:c r="AA87" s="65" t="str">
        <x:f>IF($A87="","",(($P87+$Q87)/10)*10)</x:f>
      </x:c>
      <x:c r="AB87" s="65" t="str">
        <x:f>IF($A87="","",$R87)</x:f>
      </x:c>
      <x:c r="AC87" s="65" t="str">
        <x:f>IF($A87="","",SUM($V87:$AB87))</x:f>
      </x:c>
      <x:c r="AD87" s="71" t="str">
        <x:f>IF($A87="","",IF($AC87&gt;=75,"P0",IF($AC87&gt;=60,"P1",IF($AC87&gt;=45,"P2","P3"))))</x:f>
      </x:c>
      <x:c r="AE87" s="71" t="str">
        <x:f>IF($A87="","",IF($AC87&gt;=75,"立即写独立文章",IF($AC87&gt;=60,"排入本批内容日历",IF($AC87&gt;=45,"先做FAQ/段落或低优先文章","不单独写，合并到商业页/FAQ"))))</x:f>
      </x:c>
      <x:c r="AF87" s="37" t="str">
        <x:f>IF($A87="","",$K87&amp;" | 父级页: "&amp;$C87&amp;" | 目标URL: "&amp;$T87&amp;" | 必补: 竞品结构+原创证据+对比表+FAQ+内链CTA")</x:f>
      </x:c>
      <x:c r="AG87" s="80" t="str">
        <x:f>IF($A87="","",IF($I87&lt;4,"SERP不支持文章，优先做商业页/FAQ",IF($L87&lt;3,"产品相关弱，谨慎写",IF($N87&lt;3,"证据不足，容易变AI水文",IF($G87&gt;70,"难度偏高，需要更强外链/权威",IF($Q87&lt;3,"内链弱，先补主题簇","可进入规划"))))))</x:f>
      </x:c>
    </x:row>
    <x:row r="88">
      <x:c r="A88" s="79"/>
      <x:c r="B88" s="37"/>
      <x:c r="C88" s="37"/>
      <x:c r="D88" s="37"/>
      <x:c r="E88" s="59"/>
      <x:c r="F88" s="62"/>
      <x:c r="G88" s="50"/>
      <x:c r="H88" s="50"/>
      <x:c r="I88" s="50"/>
      <x:c r="J88" s="37"/>
      <x:c r="K88" s="37"/>
      <x:c r="L88" s="50"/>
      <x:c r="M88" s="50"/>
      <x:c r="N88" s="50"/>
      <x:c r="O88" s="50"/>
      <x:c r="P88" s="50"/>
      <x:c r="Q88" s="50"/>
      <x:c r="R88" s="50"/>
      <x:c r="S88" s="37"/>
      <x:c r="T88" s="37"/>
      <x:c r="U88" s="37"/>
      <x:c r="V88" s="65" t="str">
        <x:f>IF($A88="","",MIN(20,MAX(0,$I88*2)))</x:f>
      </x:c>
      <x:c r="W88" s="65" t="str">
        <x:f>IF($A88="","",(($L88+$M88)/10)*20)</x:f>
      </x:c>
      <x:c r="X88" s="65" t="str">
        <x:f>IF($A88="","",IF($E88&gt;=1000,10,IF($E88&gt;=300,8,IF($E88&gt;=100,6,IF($E88&gt;=30,4,IF($E88&gt;0,2,0)))))+IF($F88&gt;=2,5,IF($F88&gt;=1,4,IF($F88&gt;=0.3,3,IF($F88&gt;0,2,0)))))</x:f>
      </x:c>
      <x:c r="Y88" s="65" t="str">
        <x:f>IF($A88="","",IF($G88&lt;=20,15,IF($G88&lt;=35,12,IF($G88&lt;=50,9,IF($G88&lt;=65,6,IF($G88&lt;=80,3,1))))))</x:f>
      </x:c>
      <x:c r="Z88" s="65" t="str">
        <x:f>IF($A88="","",(($N88+$O88)/10)*15)</x:f>
      </x:c>
      <x:c r="AA88" s="65" t="str">
        <x:f>IF($A88="","",(($P88+$Q88)/10)*10)</x:f>
      </x:c>
      <x:c r="AB88" s="65" t="str">
        <x:f>IF($A88="","",$R88)</x:f>
      </x:c>
      <x:c r="AC88" s="65" t="str">
        <x:f>IF($A88="","",SUM($V88:$AB88))</x:f>
      </x:c>
      <x:c r="AD88" s="71" t="str">
        <x:f>IF($A88="","",IF($AC88&gt;=75,"P0",IF($AC88&gt;=60,"P1",IF($AC88&gt;=45,"P2","P3"))))</x:f>
      </x:c>
      <x:c r="AE88" s="71" t="str">
        <x:f>IF($A88="","",IF($AC88&gt;=75,"立即写独立文章",IF($AC88&gt;=60,"排入本批内容日历",IF($AC88&gt;=45,"先做FAQ/段落或低优先文章","不单独写，合并到商业页/FAQ"))))</x:f>
      </x:c>
      <x:c r="AF88" s="37" t="str">
        <x:f>IF($A88="","",$K88&amp;" | 父级页: "&amp;$C88&amp;" | 目标URL: "&amp;$T88&amp;" | 必补: 竞品结构+原创证据+对比表+FAQ+内链CTA")</x:f>
      </x:c>
      <x:c r="AG88" s="80" t="str">
        <x:f>IF($A88="","",IF($I88&lt;4,"SERP不支持文章，优先做商业页/FAQ",IF($L88&lt;3,"产品相关弱，谨慎写",IF($N88&lt;3,"证据不足，容易变AI水文",IF($G88&gt;70,"难度偏高，需要更强外链/权威",IF($Q88&lt;3,"内链弱，先补主题簇","可进入规划"))))))</x:f>
      </x:c>
    </x:row>
    <x:row r="89">
      <x:c r="A89" s="79"/>
      <x:c r="B89" s="37"/>
      <x:c r="C89" s="37"/>
      <x:c r="D89" s="37"/>
      <x:c r="E89" s="59"/>
      <x:c r="F89" s="62"/>
      <x:c r="G89" s="50"/>
      <x:c r="H89" s="50"/>
      <x:c r="I89" s="50"/>
      <x:c r="J89" s="37"/>
      <x:c r="K89" s="37"/>
      <x:c r="L89" s="50"/>
      <x:c r="M89" s="50"/>
      <x:c r="N89" s="50"/>
      <x:c r="O89" s="50"/>
      <x:c r="P89" s="50"/>
      <x:c r="Q89" s="50"/>
      <x:c r="R89" s="50"/>
      <x:c r="S89" s="37"/>
      <x:c r="T89" s="37"/>
      <x:c r="U89" s="37"/>
      <x:c r="V89" s="65" t="str">
        <x:f>IF($A89="","",MIN(20,MAX(0,$I89*2)))</x:f>
      </x:c>
      <x:c r="W89" s="65" t="str">
        <x:f>IF($A89="","",(($L89+$M89)/10)*20)</x:f>
      </x:c>
      <x:c r="X89" s="65" t="str">
        <x:f>IF($A89="","",IF($E89&gt;=1000,10,IF($E89&gt;=300,8,IF($E89&gt;=100,6,IF($E89&gt;=30,4,IF($E89&gt;0,2,0)))))+IF($F89&gt;=2,5,IF($F89&gt;=1,4,IF($F89&gt;=0.3,3,IF($F89&gt;0,2,0)))))</x:f>
      </x:c>
      <x:c r="Y89" s="65" t="str">
        <x:f>IF($A89="","",IF($G89&lt;=20,15,IF($G89&lt;=35,12,IF($G89&lt;=50,9,IF($G89&lt;=65,6,IF($G89&lt;=80,3,1))))))</x:f>
      </x:c>
      <x:c r="Z89" s="65" t="str">
        <x:f>IF($A89="","",(($N89+$O89)/10)*15)</x:f>
      </x:c>
      <x:c r="AA89" s="65" t="str">
        <x:f>IF($A89="","",(($P89+$Q89)/10)*10)</x:f>
      </x:c>
      <x:c r="AB89" s="65" t="str">
        <x:f>IF($A89="","",$R89)</x:f>
      </x:c>
      <x:c r="AC89" s="65" t="str">
        <x:f>IF($A89="","",SUM($V89:$AB89))</x:f>
      </x:c>
      <x:c r="AD89" s="71" t="str">
        <x:f>IF($A89="","",IF($AC89&gt;=75,"P0",IF($AC89&gt;=60,"P1",IF($AC89&gt;=45,"P2","P3"))))</x:f>
      </x:c>
      <x:c r="AE89" s="71" t="str">
        <x:f>IF($A89="","",IF($AC89&gt;=75,"立即写独立文章",IF($AC89&gt;=60,"排入本批内容日历",IF($AC89&gt;=45,"先做FAQ/段落或低优先文章","不单独写，合并到商业页/FAQ"))))</x:f>
      </x:c>
      <x:c r="AF89" s="37" t="str">
        <x:f>IF($A89="","",$K89&amp;" | 父级页: "&amp;$C89&amp;" | 目标URL: "&amp;$T89&amp;" | 必补: 竞品结构+原创证据+对比表+FAQ+内链CTA")</x:f>
      </x:c>
      <x:c r="AG89" s="80" t="str">
        <x:f>IF($A89="","",IF($I89&lt;4,"SERP不支持文章，优先做商业页/FAQ",IF($L89&lt;3,"产品相关弱，谨慎写",IF($N89&lt;3,"证据不足，容易变AI水文",IF($G89&gt;70,"难度偏高，需要更强外链/权威",IF($Q89&lt;3,"内链弱，先补主题簇","可进入规划"))))))</x:f>
      </x:c>
    </x:row>
    <x:row r="90">
      <x:c r="A90" s="79"/>
      <x:c r="B90" s="37"/>
      <x:c r="C90" s="37"/>
      <x:c r="D90" s="37"/>
      <x:c r="E90" s="59"/>
      <x:c r="F90" s="62"/>
      <x:c r="G90" s="50"/>
      <x:c r="H90" s="50"/>
      <x:c r="I90" s="50"/>
      <x:c r="J90" s="37"/>
      <x:c r="K90" s="37"/>
      <x:c r="L90" s="50"/>
      <x:c r="M90" s="50"/>
      <x:c r="N90" s="50"/>
      <x:c r="O90" s="50"/>
      <x:c r="P90" s="50"/>
      <x:c r="Q90" s="50"/>
      <x:c r="R90" s="50"/>
      <x:c r="S90" s="37"/>
      <x:c r="T90" s="37"/>
      <x:c r="U90" s="37"/>
      <x:c r="V90" s="65" t="str">
        <x:f>IF($A90="","",MIN(20,MAX(0,$I90*2)))</x:f>
      </x:c>
      <x:c r="W90" s="65" t="str">
        <x:f>IF($A90="","",(($L90+$M90)/10)*20)</x:f>
      </x:c>
      <x:c r="X90" s="65" t="str">
        <x:f>IF($A90="","",IF($E90&gt;=1000,10,IF($E90&gt;=300,8,IF($E90&gt;=100,6,IF($E90&gt;=30,4,IF($E90&gt;0,2,0)))))+IF($F90&gt;=2,5,IF($F90&gt;=1,4,IF($F90&gt;=0.3,3,IF($F90&gt;0,2,0)))))</x:f>
      </x:c>
      <x:c r="Y90" s="65" t="str">
        <x:f>IF($A90="","",IF($G90&lt;=20,15,IF($G90&lt;=35,12,IF($G90&lt;=50,9,IF($G90&lt;=65,6,IF($G90&lt;=80,3,1))))))</x:f>
      </x:c>
      <x:c r="Z90" s="65" t="str">
        <x:f>IF($A90="","",(($N90+$O90)/10)*15)</x:f>
      </x:c>
      <x:c r="AA90" s="65" t="str">
        <x:f>IF($A90="","",(($P90+$Q90)/10)*10)</x:f>
      </x:c>
      <x:c r="AB90" s="65" t="str">
        <x:f>IF($A90="","",$R90)</x:f>
      </x:c>
      <x:c r="AC90" s="65" t="str">
        <x:f>IF($A90="","",SUM($V90:$AB90))</x:f>
      </x:c>
      <x:c r="AD90" s="71" t="str">
        <x:f>IF($A90="","",IF($AC90&gt;=75,"P0",IF($AC90&gt;=60,"P1",IF($AC90&gt;=45,"P2","P3"))))</x:f>
      </x:c>
      <x:c r="AE90" s="71" t="str">
        <x:f>IF($A90="","",IF($AC90&gt;=75,"立即写独立文章",IF($AC90&gt;=60,"排入本批内容日历",IF($AC90&gt;=45,"先做FAQ/段落或低优先文章","不单独写，合并到商业页/FAQ"))))</x:f>
      </x:c>
      <x:c r="AF90" s="37" t="str">
        <x:f>IF($A90="","",$K90&amp;" | 父级页: "&amp;$C90&amp;" | 目标URL: "&amp;$T90&amp;" | 必补: 竞品结构+原创证据+对比表+FAQ+内链CTA")</x:f>
      </x:c>
      <x:c r="AG90" s="80" t="str">
        <x:f>IF($A90="","",IF($I90&lt;4,"SERP不支持文章，优先做商业页/FAQ",IF($L90&lt;3,"产品相关弱，谨慎写",IF($N90&lt;3,"证据不足，容易变AI水文",IF($G90&gt;70,"难度偏高，需要更强外链/权威",IF($Q90&lt;3,"内链弱，先补主题簇","可进入规划"))))))</x:f>
      </x:c>
    </x:row>
    <x:row r="91">
      <x:c r="A91" s="79"/>
      <x:c r="B91" s="37"/>
      <x:c r="C91" s="37"/>
      <x:c r="D91" s="37"/>
      <x:c r="E91" s="59"/>
      <x:c r="F91" s="62"/>
      <x:c r="G91" s="50"/>
      <x:c r="H91" s="50"/>
      <x:c r="I91" s="50"/>
      <x:c r="J91" s="37"/>
      <x:c r="K91" s="37"/>
      <x:c r="L91" s="50"/>
      <x:c r="M91" s="50"/>
      <x:c r="N91" s="50"/>
      <x:c r="O91" s="50"/>
      <x:c r="P91" s="50"/>
      <x:c r="Q91" s="50"/>
      <x:c r="R91" s="50"/>
      <x:c r="S91" s="37"/>
      <x:c r="T91" s="37"/>
      <x:c r="U91" s="37"/>
      <x:c r="V91" s="65" t="str">
        <x:f>IF($A91="","",MIN(20,MAX(0,$I91*2)))</x:f>
      </x:c>
      <x:c r="W91" s="65" t="str">
        <x:f>IF($A91="","",(($L91+$M91)/10)*20)</x:f>
      </x:c>
      <x:c r="X91" s="65" t="str">
        <x:f>IF($A91="","",IF($E91&gt;=1000,10,IF($E91&gt;=300,8,IF($E91&gt;=100,6,IF($E91&gt;=30,4,IF($E91&gt;0,2,0)))))+IF($F91&gt;=2,5,IF($F91&gt;=1,4,IF($F91&gt;=0.3,3,IF($F91&gt;0,2,0)))))</x:f>
      </x:c>
      <x:c r="Y91" s="65" t="str">
        <x:f>IF($A91="","",IF($G91&lt;=20,15,IF($G91&lt;=35,12,IF($G91&lt;=50,9,IF($G91&lt;=65,6,IF($G91&lt;=80,3,1))))))</x:f>
      </x:c>
      <x:c r="Z91" s="65" t="str">
        <x:f>IF($A91="","",(($N91+$O91)/10)*15)</x:f>
      </x:c>
      <x:c r="AA91" s="65" t="str">
        <x:f>IF($A91="","",(($P91+$Q91)/10)*10)</x:f>
      </x:c>
      <x:c r="AB91" s="65" t="str">
        <x:f>IF($A91="","",$R91)</x:f>
      </x:c>
      <x:c r="AC91" s="65" t="str">
        <x:f>IF($A91="","",SUM($V91:$AB91))</x:f>
      </x:c>
      <x:c r="AD91" s="71" t="str">
        <x:f>IF($A91="","",IF($AC91&gt;=75,"P0",IF($AC91&gt;=60,"P1",IF($AC91&gt;=45,"P2","P3"))))</x:f>
      </x:c>
      <x:c r="AE91" s="71" t="str">
        <x:f>IF($A91="","",IF($AC91&gt;=75,"立即写独立文章",IF($AC91&gt;=60,"排入本批内容日历",IF($AC91&gt;=45,"先做FAQ/段落或低优先文章","不单独写，合并到商业页/FAQ"))))</x:f>
      </x:c>
      <x:c r="AF91" s="37" t="str">
        <x:f>IF($A91="","",$K91&amp;" | 父级页: "&amp;$C91&amp;" | 目标URL: "&amp;$T91&amp;" | 必补: 竞品结构+原创证据+对比表+FAQ+内链CTA")</x:f>
      </x:c>
      <x:c r="AG91" s="80" t="str">
        <x:f>IF($A91="","",IF($I91&lt;4,"SERP不支持文章，优先做商业页/FAQ",IF($L91&lt;3,"产品相关弱，谨慎写",IF($N91&lt;3,"证据不足，容易变AI水文",IF($G91&gt;70,"难度偏高，需要更强外链/权威",IF($Q91&lt;3,"内链弱，先补主题簇","可进入规划"))))))</x:f>
      </x:c>
    </x:row>
    <x:row r="92">
      <x:c r="A92" s="79"/>
      <x:c r="B92" s="37"/>
      <x:c r="C92" s="37"/>
      <x:c r="D92" s="37"/>
      <x:c r="E92" s="59"/>
      <x:c r="F92" s="62"/>
      <x:c r="G92" s="50"/>
      <x:c r="H92" s="50"/>
      <x:c r="I92" s="50"/>
      <x:c r="J92" s="37"/>
      <x:c r="K92" s="37"/>
      <x:c r="L92" s="50"/>
      <x:c r="M92" s="50"/>
      <x:c r="N92" s="50"/>
      <x:c r="O92" s="50"/>
      <x:c r="P92" s="50"/>
      <x:c r="Q92" s="50"/>
      <x:c r="R92" s="50"/>
      <x:c r="S92" s="37"/>
      <x:c r="T92" s="37"/>
      <x:c r="U92" s="37"/>
      <x:c r="V92" s="65" t="str">
        <x:f>IF($A92="","",MIN(20,MAX(0,$I92*2)))</x:f>
      </x:c>
      <x:c r="W92" s="65" t="str">
        <x:f>IF($A92="","",(($L92+$M92)/10)*20)</x:f>
      </x:c>
      <x:c r="X92" s="65" t="str">
        <x:f>IF($A92="","",IF($E92&gt;=1000,10,IF($E92&gt;=300,8,IF($E92&gt;=100,6,IF($E92&gt;=30,4,IF($E92&gt;0,2,0)))))+IF($F92&gt;=2,5,IF($F92&gt;=1,4,IF($F92&gt;=0.3,3,IF($F92&gt;0,2,0)))))</x:f>
      </x:c>
      <x:c r="Y92" s="65" t="str">
        <x:f>IF($A92="","",IF($G92&lt;=20,15,IF($G92&lt;=35,12,IF($G92&lt;=50,9,IF($G92&lt;=65,6,IF($G92&lt;=80,3,1))))))</x:f>
      </x:c>
      <x:c r="Z92" s="65" t="str">
        <x:f>IF($A92="","",(($N92+$O92)/10)*15)</x:f>
      </x:c>
      <x:c r="AA92" s="65" t="str">
        <x:f>IF($A92="","",(($P92+$Q92)/10)*10)</x:f>
      </x:c>
      <x:c r="AB92" s="65" t="str">
        <x:f>IF($A92="","",$R92)</x:f>
      </x:c>
      <x:c r="AC92" s="65" t="str">
        <x:f>IF($A92="","",SUM($V92:$AB92))</x:f>
      </x:c>
      <x:c r="AD92" s="71" t="str">
        <x:f>IF($A92="","",IF($AC92&gt;=75,"P0",IF($AC92&gt;=60,"P1",IF($AC92&gt;=45,"P2","P3"))))</x:f>
      </x:c>
      <x:c r="AE92" s="71" t="str">
        <x:f>IF($A92="","",IF($AC92&gt;=75,"立即写独立文章",IF($AC92&gt;=60,"排入本批内容日历",IF($AC92&gt;=45,"先做FAQ/段落或低优先文章","不单独写，合并到商业页/FAQ"))))</x:f>
      </x:c>
      <x:c r="AF92" s="37" t="str">
        <x:f>IF($A92="","",$K92&amp;" | 父级页: "&amp;$C92&amp;" | 目标URL: "&amp;$T92&amp;" | 必补: 竞品结构+原创证据+对比表+FAQ+内链CTA")</x:f>
      </x:c>
      <x:c r="AG92" s="80" t="str">
        <x:f>IF($A92="","",IF($I92&lt;4,"SERP不支持文章，优先做商业页/FAQ",IF($L92&lt;3,"产品相关弱，谨慎写",IF($N92&lt;3,"证据不足，容易变AI水文",IF($G92&gt;70,"难度偏高，需要更强外链/权威",IF($Q92&lt;3,"内链弱，先补主题簇","可进入规划"))))))</x:f>
      </x:c>
    </x:row>
    <x:row r="93">
      <x:c r="A93" s="79"/>
      <x:c r="B93" s="37"/>
      <x:c r="C93" s="37"/>
      <x:c r="D93" s="37"/>
      <x:c r="E93" s="59"/>
      <x:c r="F93" s="62"/>
      <x:c r="G93" s="50"/>
      <x:c r="H93" s="50"/>
      <x:c r="I93" s="50"/>
      <x:c r="J93" s="37"/>
      <x:c r="K93" s="37"/>
      <x:c r="L93" s="50"/>
      <x:c r="M93" s="50"/>
      <x:c r="N93" s="50"/>
      <x:c r="O93" s="50"/>
      <x:c r="P93" s="50"/>
      <x:c r="Q93" s="50"/>
      <x:c r="R93" s="50"/>
      <x:c r="S93" s="37"/>
      <x:c r="T93" s="37"/>
      <x:c r="U93" s="37"/>
      <x:c r="V93" s="65" t="str">
        <x:f>IF($A93="","",MIN(20,MAX(0,$I93*2)))</x:f>
      </x:c>
      <x:c r="W93" s="65" t="str">
        <x:f>IF($A93="","",(($L93+$M93)/10)*20)</x:f>
      </x:c>
      <x:c r="X93" s="65" t="str">
        <x:f>IF($A93="","",IF($E93&gt;=1000,10,IF($E93&gt;=300,8,IF($E93&gt;=100,6,IF($E93&gt;=30,4,IF($E93&gt;0,2,0)))))+IF($F93&gt;=2,5,IF($F93&gt;=1,4,IF($F93&gt;=0.3,3,IF($F93&gt;0,2,0)))))</x:f>
      </x:c>
      <x:c r="Y93" s="65" t="str">
        <x:f>IF($A93="","",IF($G93&lt;=20,15,IF($G93&lt;=35,12,IF($G93&lt;=50,9,IF($G93&lt;=65,6,IF($G93&lt;=80,3,1))))))</x:f>
      </x:c>
      <x:c r="Z93" s="65" t="str">
        <x:f>IF($A93="","",(($N93+$O93)/10)*15)</x:f>
      </x:c>
      <x:c r="AA93" s="65" t="str">
        <x:f>IF($A93="","",(($P93+$Q93)/10)*10)</x:f>
      </x:c>
      <x:c r="AB93" s="65" t="str">
        <x:f>IF($A93="","",$R93)</x:f>
      </x:c>
      <x:c r="AC93" s="65" t="str">
        <x:f>IF($A93="","",SUM($V93:$AB93))</x:f>
      </x:c>
      <x:c r="AD93" s="71" t="str">
        <x:f>IF($A93="","",IF($AC93&gt;=75,"P0",IF($AC93&gt;=60,"P1",IF($AC93&gt;=45,"P2","P3"))))</x:f>
      </x:c>
      <x:c r="AE93" s="71" t="str">
        <x:f>IF($A93="","",IF($AC93&gt;=75,"立即写独立文章",IF($AC93&gt;=60,"排入本批内容日历",IF($AC93&gt;=45,"先做FAQ/段落或低优先文章","不单独写，合并到商业页/FAQ"))))</x:f>
      </x:c>
      <x:c r="AF93" s="37" t="str">
        <x:f>IF($A93="","",$K93&amp;" | 父级页: "&amp;$C93&amp;" | 目标URL: "&amp;$T93&amp;" | 必补: 竞品结构+原创证据+对比表+FAQ+内链CTA")</x:f>
      </x:c>
      <x:c r="AG93" s="80" t="str">
        <x:f>IF($A93="","",IF($I93&lt;4,"SERP不支持文章，优先做商业页/FAQ",IF($L93&lt;3,"产品相关弱，谨慎写",IF($N93&lt;3,"证据不足，容易变AI水文",IF($G93&gt;70,"难度偏高，需要更强外链/权威",IF($Q93&lt;3,"内链弱，先补主题簇","可进入规划"))))))</x:f>
      </x:c>
    </x:row>
    <x:row r="94">
      <x:c r="A94" s="79"/>
      <x:c r="B94" s="37"/>
      <x:c r="C94" s="37"/>
      <x:c r="D94" s="37"/>
      <x:c r="E94" s="59"/>
      <x:c r="F94" s="62"/>
      <x:c r="G94" s="50"/>
      <x:c r="H94" s="50"/>
      <x:c r="I94" s="50"/>
      <x:c r="J94" s="37"/>
      <x:c r="K94" s="37"/>
      <x:c r="L94" s="50"/>
      <x:c r="M94" s="50"/>
      <x:c r="N94" s="50"/>
      <x:c r="O94" s="50"/>
      <x:c r="P94" s="50"/>
      <x:c r="Q94" s="50"/>
      <x:c r="R94" s="50"/>
      <x:c r="S94" s="37"/>
      <x:c r="T94" s="37"/>
      <x:c r="U94" s="37"/>
      <x:c r="V94" s="65" t="str">
        <x:f>IF($A94="","",MIN(20,MAX(0,$I94*2)))</x:f>
      </x:c>
      <x:c r="W94" s="65" t="str">
        <x:f>IF($A94="","",(($L94+$M94)/10)*20)</x:f>
      </x:c>
      <x:c r="X94" s="65" t="str">
        <x:f>IF($A94="","",IF($E94&gt;=1000,10,IF($E94&gt;=300,8,IF($E94&gt;=100,6,IF($E94&gt;=30,4,IF($E94&gt;0,2,0)))))+IF($F94&gt;=2,5,IF($F94&gt;=1,4,IF($F94&gt;=0.3,3,IF($F94&gt;0,2,0)))))</x:f>
      </x:c>
      <x:c r="Y94" s="65" t="str">
        <x:f>IF($A94="","",IF($G94&lt;=20,15,IF($G94&lt;=35,12,IF($G94&lt;=50,9,IF($G94&lt;=65,6,IF($G94&lt;=80,3,1))))))</x:f>
      </x:c>
      <x:c r="Z94" s="65" t="str">
        <x:f>IF($A94="","",(($N94+$O94)/10)*15)</x:f>
      </x:c>
      <x:c r="AA94" s="65" t="str">
        <x:f>IF($A94="","",(($P94+$Q94)/10)*10)</x:f>
      </x:c>
      <x:c r="AB94" s="65" t="str">
        <x:f>IF($A94="","",$R94)</x:f>
      </x:c>
      <x:c r="AC94" s="65" t="str">
        <x:f>IF($A94="","",SUM($V94:$AB94))</x:f>
      </x:c>
      <x:c r="AD94" s="71" t="str">
        <x:f>IF($A94="","",IF($AC94&gt;=75,"P0",IF($AC94&gt;=60,"P1",IF($AC94&gt;=45,"P2","P3"))))</x:f>
      </x:c>
      <x:c r="AE94" s="71" t="str">
        <x:f>IF($A94="","",IF($AC94&gt;=75,"立即写独立文章",IF($AC94&gt;=60,"排入本批内容日历",IF($AC94&gt;=45,"先做FAQ/段落或低优先文章","不单独写，合并到商业页/FAQ"))))</x:f>
      </x:c>
      <x:c r="AF94" s="37" t="str">
        <x:f>IF($A94="","",$K94&amp;" | 父级页: "&amp;$C94&amp;" | 目标URL: "&amp;$T94&amp;" | 必补: 竞品结构+原创证据+对比表+FAQ+内链CTA")</x:f>
      </x:c>
      <x:c r="AG94" s="80" t="str">
        <x:f>IF($A94="","",IF($I94&lt;4,"SERP不支持文章，优先做商业页/FAQ",IF($L94&lt;3,"产品相关弱，谨慎写",IF($N94&lt;3,"证据不足，容易变AI水文",IF($G94&gt;70,"难度偏高，需要更强外链/权威",IF($Q94&lt;3,"内链弱，先补主题簇","可进入规划"))))))</x:f>
      </x:c>
    </x:row>
    <x:row r="95">
      <x:c r="A95" s="79"/>
      <x:c r="B95" s="37"/>
      <x:c r="C95" s="37"/>
      <x:c r="D95" s="37"/>
      <x:c r="E95" s="59"/>
      <x:c r="F95" s="62"/>
      <x:c r="G95" s="50"/>
      <x:c r="H95" s="50"/>
      <x:c r="I95" s="50"/>
      <x:c r="J95" s="37"/>
      <x:c r="K95" s="37"/>
      <x:c r="L95" s="50"/>
      <x:c r="M95" s="50"/>
      <x:c r="N95" s="50"/>
      <x:c r="O95" s="50"/>
      <x:c r="P95" s="50"/>
      <x:c r="Q95" s="50"/>
      <x:c r="R95" s="50"/>
      <x:c r="S95" s="37"/>
      <x:c r="T95" s="37"/>
      <x:c r="U95" s="37"/>
      <x:c r="V95" s="65" t="str">
        <x:f>IF($A95="","",MIN(20,MAX(0,$I95*2)))</x:f>
      </x:c>
      <x:c r="W95" s="65" t="str">
        <x:f>IF($A95="","",(($L95+$M95)/10)*20)</x:f>
      </x:c>
      <x:c r="X95" s="65" t="str">
        <x:f>IF($A95="","",IF($E95&gt;=1000,10,IF($E95&gt;=300,8,IF($E95&gt;=100,6,IF($E95&gt;=30,4,IF($E95&gt;0,2,0)))))+IF($F95&gt;=2,5,IF($F95&gt;=1,4,IF($F95&gt;=0.3,3,IF($F95&gt;0,2,0)))))</x:f>
      </x:c>
      <x:c r="Y95" s="65" t="str">
        <x:f>IF($A95="","",IF($G95&lt;=20,15,IF($G95&lt;=35,12,IF($G95&lt;=50,9,IF($G95&lt;=65,6,IF($G95&lt;=80,3,1))))))</x:f>
      </x:c>
      <x:c r="Z95" s="65" t="str">
        <x:f>IF($A95="","",(($N95+$O95)/10)*15)</x:f>
      </x:c>
      <x:c r="AA95" s="65" t="str">
        <x:f>IF($A95="","",(($P95+$Q95)/10)*10)</x:f>
      </x:c>
      <x:c r="AB95" s="65" t="str">
        <x:f>IF($A95="","",$R95)</x:f>
      </x:c>
      <x:c r="AC95" s="65" t="str">
        <x:f>IF($A95="","",SUM($V95:$AB95))</x:f>
      </x:c>
      <x:c r="AD95" s="71" t="str">
        <x:f>IF($A95="","",IF($AC95&gt;=75,"P0",IF($AC95&gt;=60,"P1",IF($AC95&gt;=45,"P2","P3"))))</x:f>
      </x:c>
      <x:c r="AE95" s="71" t="str">
        <x:f>IF($A95="","",IF($AC95&gt;=75,"立即写独立文章",IF($AC95&gt;=60,"排入本批内容日历",IF($AC95&gt;=45,"先做FAQ/段落或低优先文章","不单独写，合并到商业页/FAQ"))))</x:f>
      </x:c>
      <x:c r="AF95" s="37" t="str">
        <x:f>IF($A95="","",$K95&amp;" | 父级页: "&amp;$C95&amp;" | 目标URL: "&amp;$T95&amp;" | 必补: 竞品结构+原创证据+对比表+FAQ+内链CTA")</x:f>
      </x:c>
      <x:c r="AG95" s="80" t="str">
        <x:f>IF($A95="","",IF($I95&lt;4,"SERP不支持文章，优先做商业页/FAQ",IF($L95&lt;3,"产品相关弱，谨慎写",IF($N95&lt;3,"证据不足，容易变AI水文",IF($G95&gt;70,"难度偏高，需要更强外链/权威",IF($Q95&lt;3,"内链弱，先补主题簇","可进入规划"))))))</x:f>
      </x:c>
    </x:row>
    <x:row r="96">
      <x:c r="A96" s="79"/>
      <x:c r="B96" s="37"/>
      <x:c r="C96" s="37"/>
      <x:c r="D96" s="37"/>
      <x:c r="E96" s="59"/>
      <x:c r="F96" s="62"/>
      <x:c r="G96" s="50"/>
      <x:c r="H96" s="50"/>
      <x:c r="I96" s="50"/>
      <x:c r="J96" s="37"/>
      <x:c r="K96" s="37"/>
      <x:c r="L96" s="50"/>
      <x:c r="M96" s="50"/>
      <x:c r="N96" s="50"/>
      <x:c r="O96" s="50"/>
      <x:c r="P96" s="50"/>
      <x:c r="Q96" s="50"/>
      <x:c r="R96" s="50"/>
      <x:c r="S96" s="37"/>
      <x:c r="T96" s="37"/>
      <x:c r="U96" s="37"/>
      <x:c r="V96" s="65" t="str">
        <x:f>IF($A96="","",MIN(20,MAX(0,$I96*2)))</x:f>
      </x:c>
      <x:c r="W96" s="65" t="str">
        <x:f>IF($A96="","",(($L96+$M96)/10)*20)</x:f>
      </x:c>
      <x:c r="X96" s="65" t="str">
        <x:f>IF($A96="","",IF($E96&gt;=1000,10,IF($E96&gt;=300,8,IF($E96&gt;=100,6,IF($E96&gt;=30,4,IF($E96&gt;0,2,0)))))+IF($F96&gt;=2,5,IF($F96&gt;=1,4,IF($F96&gt;=0.3,3,IF($F96&gt;0,2,0)))))</x:f>
      </x:c>
      <x:c r="Y96" s="65" t="str">
        <x:f>IF($A96="","",IF($G96&lt;=20,15,IF($G96&lt;=35,12,IF($G96&lt;=50,9,IF($G96&lt;=65,6,IF($G96&lt;=80,3,1))))))</x:f>
      </x:c>
      <x:c r="Z96" s="65" t="str">
        <x:f>IF($A96="","",(($N96+$O96)/10)*15)</x:f>
      </x:c>
      <x:c r="AA96" s="65" t="str">
        <x:f>IF($A96="","",(($P96+$Q96)/10)*10)</x:f>
      </x:c>
      <x:c r="AB96" s="65" t="str">
        <x:f>IF($A96="","",$R96)</x:f>
      </x:c>
      <x:c r="AC96" s="65" t="str">
        <x:f>IF($A96="","",SUM($V96:$AB96))</x:f>
      </x:c>
      <x:c r="AD96" s="71" t="str">
        <x:f>IF($A96="","",IF($AC96&gt;=75,"P0",IF($AC96&gt;=60,"P1",IF($AC96&gt;=45,"P2","P3"))))</x:f>
      </x:c>
      <x:c r="AE96" s="71" t="str">
        <x:f>IF($A96="","",IF($AC96&gt;=75,"立即写独立文章",IF($AC96&gt;=60,"排入本批内容日历",IF($AC96&gt;=45,"先做FAQ/段落或低优先文章","不单独写，合并到商业页/FAQ"))))</x:f>
      </x:c>
      <x:c r="AF96" s="37" t="str">
        <x:f>IF($A96="","",$K96&amp;" | 父级页: "&amp;$C96&amp;" | 目标URL: "&amp;$T96&amp;" | 必补: 竞品结构+原创证据+对比表+FAQ+内链CTA")</x:f>
      </x:c>
      <x:c r="AG96" s="80" t="str">
        <x:f>IF($A96="","",IF($I96&lt;4,"SERP不支持文章，优先做商业页/FAQ",IF($L96&lt;3,"产品相关弱，谨慎写",IF($N96&lt;3,"证据不足，容易变AI水文",IF($G96&gt;70,"难度偏高，需要更强外链/权威",IF($Q96&lt;3,"内链弱，先补主题簇","可进入规划"))))))</x:f>
      </x:c>
    </x:row>
    <x:row r="97">
      <x:c r="A97" s="79"/>
      <x:c r="B97" s="37"/>
      <x:c r="C97" s="37"/>
      <x:c r="D97" s="37"/>
      <x:c r="E97" s="59"/>
      <x:c r="F97" s="62"/>
      <x:c r="G97" s="50"/>
      <x:c r="H97" s="50"/>
      <x:c r="I97" s="50"/>
      <x:c r="J97" s="37"/>
      <x:c r="K97" s="37"/>
      <x:c r="L97" s="50"/>
      <x:c r="M97" s="50"/>
      <x:c r="N97" s="50"/>
      <x:c r="O97" s="50"/>
      <x:c r="P97" s="50"/>
      <x:c r="Q97" s="50"/>
      <x:c r="R97" s="50"/>
      <x:c r="S97" s="37"/>
      <x:c r="T97" s="37"/>
      <x:c r="U97" s="37"/>
      <x:c r="V97" s="65" t="str">
        <x:f>IF($A97="","",MIN(20,MAX(0,$I97*2)))</x:f>
      </x:c>
      <x:c r="W97" s="65" t="str">
        <x:f>IF($A97="","",(($L97+$M97)/10)*20)</x:f>
      </x:c>
      <x:c r="X97" s="65" t="str">
        <x:f>IF($A97="","",IF($E97&gt;=1000,10,IF($E97&gt;=300,8,IF($E97&gt;=100,6,IF($E97&gt;=30,4,IF($E97&gt;0,2,0)))))+IF($F97&gt;=2,5,IF($F97&gt;=1,4,IF($F97&gt;=0.3,3,IF($F97&gt;0,2,0)))))</x:f>
      </x:c>
      <x:c r="Y97" s="65" t="str">
        <x:f>IF($A97="","",IF($G97&lt;=20,15,IF($G97&lt;=35,12,IF($G97&lt;=50,9,IF($G97&lt;=65,6,IF($G97&lt;=80,3,1))))))</x:f>
      </x:c>
      <x:c r="Z97" s="65" t="str">
        <x:f>IF($A97="","",(($N97+$O97)/10)*15)</x:f>
      </x:c>
      <x:c r="AA97" s="65" t="str">
        <x:f>IF($A97="","",(($P97+$Q97)/10)*10)</x:f>
      </x:c>
      <x:c r="AB97" s="65" t="str">
        <x:f>IF($A97="","",$R97)</x:f>
      </x:c>
      <x:c r="AC97" s="65" t="str">
        <x:f>IF($A97="","",SUM($V97:$AB97))</x:f>
      </x:c>
      <x:c r="AD97" s="71" t="str">
        <x:f>IF($A97="","",IF($AC97&gt;=75,"P0",IF($AC97&gt;=60,"P1",IF($AC97&gt;=45,"P2","P3"))))</x:f>
      </x:c>
      <x:c r="AE97" s="71" t="str">
        <x:f>IF($A97="","",IF($AC97&gt;=75,"立即写独立文章",IF($AC97&gt;=60,"排入本批内容日历",IF($AC97&gt;=45,"先做FAQ/段落或低优先文章","不单独写，合并到商业页/FAQ"))))</x:f>
      </x:c>
      <x:c r="AF97" s="37" t="str">
        <x:f>IF($A97="","",$K97&amp;" | 父级页: "&amp;$C97&amp;" | 目标URL: "&amp;$T97&amp;" | 必补: 竞品结构+原创证据+对比表+FAQ+内链CTA")</x:f>
      </x:c>
      <x:c r="AG97" s="80" t="str">
        <x:f>IF($A97="","",IF($I97&lt;4,"SERP不支持文章，优先做商业页/FAQ",IF($L97&lt;3,"产品相关弱，谨慎写",IF($N97&lt;3,"证据不足，容易变AI水文",IF($G97&gt;70,"难度偏高，需要更强外链/权威",IF($Q97&lt;3,"内链弱，先补主题簇","可进入规划"))))))</x:f>
      </x:c>
    </x:row>
    <x:row r="98">
      <x:c r="A98" s="79"/>
      <x:c r="B98" s="37"/>
      <x:c r="C98" s="37"/>
      <x:c r="D98" s="37"/>
      <x:c r="E98" s="59"/>
      <x:c r="F98" s="62"/>
      <x:c r="G98" s="50"/>
      <x:c r="H98" s="50"/>
      <x:c r="I98" s="50"/>
      <x:c r="J98" s="37"/>
      <x:c r="K98" s="37"/>
      <x:c r="L98" s="50"/>
      <x:c r="M98" s="50"/>
      <x:c r="N98" s="50"/>
      <x:c r="O98" s="50"/>
      <x:c r="P98" s="50"/>
      <x:c r="Q98" s="50"/>
      <x:c r="R98" s="50"/>
      <x:c r="S98" s="37"/>
      <x:c r="T98" s="37"/>
      <x:c r="U98" s="37"/>
      <x:c r="V98" s="65" t="str">
        <x:f>IF($A98="","",MIN(20,MAX(0,$I98*2)))</x:f>
      </x:c>
      <x:c r="W98" s="65" t="str">
        <x:f>IF($A98="","",(($L98+$M98)/10)*20)</x:f>
      </x:c>
      <x:c r="X98" s="65" t="str">
        <x:f>IF($A98="","",IF($E98&gt;=1000,10,IF($E98&gt;=300,8,IF($E98&gt;=100,6,IF($E98&gt;=30,4,IF($E98&gt;0,2,0)))))+IF($F98&gt;=2,5,IF($F98&gt;=1,4,IF($F98&gt;=0.3,3,IF($F98&gt;0,2,0)))))</x:f>
      </x:c>
      <x:c r="Y98" s="65" t="str">
        <x:f>IF($A98="","",IF($G98&lt;=20,15,IF($G98&lt;=35,12,IF($G98&lt;=50,9,IF($G98&lt;=65,6,IF($G98&lt;=80,3,1))))))</x:f>
      </x:c>
      <x:c r="Z98" s="65" t="str">
        <x:f>IF($A98="","",(($N98+$O98)/10)*15)</x:f>
      </x:c>
      <x:c r="AA98" s="65" t="str">
        <x:f>IF($A98="","",(($P98+$Q98)/10)*10)</x:f>
      </x:c>
      <x:c r="AB98" s="65" t="str">
        <x:f>IF($A98="","",$R98)</x:f>
      </x:c>
      <x:c r="AC98" s="65" t="str">
        <x:f>IF($A98="","",SUM($V98:$AB98))</x:f>
      </x:c>
      <x:c r="AD98" s="71" t="str">
        <x:f>IF($A98="","",IF($AC98&gt;=75,"P0",IF($AC98&gt;=60,"P1",IF($AC98&gt;=45,"P2","P3"))))</x:f>
      </x:c>
      <x:c r="AE98" s="71" t="str">
        <x:f>IF($A98="","",IF($AC98&gt;=75,"立即写独立文章",IF($AC98&gt;=60,"排入本批内容日历",IF($AC98&gt;=45,"先做FAQ/段落或低优先文章","不单独写，合并到商业页/FAQ"))))</x:f>
      </x:c>
      <x:c r="AF98" s="37" t="str">
        <x:f>IF($A98="","",$K98&amp;" | 父级页: "&amp;$C98&amp;" | 目标URL: "&amp;$T98&amp;" | 必补: 竞品结构+原创证据+对比表+FAQ+内链CTA")</x:f>
      </x:c>
      <x:c r="AG98" s="80" t="str">
        <x:f>IF($A98="","",IF($I98&lt;4,"SERP不支持文章，优先做商业页/FAQ",IF($L98&lt;3,"产品相关弱，谨慎写",IF($N98&lt;3,"证据不足，容易变AI水文",IF($G98&gt;70,"难度偏高，需要更强外链/权威",IF($Q98&lt;3,"内链弱，先补主题簇","可进入规划"))))))</x:f>
      </x:c>
    </x:row>
    <x:row r="99">
      <x:c r="A99" s="79"/>
      <x:c r="B99" s="37"/>
      <x:c r="C99" s="37"/>
      <x:c r="D99" s="37"/>
      <x:c r="E99" s="59"/>
      <x:c r="F99" s="62"/>
      <x:c r="G99" s="50"/>
      <x:c r="H99" s="50"/>
      <x:c r="I99" s="50"/>
      <x:c r="J99" s="37"/>
      <x:c r="K99" s="37"/>
      <x:c r="L99" s="50"/>
      <x:c r="M99" s="50"/>
      <x:c r="N99" s="50"/>
      <x:c r="O99" s="50"/>
      <x:c r="P99" s="50"/>
      <x:c r="Q99" s="50"/>
      <x:c r="R99" s="50"/>
      <x:c r="S99" s="37"/>
      <x:c r="T99" s="37"/>
      <x:c r="U99" s="37"/>
      <x:c r="V99" s="65" t="str">
        <x:f>IF($A99="","",MIN(20,MAX(0,$I99*2)))</x:f>
      </x:c>
      <x:c r="W99" s="65" t="str">
        <x:f>IF($A99="","",(($L99+$M99)/10)*20)</x:f>
      </x:c>
      <x:c r="X99" s="65" t="str">
        <x:f>IF($A99="","",IF($E99&gt;=1000,10,IF($E99&gt;=300,8,IF($E99&gt;=100,6,IF($E99&gt;=30,4,IF($E99&gt;0,2,0)))))+IF($F99&gt;=2,5,IF($F99&gt;=1,4,IF($F99&gt;=0.3,3,IF($F99&gt;0,2,0)))))</x:f>
      </x:c>
      <x:c r="Y99" s="65" t="str">
        <x:f>IF($A99="","",IF($G99&lt;=20,15,IF($G99&lt;=35,12,IF($G99&lt;=50,9,IF($G99&lt;=65,6,IF($G99&lt;=80,3,1))))))</x:f>
      </x:c>
      <x:c r="Z99" s="65" t="str">
        <x:f>IF($A99="","",(($N99+$O99)/10)*15)</x:f>
      </x:c>
      <x:c r="AA99" s="65" t="str">
        <x:f>IF($A99="","",(($P99+$Q99)/10)*10)</x:f>
      </x:c>
      <x:c r="AB99" s="65" t="str">
        <x:f>IF($A99="","",$R99)</x:f>
      </x:c>
      <x:c r="AC99" s="65" t="str">
        <x:f>IF($A99="","",SUM($V99:$AB99))</x:f>
      </x:c>
      <x:c r="AD99" s="71" t="str">
        <x:f>IF($A99="","",IF($AC99&gt;=75,"P0",IF($AC99&gt;=60,"P1",IF($AC99&gt;=45,"P2","P3"))))</x:f>
      </x:c>
      <x:c r="AE99" s="71" t="str">
        <x:f>IF($A99="","",IF($AC99&gt;=75,"立即写独立文章",IF($AC99&gt;=60,"排入本批内容日历",IF($AC99&gt;=45,"先做FAQ/段落或低优先文章","不单独写，合并到商业页/FAQ"))))</x:f>
      </x:c>
      <x:c r="AF99" s="37" t="str">
        <x:f>IF($A99="","",$K99&amp;" | 父级页: "&amp;$C99&amp;" | 目标URL: "&amp;$T99&amp;" | 必补: 竞品结构+原创证据+对比表+FAQ+内链CTA")</x:f>
      </x:c>
      <x:c r="AG99" s="80" t="str">
        <x:f>IF($A99="","",IF($I99&lt;4,"SERP不支持文章，优先做商业页/FAQ",IF($L99&lt;3,"产品相关弱，谨慎写",IF($N99&lt;3,"证据不足，容易变AI水文",IF($G99&gt;70,"难度偏高，需要更强外链/权威",IF($Q99&lt;3,"内链弱，先补主题簇","可进入规划"))))))</x:f>
      </x:c>
    </x:row>
    <x:row r="100">
      <x:c r="A100" s="79"/>
      <x:c r="B100" s="37"/>
      <x:c r="C100" s="37"/>
      <x:c r="D100" s="37"/>
      <x:c r="E100" s="59"/>
      <x:c r="F100" s="62"/>
      <x:c r="G100" s="50"/>
      <x:c r="H100" s="50"/>
      <x:c r="I100" s="50"/>
      <x:c r="J100" s="37"/>
      <x:c r="K100" s="37"/>
      <x:c r="L100" s="50"/>
      <x:c r="M100" s="50"/>
      <x:c r="N100" s="50"/>
      <x:c r="O100" s="50"/>
      <x:c r="P100" s="50"/>
      <x:c r="Q100" s="50"/>
      <x:c r="R100" s="50"/>
      <x:c r="S100" s="37"/>
      <x:c r="T100" s="37"/>
      <x:c r="U100" s="37"/>
      <x:c r="V100" s="65" t="str">
        <x:f>IF($A100="","",MIN(20,MAX(0,$I100*2)))</x:f>
      </x:c>
      <x:c r="W100" s="65" t="str">
        <x:f>IF($A100="","",(($L100+$M100)/10)*20)</x:f>
      </x:c>
      <x:c r="X100" s="65" t="str">
        <x:f>IF($A100="","",IF($E100&gt;=1000,10,IF($E100&gt;=300,8,IF($E100&gt;=100,6,IF($E100&gt;=30,4,IF($E100&gt;0,2,0)))))+IF($F100&gt;=2,5,IF($F100&gt;=1,4,IF($F100&gt;=0.3,3,IF($F100&gt;0,2,0)))))</x:f>
      </x:c>
      <x:c r="Y100" s="65" t="str">
        <x:f>IF($A100="","",IF($G100&lt;=20,15,IF($G100&lt;=35,12,IF($G100&lt;=50,9,IF($G100&lt;=65,6,IF($G100&lt;=80,3,1))))))</x:f>
      </x:c>
      <x:c r="Z100" s="65" t="str">
        <x:f>IF($A100="","",(($N100+$O100)/10)*15)</x:f>
      </x:c>
      <x:c r="AA100" s="65" t="str">
        <x:f>IF($A100="","",(($P100+$Q100)/10)*10)</x:f>
      </x:c>
      <x:c r="AB100" s="65" t="str">
        <x:f>IF($A100="","",$R100)</x:f>
      </x:c>
      <x:c r="AC100" s="65" t="str">
        <x:f>IF($A100="","",SUM($V100:$AB100))</x:f>
      </x:c>
      <x:c r="AD100" s="71" t="str">
        <x:f>IF($A100="","",IF($AC100&gt;=75,"P0",IF($AC100&gt;=60,"P1",IF($AC100&gt;=45,"P2","P3"))))</x:f>
      </x:c>
      <x:c r="AE100" s="71" t="str">
        <x:f>IF($A100="","",IF($AC100&gt;=75,"立即写独立文章",IF($AC100&gt;=60,"排入本批内容日历",IF($AC100&gt;=45,"先做FAQ/段落或低优先文章","不单独写，合并到商业页/FAQ"))))</x:f>
      </x:c>
      <x:c r="AF100" s="37" t="str">
        <x:f>IF($A100="","",$K100&amp;" | 父级页: "&amp;$C100&amp;" | 目标URL: "&amp;$T100&amp;" | 必补: 竞品结构+原创证据+对比表+FAQ+内链CTA")</x:f>
      </x:c>
      <x:c r="AG100" s="80" t="str">
        <x:f>IF($A100="","",IF($I100&lt;4,"SERP不支持文章，优先做商业页/FAQ",IF($L100&lt;3,"产品相关弱，谨慎写",IF($N100&lt;3,"证据不足，容易变AI水文",IF($G100&gt;70,"难度偏高，需要更强外链/权威",IF($Q100&lt;3,"内链弱，先补主题簇","可进入规划"))))))</x:f>
      </x:c>
    </x:row>
    <x:row r="101">
      <x:c r="A101" s="81"/>
      <x:c r="B101" s="82"/>
      <x:c r="C101" s="82"/>
      <x:c r="D101" s="82"/>
      <x:c r="E101" s="83"/>
      <x:c r="F101" s="84"/>
      <x:c r="G101" s="85"/>
      <x:c r="H101" s="85"/>
      <x:c r="I101" s="85"/>
      <x:c r="J101" s="82"/>
      <x:c r="K101" s="82"/>
      <x:c r="L101" s="85"/>
      <x:c r="M101" s="85"/>
      <x:c r="N101" s="85"/>
      <x:c r="O101" s="85"/>
      <x:c r="P101" s="85"/>
      <x:c r="Q101" s="85"/>
      <x:c r="R101" s="85"/>
      <x:c r="S101" s="82"/>
      <x:c r="T101" s="82"/>
      <x:c r="U101" s="82"/>
      <x:c r="V101" s="86" t="str">
        <x:f>IF($A101="","",MIN(20,MAX(0,$I101*2)))</x:f>
      </x:c>
      <x:c r="W101" s="86" t="str">
        <x:f>IF($A101="","",(($L101+$M101)/10)*20)</x:f>
      </x:c>
      <x:c r="X101" s="86" t="str">
        <x:f>IF($A101="","",IF($E101&gt;=1000,10,IF($E101&gt;=300,8,IF($E101&gt;=100,6,IF($E101&gt;=30,4,IF($E101&gt;0,2,0)))))+IF($F101&gt;=2,5,IF($F101&gt;=1,4,IF($F101&gt;=0.3,3,IF($F101&gt;0,2,0)))))</x:f>
      </x:c>
      <x:c r="Y101" s="86" t="str">
        <x:f>IF($A101="","",IF($G101&lt;=20,15,IF($G101&lt;=35,12,IF($G101&lt;=50,9,IF($G101&lt;=65,6,IF($G101&lt;=80,3,1))))))</x:f>
      </x:c>
      <x:c r="Z101" s="86" t="str">
        <x:f>IF($A101="","",(($N101+$O101)/10)*15)</x:f>
      </x:c>
      <x:c r="AA101" s="86" t="str">
        <x:f>IF($A101="","",(($P101+$Q101)/10)*10)</x:f>
      </x:c>
      <x:c r="AB101" s="86" t="str">
        <x:f>IF($A101="","",$R101)</x:f>
      </x:c>
      <x:c r="AC101" s="86" t="str">
        <x:f>IF($A101="","",SUM($V101:$AB101))</x:f>
      </x:c>
      <x:c r="AD101" s="87" t="str">
        <x:f>IF($A101="","",IF($AC101&gt;=75,"P0",IF($AC101&gt;=60,"P1",IF($AC101&gt;=45,"P2","P3"))))</x:f>
      </x:c>
      <x:c r="AE101" s="87" t="str">
        <x:f>IF($A101="","",IF($AC101&gt;=75,"立即写独立文章",IF($AC101&gt;=60,"排入本批内容日历",IF($AC101&gt;=45,"先做FAQ/段落或低优先文章","不单独写，合并到商业页/FAQ"))))</x:f>
      </x:c>
      <x:c r="AF101" s="82" t="str">
        <x:f>IF($A101="","",$K101&amp;" | 父级页: "&amp;$C101&amp;" | 目标URL: "&amp;$T101&amp;" | 必补: 竞品结构+原创证据+对比表+FAQ+内链CTA")</x:f>
      </x:c>
      <x:c r="AG101" s="88" t="str">
        <x:f>IF($A101="","",IF($I101&lt;4,"SERP不支持文章，优先做商业页/FAQ",IF($L101&lt;3,"产品相关弱，谨慎写",IF($N101&lt;3,"证据不足，容易变AI水文",IF($G101&gt;70,"难度偏高，需要更强外链/权威",IF($Q101&lt;3,"内链弱，先补主题簇","可进入规划"))))))</x:f>
      </x:c>
    </x:row>
  </x:sheetData>
  <x:conditionalFormatting sqref="AC2:AC101">
    <x:cfRule type="colorScale" priority="1">
      <x:colorScale>
        <x:cfvo type="min"/>
        <x:cfvo type="percentile" val="50"/>
        <x:cfvo type="max"/>
        <x:color rgb="FFFEE2D5"/>
        <x:color rgb="FFFFF3D3"/>
        <x:color rgb="FFDDEFE5"/>
      </x:colorScale>
    </x:cfRule>
  </x:conditionalFormatting>
  <x:conditionalFormatting sqref="AD2:AD101">
    <x:cfRule type="containsText" dxfId="0" priority="2" operator="containsText" text="P0"/>
    <x:cfRule type="containsText" dxfId="1" priority="3" operator="containsText" text="P3"/>
  </x:conditionalFormatting>
  <x:dataValidations count="5">
    <x:dataValidation type="list" sqref="H2:H101">
      <x:formula1>"Informational,Commercial,Transactional,Navigational,Mixed,Unknown"</x:formula1>
    </x:dataValidation>
    <x:dataValidation type="list" sqref="J2:J101">
      <x:formula1>"博客/榜单,博客/对比,博客/指南,教程/FAQ,指南/规格,博客/场景,分类/商品,品牌/首页,百科/大站,混合"</x:formula1>
    </x:dataValidation>
    <x:dataValidation type="list" sqref="K2:K101">
      <x:formula1>"榜单/购买指南,对比文,教程文,价值解释文,标准/规格文,场景解决方案,FAQ/段落,商业页优先,通常不建议单独写"</x:formula1>
    </x:dataValidation>
    <x:dataValidation type="whole" operator="between" sqref="I2:I101">
      <x:formula1>0</x:formula1>
      <x:formula2>10</x:formula2>
    </x:dataValidation>
    <x:dataValidation type="whole" operator="between" sqref="L2:R101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8" hidden="0" customWidth="1"/>
    <x:col min="5" max="5" width="18" hidden="0" customWidth="1"/>
    <x:col min="6" max="6" width="18" hidden="0" customWidth="1"/>
    <x:col min="7" max="7" width="26" hidden="0" customWidth="1"/>
    <x:col min="8" max="8" width="34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>
      <x:c r="A1" s="98" t="str">
        <x:v>内容日历</x:v>
      </x:c>
      <x:c r="B1" s="98" t="str">
        <x:v>内容日历</x:v>
      </x:c>
      <x:c r="C1" s="98" t="str">
        <x:v>内容日历</x:v>
      </x:c>
      <x:c r="D1" s="98" t="str">
        <x:v>内容日历</x:v>
      </x:c>
      <x:c r="E1" s="98" t="str">
        <x:v>内容日历</x:v>
      </x:c>
      <x:c r="F1" s="98" t="str">
        <x:v>内容日历</x:v>
      </x:c>
      <x:c r="G1" s="98" t="str">
        <x:v>内容日历</x:v>
      </x:c>
      <x:c r="H1" s="98" t="str">
        <x:v>内容日历</x:v>
      </x:c>
      <x:c r="I1" s="98" t="str">
        <x:v>内容日历</x:v>
      </x:c>
      <x:c r="J1" s="98" t="str">
        <x:v>内容日历</x:v>
      </x:c>
      <x:c r="K1" s="98" t="str">
        <x:v>内容日历</x:v>
      </x:c>
      <x:c r="L1" s="98" t="str">
        <x:v>内容日历</x:v>
      </x:c>
    </x:row>
    <x:row r="2" ht="34" customHeight="1">
      <x:c r="A2" s="99" t="str">
        <x:v>把 P0/P1 的文章排期。小站建议先围绕一个主题簇连续写，避免东一篇西一篇。</x:v>
      </x:c>
      <x:c r="B2" s="99" t="str">
        <x:v>把 P0/P1 的文章排期。小站建议先围绕一个主题簇连续写，避免东一篇西一篇。</x:v>
      </x:c>
      <x:c r="C2" s="99" t="str">
        <x:v>把 P0/P1 的文章排期。小站建议先围绕一个主题簇连续写，避免东一篇西一篇。</x:v>
      </x:c>
      <x:c r="D2" s="99" t="str">
        <x:v>把 P0/P1 的文章排期。小站建议先围绕一个主题簇连续写，避免东一篇西一篇。</x:v>
      </x:c>
      <x:c r="E2" s="99" t="str">
        <x:v>把 P0/P1 的文章排期。小站建议先围绕一个主题簇连续写，避免东一篇西一篇。</x:v>
      </x:c>
      <x:c r="F2" s="99" t="str">
        <x:v>把 P0/P1 的文章排期。小站建议先围绕一个主题簇连续写，避免东一篇西一篇。</x:v>
      </x:c>
      <x:c r="G2" s="99" t="str">
        <x:v>把 P0/P1 的文章排期。小站建议先围绕一个主题簇连续写，避免东一篇西一篇。</x:v>
      </x:c>
      <x:c r="H2" s="99" t="str">
        <x:v>把 P0/P1 的文章排期。小站建议先围绕一个主题簇连续写，避免东一篇西一篇。</x:v>
      </x:c>
      <x:c r="I2" s="100"/>
      <x:c r="J2" s="100"/>
      <x:c r="K2" s="100"/>
      <x:c r="L2" s="100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</x:row>
    <x:row r="4">
      <x:c r="A4" s="102" t="str">
        <x:v>周次</x:v>
      </x:c>
      <x:c r="B4" s="102" t="str">
        <x:v>发布日期</x:v>
      </x:c>
      <x:c r="C4" s="102" t="str">
        <x:v>优先级</x:v>
      </x:c>
      <x:c r="D4" s="102" t="str">
        <x:v>主关键词</x:v>
      </x:c>
      <x:c r="E4" s="102" t="str">
        <x:v>主题簇</x:v>
      </x:c>
      <x:c r="F4" s="102" t="str">
        <x:v>文章类型</x:v>
      </x:c>
      <x:c r="G4" s="102" t="str">
        <x:v>父级商业页</x:v>
      </x:c>
      <x:c r="H4" s="102" t="str">
        <x:v>标题草案</x:v>
      </x:c>
      <x:c r="I4" s="102" t="str">
        <x:v>Brief状态</x:v>
      </x:c>
      <x:c r="J4" s="102" t="str">
        <x:v>写作状态</x:v>
      </x:c>
      <x:c r="K4" s="102" t="str">
        <x:v>必须内链</x:v>
      </x:c>
      <x:c r="L4" s="102" t="str">
        <x:v>复盘指标</x:v>
      </x:c>
    </x:row>
    <x:row r="5">
      <x:c r="A5" s="33" t="str">
        <x:v>Week 1</x:v>
      </x:c>
      <x:c r="B5" s="89" t="str"/>
      <x:c r="C5" s="34" t="str">
        <x:v>P0</x:v>
      </x:c>
      <x:c r="D5" s="34" t="str">
        <x:v>silk pillowcase vs satin</x:v>
      </x:c>
      <x:c r="E5" s="34" t="str">
        <x:v>silk pillowcase</x:v>
      </x:c>
      <x:c r="F5" s="34" t="str">
        <x:v>对比文</x:v>
      </x:c>
      <x:c r="G5" s="34" t="str">
        <x:v>/collections/silk-pillowcases</x:v>
      </x:c>
      <x:c r="H5" s="34" t="str">
        <x:v>Silk vs Satin Pillowcase: Which One Is Better for Hair and Skin?</x:v>
      </x:c>
      <x:c r="I5" s="34" t="str">
        <x:v>待确认SERP</x:v>
      </x:c>
      <x:c r="J5" s="34" t="str">
        <x:v>待写</x:v>
      </x:c>
      <x:c r="K5" s="34" t="str">
        <x:v>/collections/silk-pillowcases</x:v>
      </x:c>
      <x:c r="L5" s="35" t="str">
        <x:v>GSC 查询、点击、平均排名</x:v>
      </x:c>
    </x:row>
    <x:row r="6">
      <x:c r="A6" s="36" t="str">
        <x:v>Week 1</x:v>
      </x:c>
      <x:c r="B6" s="90" t="str"/>
      <x:c r="C6" s="37" t="str">
        <x:v>P0</x:v>
      </x:c>
      <x:c r="D6" s="37" t="str">
        <x:v>best silk pillowcase for hair</x:v>
      </x:c>
      <x:c r="E6" s="37" t="str">
        <x:v>silk pillowcase</x:v>
      </x:c>
      <x:c r="F6" s="37" t="str">
        <x:v>榜单/购买指南</x:v>
      </x:c>
      <x:c r="G6" s="37" t="str">
        <x:v>/collections/silk-pillowcases</x:v>
      </x:c>
      <x:c r="H6" s="37" t="str">
        <x:v>Best Silk Pillowcases for Hair: How to Choose the Right One</x:v>
      </x:c>
      <x:c r="I6" s="37" t="str">
        <x:v>待补证据</x:v>
      </x:c>
      <x:c r="J6" s="37" t="str">
        <x:v>待写</x:v>
      </x:c>
      <x:c r="K6" s="37" t="str">
        <x:v>/collections/silk-pillowcases</x:v>
      </x:c>
      <x:c r="L6" s="38" t="str">
        <x:v>排名、内链点击、辅助转化</x:v>
      </x:c>
    </x:row>
    <x:row r="7">
      <x:c r="A7" s="36" t="str">
        <x:v>Week 2</x:v>
      </x:c>
      <x:c r="B7" s="90" t="str"/>
      <x:c r="C7" s="37" t="str">
        <x:v>P0</x:v>
      </x:c>
      <x:c r="D7" s="37" t="str">
        <x:v>how to wash silk pillowcase</x:v>
      </x:c>
      <x:c r="E7" s="37" t="str">
        <x:v>silk care</x:v>
      </x:c>
      <x:c r="F7" s="37" t="str">
        <x:v>教程文</x:v>
      </x:c>
      <x:c r="G7" s="37" t="str">
        <x:v>/products/mulberry-silk-pillowcase</x:v>
      </x:c>
      <x:c r="H7" s="37" t="str">
        <x:v>How to Wash a Silk Pillowcase Without Ruining It</x:v>
      </x:c>
      <x:c r="I7" s="37" t="str">
        <x:v>待补图片</x:v>
      </x:c>
      <x:c r="J7" s="37" t="str">
        <x:v>待写</x:v>
      </x:c>
      <x:c r="K7" s="37" t="str">
        <x:v>/products/mulberry-silk-pillowcase</x:v>
      </x:c>
      <x:c r="L7" s="38" t="str">
        <x:v>点击、FAQ 展现、售后问题下降</x:v>
      </x:c>
    </x:row>
    <x:row r="8">
      <x:c r="A8" s="36" t="str">
        <x:v>Week 2</x:v>
      </x:c>
      <x:c r="B8" s="90" t="str"/>
      <x:c r="C8" s="37" t="str">
        <x:v>P1</x:v>
      </x:c>
      <x:c r="D8" s="37" t="str">
        <x:v>silk pillowcase for curly hair</x:v>
      </x:c>
      <x:c r="E8" s="37" t="str">
        <x:v>curly hair</x:v>
      </x:c>
      <x:c r="F8" s="37" t="str">
        <x:v>场景解决方案</x:v>
      </x:c>
      <x:c r="G8" s="37" t="str">
        <x:v>/collections/silk-pillowcases</x:v>
      </x:c>
      <x:c r="H8" s="37" t="str">
        <x:v>Are Silk Pillowcases Good for Curly Hair?</x:v>
      </x:c>
      <x:c r="I8" s="37" t="str">
        <x:v>待确认竞品</x:v>
      </x:c>
      <x:c r="J8" s="37" t="str">
        <x:v>待写</x:v>
      </x:c>
      <x:c r="K8" s="37" t="str">
        <x:v>/collections/silk-pillowcases</x:v>
      </x:c>
      <x:c r="L8" s="38" t="str">
        <x:v>点击、商品页点击</x:v>
      </x:c>
    </x:row>
    <x:row r="9">
      <x:c r="A9" s="36" t="str">
        <x:v>Week 3</x:v>
      </x:c>
      <x:c r="B9" s="90" t="str"/>
      <x:c r="C9" s="37" t="str">
        <x:v>P1</x:v>
      </x:c>
      <x:c r="D9" s="37" t="str">
        <x:v>silk pillowcase size guide</x:v>
      </x:c>
      <x:c r="E9" s="37" t="str">
        <x:v>size guide</x:v>
      </x:c>
      <x:c r="F9" s="37" t="str">
        <x:v>标准/规格文</x:v>
      </x:c>
      <x:c r="G9" s="37" t="str">
        <x:v>/collections/silk-pillowcases</x:v>
      </x:c>
      <x:c r="H9" s="37" t="str">
        <x:v>Silk Pillowcase Size Guide: Standard, Queen, and King Explained</x:v>
      </x:c>
      <x:c r="I9" s="37" t="str">
        <x:v>待补表格</x:v>
      </x:c>
      <x:c r="J9" s="37" t="str">
        <x:v>待写</x:v>
      </x:c>
      <x:c r="K9" s="37" t="str">
        <x:v>/collections/silk-pillowcases</x:v>
      </x:c>
      <x:c r="L9" s="38" t="str">
        <x:v>收录、排名、咨询问题</x:v>
      </x:c>
    </x:row>
    <x:row r="10">
      <x:c r="A10" s="36" t="str">
        <x:v>Week 3</x:v>
      </x:c>
      <x:c r="B10" s="90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7" t="str"/>
      <x:c r="K10" s="37" t="str"/>
      <x:c r="L10" s="38" t="str"/>
    </x:row>
    <x:row r="11">
      <x:c r="A11" s="36" t="str">
        <x:v>Week 4</x:v>
      </x:c>
      <x:c r="B11" s="90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37" t="str"/>
      <x:c r="L11" s="38" t="str"/>
    </x:row>
    <x:row r="12">
      <x:c r="A12" s="36" t="str">
        <x:v>Week 4</x:v>
      </x:c>
      <x:c r="B12" s="90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37" t="str"/>
      <x:c r="L12" s="38" t="str"/>
    </x:row>
    <x:row r="13">
      <x:c r="A13" s="36" t="str">
        <x:v>Week 5</x:v>
      </x:c>
      <x:c r="B13" s="90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37" t="str"/>
      <x:c r="L13" s="38" t="str"/>
    </x:row>
    <x:row r="14">
      <x:c r="A14" s="36" t="str">
        <x:v>Week 5</x:v>
      </x:c>
      <x:c r="B14" s="90" t="str"/>
      <x:c r="C14" s="37" t="str"/>
      <x:c r="D14" s="37" t="str"/>
      <x:c r="E14" s="37" t="str"/>
      <x:c r="F14" s="37" t="str"/>
      <x:c r="G14" s="37" t="str"/>
      <x:c r="H14" s="37" t="str"/>
      <x:c r="I14" s="37" t="str"/>
      <x:c r="J14" s="37" t="str"/>
      <x:c r="K14" s="37" t="str"/>
      <x:c r="L14" s="38" t="str"/>
    </x:row>
    <x:row r="15">
      <x:c r="A15" s="36" t="str">
        <x:v>Week 6</x:v>
      </x:c>
      <x:c r="B15" s="90" t="str"/>
      <x:c r="C15" s="37" t="str"/>
      <x:c r="D15" s="37" t="str"/>
      <x:c r="E15" s="37" t="str"/>
      <x:c r="F15" s="37" t="str"/>
      <x:c r="G15" s="37" t="str"/>
      <x:c r="H15" s="37" t="str"/>
      <x:c r="I15" s="37" t="str"/>
      <x:c r="J15" s="37" t="str"/>
      <x:c r="K15" s="37" t="str"/>
      <x:c r="L15" s="38" t="str"/>
    </x:row>
    <x:row r="16">
      <x:c r="A16" s="39" t="str">
        <x:v>Week 6</x:v>
      </x:c>
      <x:c r="B16" s="91" t="str"/>
      <x:c r="C16" s="40" t="str"/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1" t="str"/>
    </x:row>
  </x:sheetData>
  <x:mergeCells>
    <x:mergeCell ref="A1:L1"/>
    <x:mergeCell ref="A2:H2"/>
  </x:mergeCells>
  <x:dataValidations count="3">
    <x:dataValidation type="list" sqref="C5:C50">
      <x:formula1>"P0,P1,P2,P3"</x:formula1>
    </x:dataValidation>
    <x:dataValidation type="list" sqref="I5:I50">
      <x:formula1>"待确认SERP,待补证据,待补图片,已完成Brief,已发布,需更新"</x:formula1>
    </x:dataValidation>
    <x:dataValidation type="list" sqref="J5:J50">
      <x:formula1>"待写,写作中,待编辑,待发布,已发布,需更新"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28" hidden="0" customWidth="1"/>
    <x:col min="4" max="4" width="42" hidden="0" customWidth="1"/>
    <x:col min="5" max="5" width="30" hidden="0" customWidth="1"/>
    <x:col min="6" max="6" width="30" hidden="0" customWidth="1"/>
  </x:cols>
  <x:sheetData>
    <x:row r="1">
      <x:c r="A1" s="98" t="str">
        <x:v>文章 Brief 模板</x:v>
      </x:c>
      <x:c r="B1" s="98" t="str">
        <x:v>文章 Brief 模板</x:v>
      </x:c>
      <x:c r="C1" s="98" t="str">
        <x:v>文章 Brief 模板</x:v>
      </x:c>
      <x:c r="D1" s="98" t="str">
        <x:v>文章 Brief 模板</x:v>
      </x:c>
      <x:c r="E1" s="98" t="str">
        <x:v>文章 Brief 模板</x:v>
      </x:c>
      <x:c r="F1" s="98" t="str">
        <x:v>文章 Brief 模板</x:v>
      </x:c>
      <x:c r="G1" s="100"/>
      <x:c r="H1" s="100"/>
    </x:row>
    <x:row r="2" ht="34" customHeight="1">
      <x:c r="A2" s="99" t="str">
        <x:v>每篇文章开写前先填这个 Brief，避免写成泛泛而谈的 AI 水文。</x:v>
      </x:c>
      <x:c r="B2" s="99" t="str">
        <x:v>每篇文章开写前先填这个 Brief，避免写成泛泛而谈的 AI 水文。</x:v>
      </x:c>
      <x:c r="C2" s="99" t="str">
        <x:v>每篇文章开写前先填这个 Brief，避免写成泛泛而谈的 AI 水文。</x:v>
      </x:c>
      <x:c r="D2" s="99" t="str">
        <x:v>每篇文章开写前先填这个 Brief，避免写成泛泛而谈的 AI 水文。</x:v>
      </x:c>
      <x:c r="E2" s="99" t="str">
        <x:v>每篇文章开写前先填这个 Brief，避免写成泛泛而谈的 AI 水文。</x:v>
      </x:c>
      <x:c r="F2" s="99" t="str">
        <x:v>每篇文章开写前先填这个 Brief，避免写成泛泛而谈的 AI 水文。</x:v>
      </x:c>
      <x:c r="G2" s="99" t="str">
        <x:v>每篇文章开写前先填这个 Brief，避免写成泛泛而谈的 AI 水文。</x:v>
      </x:c>
      <x:c r="H2" s="99" t="str">
        <x:v>每篇文章开写前先填这个 Brief，避免写成泛泛而谈的 AI 水文。</x:v>
      </x:c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>
      <x:c r="A4" s="102" t="str">
        <x:v>模块</x:v>
      </x:c>
      <x:c r="B4" s="102" t="str">
        <x:v>填写内容</x:v>
      </x:c>
      <x:c r="C4" s="102" t="str">
        <x:v>判断标准</x:v>
      </x:c>
      <x:c r="D4" s="102" t="str">
        <x:v>示例</x:v>
      </x:c>
      <x:c r="E4" s="102" t="str">
        <x:v>负责人/状态</x:v>
      </x:c>
      <x:c r="F4" s="102" t="str">
        <x:v>复盘</x:v>
      </x:c>
      <x:c r="G4" s="100"/>
      <x:c r="H4" s="100"/>
    </x:row>
    <x:row r="5">
      <x:c r="A5" s="45" t="str">
        <x:v>主关键词</x:v>
      </x:c>
      <x:c r="B5" s="34" t="str">
        <x:v>从「文章关键词池」选择 P0/P1 词</x:v>
      </x:c>
      <x:c r="C5" s="34" t="str">
        <x:v>一个主词，一个明确意图</x:v>
      </x:c>
      <x:c r="D5" s="34" t="str">
        <x:v>silk pillowcase vs satin</x:v>
      </x:c>
      <x:c r="E5" s="34" t="str"/>
      <x:c r="F5" s="35" t="str"/>
      <x:c r="G5" s="100"/>
      <x:c r="H5" s="100"/>
    </x:row>
    <x:row r="6">
      <x:c r="A6" s="46" t="str">
        <x:v>父级商业页</x:v>
      </x:c>
      <x:c r="B6" s="37" t="str">
        <x:v>这篇文章最终要支撑哪个分类/商品页</x:v>
      </x:c>
      <x:c r="C6" s="37" t="str">
        <x:v>必须能自然内链</x:v>
      </x:c>
      <x:c r="D6" s="37" t="str">
        <x:v>/collections/silk-pillowcases</x:v>
      </x:c>
      <x:c r="E6" s="37" t="str"/>
      <x:c r="F6" s="38" t="str"/>
      <x:c r="G6" s="100"/>
      <x:c r="H6" s="100"/>
    </x:row>
    <x:row r="7">
      <x:c r="A7" s="46" t="str">
        <x:v>用户问题</x:v>
      </x:c>
      <x:c r="B7" s="37" t="str">
        <x:v>用户搜索这个词真正想解决什么</x:v>
      </x:c>
      <x:c r="C7" s="37" t="str">
        <x:v>用一句话说清楚</x:v>
      </x:c>
      <x:c r="D7" s="37" t="str">
        <x:v>不知道真丝和缎面哪个更适合头发/皮肤</x:v>
      </x:c>
      <x:c r="E7" s="37" t="str"/>
      <x:c r="F7" s="38" t="str"/>
      <x:c r="G7" s="100"/>
      <x:c r="H7" s="100"/>
    </x:row>
    <x:row r="8">
      <x:c r="A8" s="46" t="str">
        <x:v>搜索意图</x:v>
      </x:c>
      <x:c r="B8" s="37" t="str">
        <x:v>Informational / Commercial / Mixed</x:v>
      </x:c>
      <x:c r="C8" s="37" t="str">
        <x:v>以 SERP 为准，不只看工具标签</x:v>
      </x:c>
      <x:c r="D8" s="37" t="str">
        <x:v>Commercial Investigation</x:v>
      </x:c>
      <x:c r="E8" s="37" t="str"/>
      <x:c r="F8" s="38" t="str"/>
      <x:c r="G8" s="100"/>
      <x:c r="H8" s="100"/>
    </x:row>
    <x:row r="9">
      <x:c r="A9" s="46" t="str">
        <x:v>文章类型</x:v>
      </x:c>
      <x:c r="B9" s="37" t="str">
        <x:v>对比文/榜单/教程/标准/场景方案</x:v>
      </x:c>
      <x:c r="C9" s="37" t="str">
        <x:v>匹配 Google 前排获胜类型</x:v>
      </x:c>
      <x:c r="D9" s="37" t="str">
        <x:v>对比文</x:v>
      </x:c>
      <x:c r="E9" s="37" t="str"/>
      <x:c r="F9" s="38" t="str"/>
      <x:c r="G9" s="100"/>
      <x:c r="H9" s="100"/>
    </x:row>
    <x:row r="10">
      <x:c r="A10" s="46" t="str">
        <x:v>一句话答案</x:v>
      </x:c>
      <x:c r="B10" s="37" t="str">
        <x:v>开头先给结论</x:v>
      </x:c>
      <x:c r="C10" s="37" t="str">
        <x:v>不要绕半天才回答</x:v>
      </x:c>
      <x:c r="D10" s="37" t="str">
        <x:v>Silk is a natural fiber; satin is a weave, so they are not the same category.</x:v>
      </x:c>
      <x:c r="E10" s="37" t="str"/>
      <x:c r="F10" s="38" t="str"/>
      <x:c r="G10" s="100"/>
      <x:c r="H10" s="100"/>
    </x:row>
    <x:row r="11">
      <x:c r="A11" s="46" t="str">
        <x:v>H2结构</x:v>
      </x:c>
      <x:c r="B11" s="37" t="str">
        <x:v>按用户决策顺序排，不按自己想说的排</x:v>
      </x:c>
      <x:c r="C11" s="37" t="str">
        <x:v>先结论，再差异，再适合谁，再选购</x:v>
      </x:c>
      <x:c r="D11" s="37" t="str">
        <x:v>What is silk? What is satin? Key differences table...</x:v>
      </x:c>
      <x:c r="E11" s="37" t="str"/>
      <x:c r="F11" s="38" t="str"/>
      <x:c r="G11" s="100"/>
      <x:c r="H11" s="100"/>
    </x:row>
    <x:row r="12">
      <x:c r="A12" s="46" t="str">
        <x:v>原创证据</x:v>
      </x:c>
      <x:c r="B12" s="37" t="str">
        <x:v>图片、表格、实测、商品经验、材质参数、FAQ</x:v>
      </x:c>
      <x:c r="C12" s="37" t="str">
        <x:v>至少 2-3 个非泛泛模块</x:v>
      </x:c>
      <x:c r="D12" s="37" t="str">
        <x:v>momme 对比表、洗护图片、用户场景</x:v>
      </x:c>
      <x:c r="E12" s="37" t="str"/>
      <x:c r="F12" s="38" t="str"/>
      <x:c r="G12" s="100"/>
      <x:c r="H12" s="100"/>
    </x:row>
    <x:row r="13">
      <x:c r="A13" s="46" t="str">
        <x:v>竞品缺口</x:v>
      </x:c>
      <x:c r="B13" s="37" t="str">
        <x:v>前排文章缺什么</x:v>
      </x:c>
      <x:c r="C13" s="37" t="str">
        <x:v>找到能超越的角度</x:v>
      </x:c>
      <x:c r="D13" s="37" t="str">
        <x:v>缺少尺码/护理/购买建议</x:v>
      </x:c>
      <x:c r="E13" s="37" t="str"/>
      <x:c r="F13" s="38" t="str"/>
      <x:c r="G13" s="100"/>
      <x:c r="H13" s="100"/>
    </x:row>
    <x:row r="14">
      <x:c r="A14" s="46" t="str">
        <x:v>内链</x:v>
      </x:c>
      <x:c r="B14" s="37" t="str">
        <x:v>文章正文中链接到哪些商业页/相关文章</x:v>
      </x:c>
      <x:c r="C14" s="37" t="str">
        <x:v>上链商业页，下链相关博客</x:v>
      </x:c>
      <x:c r="D14" s="37" t="str">
        <x:v>/collections/silk-pillowcases; /blogs/how-to-wash-silk</x:v>
      </x:c>
      <x:c r="E14" s="37" t="str"/>
      <x:c r="F14" s="38" t="str"/>
      <x:c r="G14" s="100"/>
      <x:c r="H14" s="100"/>
    </x:row>
    <x:row r="15">
      <x:c r="A15" s="46" t="str">
        <x:v>CTA</x:v>
      </x:c>
      <x:c r="B15" s="37" t="str">
        <x:v>低门槛 CTA，不要太硬</x:v>
      </x:c>
      <x:c r="C15" s="37" t="str">
        <x:v>教程文轻 CTA，购买指南强 CTA</x:v>
      </x:c>
      <x:c r="D15" s="37" t="str">
        <x:v>See our 22 momme mulberry silk pillowcases</x:v>
      </x:c>
      <x:c r="E15" s="37" t="str"/>
      <x:c r="F15" s="38" t="str"/>
      <x:c r="G15" s="100"/>
      <x:c r="H15" s="100"/>
    </x:row>
    <x:row r="16">
      <x:c r="A16" s="46" t="str">
        <x:v>图片/表格</x:v>
      </x:c>
      <x:c r="B16" s="37" t="str">
        <x:v>需要哪些视觉资产</x:v>
      </x:c>
      <x:c r="C16" s="37" t="str">
        <x:v>表格比纯文字更容易留下来</x:v>
      </x:c>
      <x:c r="D16" s="37" t="str">
        <x:v>Silk vs Satin comparison table</x:v>
      </x:c>
      <x:c r="E16" s="37" t="str"/>
      <x:c r="F16" s="38" t="str"/>
      <x:c r="G16" s="100"/>
      <x:c r="H16" s="100"/>
    </x:row>
    <x:row r="17">
      <x:c r="A17" s="46" t="str">
        <x:v>FAQ</x:v>
      </x:c>
      <x:c r="B17" s="37" t="str">
        <x:v>从 People Also Ask / Semrush / GSC 提取</x:v>
      </x:c>
      <x:c r="C17" s="37" t="str">
        <x:v>每篇 3-6 个</x:v>
      </x:c>
      <x:c r="D17" s="37" t="str">
        <x:v>Is satin the same as silk?</x:v>
      </x:c>
      <x:c r="E17" s="37" t="str"/>
      <x:c r="F17" s="38" t="str"/>
      <x:c r="G17" s="100"/>
      <x:c r="H17" s="100"/>
    </x:row>
    <x:row r="18">
      <x:c r="A18" s="46" t="str">
        <x:v>E-E-A-T</x:v>
      </x:c>
      <x:c r="B18" s="37" t="str">
        <x:v>作者经验、来源、证据、可验证事实</x:v>
      </x:c>
      <x:c r="C18" s="37" t="str">
        <x:v>能降低 AI 味</x:v>
      </x:c>
      <x:c r="D18" s="37" t="str">
        <x:v>材质说明、护理测试、真实产品图</x:v>
      </x:c>
      <x:c r="E18" s="37" t="str"/>
      <x:c r="F18" s="38" t="str"/>
      <x:c r="G18" s="100"/>
      <x:c r="H18" s="100"/>
    </x:row>
    <x:row r="19">
      <x:c r="A19" s="46" t="str">
        <x:v>发布后复盘</x:v>
      </x:c>
      <x:c r="B19" s="37" t="str">
        <x:v>30-60 天看 GSC</x:v>
      </x:c>
      <x:c r="C19" s="37" t="str">
        <x:v>没展现看意图，没点击改标题，没排名补内容/内链</x:v>
      </x:c>
      <x:c r="D19" s="37" t="str">
        <x:v>Clicks, impressions, avg position</x:v>
      </x:c>
      <x:c r="E19" s="37" t="str"/>
      <x:c r="F19" s="38" t="str"/>
      <x:c r="G19" s="100"/>
      <x:c r="H19" s="100"/>
    </x:row>
    <x:row r="20">
      <x:c r="A20" s="47" t="str">
        <x:v>是否更新</x:v>
      </x:c>
      <x:c r="B20" s="40" t="str">
        <x:v>有排名苗头就更新</x:v>
      </x:c>
      <x:c r="C20" s="40" t="str">
        <x:v>不要只发不改</x:v>
      </x:c>
      <x:c r="D20" s="40" t="str">
        <x:v>补 FAQ、补对比表、补内部链接</x:v>
      </x:c>
      <x:c r="E20" s="40" t="str"/>
      <x:c r="F20" s="41" t="str"/>
      <x:c r="G20" s="100"/>
      <x:c r="H20" s="100"/>
    </x:row>
  </x:sheetData>
  <x:mergeCells>
    <x:mergeCell ref="A1:F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98" t="str">
        <x:v>文章关键词筛选仪表盘</x:v>
      </x:c>
      <x:c r="B1" s="98" t="str">
        <x:v>文章关键词筛选仪表盘</x:v>
      </x:c>
      <x:c r="C1" s="98" t="str">
        <x:v>文章关键词筛选仪表盘</x:v>
      </x:c>
      <x:c r="D1" s="98" t="str">
        <x:v>文章关键词筛选仪表盘</x:v>
      </x:c>
      <x:c r="E1" s="98" t="str">
        <x:v>文章关键词筛选仪表盘</x:v>
      </x:c>
      <x:c r="F1" s="98" t="str">
        <x:v>文章关键词筛选仪表盘</x:v>
      </x:c>
      <x:c r="G1" s="98" t="str">
        <x:v>文章关键词筛选仪表盘</x:v>
      </x:c>
      <x:c r="H1" s="98" t="str">
        <x:v>文章关键词筛选仪表盘</x:v>
      </x:c>
    </x:row>
    <x:row r="2" ht="34" customHeight="1">
      <x:c r="A2" s="99" t="str">
        <x:v>把关键词池的状态汇总成可复盘的内容生产看板。</x:v>
      </x:c>
      <x:c r="B2" s="99" t="str">
        <x:v>把关键词池的状态汇总成可复盘的内容生产看板。</x:v>
      </x:c>
      <x:c r="C2" s="99" t="str">
        <x:v>把关键词池的状态汇总成可复盘的内容生产看板。</x:v>
      </x:c>
      <x:c r="D2" s="99" t="str">
        <x:v>把关键词池的状态汇总成可复盘的内容生产看板。</x:v>
      </x:c>
      <x:c r="E2" s="99" t="str">
        <x:v>把关键词池的状态汇总成可复盘的内容生产看板。</x:v>
      </x:c>
      <x:c r="F2" s="99" t="str">
        <x:v>把关键词池的状态汇总成可复盘的内容生产看板。</x:v>
      </x:c>
      <x:c r="G2" s="99" t="str">
        <x:v>把关键词池的状态汇总成可复盘的内容生产看板。</x:v>
      </x:c>
      <x:c r="H2" s="99" t="str">
        <x:v>把关键词池的状态汇总成可复盘的内容生产看板。</x:v>
      </x:c>
    </x:row>
    <x:row r="3">
      <x:c r="A3" s="100"/>
      <x:c r="B3" s="100"/>
      <x:c r="C3" s="100"/>
      <x:c r="D3" s="100"/>
      <x:c r="E3" s="100"/>
      <x:c r="F3" s="100"/>
      <x:c r="G3" s="100"/>
      <x:c r="H3" s="100"/>
    </x:row>
    <x:row r="4">
      <x:c r="A4" s="102" t="str">
        <x:v>指标</x:v>
      </x:c>
      <x:c r="B4" s="102" t="str">
        <x:v>结果</x:v>
      </x:c>
      <x:c r="C4" s="100"/>
      <x:c r="D4" s="104" t="str">
        <x:v>判断口径</x:v>
      </x:c>
      <x:c r="E4" s="105" t="str">
        <x:v>判断口径</x:v>
      </x:c>
      <x:c r="F4" s="105" t="str">
        <x:v>判断口径</x:v>
      </x:c>
      <x:c r="G4" s="105" t="str">
        <x:v>判断口径</x:v>
      </x:c>
      <x:c r="H4" s="106" t="str">
        <x:v>判断口径</x:v>
      </x:c>
    </x:row>
    <x:row r="5">
      <x:c r="A5" s="33" t="str">
        <x:v>关键词总数</x:v>
      </x:c>
      <x:c r="B5" s="110" t="n">
        <x:f>COUNTA('文章关键词池'!$A$2:$A$101)</x:f>
        <x:v>10</x:v>
      </x:c>
      <x:c r="C5" s="100"/>
      <x:c r="D5" s="33" t="str">
        <x:v>先看 SERP</x:v>
      </x:c>
      <x:c r="E5" s="34" t="str">
        <x:v>文章占比低于 4 的词，不要急着写博客。</x:v>
      </x:c>
      <x:c r="F5" s="34" t="str"/>
      <x:c r="G5" s="34" t="str"/>
      <x:c r="H5" s="35" t="str"/>
    </x:row>
    <x:row r="6">
      <x:c r="A6" s="36" t="str">
        <x:v>P0 立即写</x:v>
      </x:c>
      <x:c r="B6" s="111" t="n">
        <x:f>COUNTIF('文章关键词池'!$AD$2:$AD$101,"P0")</x:f>
        <x:v>8</x:v>
      </x:c>
      <x:c r="C6" s="100"/>
      <x:c r="D6" s="36" t="str">
        <x:v>再看商业页</x:v>
      </x:c>
      <x:c r="E6" s="37" t="str">
        <x:v>每篇文章必须支撑一个分类/商品/集合页。</x:v>
      </x:c>
      <x:c r="F6" s="37" t="str"/>
      <x:c r="G6" s="37" t="str"/>
      <x:c r="H6" s="38" t="str"/>
    </x:row>
    <x:row r="7">
      <x:c r="A7" s="36" t="str">
        <x:v>P1 排期写</x:v>
      </x:c>
      <x:c r="B7" s="111" t="n">
        <x:f>COUNTIF('文章关键词池'!$AD$2:$AD$101,"P1")</x:f>
        <x:v>1</x:v>
      </x:c>
      <x:c r="C7" s="100"/>
      <x:c r="D7" s="36" t="str">
        <x:v>再看内容深度</x:v>
      </x:c>
      <x:c r="E7" s="37" t="str">
        <x:v>能否做出表格、图片、对比、经验、FAQ。</x:v>
      </x:c>
      <x:c r="F7" s="37" t="str"/>
      <x:c r="G7" s="37" t="str"/>
      <x:c r="H7" s="38" t="str"/>
    </x:row>
    <x:row r="8">
      <x:c r="A8" s="36" t="str">
        <x:v>P2 低优先/FAQ</x:v>
      </x:c>
      <x:c r="B8" s="111" t="n">
        <x:f>COUNTIF('文章关键词池'!$AD$2:$AD$101,"P2")</x:f>
        <x:v>0</x:v>
      </x:c>
      <x:c r="C8" s="100"/>
      <x:c r="D8" s="36" t="str">
        <x:v>最后排期</x:v>
      </x:c>
      <x:c r="E8" s="37" t="str">
        <x:v>P0/P1 进入内容日历，P2 可做 FAQ，P3 不单独写。</x:v>
      </x:c>
      <x:c r="F8" s="37" t="str"/>
      <x:c r="G8" s="37" t="str"/>
      <x:c r="H8" s="38" t="str"/>
    </x:row>
    <x:row r="9">
      <x:c r="A9" s="36" t="str">
        <x:v>P3 不单独写</x:v>
      </x:c>
      <x:c r="B9" s="111" t="n">
        <x:f>COUNTIF('文章关键词池'!$AD$2:$AD$101,"P3")</x:f>
        <x:v>1</x:v>
      </x:c>
      <x:c r="C9" s="100"/>
      <x:c r="D9" s="36" t="str">
        <x:v>2C迁移</x:v>
      </x:c>
      <x:c r="E9" s="37" t="str">
        <x:v>博客负责教育和决策，分类/商品页负责转化。</x:v>
      </x:c>
      <x:c r="F9" s="37" t="str"/>
      <x:c r="G9" s="37" t="str"/>
      <x:c r="H9" s="38" t="str"/>
    </x:row>
    <x:row r="10">
      <x:c r="A10" s="36" t="str">
        <x:v>平均分</x:v>
      </x:c>
      <x:c r="B10" s="112" t="n">
        <x:f>IFERROR(AVERAGE('文章关键词池'!$AC$2:$AC$101),0)</x:f>
        <x:v>78</x:v>
      </x:c>
      <x:c r="C10" s="100"/>
      <x:c r="D10" s="36" t="str">
        <x:v>发文节奏</x:v>
      </x:c>
      <x:c r="E10" s="37" t="str">
        <x:v>起步 10篇/月，成长 20篇/月，发展约30篇/月。</x:v>
      </x:c>
      <x:c r="F10" s="37" t="str"/>
      <x:c r="G10" s="37" t="str"/>
      <x:c r="H10" s="38" t="str"/>
    </x:row>
    <x:row r="11">
      <x:c r="A11" s="36" t="str">
        <x:v>SERP文章占比均值</x:v>
      </x:c>
      <x:c r="B11" s="112" t="n">
        <x:f>IFERROR(AVERAGE('文章关键词池'!$I$2:$I$101),0)</x:f>
        <x:v>7.2</x:v>
      </x:c>
      <x:c r="C11" s="100"/>
      <x:c r="D11" s="36" t="str">
        <x:v>复盘</x:v>
      </x:c>
      <x:c r="E11" s="37" t="str">
        <x:v>30-60 天看 GSC，有苗头就补内容和内链。</x:v>
      </x:c>
      <x:c r="F11" s="37" t="str"/>
      <x:c r="G11" s="37" t="str"/>
      <x:c r="H11" s="38" t="str"/>
    </x:row>
    <x:row r="12">
      <x:c r="A12" s="39" t="str">
        <x:v>商业支撑均值</x:v>
      </x:c>
      <x:c r="B12" s="113" t="n">
        <x:f>IFERROR(AVERAGE('文章关键词池'!$W$2:$W$101),0)</x:f>
        <x:v>17</x:v>
      </x:c>
      <x:c r="C12" s="100"/>
      <x:c r="D12" s="39" t="str">
        <x:v>风险</x:v>
      </x:c>
      <x:c r="E12" s="40" t="str">
        <x:v>不要为了凑数量写定义文，也不要让博客孤岛化。</x:v>
      </x:c>
      <x:c r="F12" s="40" t="str"/>
      <x:c r="G12" s="40" t="str"/>
      <x:c r="H12" s="41" t="str"/>
    </x:row>
    <x:row r="13">
      <x:c r="A13" s="100"/>
      <x:c r="B13" s="100"/>
      <x:c r="C13" s="100"/>
      <x:c r="D13" s="100"/>
      <x:c r="E13" s="100"/>
      <x:c r="F13" s="100"/>
      <x:c r="G13" s="100"/>
      <x:c r="H13" s="100"/>
    </x:row>
    <x:row r="14">
      <x:c r="A14" s="103" t="str">
        <x:v>建议使用节奏</x:v>
      </x:c>
      <x:c r="B14" s="103" t="str">
        <x:v>建议使用节奏</x:v>
      </x:c>
      <x:c r="C14" s="103" t="str">
        <x:v>建议使用节奏</x:v>
      </x:c>
      <x:c r="D14" s="103" t="str">
        <x:v>建议使用节奏</x:v>
      </x:c>
      <x:c r="E14" s="103" t="str">
        <x:v>建议使用节奏</x:v>
      </x:c>
      <x:c r="F14" s="103" t="str">
        <x:v>建议使用节奏</x:v>
      </x:c>
      <x:c r="G14" s="103" t="str">
        <x:v>建议使用节奏</x:v>
      </x:c>
      <x:c r="H14" s="103" t="str">
        <x:v>建议使用节奏</x:v>
      </x:c>
    </x:row>
    <x:row r="15">
      <x:c r="A15" s="102" t="str">
        <x:v>网站阶段</x:v>
      </x:c>
      <x:c r="B15" s="102" t="str">
        <x:v>参考指标</x:v>
      </x:c>
      <x:c r="C15" s="102" t="str">
        <x:v>建议发文</x:v>
      </x:c>
      <x:c r="D15" s="102" t="str">
        <x:v>关键词选择</x:v>
      </x:c>
      <x:c r="E15" s="102" t="str">
        <x:v>文章类型</x:v>
      </x:c>
      <x:c r="F15" s="102" t="str">
        <x:v>内容要求</x:v>
      </x:c>
      <x:c r="G15" s="102" t="str">
        <x:v>复盘重点</x:v>
      </x:c>
      <x:c r="H15" s="102" t="str">
        <x:v>备注</x:v>
      </x:c>
    </x:row>
    <x:row r="16">
      <x:c r="A16" s="33" t="str">
        <x:v>起步期</x:v>
      </x:c>
      <x:c r="B16" s="34" t="str">
        <x:v>DA 0-10 / Semrush流量&lt;300</x:v>
      </x:c>
      <x:c r="C16" s="34" t="str">
        <x:v>10篇/月</x:v>
      </x:c>
      <x:c r="D16" s="34" t="str">
        <x:v>长尾 + 商业支撑强</x:v>
      </x:c>
      <x:c r="E16" s="34" t="str">
        <x:v>教程/对比/场景</x:v>
      </x:c>
      <x:c r="F16" s="34" t="str">
        <x:v>少而深</x:v>
      </x:c>
      <x:c r="G16" s="34" t="str">
        <x:v>收录/展现</x:v>
      </x:c>
      <x:c r="H16" s="35" t="str">
        <x:v>不要为了日更牺牲质量</x:v>
      </x:c>
    </x:row>
    <x:row r="17">
      <x:c r="A17" s="36" t="str">
        <x:v>成长期</x:v>
      </x:c>
      <x:c r="B17" s="37" t="str">
        <x:v>DA≤15 / 流量500以内</x:v>
      </x:c>
      <x:c r="C17" s="37" t="str">
        <x:v>20篇/月</x:v>
      </x:c>
      <x:c r="D17" s="37" t="str">
        <x:v>补核心词 + 长尾矩阵</x:v>
      </x:c>
      <x:c r="E17" s="37" t="str">
        <x:v>榜单/标准/指南</x:v>
      </x:c>
      <x:c r="F17" s="37" t="str">
        <x:v>形成主题簇</x:v>
      </x:c>
      <x:c r="G17" s="37" t="str">
        <x:v>点击/排名</x:v>
      </x:c>
      <x:c r="H17" s="38" t="str">
        <x:v>围绕一个产品线扩展</x:v>
      </x:c>
    </x:row>
    <x:row r="18">
      <x:c r="A18" s="39" t="str">
        <x:v>发展期+</x:v>
      </x:c>
      <x:c r="B18" s="40" t="str">
        <x:v>DA&gt;15 / 流量&gt;1000</x:v>
      </x:c>
      <x:c r="C18" s="40" t="str">
        <x:v>约30篇/月</x:v>
      </x:c>
      <x:c r="D18" s="40" t="str">
        <x:v>核心词矩阵 + 高价值深度文</x:v>
      </x:c>
      <x:c r="E18" s="40" t="str">
        <x:v>深度指南/数据文</x:v>
      </x:c>
      <x:c r="F18" s="40" t="str">
        <x:v>权威和转化</x:v>
      </x:c>
      <x:c r="G18" s="40" t="str">
        <x:v>商业页排名</x:v>
      </x:c>
      <x:c r="H18" s="41" t="str">
        <x:v>优先更新已有内容</x:v>
      </x:c>
    </x:row>
  </x:sheetData>
  <x:mergeCells>
    <x:mergeCell ref="A1:H1"/>
    <x:mergeCell ref="A2:H2"/>
    <x:mergeCell ref="D4:H4"/>
    <x:mergeCell ref="A14:H14"/>
  </x:mergeCells>
  <x:pageMargins left="0.7" right="0.7" top="0.75" bottom="0.75" header="0.3" footer="0.3"/>
</x:worksheet>
</file>